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Priyanka Thakor\tree census\"/>
    </mc:Choice>
  </mc:AlternateContent>
  <bookViews>
    <workbookView xWindow="0" yWindow="0" windowWidth="15345" windowHeight="4545" tabRatio="500" activeTab="1"/>
  </bookViews>
  <sheets>
    <sheet name="Wood Density Lookup" sheetId="1" r:id="rId1"/>
    <sheet name="Tree Data Clean" sheetId="2" r:id="rId2"/>
    <sheet name="Excluded Trees" sheetId="3" r:id="rId3"/>
    <sheet name="Name Merges Applied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2" i="2"/>
  <c r="F2" i="2"/>
  <c r="I3260" i="2" l="1"/>
  <c r="H3260" i="2"/>
  <c r="F3260" i="2"/>
  <c r="D3260" i="2"/>
  <c r="E3260" i="2" s="1"/>
  <c r="I3259" i="2"/>
  <c r="H3259" i="2"/>
  <c r="F3259" i="2"/>
  <c r="D3259" i="2"/>
  <c r="E3259" i="2" s="1"/>
  <c r="I3258" i="2"/>
  <c r="H3258" i="2"/>
  <c r="F3258" i="2"/>
  <c r="D3258" i="2"/>
  <c r="E3258" i="2" s="1"/>
  <c r="I3257" i="2"/>
  <c r="H3257" i="2"/>
  <c r="F3257" i="2"/>
  <c r="D3257" i="2"/>
  <c r="E3257" i="2" s="1"/>
  <c r="I3256" i="2"/>
  <c r="H3256" i="2"/>
  <c r="F3256" i="2"/>
  <c r="D3256" i="2"/>
  <c r="E3256" i="2" s="1"/>
  <c r="I3255" i="2"/>
  <c r="H3255" i="2"/>
  <c r="F3255" i="2"/>
  <c r="D3255" i="2"/>
  <c r="E3255" i="2" s="1"/>
  <c r="I3254" i="2"/>
  <c r="H3254" i="2"/>
  <c r="F3254" i="2"/>
  <c r="D3254" i="2"/>
  <c r="E3254" i="2" s="1"/>
  <c r="I3253" i="2"/>
  <c r="H3253" i="2"/>
  <c r="F3253" i="2"/>
  <c r="D3253" i="2"/>
  <c r="E3253" i="2" s="1"/>
  <c r="I3252" i="2"/>
  <c r="H3252" i="2"/>
  <c r="F3252" i="2"/>
  <c r="D3252" i="2"/>
  <c r="E3252" i="2" s="1"/>
  <c r="I3251" i="2"/>
  <c r="H3251" i="2"/>
  <c r="F3251" i="2"/>
  <c r="D3251" i="2"/>
  <c r="E3251" i="2" s="1"/>
  <c r="I3250" i="2"/>
  <c r="H3250" i="2"/>
  <c r="F3250" i="2"/>
  <c r="D3250" i="2"/>
  <c r="E3250" i="2" s="1"/>
  <c r="I3249" i="2"/>
  <c r="H3249" i="2"/>
  <c r="F3249" i="2"/>
  <c r="D3249" i="2"/>
  <c r="E3249" i="2" s="1"/>
  <c r="I3248" i="2"/>
  <c r="H3248" i="2"/>
  <c r="F3248" i="2"/>
  <c r="D3248" i="2"/>
  <c r="E3248" i="2" s="1"/>
  <c r="I3247" i="2"/>
  <c r="H3247" i="2"/>
  <c r="F3247" i="2"/>
  <c r="D3247" i="2"/>
  <c r="E3247" i="2" s="1"/>
  <c r="I3246" i="2"/>
  <c r="H3246" i="2"/>
  <c r="F3246" i="2"/>
  <c r="D3246" i="2"/>
  <c r="E3246" i="2" s="1"/>
  <c r="I3245" i="2"/>
  <c r="H3245" i="2"/>
  <c r="F3245" i="2"/>
  <c r="D3245" i="2"/>
  <c r="E3245" i="2" s="1"/>
  <c r="I3244" i="2"/>
  <c r="H3244" i="2"/>
  <c r="F3244" i="2"/>
  <c r="D3244" i="2"/>
  <c r="E3244" i="2" s="1"/>
  <c r="I3243" i="2"/>
  <c r="H3243" i="2"/>
  <c r="F3243" i="2"/>
  <c r="D3243" i="2"/>
  <c r="E3243" i="2" s="1"/>
  <c r="I3242" i="2"/>
  <c r="J3242" i="2" s="1"/>
  <c r="K3242" i="2" s="1"/>
  <c r="H3242" i="2"/>
  <c r="F3242" i="2"/>
  <c r="D3242" i="2"/>
  <c r="E3242" i="2" s="1"/>
  <c r="I3241" i="2"/>
  <c r="H3241" i="2"/>
  <c r="F3241" i="2"/>
  <c r="D3241" i="2"/>
  <c r="E3241" i="2" s="1"/>
  <c r="I3240" i="2"/>
  <c r="H3240" i="2"/>
  <c r="F3240" i="2"/>
  <c r="D3240" i="2"/>
  <c r="E3240" i="2" s="1"/>
  <c r="I3239" i="2"/>
  <c r="H3239" i="2"/>
  <c r="F3239" i="2"/>
  <c r="D3239" i="2"/>
  <c r="E3239" i="2" s="1"/>
  <c r="I3238" i="2"/>
  <c r="H3238" i="2"/>
  <c r="F3238" i="2"/>
  <c r="D3238" i="2"/>
  <c r="E3238" i="2" s="1"/>
  <c r="I3237" i="2"/>
  <c r="H3237" i="2"/>
  <c r="F3237" i="2"/>
  <c r="D3237" i="2"/>
  <c r="E3237" i="2" s="1"/>
  <c r="I3236" i="2"/>
  <c r="H3236" i="2"/>
  <c r="F3236" i="2"/>
  <c r="D3236" i="2"/>
  <c r="E3236" i="2" s="1"/>
  <c r="I3235" i="2"/>
  <c r="H3235" i="2"/>
  <c r="F3235" i="2"/>
  <c r="D3235" i="2"/>
  <c r="E3235" i="2" s="1"/>
  <c r="I3234" i="2"/>
  <c r="H3234" i="2"/>
  <c r="F3234" i="2"/>
  <c r="D3234" i="2"/>
  <c r="E3234" i="2" s="1"/>
  <c r="I3233" i="2"/>
  <c r="H3233" i="2"/>
  <c r="F3233" i="2"/>
  <c r="D3233" i="2"/>
  <c r="E3233" i="2" s="1"/>
  <c r="I3232" i="2"/>
  <c r="H3232" i="2"/>
  <c r="F3232" i="2"/>
  <c r="D3232" i="2"/>
  <c r="E3232" i="2" s="1"/>
  <c r="I3231" i="2"/>
  <c r="H3231" i="2"/>
  <c r="F3231" i="2"/>
  <c r="D3231" i="2"/>
  <c r="E3231" i="2" s="1"/>
  <c r="I3230" i="2"/>
  <c r="H3230" i="2"/>
  <c r="F3230" i="2"/>
  <c r="D3230" i="2"/>
  <c r="E3230" i="2" s="1"/>
  <c r="I3229" i="2"/>
  <c r="H3229" i="2"/>
  <c r="F3229" i="2"/>
  <c r="D3229" i="2"/>
  <c r="E3229" i="2" s="1"/>
  <c r="I3228" i="2"/>
  <c r="H3228" i="2"/>
  <c r="F3228" i="2"/>
  <c r="D3228" i="2"/>
  <c r="E3228" i="2" s="1"/>
  <c r="I3227" i="2"/>
  <c r="H3227" i="2"/>
  <c r="F3227" i="2"/>
  <c r="D3227" i="2"/>
  <c r="E3227" i="2" s="1"/>
  <c r="I3226" i="2"/>
  <c r="H3226" i="2"/>
  <c r="F3226" i="2"/>
  <c r="D3226" i="2"/>
  <c r="E3226" i="2" s="1"/>
  <c r="I3225" i="2"/>
  <c r="H3225" i="2"/>
  <c r="F3225" i="2"/>
  <c r="D3225" i="2"/>
  <c r="E3225" i="2" s="1"/>
  <c r="I3224" i="2"/>
  <c r="H3224" i="2"/>
  <c r="F3224" i="2"/>
  <c r="D3224" i="2"/>
  <c r="E3224" i="2" s="1"/>
  <c r="I3223" i="2"/>
  <c r="H3223" i="2"/>
  <c r="F3223" i="2"/>
  <c r="D3223" i="2"/>
  <c r="E3223" i="2" s="1"/>
  <c r="I3222" i="2"/>
  <c r="H3222" i="2"/>
  <c r="F3222" i="2"/>
  <c r="D3222" i="2"/>
  <c r="E3222" i="2" s="1"/>
  <c r="I3221" i="2"/>
  <c r="H3221" i="2"/>
  <c r="F3221" i="2"/>
  <c r="D3221" i="2"/>
  <c r="E3221" i="2" s="1"/>
  <c r="I3220" i="2"/>
  <c r="H3220" i="2"/>
  <c r="F3220" i="2"/>
  <c r="D3220" i="2"/>
  <c r="E3220" i="2" s="1"/>
  <c r="I3219" i="2"/>
  <c r="H3219" i="2"/>
  <c r="F3219" i="2"/>
  <c r="D3219" i="2"/>
  <c r="E3219" i="2" s="1"/>
  <c r="I3218" i="2"/>
  <c r="H3218" i="2"/>
  <c r="F3218" i="2"/>
  <c r="E3218" i="2"/>
  <c r="D3218" i="2"/>
  <c r="I3217" i="2"/>
  <c r="H3217" i="2"/>
  <c r="F3217" i="2"/>
  <c r="D3217" i="2"/>
  <c r="E3217" i="2" s="1"/>
  <c r="I3216" i="2"/>
  <c r="H3216" i="2"/>
  <c r="F3216" i="2"/>
  <c r="D3216" i="2"/>
  <c r="E3216" i="2" s="1"/>
  <c r="I3215" i="2"/>
  <c r="H3215" i="2"/>
  <c r="F3215" i="2"/>
  <c r="D3215" i="2"/>
  <c r="E3215" i="2" s="1"/>
  <c r="I3214" i="2"/>
  <c r="H3214" i="2"/>
  <c r="F3214" i="2"/>
  <c r="D3214" i="2"/>
  <c r="E3214" i="2" s="1"/>
  <c r="I3213" i="2"/>
  <c r="H3213" i="2"/>
  <c r="F3213" i="2"/>
  <c r="D3213" i="2"/>
  <c r="E3213" i="2" s="1"/>
  <c r="I3212" i="2"/>
  <c r="H3212" i="2"/>
  <c r="F3212" i="2"/>
  <c r="D3212" i="2"/>
  <c r="E3212" i="2" s="1"/>
  <c r="I3211" i="2"/>
  <c r="H3211" i="2"/>
  <c r="F3211" i="2"/>
  <c r="D3211" i="2"/>
  <c r="E3211" i="2" s="1"/>
  <c r="I3210" i="2"/>
  <c r="H3210" i="2"/>
  <c r="F3210" i="2"/>
  <c r="D3210" i="2"/>
  <c r="E3210" i="2" s="1"/>
  <c r="I3209" i="2"/>
  <c r="H3209" i="2"/>
  <c r="F3209" i="2"/>
  <c r="D3209" i="2"/>
  <c r="E3209" i="2" s="1"/>
  <c r="I3208" i="2"/>
  <c r="H3208" i="2"/>
  <c r="F3208" i="2"/>
  <c r="D3208" i="2"/>
  <c r="E3208" i="2" s="1"/>
  <c r="I3207" i="2"/>
  <c r="H3207" i="2"/>
  <c r="F3207" i="2"/>
  <c r="D3207" i="2"/>
  <c r="E3207" i="2" s="1"/>
  <c r="I3206" i="2"/>
  <c r="H3206" i="2"/>
  <c r="F3206" i="2"/>
  <c r="D3206" i="2"/>
  <c r="E3206" i="2" s="1"/>
  <c r="I3205" i="2"/>
  <c r="H3205" i="2"/>
  <c r="F3205" i="2"/>
  <c r="D3205" i="2"/>
  <c r="E3205" i="2" s="1"/>
  <c r="I3204" i="2"/>
  <c r="H3204" i="2"/>
  <c r="F3204" i="2"/>
  <c r="D3204" i="2"/>
  <c r="E3204" i="2" s="1"/>
  <c r="I3203" i="2"/>
  <c r="H3203" i="2"/>
  <c r="F3203" i="2"/>
  <c r="E3203" i="2"/>
  <c r="D3203" i="2"/>
  <c r="I3202" i="2"/>
  <c r="H3202" i="2"/>
  <c r="F3202" i="2"/>
  <c r="D3202" i="2"/>
  <c r="E3202" i="2" s="1"/>
  <c r="I3201" i="2"/>
  <c r="H3201" i="2"/>
  <c r="F3201" i="2"/>
  <c r="E3201" i="2"/>
  <c r="D3201" i="2"/>
  <c r="I3200" i="2"/>
  <c r="H3200" i="2"/>
  <c r="F3200" i="2"/>
  <c r="D3200" i="2"/>
  <c r="E3200" i="2" s="1"/>
  <c r="I3199" i="2"/>
  <c r="H3199" i="2"/>
  <c r="F3199" i="2"/>
  <c r="D3199" i="2"/>
  <c r="E3199" i="2" s="1"/>
  <c r="I3198" i="2"/>
  <c r="J3198" i="2" s="1"/>
  <c r="K3198" i="2" s="1"/>
  <c r="H3198" i="2"/>
  <c r="F3198" i="2"/>
  <c r="D3198" i="2"/>
  <c r="E3198" i="2" s="1"/>
  <c r="I3197" i="2"/>
  <c r="H3197" i="2"/>
  <c r="F3197" i="2"/>
  <c r="D3197" i="2"/>
  <c r="E3197" i="2" s="1"/>
  <c r="I3196" i="2"/>
  <c r="H3196" i="2"/>
  <c r="F3196" i="2"/>
  <c r="D3196" i="2"/>
  <c r="E3196" i="2" s="1"/>
  <c r="I3195" i="2"/>
  <c r="H3195" i="2"/>
  <c r="F3195" i="2"/>
  <c r="D3195" i="2"/>
  <c r="E3195" i="2" s="1"/>
  <c r="I3194" i="2"/>
  <c r="H3194" i="2"/>
  <c r="F3194" i="2"/>
  <c r="D3194" i="2"/>
  <c r="E3194" i="2" s="1"/>
  <c r="I3193" i="2"/>
  <c r="H3193" i="2"/>
  <c r="F3193" i="2"/>
  <c r="D3193" i="2"/>
  <c r="E3193" i="2" s="1"/>
  <c r="I3192" i="2"/>
  <c r="H3192" i="2"/>
  <c r="F3192" i="2"/>
  <c r="D3192" i="2"/>
  <c r="E3192" i="2" s="1"/>
  <c r="I3191" i="2"/>
  <c r="H3191" i="2"/>
  <c r="F3191" i="2"/>
  <c r="D3191" i="2"/>
  <c r="E3191" i="2" s="1"/>
  <c r="I3190" i="2"/>
  <c r="J3190" i="2" s="1"/>
  <c r="K3190" i="2" s="1"/>
  <c r="H3190" i="2"/>
  <c r="F3190" i="2"/>
  <c r="D3190" i="2"/>
  <c r="E3190" i="2" s="1"/>
  <c r="I3189" i="2"/>
  <c r="H3189" i="2"/>
  <c r="F3189" i="2"/>
  <c r="D3189" i="2"/>
  <c r="E3189" i="2" s="1"/>
  <c r="I3188" i="2"/>
  <c r="H3188" i="2"/>
  <c r="F3188" i="2"/>
  <c r="D3188" i="2"/>
  <c r="E3188" i="2" s="1"/>
  <c r="I3187" i="2"/>
  <c r="H3187" i="2"/>
  <c r="F3187" i="2"/>
  <c r="D3187" i="2"/>
  <c r="E3187" i="2" s="1"/>
  <c r="I3186" i="2"/>
  <c r="H3186" i="2"/>
  <c r="F3186" i="2"/>
  <c r="D3186" i="2"/>
  <c r="E3186" i="2" s="1"/>
  <c r="I3185" i="2"/>
  <c r="H3185" i="2"/>
  <c r="F3185" i="2"/>
  <c r="D3185" i="2"/>
  <c r="E3185" i="2" s="1"/>
  <c r="I3184" i="2"/>
  <c r="H3184" i="2"/>
  <c r="F3184" i="2"/>
  <c r="D3184" i="2"/>
  <c r="E3184" i="2" s="1"/>
  <c r="I3183" i="2"/>
  <c r="H3183" i="2"/>
  <c r="F3183" i="2"/>
  <c r="D3183" i="2"/>
  <c r="E3183" i="2" s="1"/>
  <c r="I3182" i="2"/>
  <c r="H3182" i="2"/>
  <c r="F3182" i="2"/>
  <c r="D3182" i="2"/>
  <c r="E3182" i="2" s="1"/>
  <c r="I3181" i="2"/>
  <c r="H3181" i="2"/>
  <c r="F3181" i="2"/>
  <c r="D3181" i="2"/>
  <c r="E3181" i="2" s="1"/>
  <c r="I3180" i="2"/>
  <c r="H3180" i="2"/>
  <c r="F3180" i="2"/>
  <c r="D3180" i="2"/>
  <c r="E3180" i="2" s="1"/>
  <c r="I3179" i="2"/>
  <c r="H3179" i="2"/>
  <c r="F3179" i="2"/>
  <c r="D3179" i="2"/>
  <c r="E3179" i="2" s="1"/>
  <c r="I3178" i="2"/>
  <c r="H3178" i="2"/>
  <c r="F3178" i="2"/>
  <c r="D3178" i="2"/>
  <c r="E3178" i="2" s="1"/>
  <c r="I3177" i="2"/>
  <c r="H3177" i="2"/>
  <c r="F3177" i="2"/>
  <c r="D3177" i="2"/>
  <c r="E3177" i="2" s="1"/>
  <c r="I3176" i="2"/>
  <c r="H3176" i="2"/>
  <c r="F3176" i="2"/>
  <c r="D3176" i="2"/>
  <c r="E3176" i="2" s="1"/>
  <c r="I3175" i="2"/>
  <c r="H3175" i="2"/>
  <c r="F3175" i="2"/>
  <c r="D3175" i="2"/>
  <c r="E3175" i="2" s="1"/>
  <c r="I3174" i="2"/>
  <c r="H3174" i="2"/>
  <c r="F3174" i="2"/>
  <c r="D3174" i="2"/>
  <c r="E3174" i="2" s="1"/>
  <c r="I3173" i="2"/>
  <c r="H3173" i="2"/>
  <c r="F3173" i="2"/>
  <c r="D3173" i="2"/>
  <c r="E3173" i="2" s="1"/>
  <c r="I3172" i="2"/>
  <c r="H3172" i="2"/>
  <c r="F3172" i="2"/>
  <c r="D3172" i="2"/>
  <c r="E3172" i="2" s="1"/>
  <c r="I3171" i="2"/>
  <c r="H3171" i="2"/>
  <c r="F3171" i="2"/>
  <c r="D3171" i="2"/>
  <c r="E3171" i="2" s="1"/>
  <c r="I3170" i="2"/>
  <c r="H3170" i="2"/>
  <c r="F3170" i="2"/>
  <c r="D3170" i="2"/>
  <c r="E3170" i="2" s="1"/>
  <c r="I3169" i="2"/>
  <c r="H3169" i="2"/>
  <c r="F3169" i="2"/>
  <c r="D3169" i="2"/>
  <c r="E3169" i="2" s="1"/>
  <c r="I3168" i="2"/>
  <c r="H3168" i="2"/>
  <c r="F3168" i="2"/>
  <c r="D3168" i="2"/>
  <c r="E3168" i="2" s="1"/>
  <c r="I3167" i="2"/>
  <c r="H3167" i="2"/>
  <c r="F3167" i="2"/>
  <c r="D3167" i="2"/>
  <c r="E3167" i="2" s="1"/>
  <c r="I3166" i="2"/>
  <c r="H3166" i="2"/>
  <c r="F3166" i="2"/>
  <c r="D3166" i="2"/>
  <c r="E3166" i="2" s="1"/>
  <c r="I3165" i="2"/>
  <c r="H3165" i="2"/>
  <c r="F3165" i="2"/>
  <c r="D3165" i="2"/>
  <c r="E3165" i="2" s="1"/>
  <c r="I3164" i="2"/>
  <c r="H3164" i="2"/>
  <c r="F3164" i="2"/>
  <c r="D3164" i="2"/>
  <c r="E3164" i="2" s="1"/>
  <c r="I3163" i="2"/>
  <c r="H3163" i="2"/>
  <c r="F3163" i="2"/>
  <c r="D3163" i="2"/>
  <c r="E3163" i="2" s="1"/>
  <c r="I3162" i="2"/>
  <c r="H3162" i="2"/>
  <c r="F3162" i="2"/>
  <c r="D3162" i="2"/>
  <c r="E3162" i="2" s="1"/>
  <c r="I3161" i="2"/>
  <c r="H3161" i="2"/>
  <c r="F3161" i="2"/>
  <c r="D3161" i="2"/>
  <c r="E3161" i="2" s="1"/>
  <c r="I3160" i="2"/>
  <c r="H3160" i="2"/>
  <c r="F3160" i="2"/>
  <c r="D3160" i="2"/>
  <c r="E3160" i="2" s="1"/>
  <c r="I3159" i="2"/>
  <c r="H3159" i="2"/>
  <c r="F3159" i="2"/>
  <c r="D3159" i="2"/>
  <c r="E3159" i="2" s="1"/>
  <c r="I3158" i="2"/>
  <c r="H3158" i="2"/>
  <c r="F3158" i="2"/>
  <c r="D3158" i="2"/>
  <c r="E3158" i="2" s="1"/>
  <c r="I3157" i="2"/>
  <c r="H3157" i="2"/>
  <c r="F3157" i="2"/>
  <c r="D3157" i="2"/>
  <c r="E3157" i="2" s="1"/>
  <c r="J3157" i="2" s="1"/>
  <c r="K3157" i="2" s="1"/>
  <c r="I3156" i="2"/>
  <c r="H3156" i="2"/>
  <c r="F3156" i="2"/>
  <c r="D3156" i="2"/>
  <c r="E3156" i="2" s="1"/>
  <c r="I3155" i="2"/>
  <c r="H3155" i="2"/>
  <c r="F3155" i="2"/>
  <c r="D3155" i="2"/>
  <c r="E3155" i="2" s="1"/>
  <c r="I3154" i="2"/>
  <c r="H3154" i="2"/>
  <c r="F3154" i="2"/>
  <c r="D3154" i="2"/>
  <c r="E3154" i="2" s="1"/>
  <c r="I3153" i="2"/>
  <c r="H3153" i="2"/>
  <c r="F3153" i="2"/>
  <c r="E3153" i="2"/>
  <c r="D3153" i="2"/>
  <c r="I3152" i="2"/>
  <c r="H3152" i="2"/>
  <c r="F3152" i="2"/>
  <c r="D3152" i="2"/>
  <c r="E3152" i="2" s="1"/>
  <c r="I3151" i="2"/>
  <c r="H3151" i="2"/>
  <c r="F3151" i="2"/>
  <c r="D3151" i="2"/>
  <c r="E3151" i="2" s="1"/>
  <c r="I3150" i="2"/>
  <c r="H3150" i="2"/>
  <c r="F3150" i="2"/>
  <c r="D3150" i="2"/>
  <c r="E3150" i="2" s="1"/>
  <c r="I3149" i="2"/>
  <c r="H3149" i="2"/>
  <c r="F3149" i="2"/>
  <c r="D3149" i="2"/>
  <c r="E3149" i="2" s="1"/>
  <c r="I3148" i="2"/>
  <c r="J3148" i="2" s="1"/>
  <c r="K3148" i="2" s="1"/>
  <c r="H3148" i="2"/>
  <c r="F3148" i="2"/>
  <c r="D3148" i="2"/>
  <c r="E3148" i="2" s="1"/>
  <c r="I3147" i="2"/>
  <c r="H3147" i="2"/>
  <c r="F3147" i="2"/>
  <c r="D3147" i="2"/>
  <c r="E3147" i="2" s="1"/>
  <c r="I3146" i="2"/>
  <c r="H3146" i="2"/>
  <c r="F3146" i="2"/>
  <c r="D3146" i="2"/>
  <c r="E3146" i="2" s="1"/>
  <c r="I3145" i="2"/>
  <c r="H3145" i="2"/>
  <c r="F3145" i="2"/>
  <c r="D3145" i="2"/>
  <c r="E3145" i="2" s="1"/>
  <c r="I3144" i="2"/>
  <c r="H3144" i="2"/>
  <c r="F3144" i="2"/>
  <c r="D3144" i="2"/>
  <c r="E3144" i="2" s="1"/>
  <c r="I3143" i="2"/>
  <c r="H3143" i="2"/>
  <c r="F3143" i="2"/>
  <c r="D3143" i="2"/>
  <c r="E3143" i="2" s="1"/>
  <c r="I3142" i="2"/>
  <c r="H3142" i="2"/>
  <c r="F3142" i="2"/>
  <c r="D3142" i="2"/>
  <c r="E3142" i="2" s="1"/>
  <c r="I3141" i="2"/>
  <c r="H3141" i="2"/>
  <c r="F3141" i="2"/>
  <c r="D3141" i="2"/>
  <c r="E3141" i="2" s="1"/>
  <c r="I3140" i="2"/>
  <c r="J3140" i="2" s="1"/>
  <c r="K3140" i="2" s="1"/>
  <c r="H3140" i="2"/>
  <c r="F3140" i="2"/>
  <c r="D3140" i="2"/>
  <c r="E3140" i="2" s="1"/>
  <c r="I3139" i="2"/>
  <c r="H3139" i="2"/>
  <c r="F3139" i="2"/>
  <c r="D3139" i="2"/>
  <c r="E3139" i="2" s="1"/>
  <c r="I3138" i="2"/>
  <c r="H3138" i="2"/>
  <c r="F3138" i="2"/>
  <c r="D3138" i="2"/>
  <c r="E3138" i="2" s="1"/>
  <c r="I3137" i="2"/>
  <c r="H3137" i="2"/>
  <c r="F3137" i="2"/>
  <c r="D3137" i="2"/>
  <c r="E3137" i="2" s="1"/>
  <c r="I3136" i="2"/>
  <c r="H3136" i="2"/>
  <c r="F3136" i="2"/>
  <c r="D3136" i="2"/>
  <c r="E3136" i="2" s="1"/>
  <c r="I3135" i="2"/>
  <c r="H3135" i="2"/>
  <c r="F3135" i="2"/>
  <c r="D3135" i="2"/>
  <c r="E3135" i="2" s="1"/>
  <c r="I3134" i="2"/>
  <c r="H3134" i="2"/>
  <c r="F3134" i="2"/>
  <c r="D3134" i="2"/>
  <c r="E3134" i="2" s="1"/>
  <c r="I3133" i="2"/>
  <c r="H3133" i="2"/>
  <c r="F3133" i="2"/>
  <c r="D3133" i="2"/>
  <c r="E3133" i="2" s="1"/>
  <c r="I3132" i="2"/>
  <c r="H3132" i="2"/>
  <c r="F3132" i="2"/>
  <c r="D3132" i="2"/>
  <c r="E3132" i="2" s="1"/>
  <c r="I3131" i="2"/>
  <c r="H3131" i="2"/>
  <c r="F3131" i="2"/>
  <c r="D3131" i="2"/>
  <c r="E3131" i="2" s="1"/>
  <c r="I3130" i="2"/>
  <c r="H3130" i="2"/>
  <c r="F3130" i="2"/>
  <c r="D3130" i="2"/>
  <c r="E3130" i="2" s="1"/>
  <c r="I3129" i="2"/>
  <c r="H3129" i="2"/>
  <c r="F3129" i="2"/>
  <c r="D3129" i="2"/>
  <c r="E3129" i="2" s="1"/>
  <c r="I3128" i="2"/>
  <c r="H3128" i="2"/>
  <c r="F3128" i="2"/>
  <c r="D3128" i="2"/>
  <c r="E3128" i="2" s="1"/>
  <c r="I3127" i="2"/>
  <c r="H3127" i="2"/>
  <c r="F3127" i="2"/>
  <c r="D3127" i="2"/>
  <c r="E3127" i="2" s="1"/>
  <c r="I3126" i="2"/>
  <c r="H3126" i="2"/>
  <c r="F3126" i="2"/>
  <c r="D3126" i="2"/>
  <c r="E3126" i="2" s="1"/>
  <c r="I3125" i="2"/>
  <c r="H3125" i="2"/>
  <c r="F3125" i="2"/>
  <c r="D3125" i="2"/>
  <c r="E3125" i="2" s="1"/>
  <c r="I3124" i="2"/>
  <c r="H3124" i="2"/>
  <c r="F3124" i="2"/>
  <c r="D3124" i="2"/>
  <c r="E3124" i="2" s="1"/>
  <c r="I3123" i="2"/>
  <c r="H3123" i="2"/>
  <c r="F3123" i="2"/>
  <c r="D3123" i="2"/>
  <c r="E3123" i="2" s="1"/>
  <c r="I3122" i="2"/>
  <c r="H3122" i="2"/>
  <c r="F3122" i="2"/>
  <c r="D3122" i="2"/>
  <c r="E3122" i="2" s="1"/>
  <c r="I3121" i="2"/>
  <c r="H3121" i="2"/>
  <c r="F3121" i="2"/>
  <c r="D3121" i="2"/>
  <c r="E3121" i="2" s="1"/>
  <c r="I3120" i="2"/>
  <c r="H3120" i="2"/>
  <c r="F3120" i="2"/>
  <c r="D3120" i="2"/>
  <c r="E3120" i="2" s="1"/>
  <c r="I3119" i="2"/>
  <c r="H3119" i="2"/>
  <c r="F3119" i="2"/>
  <c r="D3119" i="2"/>
  <c r="E3119" i="2" s="1"/>
  <c r="I3118" i="2"/>
  <c r="H3118" i="2"/>
  <c r="F3118" i="2"/>
  <c r="D3118" i="2"/>
  <c r="E3118" i="2" s="1"/>
  <c r="I3117" i="2"/>
  <c r="H3117" i="2"/>
  <c r="F3117" i="2"/>
  <c r="D3117" i="2"/>
  <c r="E3117" i="2" s="1"/>
  <c r="I3116" i="2"/>
  <c r="H3116" i="2"/>
  <c r="F3116" i="2"/>
  <c r="D3116" i="2"/>
  <c r="E3116" i="2" s="1"/>
  <c r="I3115" i="2"/>
  <c r="H3115" i="2"/>
  <c r="F3115" i="2"/>
  <c r="D3115" i="2"/>
  <c r="E3115" i="2" s="1"/>
  <c r="I3114" i="2"/>
  <c r="H3114" i="2"/>
  <c r="F3114" i="2"/>
  <c r="D3114" i="2"/>
  <c r="E3114" i="2" s="1"/>
  <c r="I3113" i="2"/>
  <c r="H3113" i="2"/>
  <c r="F3113" i="2"/>
  <c r="D3113" i="2"/>
  <c r="E3113" i="2" s="1"/>
  <c r="I3112" i="2"/>
  <c r="H3112" i="2"/>
  <c r="F3112" i="2"/>
  <c r="D3112" i="2"/>
  <c r="E3112" i="2" s="1"/>
  <c r="I3111" i="2"/>
  <c r="H3111" i="2"/>
  <c r="F3111" i="2"/>
  <c r="D3111" i="2"/>
  <c r="E3111" i="2" s="1"/>
  <c r="I3110" i="2"/>
  <c r="H3110" i="2"/>
  <c r="F3110" i="2"/>
  <c r="D3110" i="2"/>
  <c r="E3110" i="2" s="1"/>
  <c r="I3109" i="2"/>
  <c r="H3109" i="2"/>
  <c r="F3109" i="2"/>
  <c r="D3109" i="2"/>
  <c r="E3109" i="2" s="1"/>
  <c r="I3108" i="2"/>
  <c r="H3108" i="2"/>
  <c r="F3108" i="2"/>
  <c r="D3108" i="2"/>
  <c r="E3108" i="2" s="1"/>
  <c r="I3107" i="2"/>
  <c r="H3107" i="2"/>
  <c r="F3107" i="2"/>
  <c r="D3107" i="2"/>
  <c r="E3107" i="2" s="1"/>
  <c r="I3106" i="2"/>
  <c r="H3106" i="2"/>
  <c r="F3106" i="2"/>
  <c r="D3106" i="2"/>
  <c r="E3106" i="2" s="1"/>
  <c r="I3105" i="2"/>
  <c r="H3105" i="2"/>
  <c r="F3105" i="2"/>
  <c r="D3105" i="2"/>
  <c r="E3105" i="2" s="1"/>
  <c r="J3104" i="2"/>
  <c r="K3104" i="2" s="1"/>
  <c r="I3104" i="2"/>
  <c r="H3104" i="2"/>
  <c r="F3104" i="2"/>
  <c r="D3104" i="2"/>
  <c r="E3104" i="2" s="1"/>
  <c r="I3103" i="2"/>
  <c r="H3103" i="2"/>
  <c r="F3103" i="2"/>
  <c r="E3103" i="2"/>
  <c r="D3103" i="2"/>
  <c r="I3102" i="2"/>
  <c r="H3102" i="2"/>
  <c r="F3102" i="2"/>
  <c r="D3102" i="2"/>
  <c r="E3102" i="2" s="1"/>
  <c r="I3101" i="2"/>
  <c r="H3101" i="2"/>
  <c r="F3101" i="2"/>
  <c r="D3101" i="2"/>
  <c r="E3101" i="2" s="1"/>
  <c r="I3100" i="2"/>
  <c r="H3100" i="2"/>
  <c r="F3100" i="2"/>
  <c r="D3100" i="2"/>
  <c r="E3100" i="2" s="1"/>
  <c r="I3099" i="2"/>
  <c r="H3099" i="2"/>
  <c r="F3099" i="2"/>
  <c r="D3099" i="2"/>
  <c r="E3099" i="2" s="1"/>
  <c r="I3098" i="2"/>
  <c r="H3098" i="2"/>
  <c r="F3098" i="2"/>
  <c r="D3098" i="2"/>
  <c r="E3098" i="2" s="1"/>
  <c r="I3097" i="2"/>
  <c r="H3097" i="2"/>
  <c r="F3097" i="2"/>
  <c r="D3097" i="2"/>
  <c r="E3097" i="2" s="1"/>
  <c r="I3096" i="2"/>
  <c r="H3096" i="2"/>
  <c r="F3096" i="2"/>
  <c r="D3096" i="2"/>
  <c r="E3096" i="2" s="1"/>
  <c r="I3095" i="2"/>
  <c r="H3095" i="2"/>
  <c r="F3095" i="2"/>
  <c r="D3095" i="2"/>
  <c r="E3095" i="2" s="1"/>
  <c r="I3094" i="2"/>
  <c r="H3094" i="2"/>
  <c r="F3094" i="2"/>
  <c r="D3094" i="2"/>
  <c r="E3094" i="2" s="1"/>
  <c r="I3093" i="2"/>
  <c r="H3093" i="2"/>
  <c r="F3093" i="2"/>
  <c r="D3093" i="2"/>
  <c r="E3093" i="2" s="1"/>
  <c r="I3092" i="2"/>
  <c r="H3092" i="2"/>
  <c r="F3092" i="2"/>
  <c r="D3092" i="2"/>
  <c r="E3092" i="2" s="1"/>
  <c r="I3091" i="2"/>
  <c r="H3091" i="2"/>
  <c r="F3091" i="2"/>
  <c r="D3091" i="2"/>
  <c r="E3091" i="2" s="1"/>
  <c r="I3090" i="2"/>
  <c r="H3090" i="2"/>
  <c r="F3090" i="2"/>
  <c r="D3090" i="2"/>
  <c r="E3090" i="2" s="1"/>
  <c r="I3089" i="2"/>
  <c r="H3089" i="2"/>
  <c r="F3089" i="2"/>
  <c r="D3089" i="2"/>
  <c r="E3089" i="2" s="1"/>
  <c r="I3088" i="2"/>
  <c r="H3088" i="2"/>
  <c r="F3088" i="2"/>
  <c r="D3088" i="2"/>
  <c r="E3088" i="2" s="1"/>
  <c r="I3087" i="2"/>
  <c r="H3087" i="2"/>
  <c r="F3087" i="2"/>
  <c r="D3087" i="2"/>
  <c r="E3087" i="2" s="1"/>
  <c r="I3086" i="2"/>
  <c r="H3086" i="2"/>
  <c r="F3086" i="2"/>
  <c r="D3086" i="2"/>
  <c r="E3086" i="2" s="1"/>
  <c r="I3085" i="2"/>
  <c r="H3085" i="2"/>
  <c r="F3085" i="2"/>
  <c r="D3085" i="2"/>
  <c r="E3085" i="2" s="1"/>
  <c r="I3084" i="2"/>
  <c r="H3084" i="2"/>
  <c r="F3084" i="2"/>
  <c r="D3084" i="2"/>
  <c r="E3084" i="2" s="1"/>
  <c r="I3083" i="2"/>
  <c r="H3083" i="2"/>
  <c r="F3083" i="2"/>
  <c r="D3083" i="2"/>
  <c r="E3083" i="2" s="1"/>
  <c r="I3082" i="2"/>
  <c r="H3082" i="2"/>
  <c r="F3082" i="2"/>
  <c r="D3082" i="2"/>
  <c r="E3082" i="2" s="1"/>
  <c r="I3081" i="2"/>
  <c r="H3081" i="2"/>
  <c r="F3081" i="2"/>
  <c r="D3081" i="2"/>
  <c r="E3081" i="2" s="1"/>
  <c r="I3080" i="2"/>
  <c r="H3080" i="2"/>
  <c r="F3080" i="2"/>
  <c r="D3080" i="2"/>
  <c r="E3080" i="2" s="1"/>
  <c r="I3079" i="2"/>
  <c r="H3079" i="2"/>
  <c r="F3079" i="2"/>
  <c r="D3079" i="2"/>
  <c r="E3079" i="2" s="1"/>
  <c r="I3078" i="2"/>
  <c r="H3078" i="2"/>
  <c r="F3078" i="2"/>
  <c r="D3078" i="2"/>
  <c r="E3078" i="2" s="1"/>
  <c r="I3077" i="2"/>
  <c r="H3077" i="2"/>
  <c r="F3077" i="2"/>
  <c r="D3077" i="2"/>
  <c r="E3077" i="2" s="1"/>
  <c r="I3076" i="2"/>
  <c r="H3076" i="2"/>
  <c r="F3076" i="2"/>
  <c r="D3076" i="2"/>
  <c r="E3076" i="2" s="1"/>
  <c r="I3075" i="2"/>
  <c r="H3075" i="2"/>
  <c r="F3075" i="2"/>
  <c r="D3075" i="2"/>
  <c r="E3075" i="2" s="1"/>
  <c r="I3074" i="2"/>
  <c r="H3074" i="2"/>
  <c r="F3074" i="2"/>
  <c r="D3074" i="2"/>
  <c r="E3074" i="2" s="1"/>
  <c r="I3073" i="2"/>
  <c r="H3073" i="2"/>
  <c r="F3073" i="2"/>
  <c r="D3073" i="2"/>
  <c r="E3073" i="2" s="1"/>
  <c r="I3072" i="2"/>
  <c r="H3072" i="2"/>
  <c r="F3072" i="2"/>
  <c r="D3072" i="2"/>
  <c r="E3072" i="2" s="1"/>
  <c r="I3071" i="2"/>
  <c r="H3071" i="2"/>
  <c r="F3071" i="2"/>
  <c r="D3071" i="2"/>
  <c r="E3071" i="2" s="1"/>
  <c r="I3070" i="2"/>
  <c r="H3070" i="2"/>
  <c r="F3070" i="2"/>
  <c r="D3070" i="2"/>
  <c r="E3070" i="2" s="1"/>
  <c r="I3069" i="2"/>
  <c r="H3069" i="2"/>
  <c r="F3069" i="2"/>
  <c r="D3069" i="2"/>
  <c r="E3069" i="2" s="1"/>
  <c r="I3068" i="2"/>
  <c r="H3068" i="2"/>
  <c r="F3068" i="2"/>
  <c r="E3068" i="2"/>
  <c r="D3068" i="2"/>
  <c r="I3067" i="2"/>
  <c r="H3067" i="2"/>
  <c r="F3067" i="2"/>
  <c r="D3067" i="2"/>
  <c r="E3067" i="2" s="1"/>
  <c r="I3066" i="2"/>
  <c r="H3066" i="2"/>
  <c r="F3066" i="2"/>
  <c r="D3066" i="2"/>
  <c r="E3066" i="2" s="1"/>
  <c r="I3065" i="2"/>
  <c r="H3065" i="2"/>
  <c r="F3065" i="2"/>
  <c r="D3065" i="2"/>
  <c r="E3065" i="2" s="1"/>
  <c r="I3064" i="2"/>
  <c r="H3064" i="2"/>
  <c r="F3064" i="2"/>
  <c r="D3064" i="2"/>
  <c r="E3064" i="2" s="1"/>
  <c r="J3064" i="2" s="1"/>
  <c r="K3064" i="2" s="1"/>
  <c r="I3063" i="2"/>
  <c r="H3063" i="2"/>
  <c r="F3063" i="2"/>
  <c r="D3063" i="2"/>
  <c r="E3063" i="2" s="1"/>
  <c r="I3062" i="2"/>
  <c r="H3062" i="2"/>
  <c r="F3062" i="2"/>
  <c r="D3062" i="2"/>
  <c r="E3062" i="2" s="1"/>
  <c r="I3061" i="2"/>
  <c r="H3061" i="2"/>
  <c r="F3061" i="2"/>
  <c r="D3061" i="2"/>
  <c r="E3061" i="2" s="1"/>
  <c r="I3060" i="2"/>
  <c r="H3060" i="2"/>
  <c r="F3060" i="2"/>
  <c r="D3060" i="2"/>
  <c r="E3060" i="2" s="1"/>
  <c r="I3059" i="2"/>
  <c r="H3059" i="2"/>
  <c r="F3059" i="2"/>
  <c r="D3059" i="2"/>
  <c r="E3059" i="2" s="1"/>
  <c r="J3059" i="2" s="1"/>
  <c r="K3059" i="2" s="1"/>
  <c r="I3058" i="2"/>
  <c r="H3058" i="2"/>
  <c r="F3058" i="2"/>
  <c r="D3058" i="2"/>
  <c r="E3058" i="2" s="1"/>
  <c r="I3057" i="2"/>
  <c r="H3057" i="2"/>
  <c r="F3057" i="2"/>
  <c r="E3057" i="2"/>
  <c r="D3057" i="2"/>
  <c r="I3056" i="2"/>
  <c r="H3056" i="2"/>
  <c r="F3056" i="2"/>
  <c r="D3056" i="2"/>
  <c r="E3056" i="2" s="1"/>
  <c r="I3055" i="2"/>
  <c r="H3055" i="2"/>
  <c r="F3055" i="2"/>
  <c r="D3055" i="2"/>
  <c r="E3055" i="2" s="1"/>
  <c r="I3054" i="2"/>
  <c r="H3054" i="2"/>
  <c r="F3054" i="2"/>
  <c r="D3054" i="2"/>
  <c r="E3054" i="2" s="1"/>
  <c r="I3053" i="2"/>
  <c r="H3053" i="2"/>
  <c r="F3053" i="2"/>
  <c r="D3053" i="2"/>
  <c r="E3053" i="2" s="1"/>
  <c r="I3052" i="2"/>
  <c r="H3052" i="2"/>
  <c r="F3052" i="2"/>
  <c r="D3052" i="2"/>
  <c r="E3052" i="2" s="1"/>
  <c r="I3051" i="2"/>
  <c r="H3051" i="2"/>
  <c r="F3051" i="2"/>
  <c r="D3051" i="2"/>
  <c r="E3051" i="2" s="1"/>
  <c r="J3051" i="2" s="1"/>
  <c r="K3051" i="2" s="1"/>
  <c r="I3050" i="2"/>
  <c r="H3050" i="2"/>
  <c r="F3050" i="2"/>
  <c r="D3050" i="2"/>
  <c r="E3050" i="2" s="1"/>
  <c r="I3049" i="2"/>
  <c r="H3049" i="2"/>
  <c r="F3049" i="2"/>
  <c r="D3049" i="2"/>
  <c r="E3049" i="2" s="1"/>
  <c r="J3049" i="2" s="1"/>
  <c r="K3049" i="2" s="1"/>
  <c r="I3048" i="2"/>
  <c r="H3048" i="2"/>
  <c r="F3048" i="2"/>
  <c r="D3048" i="2"/>
  <c r="E3048" i="2" s="1"/>
  <c r="I3047" i="2"/>
  <c r="H3047" i="2"/>
  <c r="F3047" i="2"/>
  <c r="D3047" i="2"/>
  <c r="E3047" i="2" s="1"/>
  <c r="I3046" i="2"/>
  <c r="H3046" i="2"/>
  <c r="F3046" i="2"/>
  <c r="D3046" i="2"/>
  <c r="E3046" i="2" s="1"/>
  <c r="I3045" i="2"/>
  <c r="H3045" i="2"/>
  <c r="F3045" i="2"/>
  <c r="D3045" i="2"/>
  <c r="E3045" i="2" s="1"/>
  <c r="I3044" i="2"/>
  <c r="H3044" i="2"/>
  <c r="F3044" i="2"/>
  <c r="D3044" i="2"/>
  <c r="E3044" i="2" s="1"/>
  <c r="I3043" i="2"/>
  <c r="H3043" i="2"/>
  <c r="F3043" i="2"/>
  <c r="D3043" i="2"/>
  <c r="E3043" i="2" s="1"/>
  <c r="I3042" i="2"/>
  <c r="H3042" i="2"/>
  <c r="F3042" i="2"/>
  <c r="D3042" i="2"/>
  <c r="E3042" i="2" s="1"/>
  <c r="I3041" i="2"/>
  <c r="H3041" i="2"/>
  <c r="F3041" i="2"/>
  <c r="D3041" i="2"/>
  <c r="E3041" i="2" s="1"/>
  <c r="I3040" i="2"/>
  <c r="H3040" i="2"/>
  <c r="F3040" i="2"/>
  <c r="D3040" i="2"/>
  <c r="E3040" i="2" s="1"/>
  <c r="I3039" i="2"/>
  <c r="H3039" i="2"/>
  <c r="F3039" i="2"/>
  <c r="D3039" i="2"/>
  <c r="E3039" i="2" s="1"/>
  <c r="I3038" i="2"/>
  <c r="H3038" i="2"/>
  <c r="F3038" i="2"/>
  <c r="D3038" i="2"/>
  <c r="E3038" i="2" s="1"/>
  <c r="I3037" i="2"/>
  <c r="H3037" i="2"/>
  <c r="F3037" i="2"/>
  <c r="D3037" i="2"/>
  <c r="E3037" i="2" s="1"/>
  <c r="I3036" i="2"/>
  <c r="H3036" i="2"/>
  <c r="F3036" i="2"/>
  <c r="D3036" i="2"/>
  <c r="E3036" i="2" s="1"/>
  <c r="I3035" i="2"/>
  <c r="H3035" i="2"/>
  <c r="F3035" i="2"/>
  <c r="D3035" i="2"/>
  <c r="E3035" i="2" s="1"/>
  <c r="I3034" i="2"/>
  <c r="H3034" i="2"/>
  <c r="F3034" i="2"/>
  <c r="D3034" i="2"/>
  <c r="E3034" i="2" s="1"/>
  <c r="I3033" i="2"/>
  <c r="H3033" i="2"/>
  <c r="F3033" i="2"/>
  <c r="D3033" i="2"/>
  <c r="E3033" i="2" s="1"/>
  <c r="I3032" i="2"/>
  <c r="H3032" i="2"/>
  <c r="F3032" i="2"/>
  <c r="D3032" i="2"/>
  <c r="E3032" i="2" s="1"/>
  <c r="I3031" i="2"/>
  <c r="H3031" i="2"/>
  <c r="F3031" i="2"/>
  <c r="D3031" i="2"/>
  <c r="E3031" i="2" s="1"/>
  <c r="I3030" i="2"/>
  <c r="H3030" i="2"/>
  <c r="F3030" i="2"/>
  <c r="D3030" i="2"/>
  <c r="E3030" i="2" s="1"/>
  <c r="I3029" i="2"/>
  <c r="H3029" i="2"/>
  <c r="F3029" i="2"/>
  <c r="D3029" i="2"/>
  <c r="E3029" i="2" s="1"/>
  <c r="I3028" i="2"/>
  <c r="H3028" i="2"/>
  <c r="F3028" i="2"/>
  <c r="D3028" i="2"/>
  <c r="E3028" i="2" s="1"/>
  <c r="I3027" i="2"/>
  <c r="H3027" i="2"/>
  <c r="F3027" i="2"/>
  <c r="D3027" i="2"/>
  <c r="E3027" i="2" s="1"/>
  <c r="I3026" i="2"/>
  <c r="H3026" i="2"/>
  <c r="F3026" i="2"/>
  <c r="D3026" i="2"/>
  <c r="E3026" i="2" s="1"/>
  <c r="I3025" i="2"/>
  <c r="H3025" i="2"/>
  <c r="F3025" i="2"/>
  <c r="D3025" i="2"/>
  <c r="E3025" i="2" s="1"/>
  <c r="I3024" i="2"/>
  <c r="H3024" i="2"/>
  <c r="F3024" i="2"/>
  <c r="E3024" i="2"/>
  <c r="D3024" i="2"/>
  <c r="I3023" i="2"/>
  <c r="H3023" i="2"/>
  <c r="F3023" i="2"/>
  <c r="D3023" i="2"/>
  <c r="E3023" i="2" s="1"/>
  <c r="I3022" i="2"/>
  <c r="H3022" i="2"/>
  <c r="F3022" i="2"/>
  <c r="D3022" i="2"/>
  <c r="E3022" i="2" s="1"/>
  <c r="I3021" i="2"/>
  <c r="H3021" i="2"/>
  <c r="F3021" i="2"/>
  <c r="D3021" i="2"/>
  <c r="E3021" i="2" s="1"/>
  <c r="I3020" i="2"/>
  <c r="J3020" i="2" s="1"/>
  <c r="K3020" i="2" s="1"/>
  <c r="H3020" i="2"/>
  <c r="F3020" i="2"/>
  <c r="D3020" i="2"/>
  <c r="E3020" i="2" s="1"/>
  <c r="I3019" i="2"/>
  <c r="H3019" i="2"/>
  <c r="F3019" i="2"/>
  <c r="D3019" i="2"/>
  <c r="E3019" i="2" s="1"/>
  <c r="I3018" i="2"/>
  <c r="J3018" i="2" s="1"/>
  <c r="K3018" i="2" s="1"/>
  <c r="H3018" i="2"/>
  <c r="F3018" i="2"/>
  <c r="D3018" i="2"/>
  <c r="E3018" i="2" s="1"/>
  <c r="I3017" i="2"/>
  <c r="H3017" i="2"/>
  <c r="F3017" i="2"/>
  <c r="D3017" i="2"/>
  <c r="E3017" i="2" s="1"/>
  <c r="I3016" i="2"/>
  <c r="H3016" i="2"/>
  <c r="F3016" i="2"/>
  <c r="D3016" i="2"/>
  <c r="E3016" i="2" s="1"/>
  <c r="I3015" i="2"/>
  <c r="H3015" i="2"/>
  <c r="F3015" i="2"/>
  <c r="D3015" i="2"/>
  <c r="E3015" i="2" s="1"/>
  <c r="I3014" i="2"/>
  <c r="H3014" i="2"/>
  <c r="F3014" i="2"/>
  <c r="D3014" i="2"/>
  <c r="E3014" i="2" s="1"/>
  <c r="I3013" i="2"/>
  <c r="H3013" i="2"/>
  <c r="F3013" i="2"/>
  <c r="D3013" i="2"/>
  <c r="E3013" i="2" s="1"/>
  <c r="I3012" i="2"/>
  <c r="H3012" i="2"/>
  <c r="F3012" i="2"/>
  <c r="D3012" i="2"/>
  <c r="E3012" i="2" s="1"/>
  <c r="I3011" i="2"/>
  <c r="H3011" i="2"/>
  <c r="F3011" i="2"/>
  <c r="D3011" i="2"/>
  <c r="E3011" i="2" s="1"/>
  <c r="I3010" i="2"/>
  <c r="H3010" i="2"/>
  <c r="F3010" i="2"/>
  <c r="D3010" i="2"/>
  <c r="E3010" i="2" s="1"/>
  <c r="I3009" i="2"/>
  <c r="H3009" i="2"/>
  <c r="F3009" i="2"/>
  <c r="D3009" i="2"/>
  <c r="E3009" i="2" s="1"/>
  <c r="I3008" i="2"/>
  <c r="H3008" i="2"/>
  <c r="F3008" i="2"/>
  <c r="D3008" i="2"/>
  <c r="E3008" i="2" s="1"/>
  <c r="I3007" i="2"/>
  <c r="H3007" i="2"/>
  <c r="F3007" i="2"/>
  <c r="D3007" i="2"/>
  <c r="E3007" i="2" s="1"/>
  <c r="I3006" i="2"/>
  <c r="H3006" i="2"/>
  <c r="F3006" i="2"/>
  <c r="D3006" i="2"/>
  <c r="E3006" i="2" s="1"/>
  <c r="I3005" i="2"/>
  <c r="H3005" i="2"/>
  <c r="F3005" i="2"/>
  <c r="D3005" i="2"/>
  <c r="E3005" i="2" s="1"/>
  <c r="I3004" i="2"/>
  <c r="H3004" i="2"/>
  <c r="F3004" i="2"/>
  <c r="D3004" i="2"/>
  <c r="E3004" i="2" s="1"/>
  <c r="I3003" i="2"/>
  <c r="H3003" i="2"/>
  <c r="F3003" i="2"/>
  <c r="D3003" i="2"/>
  <c r="E3003" i="2" s="1"/>
  <c r="I3002" i="2"/>
  <c r="H3002" i="2"/>
  <c r="F3002" i="2"/>
  <c r="D3002" i="2"/>
  <c r="E3002" i="2" s="1"/>
  <c r="I3001" i="2"/>
  <c r="H3001" i="2"/>
  <c r="F3001" i="2"/>
  <c r="D3001" i="2"/>
  <c r="E3001" i="2" s="1"/>
  <c r="I3000" i="2"/>
  <c r="H3000" i="2"/>
  <c r="F3000" i="2"/>
  <c r="D3000" i="2"/>
  <c r="E3000" i="2" s="1"/>
  <c r="I2999" i="2"/>
  <c r="H2999" i="2"/>
  <c r="F2999" i="2"/>
  <c r="D2999" i="2"/>
  <c r="E2999" i="2" s="1"/>
  <c r="I2998" i="2"/>
  <c r="H2998" i="2"/>
  <c r="F2998" i="2"/>
  <c r="D2998" i="2"/>
  <c r="E2998" i="2" s="1"/>
  <c r="J2997" i="2"/>
  <c r="K2997" i="2" s="1"/>
  <c r="I2997" i="2"/>
  <c r="H2997" i="2"/>
  <c r="F2997" i="2"/>
  <c r="D2997" i="2"/>
  <c r="E2997" i="2" s="1"/>
  <c r="I2996" i="2"/>
  <c r="H2996" i="2"/>
  <c r="F2996" i="2"/>
  <c r="D2996" i="2"/>
  <c r="E2996" i="2" s="1"/>
  <c r="I2995" i="2"/>
  <c r="H2995" i="2"/>
  <c r="F2995" i="2"/>
  <c r="D2995" i="2"/>
  <c r="E2995" i="2" s="1"/>
  <c r="I2994" i="2"/>
  <c r="H2994" i="2"/>
  <c r="F2994" i="2"/>
  <c r="E2994" i="2"/>
  <c r="D2994" i="2"/>
  <c r="I2993" i="2"/>
  <c r="H2993" i="2"/>
  <c r="F2993" i="2"/>
  <c r="D2993" i="2"/>
  <c r="E2993" i="2" s="1"/>
  <c r="I2992" i="2"/>
  <c r="H2992" i="2"/>
  <c r="F2992" i="2"/>
  <c r="D2992" i="2"/>
  <c r="E2992" i="2" s="1"/>
  <c r="I2991" i="2"/>
  <c r="H2991" i="2"/>
  <c r="F2991" i="2"/>
  <c r="D2991" i="2"/>
  <c r="E2991" i="2" s="1"/>
  <c r="I2990" i="2"/>
  <c r="H2990" i="2"/>
  <c r="F2990" i="2"/>
  <c r="D2990" i="2"/>
  <c r="E2990" i="2" s="1"/>
  <c r="I2989" i="2"/>
  <c r="H2989" i="2"/>
  <c r="F2989" i="2"/>
  <c r="D2989" i="2"/>
  <c r="E2989" i="2" s="1"/>
  <c r="I2988" i="2"/>
  <c r="H2988" i="2"/>
  <c r="F2988" i="2"/>
  <c r="D2988" i="2"/>
  <c r="E2988" i="2" s="1"/>
  <c r="I2987" i="2"/>
  <c r="H2987" i="2"/>
  <c r="F2987" i="2"/>
  <c r="D2987" i="2"/>
  <c r="E2987" i="2" s="1"/>
  <c r="I2986" i="2"/>
  <c r="H2986" i="2"/>
  <c r="F2986" i="2"/>
  <c r="D2986" i="2"/>
  <c r="E2986" i="2" s="1"/>
  <c r="I2985" i="2"/>
  <c r="H2985" i="2"/>
  <c r="F2985" i="2"/>
  <c r="D2985" i="2"/>
  <c r="E2985" i="2" s="1"/>
  <c r="I2984" i="2"/>
  <c r="H2984" i="2"/>
  <c r="F2984" i="2"/>
  <c r="D2984" i="2"/>
  <c r="E2984" i="2" s="1"/>
  <c r="I2983" i="2"/>
  <c r="H2983" i="2"/>
  <c r="F2983" i="2"/>
  <c r="D2983" i="2"/>
  <c r="E2983" i="2" s="1"/>
  <c r="I2982" i="2"/>
  <c r="H2982" i="2"/>
  <c r="F2982" i="2"/>
  <c r="D2982" i="2"/>
  <c r="E2982" i="2" s="1"/>
  <c r="I2981" i="2"/>
  <c r="J2981" i="2" s="1"/>
  <c r="K2981" i="2" s="1"/>
  <c r="H2981" i="2"/>
  <c r="F2981" i="2"/>
  <c r="D2981" i="2"/>
  <c r="E2981" i="2" s="1"/>
  <c r="I2980" i="2"/>
  <c r="H2980" i="2"/>
  <c r="F2980" i="2"/>
  <c r="D2980" i="2"/>
  <c r="E2980" i="2" s="1"/>
  <c r="I2979" i="2"/>
  <c r="H2979" i="2"/>
  <c r="F2979" i="2"/>
  <c r="D2979" i="2"/>
  <c r="E2979" i="2" s="1"/>
  <c r="I2978" i="2"/>
  <c r="H2978" i="2"/>
  <c r="F2978" i="2"/>
  <c r="D2978" i="2"/>
  <c r="E2978" i="2" s="1"/>
  <c r="I2977" i="2"/>
  <c r="H2977" i="2"/>
  <c r="F2977" i="2"/>
  <c r="D2977" i="2"/>
  <c r="E2977" i="2" s="1"/>
  <c r="I2976" i="2"/>
  <c r="H2976" i="2"/>
  <c r="F2976" i="2"/>
  <c r="D2976" i="2"/>
  <c r="E2976" i="2" s="1"/>
  <c r="I2975" i="2"/>
  <c r="H2975" i="2"/>
  <c r="F2975" i="2"/>
  <c r="D2975" i="2"/>
  <c r="E2975" i="2" s="1"/>
  <c r="I2974" i="2"/>
  <c r="H2974" i="2"/>
  <c r="F2974" i="2"/>
  <c r="D2974" i="2"/>
  <c r="E2974" i="2" s="1"/>
  <c r="I2973" i="2"/>
  <c r="H2973" i="2"/>
  <c r="F2973" i="2"/>
  <c r="D2973" i="2"/>
  <c r="E2973" i="2" s="1"/>
  <c r="I2972" i="2"/>
  <c r="H2972" i="2"/>
  <c r="F2972" i="2"/>
  <c r="D2972" i="2"/>
  <c r="E2972" i="2" s="1"/>
  <c r="I2971" i="2"/>
  <c r="H2971" i="2"/>
  <c r="F2971" i="2"/>
  <c r="D2971" i="2"/>
  <c r="E2971" i="2" s="1"/>
  <c r="I2970" i="2"/>
  <c r="H2970" i="2"/>
  <c r="F2970" i="2"/>
  <c r="D2970" i="2"/>
  <c r="E2970" i="2" s="1"/>
  <c r="I2969" i="2"/>
  <c r="H2969" i="2"/>
  <c r="F2969" i="2"/>
  <c r="D2969" i="2"/>
  <c r="E2969" i="2" s="1"/>
  <c r="I2968" i="2"/>
  <c r="H2968" i="2"/>
  <c r="F2968" i="2"/>
  <c r="D2968" i="2"/>
  <c r="E2968" i="2" s="1"/>
  <c r="I2967" i="2"/>
  <c r="H2967" i="2"/>
  <c r="F2967" i="2"/>
  <c r="D2967" i="2"/>
  <c r="E2967" i="2" s="1"/>
  <c r="I2966" i="2"/>
  <c r="H2966" i="2"/>
  <c r="F2966" i="2"/>
  <c r="D2966" i="2"/>
  <c r="E2966" i="2" s="1"/>
  <c r="I2965" i="2"/>
  <c r="H2965" i="2"/>
  <c r="F2965" i="2"/>
  <c r="D2965" i="2"/>
  <c r="E2965" i="2" s="1"/>
  <c r="I2964" i="2"/>
  <c r="H2964" i="2"/>
  <c r="F2964" i="2"/>
  <c r="D2964" i="2"/>
  <c r="E2964" i="2" s="1"/>
  <c r="I2963" i="2"/>
  <c r="J2963" i="2" s="1"/>
  <c r="K2963" i="2" s="1"/>
  <c r="H2963" i="2"/>
  <c r="F2963" i="2"/>
  <c r="D2963" i="2"/>
  <c r="E2963" i="2" s="1"/>
  <c r="I2962" i="2"/>
  <c r="H2962" i="2"/>
  <c r="F2962" i="2"/>
  <c r="D2962" i="2"/>
  <c r="E2962" i="2" s="1"/>
  <c r="I2961" i="2"/>
  <c r="H2961" i="2"/>
  <c r="F2961" i="2"/>
  <c r="D2961" i="2"/>
  <c r="E2961" i="2" s="1"/>
  <c r="I2960" i="2"/>
  <c r="H2960" i="2"/>
  <c r="F2960" i="2"/>
  <c r="D2960" i="2"/>
  <c r="E2960" i="2" s="1"/>
  <c r="I2959" i="2"/>
  <c r="H2959" i="2"/>
  <c r="F2959" i="2"/>
  <c r="D2959" i="2"/>
  <c r="E2959" i="2" s="1"/>
  <c r="I2958" i="2"/>
  <c r="H2958" i="2"/>
  <c r="F2958" i="2"/>
  <c r="D2958" i="2"/>
  <c r="E2958" i="2" s="1"/>
  <c r="I2957" i="2"/>
  <c r="H2957" i="2"/>
  <c r="F2957" i="2"/>
  <c r="D2957" i="2"/>
  <c r="E2957" i="2" s="1"/>
  <c r="I2956" i="2"/>
  <c r="H2956" i="2"/>
  <c r="F2956" i="2"/>
  <c r="D2956" i="2"/>
  <c r="E2956" i="2" s="1"/>
  <c r="I2955" i="2"/>
  <c r="H2955" i="2"/>
  <c r="F2955" i="2"/>
  <c r="D2955" i="2"/>
  <c r="E2955" i="2" s="1"/>
  <c r="I2954" i="2"/>
  <c r="H2954" i="2"/>
  <c r="F2954" i="2"/>
  <c r="D2954" i="2"/>
  <c r="E2954" i="2" s="1"/>
  <c r="I2953" i="2"/>
  <c r="H2953" i="2"/>
  <c r="F2953" i="2"/>
  <c r="D2953" i="2"/>
  <c r="E2953" i="2" s="1"/>
  <c r="I2952" i="2"/>
  <c r="H2952" i="2"/>
  <c r="F2952" i="2"/>
  <c r="D2952" i="2"/>
  <c r="E2952" i="2" s="1"/>
  <c r="I2951" i="2"/>
  <c r="H2951" i="2"/>
  <c r="F2951" i="2"/>
  <c r="D2951" i="2"/>
  <c r="E2951" i="2" s="1"/>
  <c r="I2950" i="2"/>
  <c r="H2950" i="2"/>
  <c r="F2950" i="2"/>
  <c r="D2950" i="2"/>
  <c r="E2950" i="2" s="1"/>
  <c r="I2949" i="2"/>
  <c r="H2949" i="2"/>
  <c r="F2949" i="2"/>
  <c r="D2949" i="2"/>
  <c r="E2949" i="2" s="1"/>
  <c r="I2948" i="2"/>
  <c r="H2948" i="2"/>
  <c r="F2948" i="2"/>
  <c r="D2948" i="2"/>
  <c r="E2948" i="2" s="1"/>
  <c r="I2947" i="2"/>
  <c r="H2947" i="2"/>
  <c r="F2947" i="2"/>
  <c r="D2947" i="2"/>
  <c r="E2947" i="2" s="1"/>
  <c r="I2946" i="2"/>
  <c r="H2946" i="2"/>
  <c r="F2946" i="2"/>
  <c r="D2946" i="2"/>
  <c r="E2946" i="2" s="1"/>
  <c r="I2945" i="2"/>
  <c r="H2945" i="2"/>
  <c r="F2945" i="2"/>
  <c r="D2945" i="2"/>
  <c r="E2945" i="2" s="1"/>
  <c r="I2944" i="2"/>
  <c r="H2944" i="2"/>
  <c r="F2944" i="2"/>
  <c r="D2944" i="2"/>
  <c r="E2944" i="2" s="1"/>
  <c r="I2943" i="2"/>
  <c r="H2943" i="2"/>
  <c r="F2943" i="2"/>
  <c r="D2943" i="2"/>
  <c r="E2943" i="2" s="1"/>
  <c r="I2942" i="2"/>
  <c r="H2942" i="2"/>
  <c r="F2942" i="2"/>
  <c r="D2942" i="2"/>
  <c r="E2942" i="2" s="1"/>
  <c r="I2941" i="2"/>
  <c r="H2941" i="2"/>
  <c r="F2941" i="2"/>
  <c r="D2941" i="2"/>
  <c r="E2941" i="2" s="1"/>
  <c r="I2940" i="2"/>
  <c r="H2940" i="2"/>
  <c r="F2940" i="2"/>
  <c r="D2940" i="2"/>
  <c r="E2940" i="2" s="1"/>
  <c r="I2939" i="2"/>
  <c r="H2939" i="2"/>
  <c r="F2939" i="2"/>
  <c r="D2939" i="2"/>
  <c r="E2939" i="2" s="1"/>
  <c r="I2938" i="2"/>
  <c r="H2938" i="2"/>
  <c r="F2938" i="2"/>
  <c r="D2938" i="2"/>
  <c r="E2938" i="2" s="1"/>
  <c r="I2937" i="2"/>
  <c r="H2937" i="2"/>
  <c r="F2937" i="2"/>
  <c r="D2937" i="2"/>
  <c r="E2937" i="2" s="1"/>
  <c r="I2936" i="2"/>
  <c r="H2936" i="2"/>
  <c r="F2936" i="2"/>
  <c r="D2936" i="2"/>
  <c r="E2936" i="2" s="1"/>
  <c r="I2935" i="2"/>
  <c r="H2935" i="2"/>
  <c r="F2935" i="2"/>
  <c r="D2935" i="2"/>
  <c r="E2935" i="2" s="1"/>
  <c r="I2934" i="2"/>
  <c r="H2934" i="2"/>
  <c r="F2934" i="2"/>
  <c r="D2934" i="2"/>
  <c r="E2934" i="2" s="1"/>
  <c r="I2933" i="2"/>
  <c r="H2933" i="2"/>
  <c r="F2933" i="2"/>
  <c r="D2933" i="2"/>
  <c r="E2933" i="2" s="1"/>
  <c r="I2932" i="2"/>
  <c r="H2932" i="2"/>
  <c r="F2932" i="2"/>
  <c r="D2932" i="2"/>
  <c r="E2932" i="2" s="1"/>
  <c r="I2931" i="2"/>
  <c r="H2931" i="2"/>
  <c r="F2931" i="2"/>
  <c r="D2931" i="2"/>
  <c r="E2931" i="2" s="1"/>
  <c r="I2930" i="2"/>
  <c r="H2930" i="2"/>
  <c r="F2930" i="2"/>
  <c r="D2930" i="2"/>
  <c r="E2930" i="2" s="1"/>
  <c r="I2929" i="2"/>
  <c r="H2929" i="2"/>
  <c r="F2929" i="2"/>
  <c r="D2929" i="2"/>
  <c r="E2929" i="2" s="1"/>
  <c r="I2928" i="2"/>
  <c r="H2928" i="2"/>
  <c r="F2928" i="2"/>
  <c r="D2928" i="2"/>
  <c r="E2928" i="2" s="1"/>
  <c r="I2927" i="2"/>
  <c r="H2927" i="2"/>
  <c r="F2927" i="2"/>
  <c r="D2927" i="2"/>
  <c r="E2927" i="2" s="1"/>
  <c r="I2926" i="2"/>
  <c r="H2926" i="2"/>
  <c r="F2926" i="2"/>
  <c r="D2926" i="2"/>
  <c r="E2926" i="2" s="1"/>
  <c r="I2925" i="2"/>
  <c r="H2925" i="2"/>
  <c r="F2925" i="2"/>
  <c r="D2925" i="2"/>
  <c r="E2925" i="2" s="1"/>
  <c r="I2924" i="2"/>
  <c r="H2924" i="2"/>
  <c r="F2924" i="2"/>
  <c r="D2924" i="2"/>
  <c r="E2924" i="2" s="1"/>
  <c r="I2923" i="2"/>
  <c r="H2923" i="2"/>
  <c r="F2923" i="2"/>
  <c r="D2923" i="2"/>
  <c r="E2923" i="2" s="1"/>
  <c r="I2922" i="2"/>
  <c r="H2922" i="2"/>
  <c r="F2922" i="2"/>
  <c r="D2922" i="2"/>
  <c r="E2922" i="2" s="1"/>
  <c r="I2921" i="2"/>
  <c r="H2921" i="2"/>
  <c r="F2921" i="2"/>
  <c r="D2921" i="2"/>
  <c r="E2921" i="2" s="1"/>
  <c r="I2920" i="2"/>
  <c r="H2920" i="2"/>
  <c r="F2920" i="2"/>
  <c r="D2920" i="2"/>
  <c r="E2920" i="2" s="1"/>
  <c r="I2919" i="2"/>
  <c r="H2919" i="2"/>
  <c r="F2919" i="2"/>
  <c r="D2919" i="2"/>
  <c r="E2919" i="2" s="1"/>
  <c r="I2918" i="2"/>
  <c r="H2918" i="2"/>
  <c r="F2918" i="2"/>
  <c r="D2918" i="2"/>
  <c r="E2918" i="2" s="1"/>
  <c r="I2917" i="2"/>
  <c r="H2917" i="2"/>
  <c r="F2917" i="2"/>
  <c r="D2917" i="2"/>
  <c r="E2917" i="2" s="1"/>
  <c r="I2916" i="2"/>
  <c r="H2916" i="2"/>
  <c r="F2916" i="2"/>
  <c r="D2916" i="2"/>
  <c r="E2916" i="2" s="1"/>
  <c r="I2915" i="2"/>
  <c r="H2915" i="2"/>
  <c r="F2915" i="2"/>
  <c r="D2915" i="2"/>
  <c r="E2915" i="2" s="1"/>
  <c r="I2914" i="2"/>
  <c r="H2914" i="2"/>
  <c r="F2914" i="2"/>
  <c r="D2914" i="2"/>
  <c r="E2914" i="2" s="1"/>
  <c r="I2913" i="2"/>
  <c r="H2913" i="2"/>
  <c r="F2913" i="2"/>
  <c r="D2913" i="2"/>
  <c r="E2913" i="2" s="1"/>
  <c r="I2912" i="2"/>
  <c r="H2912" i="2"/>
  <c r="F2912" i="2"/>
  <c r="D2912" i="2"/>
  <c r="E2912" i="2" s="1"/>
  <c r="I2911" i="2"/>
  <c r="H2911" i="2"/>
  <c r="F2911" i="2"/>
  <c r="D2911" i="2"/>
  <c r="E2911" i="2" s="1"/>
  <c r="I2910" i="2"/>
  <c r="H2910" i="2"/>
  <c r="F2910" i="2"/>
  <c r="D2910" i="2"/>
  <c r="E2910" i="2" s="1"/>
  <c r="I2909" i="2"/>
  <c r="H2909" i="2"/>
  <c r="F2909" i="2"/>
  <c r="E2909" i="2"/>
  <c r="D2909" i="2"/>
  <c r="I2908" i="2"/>
  <c r="H2908" i="2"/>
  <c r="F2908" i="2"/>
  <c r="D2908" i="2"/>
  <c r="E2908" i="2" s="1"/>
  <c r="I2907" i="2"/>
  <c r="H2907" i="2"/>
  <c r="F2907" i="2"/>
  <c r="D2907" i="2"/>
  <c r="E2907" i="2" s="1"/>
  <c r="I2906" i="2"/>
  <c r="H2906" i="2"/>
  <c r="F2906" i="2"/>
  <c r="D2906" i="2"/>
  <c r="E2906" i="2" s="1"/>
  <c r="I2905" i="2"/>
  <c r="H2905" i="2"/>
  <c r="F2905" i="2"/>
  <c r="D2905" i="2"/>
  <c r="E2905" i="2" s="1"/>
  <c r="I2904" i="2"/>
  <c r="H2904" i="2"/>
  <c r="F2904" i="2"/>
  <c r="D2904" i="2"/>
  <c r="E2904" i="2" s="1"/>
  <c r="I2903" i="2"/>
  <c r="H2903" i="2"/>
  <c r="F2903" i="2"/>
  <c r="D2903" i="2"/>
  <c r="E2903" i="2" s="1"/>
  <c r="I2902" i="2"/>
  <c r="H2902" i="2"/>
  <c r="F2902" i="2"/>
  <c r="D2902" i="2"/>
  <c r="E2902" i="2" s="1"/>
  <c r="I2901" i="2"/>
  <c r="H2901" i="2"/>
  <c r="F2901" i="2"/>
  <c r="D2901" i="2"/>
  <c r="E2901" i="2" s="1"/>
  <c r="I2900" i="2"/>
  <c r="H2900" i="2"/>
  <c r="F2900" i="2"/>
  <c r="D2900" i="2"/>
  <c r="E2900" i="2" s="1"/>
  <c r="I2899" i="2"/>
  <c r="H2899" i="2"/>
  <c r="F2899" i="2"/>
  <c r="D2899" i="2"/>
  <c r="E2899" i="2" s="1"/>
  <c r="I2898" i="2"/>
  <c r="H2898" i="2"/>
  <c r="F2898" i="2"/>
  <c r="D2898" i="2"/>
  <c r="E2898" i="2" s="1"/>
  <c r="I2897" i="2"/>
  <c r="H2897" i="2"/>
  <c r="F2897" i="2"/>
  <c r="D2897" i="2"/>
  <c r="E2897" i="2" s="1"/>
  <c r="I2896" i="2"/>
  <c r="H2896" i="2"/>
  <c r="F2896" i="2"/>
  <c r="D2896" i="2"/>
  <c r="E2896" i="2" s="1"/>
  <c r="I2895" i="2"/>
  <c r="H2895" i="2"/>
  <c r="F2895" i="2"/>
  <c r="D2895" i="2"/>
  <c r="E2895" i="2" s="1"/>
  <c r="I2894" i="2"/>
  <c r="H2894" i="2"/>
  <c r="F2894" i="2"/>
  <c r="D2894" i="2"/>
  <c r="E2894" i="2" s="1"/>
  <c r="I2893" i="2"/>
  <c r="H2893" i="2"/>
  <c r="F2893" i="2"/>
  <c r="D2893" i="2"/>
  <c r="E2893" i="2" s="1"/>
  <c r="I2892" i="2"/>
  <c r="J2892" i="2" s="1"/>
  <c r="K2892" i="2" s="1"/>
  <c r="H2892" i="2"/>
  <c r="F2892" i="2"/>
  <c r="D2892" i="2"/>
  <c r="E2892" i="2" s="1"/>
  <c r="I2891" i="2"/>
  <c r="H2891" i="2"/>
  <c r="F2891" i="2"/>
  <c r="D2891" i="2"/>
  <c r="E2891" i="2" s="1"/>
  <c r="I2890" i="2"/>
  <c r="H2890" i="2"/>
  <c r="F2890" i="2"/>
  <c r="D2890" i="2"/>
  <c r="E2890" i="2" s="1"/>
  <c r="I2889" i="2"/>
  <c r="H2889" i="2"/>
  <c r="F2889" i="2"/>
  <c r="D2889" i="2"/>
  <c r="E2889" i="2" s="1"/>
  <c r="I2888" i="2"/>
  <c r="H2888" i="2"/>
  <c r="F2888" i="2"/>
  <c r="D2888" i="2"/>
  <c r="E2888" i="2" s="1"/>
  <c r="I2887" i="2"/>
  <c r="H2887" i="2"/>
  <c r="F2887" i="2"/>
  <c r="D2887" i="2"/>
  <c r="E2887" i="2" s="1"/>
  <c r="I2886" i="2"/>
  <c r="H2886" i="2"/>
  <c r="F2886" i="2"/>
  <c r="D2886" i="2"/>
  <c r="E2886" i="2" s="1"/>
  <c r="I2885" i="2"/>
  <c r="H2885" i="2"/>
  <c r="F2885" i="2"/>
  <c r="D2885" i="2"/>
  <c r="E2885" i="2" s="1"/>
  <c r="I2884" i="2"/>
  <c r="H2884" i="2"/>
  <c r="F2884" i="2"/>
  <c r="D2884" i="2"/>
  <c r="E2884" i="2" s="1"/>
  <c r="I2883" i="2"/>
  <c r="H2883" i="2"/>
  <c r="F2883" i="2"/>
  <c r="D2883" i="2"/>
  <c r="E2883" i="2" s="1"/>
  <c r="I2882" i="2"/>
  <c r="H2882" i="2"/>
  <c r="F2882" i="2"/>
  <c r="D2882" i="2"/>
  <c r="E2882" i="2" s="1"/>
  <c r="I2881" i="2"/>
  <c r="H2881" i="2"/>
  <c r="F2881" i="2"/>
  <c r="D2881" i="2"/>
  <c r="E2881" i="2" s="1"/>
  <c r="I2880" i="2"/>
  <c r="H2880" i="2"/>
  <c r="F2880" i="2"/>
  <c r="D2880" i="2"/>
  <c r="E2880" i="2" s="1"/>
  <c r="I2879" i="2"/>
  <c r="H2879" i="2"/>
  <c r="F2879" i="2"/>
  <c r="D2879" i="2"/>
  <c r="E2879" i="2" s="1"/>
  <c r="I2878" i="2"/>
  <c r="H2878" i="2"/>
  <c r="F2878" i="2"/>
  <c r="D2878" i="2"/>
  <c r="E2878" i="2" s="1"/>
  <c r="I2877" i="2"/>
  <c r="H2877" i="2"/>
  <c r="F2877" i="2"/>
  <c r="D2877" i="2"/>
  <c r="E2877" i="2" s="1"/>
  <c r="I2876" i="2"/>
  <c r="H2876" i="2"/>
  <c r="F2876" i="2"/>
  <c r="D2876" i="2"/>
  <c r="E2876" i="2" s="1"/>
  <c r="I2875" i="2"/>
  <c r="H2875" i="2"/>
  <c r="F2875" i="2"/>
  <c r="D2875" i="2"/>
  <c r="E2875" i="2" s="1"/>
  <c r="I2874" i="2"/>
  <c r="H2874" i="2"/>
  <c r="F2874" i="2"/>
  <c r="D2874" i="2"/>
  <c r="E2874" i="2" s="1"/>
  <c r="I2873" i="2"/>
  <c r="H2873" i="2"/>
  <c r="F2873" i="2"/>
  <c r="D2873" i="2"/>
  <c r="E2873" i="2" s="1"/>
  <c r="I2872" i="2"/>
  <c r="H2872" i="2"/>
  <c r="F2872" i="2"/>
  <c r="D2872" i="2"/>
  <c r="E2872" i="2" s="1"/>
  <c r="I2871" i="2"/>
  <c r="H2871" i="2"/>
  <c r="F2871" i="2"/>
  <c r="D2871" i="2"/>
  <c r="E2871" i="2" s="1"/>
  <c r="I2870" i="2"/>
  <c r="H2870" i="2"/>
  <c r="F2870" i="2"/>
  <c r="D2870" i="2"/>
  <c r="E2870" i="2" s="1"/>
  <c r="I2869" i="2"/>
  <c r="H2869" i="2"/>
  <c r="F2869" i="2"/>
  <c r="D2869" i="2"/>
  <c r="E2869" i="2" s="1"/>
  <c r="I2868" i="2"/>
  <c r="H2868" i="2"/>
  <c r="F2868" i="2"/>
  <c r="D2868" i="2"/>
  <c r="E2868" i="2" s="1"/>
  <c r="I2867" i="2"/>
  <c r="H2867" i="2"/>
  <c r="F2867" i="2"/>
  <c r="D2867" i="2"/>
  <c r="E2867" i="2" s="1"/>
  <c r="I2866" i="2"/>
  <c r="H2866" i="2"/>
  <c r="F2866" i="2"/>
  <c r="D2866" i="2"/>
  <c r="E2866" i="2" s="1"/>
  <c r="I2865" i="2"/>
  <c r="H2865" i="2"/>
  <c r="F2865" i="2"/>
  <c r="D2865" i="2"/>
  <c r="E2865" i="2" s="1"/>
  <c r="I2864" i="2"/>
  <c r="H2864" i="2"/>
  <c r="F2864" i="2"/>
  <c r="D2864" i="2"/>
  <c r="E2864" i="2" s="1"/>
  <c r="I2863" i="2"/>
  <c r="H2863" i="2"/>
  <c r="F2863" i="2"/>
  <c r="D2863" i="2"/>
  <c r="E2863" i="2" s="1"/>
  <c r="I2862" i="2"/>
  <c r="H2862" i="2"/>
  <c r="F2862" i="2"/>
  <c r="D2862" i="2"/>
  <c r="E2862" i="2" s="1"/>
  <c r="I2861" i="2"/>
  <c r="H2861" i="2"/>
  <c r="F2861" i="2"/>
  <c r="D2861" i="2"/>
  <c r="E2861" i="2" s="1"/>
  <c r="I2860" i="2"/>
  <c r="H2860" i="2"/>
  <c r="F2860" i="2"/>
  <c r="D2860" i="2"/>
  <c r="E2860" i="2" s="1"/>
  <c r="I2859" i="2"/>
  <c r="H2859" i="2"/>
  <c r="F2859" i="2"/>
  <c r="D2859" i="2"/>
  <c r="E2859" i="2" s="1"/>
  <c r="I2858" i="2"/>
  <c r="H2858" i="2"/>
  <c r="F2858" i="2"/>
  <c r="D2858" i="2"/>
  <c r="E2858" i="2" s="1"/>
  <c r="I2857" i="2"/>
  <c r="H2857" i="2"/>
  <c r="F2857" i="2"/>
  <c r="D2857" i="2"/>
  <c r="E2857" i="2" s="1"/>
  <c r="I2856" i="2"/>
  <c r="H2856" i="2"/>
  <c r="F2856" i="2"/>
  <c r="D2856" i="2"/>
  <c r="E2856" i="2" s="1"/>
  <c r="I2855" i="2"/>
  <c r="H2855" i="2"/>
  <c r="F2855" i="2"/>
  <c r="D2855" i="2"/>
  <c r="E2855" i="2" s="1"/>
  <c r="I2854" i="2"/>
  <c r="H2854" i="2"/>
  <c r="F2854" i="2"/>
  <c r="D2854" i="2"/>
  <c r="E2854" i="2" s="1"/>
  <c r="I2853" i="2"/>
  <c r="H2853" i="2"/>
  <c r="F2853" i="2"/>
  <c r="D2853" i="2"/>
  <c r="E2853" i="2" s="1"/>
  <c r="I2852" i="2"/>
  <c r="H2852" i="2"/>
  <c r="F2852" i="2"/>
  <c r="D2852" i="2"/>
  <c r="E2852" i="2" s="1"/>
  <c r="I2851" i="2"/>
  <c r="H2851" i="2"/>
  <c r="F2851" i="2"/>
  <c r="D2851" i="2"/>
  <c r="E2851" i="2" s="1"/>
  <c r="I2850" i="2"/>
  <c r="H2850" i="2"/>
  <c r="F2850" i="2"/>
  <c r="D2850" i="2"/>
  <c r="E2850" i="2" s="1"/>
  <c r="I2849" i="2"/>
  <c r="H2849" i="2"/>
  <c r="F2849" i="2"/>
  <c r="D2849" i="2"/>
  <c r="E2849" i="2" s="1"/>
  <c r="I2848" i="2"/>
  <c r="H2848" i="2"/>
  <c r="F2848" i="2"/>
  <c r="D2848" i="2"/>
  <c r="E2848" i="2" s="1"/>
  <c r="I2847" i="2"/>
  <c r="H2847" i="2"/>
  <c r="F2847" i="2"/>
  <c r="D2847" i="2"/>
  <c r="E2847" i="2" s="1"/>
  <c r="I2846" i="2"/>
  <c r="H2846" i="2"/>
  <c r="F2846" i="2"/>
  <c r="D2846" i="2"/>
  <c r="E2846" i="2" s="1"/>
  <c r="I2845" i="2"/>
  <c r="H2845" i="2"/>
  <c r="F2845" i="2"/>
  <c r="D2845" i="2"/>
  <c r="E2845" i="2" s="1"/>
  <c r="I2844" i="2"/>
  <c r="H2844" i="2"/>
  <c r="F2844" i="2"/>
  <c r="D2844" i="2"/>
  <c r="E2844" i="2" s="1"/>
  <c r="I2843" i="2"/>
  <c r="H2843" i="2"/>
  <c r="F2843" i="2"/>
  <c r="D2843" i="2"/>
  <c r="E2843" i="2" s="1"/>
  <c r="I2842" i="2"/>
  <c r="H2842" i="2"/>
  <c r="F2842" i="2"/>
  <c r="D2842" i="2"/>
  <c r="E2842" i="2" s="1"/>
  <c r="I2841" i="2"/>
  <c r="H2841" i="2"/>
  <c r="F2841" i="2"/>
  <c r="D2841" i="2"/>
  <c r="E2841" i="2" s="1"/>
  <c r="I2840" i="2"/>
  <c r="H2840" i="2"/>
  <c r="F2840" i="2"/>
  <c r="D2840" i="2"/>
  <c r="E2840" i="2" s="1"/>
  <c r="I2839" i="2"/>
  <c r="H2839" i="2"/>
  <c r="F2839" i="2"/>
  <c r="D2839" i="2"/>
  <c r="E2839" i="2" s="1"/>
  <c r="I2838" i="2"/>
  <c r="H2838" i="2"/>
  <c r="F2838" i="2"/>
  <c r="D2838" i="2"/>
  <c r="E2838" i="2" s="1"/>
  <c r="I2837" i="2"/>
  <c r="H2837" i="2"/>
  <c r="F2837" i="2"/>
  <c r="D2837" i="2"/>
  <c r="E2837" i="2" s="1"/>
  <c r="I2836" i="2"/>
  <c r="H2836" i="2"/>
  <c r="F2836" i="2"/>
  <c r="D2836" i="2"/>
  <c r="E2836" i="2" s="1"/>
  <c r="I2835" i="2"/>
  <c r="H2835" i="2"/>
  <c r="F2835" i="2"/>
  <c r="D2835" i="2"/>
  <c r="E2835" i="2" s="1"/>
  <c r="I2834" i="2"/>
  <c r="H2834" i="2"/>
  <c r="F2834" i="2"/>
  <c r="D2834" i="2"/>
  <c r="E2834" i="2" s="1"/>
  <c r="I2833" i="2"/>
  <c r="H2833" i="2"/>
  <c r="F2833" i="2"/>
  <c r="D2833" i="2"/>
  <c r="E2833" i="2" s="1"/>
  <c r="I2832" i="2"/>
  <c r="H2832" i="2"/>
  <c r="F2832" i="2"/>
  <c r="D2832" i="2"/>
  <c r="E2832" i="2" s="1"/>
  <c r="I2831" i="2"/>
  <c r="H2831" i="2"/>
  <c r="F2831" i="2"/>
  <c r="D2831" i="2"/>
  <c r="E2831" i="2" s="1"/>
  <c r="I2830" i="2"/>
  <c r="H2830" i="2"/>
  <c r="F2830" i="2"/>
  <c r="D2830" i="2"/>
  <c r="E2830" i="2" s="1"/>
  <c r="I2829" i="2"/>
  <c r="H2829" i="2"/>
  <c r="F2829" i="2"/>
  <c r="D2829" i="2"/>
  <c r="E2829" i="2" s="1"/>
  <c r="I2828" i="2"/>
  <c r="H2828" i="2"/>
  <c r="F2828" i="2"/>
  <c r="D2828" i="2"/>
  <c r="E2828" i="2" s="1"/>
  <c r="I2827" i="2"/>
  <c r="H2827" i="2"/>
  <c r="F2827" i="2"/>
  <c r="D2827" i="2"/>
  <c r="E2827" i="2" s="1"/>
  <c r="I2826" i="2"/>
  <c r="H2826" i="2"/>
  <c r="F2826" i="2"/>
  <c r="D2826" i="2"/>
  <c r="E2826" i="2" s="1"/>
  <c r="I2825" i="2"/>
  <c r="H2825" i="2"/>
  <c r="F2825" i="2"/>
  <c r="D2825" i="2"/>
  <c r="E2825" i="2" s="1"/>
  <c r="I2824" i="2"/>
  <c r="J2824" i="2" s="1"/>
  <c r="K2824" i="2" s="1"/>
  <c r="H2824" i="2"/>
  <c r="F2824" i="2"/>
  <c r="D2824" i="2"/>
  <c r="E2824" i="2" s="1"/>
  <c r="I2823" i="2"/>
  <c r="H2823" i="2"/>
  <c r="F2823" i="2"/>
  <c r="D2823" i="2"/>
  <c r="E2823" i="2" s="1"/>
  <c r="I2822" i="2"/>
  <c r="J2822" i="2" s="1"/>
  <c r="K2822" i="2" s="1"/>
  <c r="H2822" i="2"/>
  <c r="F2822" i="2"/>
  <c r="D2822" i="2"/>
  <c r="E2822" i="2" s="1"/>
  <c r="I2821" i="2"/>
  <c r="H2821" i="2"/>
  <c r="F2821" i="2"/>
  <c r="D2821" i="2"/>
  <c r="E2821" i="2" s="1"/>
  <c r="I2820" i="2"/>
  <c r="H2820" i="2"/>
  <c r="F2820" i="2"/>
  <c r="D2820" i="2"/>
  <c r="E2820" i="2" s="1"/>
  <c r="I2819" i="2"/>
  <c r="H2819" i="2"/>
  <c r="F2819" i="2"/>
  <c r="D2819" i="2"/>
  <c r="E2819" i="2" s="1"/>
  <c r="I2818" i="2"/>
  <c r="H2818" i="2"/>
  <c r="F2818" i="2"/>
  <c r="D2818" i="2"/>
  <c r="E2818" i="2" s="1"/>
  <c r="I2817" i="2"/>
  <c r="H2817" i="2"/>
  <c r="F2817" i="2"/>
  <c r="D2817" i="2"/>
  <c r="E2817" i="2" s="1"/>
  <c r="I2816" i="2"/>
  <c r="H2816" i="2"/>
  <c r="F2816" i="2"/>
  <c r="D2816" i="2"/>
  <c r="E2816" i="2" s="1"/>
  <c r="I2815" i="2"/>
  <c r="H2815" i="2"/>
  <c r="F2815" i="2"/>
  <c r="D2815" i="2"/>
  <c r="E2815" i="2" s="1"/>
  <c r="I2814" i="2"/>
  <c r="H2814" i="2"/>
  <c r="F2814" i="2"/>
  <c r="D2814" i="2"/>
  <c r="E2814" i="2" s="1"/>
  <c r="I2813" i="2"/>
  <c r="H2813" i="2"/>
  <c r="F2813" i="2"/>
  <c r="D2813" i="2"/>
  <c r="E2813" i="2" s="1"/>
  <c r="I2812" i="2"/>
  <c r="H2812" i="2"/>
  <c r="F2812" i="2"/>
  <c r="D2812" i="2"/>
  <c r="E2812" i="2" s="1"/>
  <c r="I2811" i="2"/>
  <c r="H2811" i="2"/>
  <c r="F2811" i="2"/>
  <c r="D2811" i="2"/>
  <c r="E2811" i="2" s="1"/>
  <c r="I2810" i="2"/>
  <c r="H2810" i="2"/>
  <c r="F2810" i="2"/>
  <c r="D2810" i="2"/>
  <c r="E2810" i="2" s="1"/>
  <c r="I2809" i="2"/>
  <c r="H2809" i="2"/>
  <c r="F2809" i="2"/>
  <c r="D2809" i="2"/>
  <c r="E2809" i="2" s="1"/>
  <c r="I2808" i="2"/>
  <c r="H2808" i="2"/>
  <c r="F2808" i="2"/>
  <c r="D2808" i="2"/>
  <c r="E2808" i="2" s="1"/>
  <c r="I2807" i="2"/>
  <c r="H2807" i="2"/>
  <c r="F2807" i="2"/>
  <c r="D2807" i="2"/>
  <c r="E2807" i="2" s="1"/>
  <c r="I2806" i="2"/>
  <c r="H2806" i="2"/>
  <c r="F2806" i="2"/>
  <c r="D2806" i="2"/>
  <c r="E2806" i="2" s="1"/>
  <c r="I2805" i="2"/>
  <c r="H2805" i="2"/>
  <c r="F2805" i="2"/>
  <c r="D2805" i="2"/>
  <c r="E2805" i="2" s="1"/>
  <c r="I2804" i="2"/>
  <c r="H2804" i="2"/>
  <c r="F2804" i="2"/>
  <c r="D2804" i="2"/>
  <c r="E2804" i="2" s="1"/>
  <c r="I2803" i="2"/>
  <c r="H2803" i="2"/>
  <c r="F2803" i="2"/>
  <c r="D2803" i="2"/>
  <c r="E2803" i="2" s="1"/>
  <c r="I2802" i="2"/>
  <c r="H2802" i="2"/>
  <c r="F2802" i="2"/>
  <c r="D2802" i="2"/>
  <c r="E2802" i="2" s="1"/>
  <c r="I2801" i="2"/>
  <c r="H2801" i="2"/>
  <c r="F2801" i="2"/>
  <c r="D2801" i="2"/>
  <c r="E2801" i="2" s="1"/>
  <c r="I2800" i="2"/>
  <c r="H2800" i="2"/>
  <c r="F2800" i="2"/>
  <c r="D2800" i="2"/>
  <c r="E2800" i="2" s="1"/>
  <c r="I2799" i="2"/>
  <c r="H2799" i="2"/>
  <c r="F2799" i="2"/>
  <c r="D2799" i="2"/>
  <c r="E2799" i="2" s="1"/>
  <c r="I2798" i="2"/>
  <c r="H2798" i="2"/>
  <c r="F2798" i="2"/>
  <c r="D2798" i="2"/>
  <c r="E2798" i="2" s="1"/>
  <c r="I2797" i="2"/>
  <c r="H2797" i="2"/>
  <c r="F2797" i="2"/>
  <c r="D2797" i="2"/>
  <c r="E2797" i="2" s="1"/>
  <c r="I2796" i="2"/>
  <c r="H2796" i="2"/>
  <c r="F2796" i="2"/>
  <c r="D2796" i="2"/>
  <c r="E2796" i="2" s="1"/>
  <c r="I2795" i="2"/>
  <c r="H2795" i="2"/>
  <c r="F2795" i="2"/>
  <c r="D2795" i="2"/>
  <c r="E2795" i="2" s="1"/>
  <c r="J2795" i="2" s="1"/>
  <c r="K2795" i="2" s="1"/>
  <c r="I2794" i="2"/>
  <c r="H2794" i="2"/>
  <c r="F2794" i="2"/>
  <c r="D2794" i="2"/>
  <c r="E2794" i="2" s="1"/>
  <c r="I2793" i="2"/>
  <c r="H2793" i="2"/>
  <c r="F2793" i="2"/>
  <c r="D2793" i="2"/>
  <c r="E2793" i="2" s="1"/>
  <c r="I2792" i="2"/>
  <c r="H2792" i="2"/>
  <c r="F2792" i="2"/>
  <c r="D2792" i="2"/>
  <c r="E2792" i="2" s="1"/>
  <c r="I2791" i="2"/>
  <c r="H2791" i="2"/>
  <c r="F2791" i="2"/>
  <c r="D2791" i="2"/>
  <c r="E2791" i="2" s="1"/>
  <c r="I2790" i="2"/>
  <c r="H2790" i="2"/>
  <c r="F2790" i="2"/>
  <c r="D2790" i="2"/>
  <c r="E2790" i="2" s="1"/>
  <c r="I2789" i="2"/>
  <c r="H2789" i="2"/>
  <c r="F2789" i="2"/>
  <c r="D2789" i="2"/>
  <c r="E2789" i="2" s="1"/>
  <c r="I2788" i="2"/>
  <c r="H2788" i="2"/>
  <c r="F2788" i="2"/>
  <c r="D2788" i="2"/>
  <c r="E2788" i="2" s="1"/>
  <c r="I2787" i="2"/>
  <c r="H2787" i="2"/>
  <c r="F2787" i="2"/>
  <c r="D2787" i="2"/>
  <c r="E2787" i="2" s="1"/>
  <c r="I2786" i="2"/>
  <c r="H2786" i="2"/>
  <c r="F2786" i="2"/>
  <c r="D2786" i="2"/>
  <c r="E2786" i="2" s="1"/>
  <c r="I2785" i="2"/>
  <c r="H2785" i="2"/>
  <c r="F2785" i="2"/>
  <c r="D2785" i="2"/>
  <c r="E2785" i="2" s="1"/>
  <c r="I2784" i="2"/>
  <c r="H2784" i="2"/>
  <c r="F2784" i="2"/>
  <c r="D2784" i="2"/>
  <c r="E2784" i="2" s="1"/>
  <c r="I2783" i="2"/>
  <c r="H2783" i="2"/>
  <c r="F2783" i="2"/>
  <c r="D2783" i="2"/>
  <c r="E2783" i="2" s="1"/>
  <c r="I2782" i="2"/>
  <c r="H2782" i="2"/>
  <c r="F2782" i="2"/>
  <c r="D2782" i="2"/>
  <c r="E2782" i="2" s="1"/>
  <c r="I2781" i="2"/>
  <c r="H2781" i="2"/>
  <c r="F2781" i="2"/>
  <c r="D2781" i="2"/>
  <c r="E2781" i="2" s="1"/>
  <c r="I2780" i="2"/>
  <c r="H2780" i="2"/>
  <c r="F2780" i="2"/>
  <c r="D2780" i="2"/>
  <c r="E2780" i="2" s="1"/>
  <c r="I2779" i="2"/>
  <c r="H2779" i="2"/>
  <c r="F2779" i="2"/>
  <c r="D2779" i="2"/>
  <c r="E2779" i="2" s="1"/>
  <c r="I2778" i="2"/>
  <c r="H2778" i="2"/>
  <c r="F2778" i="2"/>
  <c r="D2778" i="2"/>
  <c r="E2778" i="2" s="1"/>
  <c r="I2777" i="2"/>
  <c r="H2777" i="2"/>
  <c r="F2777" i="2"/>
  <c r="D2777" i="2"/>
  <c r="E2777" i="2" s="1"/>
  <c r="I2776" i="2"/>
  <c r="H2776" i="2"/>
  <c r="F2776" i="2"/>
  <c r="D2776" i="2"/>
  <c r="E2776" i="2" s="1"/>
  <c r="I2775" i="2"/>
  <c r="H2775" i="2"/>
  <c r="F2775" i="2"/>
  <c r="D2775" i="2"/>
  <c r="E2775" i="2" s="1"/>
  <c r="I2774" i="2"/>
  <c r="H2774" i="2"/>
  <c r="F2774" i="2"/>
  <c r="D2774" i="2"/>
  <c r="E2774" i="2" s="1"/>
  <c r="I2773" i="2"/>
  <c r="H2773" i="2"/>
  <c r="F2773" i="2"/>
  <c r="D2773" i="2"/>
  <c r="E2773" i="2" s="1"/>
  <c r="I2772" i="2"/>
  <c r="H2772" i="2"/>
  <c r="F2772" i="2"/>
  <c r="D2772" i="2"/>
  <c r="E2772" i="2" s="1"/>
  <c r="I2771" i="2"/>
  <c r="H2771" i="2"/>
  <c r="F2771" i="2"/>
  <c r="D2771" i="2"/>
  <c r="E2771" i="2" s="1"/>
  <c r="I2770" i="2"/>
  <c r="H2770" i="2"/>
  <c r="F2770" i="2"/>
  <c r="D2770" i="2"/>
  <c r="E2770" i="2" s="1"/>
  <c r="I2769" i="2"/>
  <c r="H2769" i="2"/>
  <c r="F2769" i="2"/>
  <c r="D2769" i="2"/>
  <c r="E2769" i="2" s="1"/>
  <c r="I2768" i="2"/>
  <c r="H2768" i="2"/>
  <c r="F2768" i="2"/>
  <c r="D2768" i="2"/>
  <c r="E2768" i="2" s="1"/>
  <c r="I2767" i="2"/>
  <c r="H2767" i="2"/>
  <c r="F2767" i="2"/>
  <c r="D2767" i="2"/>
  <c r="E2767" i="2" s="1"/>
  <c r="J2767" i="2" s="1"/>
  <c r="K2767" i="2" s="1"/>
  <c r="I2766" i="2"/>
  <c r="H2766" i="2"/>
  <c r="F2766" i="2"/>
  <c r="D2766" i="2"/>
  <c r="E2766" i="2" s="1"/>
  <c r="I2765" i="2"/>
  <c r="H2765" i="2"/>
  <c r="F2765" i="2"/>
  <c r="D2765" i="2"/>
  <c r="E2765" i="2" s="1"/>
  <c r="I2764" i="2"/>
  <c r="H2764" i="2"/>
  <c r="F2764" i="2"/>
  <c r="D2764" i="2"/>
  <c r="E2764" i="2" s="1"/>
  <c r="I2763" i="2"/>
  <c r="H2763" i="2"/>
  <c r="F2763" i="2"/>
  <c r="D2763" i="2"/>
  <c r="E2763" i="2" s="1"/>
  <c r="J2763" i="2" s="1"/>
  <c r="K2763" i="2" s="1"/>
  <c r="I2762" i="2"/>
  <c r="H2762" i="2"/>
  <c r="F2762" i="2"/>
  <c r="D2762" i="2"/>
  <c r="E2762" i="2" s="1"/>
  <c r="I2761" i="2"/>
  <c r="H2761" i="2"/>
  <c r="F2761" i="2"/>
  <c r="D2761" i="2"/>
  <c r="E2761" i="2" s="1"/>
  <c r="I2760" i="2"/>
  <c r="H2760" i="2"/>
  <c r="F2760" i="2"/>
  <c r="D2760" i="2"/>
  <c r="E2760" i="2" s="1"/>
  <c r="I2759" i="2"/>
  <c r="H2759" i="2"/>
  <c r="F2759" i="2"/>
  <c r="D2759" i="2"/>
  <c r="E2759" i="2" s="1"/>
  <c r="J2759" i="2" s="1"/>
  <c r="K2759" i="2" s="1"/>
  <c r="I2758" i="2"/>
  <c r="H2758" i="2"/>
  <c r="F2758" i="2"/>
  <c r="D2758" i="2"/>
  <c r="E2758" i="2" s="1"/>
  <c r="I2757" i="2"/>
  <c r="H2757" i="2"/>
  <c r="F2757" i="2"/>
  <c r="D2757" i="2"/>
  <c r="E2757" i="2" s="1"/>
  <c r="I2756" i="2"/>
  <c r="H2756" i="2"/>
  <c r="F2756" i="2"/>
  <c r="D2756" i="2"/>
  <c r="E2756" i="2" s="1"/>
  <c r="I2755" i="2"/>
  <c r="H2755" i="2"/>
  <c r="F2755" i="2"/>
  <c r="D2755" i="2"/>
  <c r="E2755" i="2" s="1"/>
  <c r="I2754" i="2"/>
  <c r="H2754" i="2"/>
  <c r="F2754" i="2"/>
  <c r="D2754" i="2"/>
  <c r="E2754" i="2" s="1"/>
  <c r="I2753" i="2"/>
  <c r="H2753" i="2"/>
  <c r="F2753" i="2"/>
  <c r="D2753" i="2"/>
  <c r="E2753" i="2" s="1"/>
  <c r="I2752" i="2"/>
  <c r="H2752" i="2"/>
  <c r="F2752" i="2"/>
  <c r="D2752" i="2"/>
  <c r="E2752" i="2" s="1"/>
  <c r="I2751" i="2"/>
  <c r="H2751" i="2"/>
  <c r="F2751" i="2"/>
  <c r="D2751" i="2"/>
  <c r="E2751" i="2" s="1"/>
  <c r="I2750" i="2"/>
  <c r="H2750" i="2"/>
  <c r="F2750" i="2"/>
  <c r="D2750" i="2"/>
  <c r="E2750" i="2" s="1"/>
  <c r="I2749" i="2"/>
  <c r="H2749" i="2"/>
  <c r="F2749" i="2"/>
  <c r="D2749" i="2"/>
  <c r="E2749" i="2" s="1"/>
  <c r="I2748" i="2"/>
  <c r="H2748" i="2"/>
  <c r="F2748" i="2"/>
  <c r="D2748" i="2"/>
  <c r="E2748" i="2" s="1"/>
  <c r="I2747" i="2"/>
  <c r="H2747" i="2"/>
  <c r="F2747" i="2"/>
  <c r="D2747" i="2"/>
  <c r="E2747" i="2" s="1"/>
  <c r="I2746" i="2"/>
  <c r="H2746" i="2"/>
  <c r="F2746" i="2"/>
  <c r="D2746" i="2"/>
  <c r="E2746" i="2" s="1"/>
  <c r="I2745" i="2"/>
  <c r="H2745" i="2"/>
  <c r="F2745" i="2"/>
  <c r="D2745" i="2"/>
  <c r="E2745" i="2" s="1"/>
  <c r="I2744" i="2"/>
  <c r="H2744" i="2"/>
  <c r="F2744" i="2"/>
  <c r="D2744" i="2"/>
  <c r="E2744" i="2" s="1"/>
  <c r="I2743" i="2"/>
  <c r="H2743" i="2"/>
  <c r="F2743" i="2"/>
  <c r="D2743" i="2"/>
  <c r="E2743" i="2" s="1"/>
  <c r="I2742" i="2"/>
  <c r="H2742" i="2"/>
  <c r="F2742" i="2"/>
  <c r="D2742" i="2"/>
  <c r="E2742" i="2" s="1"/>
  <c r="I2741" i="2"/>
  <c r="H2741" i="2"/>
  <c r="F2741" i="2"/>
  <c r="D2741" i="2"/>
  <c r="E2741" i="2" s="1"/>
  <c r="I2740" i="2"/>
  <c r="H2740" i="2"/>
  <c r="F2740" i="2"/>
  <c r="D2740" i="2"/>
  <c r="E2740" i="2" s="1"/>
  <c r="I2739" i="2"/>
  <c r="H2739" i="2"/>
  <c r="F2739" i="2"/>
  <c r="D2739" i="2"/>
  <c r="E2739" i="2" s="1"/>
  <c r="I2738" i="2"/>
  <c r="H2738" i="2"/>
  <c r="F2738" i="2"/>
  <c r="D2738" i="2"/>
  <c r="E2738" i="2" s="1"/>
  <c r="I2737" i="2"/>
  <c r="H2737" i="2"/>
  <c r="F2737" i="2"/>
  <c r="D2737" i="2"/>
  <c r="E2737" i="2" s="1"/>
  <c r="I2736" i="2"/>
  <c r="H2736" i="2"/>
  <c r="F2736" i="2"/>
  <c r="D2736" i="2"/>
  <c r="E2736" i="2" s="1"/>
  <c r="I2735" i="2"/>
  <c r="H2735" i="2"/>
  <c r="F2735" i="2"/>
  <c r="D2735" i="2"/>
  <c r="E2735" i="2" s="1"/>
  <c r="I2734" i="2"/>
  <c r="H2734" i="2"/>
  <c r="F2734" i="2"/>
  <c r="D2734" i="2"/>
  <c r="E2734" i="2" s="1"/>
  <c r="I2733" i="2"/>
  <c r="H2733" i="2"/>
  <c r="F2733" i="2"/>
  <c r="D2733" i="2"/>
  <c r="E2733" i="2" s="1"/>
  <c r="I2732" i="2"/>
  <c r="H2732" i="2"/>
  <c r="F2732" i="2"/>
  <c r="D2732" i="2"/>
  <c r="E2732" i="2" s="1"/>
  <c r="I2731" i="2"/>
  <c r="H2731" i="2"/>
  <c r="F2731" i="2"/>
  <c r="D2731" i="2"/>
  <c r="E2731" i="2" s="1"/>
  <c r="I2730" i="2"/>
  <c r="H2730" i="2"/>
  <c r="F2730" i="2"/>
  <c r="D2730" i="2"/>
  <c r="E2730" i="2" s="1"/>
  <c r="I2729" i="2"/>
  <c r="H2729" i="2"/>
  <c r="F2729" i="2"/>
  <c r="E2729" i="2"/>
  <c r="D2729" i="2"/>
  <c r="I2728" i="2"/>
  <c r="H2728" i="2"/>
  <c r="F2728" i="2"/>
  <c r="D2728" i="2"/>
  <c r="E2728" i="2" s="1"/>
  <c r="I2727" i="2"/>
  <c r="H2727" i="2"/>
  <c r="F2727" i="2"/>
  <c r="D2727" i="2"/>
  <c r="E2727" i="2" s="1"/>
  <c r="I2726" i="2"/>
  <c r="H2726" i="2"/>
  <c r="F2726" i="2"/>
  <c r="D2726" i="2"/>
  <c r="E2726" i="2" s="1"/>
  <c r="I2725" i="2"/>
  <c r="H2725" i="2"/>
  <c r="F2725" i="2"/>
  <c r="D2725" i="2"/>
  <c r="E2725" i="2" s="1"/>
  <c r="I2724" i="2"/>
  <c r="H2724" i="2"/>
  <c r="F2724" i="2"/>
  <c r="D2724" i="2"/>
  <c r="E2724" i="2" s="1"/>
  <c r="I2723" i="2"/>
  <c r="H2723" i="2"/>
  <c r="F2723" i="2"/>
  <c r="D2723" i="2"/>
  <c r="E2723" i="2" s="1"/>
  <c r="I2722" i="2"/>
  <c r="H2722" i="2"/>
  <c r="F2722" i="2"/>
  <c r="D2722" i="2"/>
  <c r="E2722" i="2" s="1"/>
  <c r="I2721" i="2"/>
  <c r="H2721" i="2"/>
  <c r="F2721" i="2"/>
  <c r="D2721" i="2"/>
  <c r="E2721" i="2" s="1"/>
  <c r="I2720" i="2"/>
  <c r="H2720" i="2"/>
  <c r="F2720" i="2"/>
  <c r="D2720" i="2"/>
  <c r="E2720" i="2" s="1"/>
  <c r="I2719" i="2"/>
  <c r="H2719" i="2"/>
  <c r="F2719" i="2"/>
  <c r="D2719" i="2"/>
  <c r="E2719" i="2" s="1"/>
  <c r="I2718" i="2"/>
  <c r="H2718" i="2"/>
  <c r="F2718" i="2"/>
  <c r="D2718" i="2"/>
  <c r="E2718" i="2" s="1"/>
  <c r="I2717" i="2"/>
  <c r="H2717" i="2"/>
  <c r="F2717" i="2"/>
  <c r="D2717" i="2"/>
  <c r="E2717" i="2" s="1"/>
  <c r="I2716" i="2"/>
  <c r="H2716" i="2"/>
  <c r="F2716" i="2"/>
  <c r="D2716" i="2"/>
  <c r="E2716" i="2" s="1"/>
  <c r="I2715" i="2"/>
  <c r="H2715" i="2"/>
  <c r="F2715" i="2"/>
  <c r="D2715" i="2"/>
  <c r="E2715" i="2" s="1"/>
  <c r="I2714" i="2"/>
  <c r="H2714" i="2"/>
  <c r="F2714" i="2"/>
  <c r="D2714" i="2"/>
  <c r="E2714" i="2" s="1"/>
  <c r="I2713" i="2"/>
  <c r="H2713" i="2"/>
  <c r="F2713" i="2"/>
  <c r="D2713" i="2"/>
  <c r="E2713" i="2" s="1"/>
  <c r="I2712" i="2"/>
  <c r="H2712" i="2"/>
  <c r="F2712" i="2"/>
  <c r="D2712" i="2"/>
  <c r="E2712" i="2" s="1"/>
  <c r="I2711" i="2"/>
  <c r="H2711" i="2"/>
  <c r="F2711" i="2"/>
  <c r="D2711" i="2"/>
  <c r="E2711" i="2" s="1"/>
  <c r="I2710" i="2"/>
  <c r="H2710" i="2"/>
  <c r="F2710" i="2"/>
  <c r="D2710" i="2"/>
  <c r="E2710" i="2" s="1"/>
  <c r="I2709" i="2"/>
  <c r="H2709" i="2"/>
  <c r="F2709" i="2"/>
  <c r="D2709" i="2"/>
  <c r="E2709" i="2" s="1"/>
  <c r="I2708" i="2"/>
  <c r="H2708" i="2"/>
  <c r="F2708" i="2"/>
  <c r="D2708" i="2"/>
  <c r="E2708" i="2" s="1"/>
  <c r="I2707" i="2"/>
  <c r="H2707" i="2"/>
  <c r="F2707" i="2"/>
  <c r="D2707" i="2"/>
  <c r="E2707" i="2" s="1"/>
  <c r="I2706" i="2"/>
  <c r="H2706" i="2"/>
  <c r="F2706" i="2"/>
  <c r="D2706" i="2"/>
  <c r="E2706" i="2" s="1"/>
  <c r="I2705" i="2"/>
  <c r="H2705" i="2"/>
  <c r="F2705" i="2"/>
  <c r="D2705" i="2"/>
  <c r="E2705" i="2" s="1"/>
  <c r="I2704" i="2"/>
  <c r="H2704" i="2"/>
  <c r="F2704" i="2"/>
  <c r="D2704" i="2"/>
  <c r="E2704" i="2" s="1"/>
  <c r="I2703" i="2"/>
  <c r="H2703" i="2"/>
  <c r="F2703" i="2"/>
  <c r="D2703" i="2"/>
  <c r="E2703" i="2" s="1"/>
  <c r="I2702" i="2"/>
  <c r="H2702" i="2"/>
  <c r="F2702" i="2"/>
  <c r="D2702" i="2"/>
  <c r="E2702" i="2" s="1"/>
  <c r="I2701" i="2"/>
  <c r="H2701" i="2"/>
  <c r="F2701" i="2"/>
  <c r="D2701" i="2"/>
  <c r="E2701" i="2" s="1"/>
  <c r="I2700" i="2"/>
  <c r="H2700" i="2"/>
  <c r="F2700" i="2"/>
  <c r="D2700" i="2"/>
  <c r="E2700" i="2" s="1"/>
  <c r="I2699" i="2"/>
  <c r="H2699" i="2"/>
  <c r="F2699" i="2"/>
  <c r="D2699" i="2"/>
  <c r="E2699" i="2" s="1"/>
  <c r="I2698" i="2"/>
  <c r="H2698" i="2"/>
  <c r="F2698" i="2"/>
  <c r="D2698" i="2"/>
  <c r="E2698" i="2" s="1"/>
  <c r="I2697" i="2"/>
  <c r="H2697" i="2"/>
  <c r="F2697" i="2"/>
  <c r="D2697" i="2"/>
  <c r="E2697" i="2" s="1"/>
  <c r="I2696" i="2"/>
  <c r="H2696" i="2"/>
  <c r="F2696" i="2"/>
  <c r="D2696" i="2"/>
  <c r="E2696" i="2" s="1"/>
  <c r="I2695" i="2"/>
  <c r="H2695" i="2"/>
  <c r="F2695" i="2"/>
  <c r="D2695" i="2"/>
  <c r="E2695" i="2" s="1"/>
  <c r="I2694" i="2"/>
  <c r="H2694" i="2"/>
  <c r="F2694" i="2"/>
  <c r="D2694" i="2"/>
  <c r="E2694" i="2" s="1"/>
  <c r="I2693" i="2"/>
  <c r="H2693" i="2"/>
  <c r="F2693" i="2"/>
  <c r="D2693" i="2"/>
  <c r="E2693" i="2" s="1"/>
  <c r="I2692" i="2"/>
  <c r="H2692" i="2"/>
  <c r="F2692" i="2"/>
  <c r="D2692" i="2"/>
  <c r="E2692" i="2" s="1"/>
  <c r="I2691" i="2"/>
  <c r="H2691" i="2"/>
  <c r="F2691" i="2"/>
  <c r="D2691" i="2"/>
  <c r="E2691" i="2" s="1"/>
  <c r="I2690" i="2"/>
  <c r="H2690" i="2"/>
  <c r="F2690" i="2"/>
  <c r="D2690" i="2"/>
  <c r="E2690" i="2" s="1"/>
  <c r="I2689" i="2"/>
  <c r="H2689" i="2"/>
  <c r="F2689" i="2"/>
  <c r="D2689" i="2"/>
  <c r="E2689" i="2" s="1"/>
  <c r="I2688" i="2"/>
  <c r="H2688" i="2"/>
  <c r="F2688" i="2"/>
  <c r="D2688" i="2"/>
  <c r="E2688" i="2" s="1"/>
  <c r="I2687" i="2"/>
  <c r="H2687" i="2"/>
  <c r="F2687" i="2"/>
  <c r="D2687" i="2"/>
  <c r="E2687" i="2" s="1"/>
  <c r="I2686" i="2"/>
  <c r="H2686" i="2"/>
  <c r="F2686" i="2"/>
  <c r="D2686" i="2"/>
  <c r="E2686" i="2" s="1"/>
  <c r="I2685" i="2"/>
  <c r="H2685" i="2"/>
  <c r="F2685" i="2"/>
  <c r="D2685" i="2"/>
  <c r="E2685" i="2" s="1"/>
  <c r="I2684" i="2"/>
  <c r="H2684" i="2"/>
  <c r="F2684" i="2"/>
  <c r="D2684" i="2"/>
  <c r="E2684" i="2" s="1"/>
  <c r="I2683" i="2"/>
  <c r="H2683" i="2"/>
  <c r="F2683" i="2"/>
  <c r="D2683" i="2"/>
  <c r="E2683" i="2" s="1"/>
  <c r="I2682" i="2"/>
  <c r="H2682" i="2"/>
  <c r="F2682" i="2"/>
  <c r="D2682" i="2"/>
  <c r="E2682" i="2" s="1"/>
  <c r="I2681" i="2"/>
  <c r="H2681" i="2"/>
  <c r="F2681" i="2"/>
  <c r="D2681" i="2"/>
  <c r="E2681" i="2" s="1"/>
  <c r="I2680" i="2"/>
  <c r="H2680" i="2"/>
  <c r="F2680" i="2"/>
  <c r="D2680" i="2"/>
  <c r="E2680" i="2" s="1"/>
  <c r="I2679" i="2"/>
  <c r="H2679" i="2"/>
  <c r="F2679" i="2"/>
  <c r="D2679" i="2"/>
  <c r="E2679" i="2" s="1"/>
  <c r="I2678" i="2"/>
  <c r="H2678" i="2"/>
  <c r="F2678" i="2"/>
  <c r="D2678" i="2"/>
  <c r="E2678" i="2" s="1"/>
  <c r="I2677" i="2"/>
  <c r="H2677" i="2"/>
  <c r="F2677" i="2"/>
  <c r="D2677" i="2"/>
  <c r="E2677" i="2" s="1"/>
  <c r="I2676" i="2"/>
  <c r="H2676" i="2"/>
  <c r="F2676" i="2"/>
  <c r="D2676" i="2"/>
  <c r="E2676" i="2" s="1"/>
  <c r="I2675" i="2"/>
  <c r="H2675" i="2"/>
  <c r="F2675" i="2"/>
  <c r="D2675" i="2"/>
  <c r="E2675" i="2" s="1"/>
  <c r="I2674" i="2"/>
  <c r="H2674" i="2"/>
  <c r="F2674" i="2"/>
  <c r="D2674" i="2"/>
  <c r="E2674" i="2" s="1"/>
  <c r="I2673" i="2"/>
  <c r="H2673" i="2"/>
  <c r="F2673" i="2"/>
  <c r="D2673" i="2"/>
  <c r="E2673" i="2" s="1"/>
  <c r="I2672" i="2"/>
  <c r="H2672" i="2"/>
  <c r="F2672" i="2"/>
  <c r="D2672" i="2"/>
  <c r="E2672" i="2" s="1"/>
  <c r="I2671" i="2"/>
  <c r="H2671" i="2"/>
  <c r="F2671" i="2"/>
  <c r="D2671" i="2"/>
  <c r="E2671" i="2" s="1"/>
  <c r="I2670" i="2"/>
  <c r="H2670" i="2"/>
  <c r="F2670" i="2"/>
  <c r="D2670" i="2"/>
  <c r="E2670" i="2" s="1"/>
  <c r="I2669" i="2"/>
  <c r="H2669" i="2"/>
  <c r="F2669" i="2"/>
  <c r="D2669" i="2"/>
  <c r="E2669" i="2" s="1"/>
  <c r="I2668" i="2"/>
  <c r="H2668" i="2"/>
  <c r="F2668" i="2"/>
  <c r="D2668" i="2"/>
  <c r="E2668" i="2" s="1"/>
  <c r="I2667" i="2"/>
  <c r="H2667" i="2"/>
  <c r="F2667" i="2"/>
  <c r="D2667" i="2"/>
  <c r="E2667" i="2" s="1"/>
  <c r="I2666" i="2"/>
  <c r="H2666" i="2"/>
  <c r="F2666" i="2"/>
  <c r="D2666" i="2"/>
  <c r="E2666" i="2" s="1"/>
  <c r="I2665" i="2"/>
  <c r="H2665" i="2"/>
  <c r="F2665" i="2"/>
  <c r="E2665" i="2"/>
  <c r="D2665" i="2"/>
  <c r="I2664" i="2"/>
  <c r="H2664" i="2"/>
  <c r="F2664" i="2"/>
  <c r="D2664" i="2"/>
  <c r="E2664" i="2" s="1"/>
  <c r="I2663" i="2"/>
  <c r="H2663" i="2"/>
  <c r="F2663" i="2"/>
  <c r="D2663" i="2"/>
  <c r="E2663" i="2" s="1"/>
  <c r="I2662" i="2"/>
  <c r="H2662" i="2"/>
  <c r="F2662" i="2"/>
  <c r="D2662" i="2"/>
  <c r="E2662" i="2" s="1"/>
  <c r="I2661" i="2"/>
  <c r="H2661" i="2"/>
  <c r="F2661" i="2"/>
  <c r="D2661" i="2"/>
  <c r="E2661" i="2" s="1"/>
  <c r="I2660" i="2"/>
  <c r="H2660" i="2"/>
  <c r="F2660" i="2"/>
  <c r="D2660" i="2"/>
  <c r="E2660" i="2" s="1"/>
  <c r="I2659" i="2"/>
  <c r="H2659" i="2"/>
  <c r="F2659" i="2"/>
  <c r="D2659" i="2"/>
  <c r="E2659" i="2" s="1"/>
  <c r="I2658" i="2"/>
  <c r="H2658" i="2"/>
  <c r="F2658" i="2"/>
  <c r="D2658" i="2"/>
  <c r="E2658" i="2" s="1"/>
  <c r="I2657" i="2"/>
  <c r="H2657" i="2"/>
  <c r="F2657" i="2"/>
  <c r="D2657" i="2"/>
  <c r="E2657" i="2" s="1"/>
  <c r="I2656" i="2"/>
  <c r="H2656" i="2"/>
  <c r="F2656" i="2"/>
  <c r="D2656" i="2"/>
  <c r="E2656" i="2" s="1"/>
  <c r="I2655" i="2"/>
  <c r="H2655" i="2"/>
  <c r="F2655" i="2"/>
  <c r="D2655" i="2"/>
  <c r="E2655" i="2" s="1"/>
  <c r="I2654" i="2"/>
  <c r="H2654" i="2"/>
  <c r="F2654" i="2"/>
  <c r="D2654" i="2"/>
  <c r="E2654" i="2" s="1"/>
  <c r="I2653" i="2"/>
  <c r="H2653" i="2"/>
  <c r="F2653" i="2"/>
  <c r="D2653" i="2"/>
  <c r="E2653" i="2" s="1"/>
  <c r="I2652" i="2"/>
  <c r="H2652" i="2"/>
  <c r="F2652" i="2"/>
  <c r="D2652" i="2"/>
  <c r="E2652" i="2" s="1"/>
  <c r="I2651" i="2"/>
  <c r="H2651" i="2"/>
  <c r="F2651" i="2"/>
  <c r="D2651" i="2"/>
  <c r="E2651" i="2" s="1"/>
  <c r="I2650" i="2"/>
  <c r="H2650" i="2"/>
  <c r="F2650" i="2"/>
  <c r="D2650" i="2"/>
  <c r="E2650" i="2" s="1"/>
  <c r="I2649" i="2"/>
  <c r="H2649" i="2"/>
  <c r="F2649" i="2"/>
  <c r="D2649" i="2"/>
  <c r="E2649" i="2" s="1"/>
  <c r="I2648" i="2"/>
  <c r="H2648" i="2"/>
  <c r="F2648" i="2"/>
  <c r="D2648" i="2"/>
  <c r="E2648" i="2" s="1"/>
  <c r="I2647" i="2"/>
  <c r="H2647" i="2"/>
  <c r="F2647" i="2"/>
  <c r="D2647" i="2"/>
  <c r="E2647" i="2" s="1"/>
  <c r="I2646" i="2"/>
  <c r="H2646" i="2"/>
  <c r="F2646" i="2"/>
  <c r="D2646" i="2"/>
  <c r="E2646" i="2" s="1"/>
  <c r="I2645" i="2"/>
  <c r="H2645" i="2"/>
  <c r="F2645" i="2"/>
  <c r="D2645" i="2"/>
  <c r="E2645" i="2" s="1"/>
  <c r="I2644" i="2"/>
  <c r="H2644" i="2"/>
  <c r="F2644" i="2"/>
  <c r="D2644" i="2"/>
  <c r="E2644" i="2" s="1"/>
  <c r="I2643" i="2"/>
  <c r="H2643" i="2"/>
  <c r="F2643" i="2"/>
  <c r="D2643" i="2"/>
  <c r="E2643" i="2" s="1"/>
  <c r="I2642" i="2"/>
  <c r="H2642" i="2"/>
  <c r="F2642" i="2"/>
  <c r="D2642" i="2"/>
  <c r="E2642" i="2" s="1"/>
  <c r="I2641" i="2"/>
  <c r="H2641" i="2"/>
  <c r="F2641" i="2"/>
  <c r="D2641" i="2"/>
  <c r="E2641" i="2" s="1"/>
  <c r="I2640" i="2"/>
  <c r="H2640" i="2"/>
  <c r="F2640" i="2"/>
  <c r="D2640" i="2"/>
  <c r="E2640" i="2" s="1"/>
  <c r="I2639" i="2"/>
  <c r="H2639" i="2"/>
  <c r="F2639" i="2"/>
  <c r="D2639" i="2"/>
  <c r="E2639" i="2" s="1"/>
  <c r="I2638" i="2"/>
  <c r="H2638" i="2"/>
  <c r="F2638" i="2"/>
  <c r="D2638" i="2"/>
  <c r="E2638" i="2" s="1"/>
  <c r="I2637" i="2"/>
  <c r="H2637" i="2"/>
  <c r="F2637" i="2"/>
  <c r="D2637" i="2"/>
  <c r="E2637" i="2" s="1"/>
  <c r="I2636" i="2"/>
  <c r="H2636" i="2"/>
  <c r="F2636" i="2"/>
  <c r="D2636" i="2"/>
  <c r="E2636" i="2" s="1"/>
  <c r="J2636" i="2" s="1"/>
  <c r="K2636" i="2" s="1"/>
  <c r="I2635" i="2"/>
  <c r="H2635" i="2"/>
  <c r="F2635" i="2"/>
  <c r="D2635" i="2"/>
  <c r="E2635" i="2" s="1"/>
  <c r="I2634" i="2"/>
  <c r="H2634" i="2"/>
  <c r="F2634" i="2"/>
  <c r="D2634" i="2"/>
  <c r="E2634" i="2" s="1"/>
  <c r="J2634" i="2" s="1"/>
  <c r="K2634" i="2" s="1"/>
  <c r="I2633" i="2"/>
  <c r="H2633" i="2"/>
  <c r="F2633" i="2"/>
  <c r="D2633" i="2"/>
  <c r="E2633" i="2" s="1"/>
  <c r="I2632" i="2"/>
  <c r="H2632" i="2"/>
  <c r="F2632" i="2"/>
  <c r="D2632" i="2"/>
  <c r="E2632" i="2" s="1"/>
  <c r="I2631" i="2"/>
  <c r="H2631" i="2"/>
  <c r="F2631" i="2"/>
  <c r="D2631" i="2"/>
  <c r="E2631" i="2" s="1"/>
  <c r="I2630" i="2"/>
  <c r="H2630" i="2"/>
  <c r="F2630" i="2"/>
  <c r="D2630" i="2"/>
  <c r="E2630" i="2" s="1"/>
  <c r="I2629" i="2"/>
  <c r="H2629" i="2"/>
  <c r="F2629" i="2"/>
  <c r="D2629" i="2"/>
  <c r="E2629" i="2" s="1"/>
  <c r="I2628" i="2"/>
  <c r="H2628" i="2"/>
  <c r="F2628" i="2"/>
  <c r="D2628" i="2"/>
  <c r="E2628" i="2" s="1"/>
  <c r="I2627" i="2"/>
  <c r="H2627" i="2"/>
  <c r="F2627" i="2"/>
  <c r="D2627" i="2"/>
  <c r="E2627" i="2" s="1"/>
  <c r="I2626" i="2"/>
  <c r="H2626" i="2"/>
  <c r="F2626" i="2"/>
  <c r="D2626" i="2"/>
  <c r="E2626" i="2" s="1"/>
  <c r="I2625" i="2"/>
  <c r="H2625" i="2"/>
  <c r="F2625" i="2"/>
  <c r="D2625" i="2"/>
  <c r="E2625" i="2" s="1"/>
  <c r="I2624" i="2"/>
  <c r="H2624" i="2"/>
  <c r="F2624" i="2"/>
  <c r="D2624" i="2"/>
  <c r="E2624" i="2" s="1"/>
  <c r="I2623" i="2"/>
  <c r="H2623" i="2"/>
  <c r="F2623" i="2"/>
  <c r="D2623" i="2"/>
  <c r="E2623" i="2" s="1"/>
  <c r="I2622" i="2"/>
  <c r="H2622" i="2"/>
  <c r="F2622" i="2"/>
  <c r="D2622" i="2"/>
  <c r="E2622" i="2" s="1"/>
  <c r="I2621" i="2"/>
  <c r="H2621" i="2"/>
  <c r="F2621" i="2"/>
  <c r="D2621" i="2"/>
  <c r="E2621" i="2" s="1"/>
  <c r="I2620" i="2"/>
  <c r="H2620" i="2"/>
  <c r="F2620" i="2"/>
  <c r="D2620" i="2"/>
  <c r="E2620" i="2" s="1"/>
  <c r="I2619" i="2"/>
  <c r="H2619" i="2"/>
  <c r="F2619" i="2"/>
  <c r="D2619" i="2"/>
  <c r="E2619" i="2" s="1"/>
  <c r="I2618" i="2"/>
  <c r="H2618" i="2"/>
  <c r="F2618" i="2"/>
  <c r="D2618" i="2"/>
  <c r="E2618" i="2" s="1"/>
  <c r="I2617" i="2"/>
  <c r="H2617" i="2"/>
  <c r="F2617" i="2"/>
  <c r="D2617" i="2"/>
  <c r="E2617" i="2" s="1"/>
  <c r="I2616" i="2"/>
  <c r="H2616" i="2"/>
  <c r="F2616" i="2"/>
  <c r="D2616" i="2"/>
  <c r="E2616" i="2" s="1"/>
  <c r="I2615" i="2"/>
  <c r="H2615" i="2"/>
  <c r="F2615" i="2"/>
  <c r="D2615" i="2"/>
  <c r="E2615" i="2" s="1"/>
  <c r="I2614" i="2"/>
  <c r="H2614" i="2"/>
  <c r="F2614" i="2"/>
  <c r="D2614" i="2"/>
  <c r="E2614" i="2" s="1"/>
  <c r="I2613" i="2"/>
  <c r="H2613" i="2"/>
  <c r="F2613" i="2"/>
  <c r="D2613" i="2"/>
  <c r="E2613" i="2" s="1"/>
  <c r="I2612" i="2"/>
  <c r="H2612" i="2"/>
  <c r="F2612" i="2"/>
  <c r="D2612" i="2"/>
  <c r="E2612" i="2" s="1"/>
  <c r="I2611" i="2"/>
  <c r="H2611" i="2"/>
  <c r="F2611" i="2"/>
  <c r="D2611" i="2"/>
  <c r="E2611" i="2" s="1"/>
  <c r="I2610" i="2"/>
  <c r="H2610" i="2"/>
  <c r="F2610" i="2"/>
  <c r="D2610" i="2"/>
  <c r="E2610" i="2" s="1"/>
  <c r="I2609" i="2"/>
  <c r="J2609" i="2" s="1"/>
  <c r="K2609" i="2" s="1"/>
  <c r="H2609" i="2"/>
  <c r="F2609" i="2"/>
  <c r="D2609" i="2"/>
  <c r="E2609" i="2" s="1"/>
  <c r="I2608" i="2"/>
  <c r="H2608" i="2"/>
  <c r="F2608" i="2"/>
  <c r="D2608" i="2"/>
  <c r="E2608" i="2" s="1"/>
  <c r="I2607" i="2"/>
  <c r="H2607" i="2"/>
  <c r="F2607" i="2"/>
  <c r="D2607" i="2"/>
  <c r="E2607" i="2" s="1"/>
  <c r="I2606" i="2"/>
  <c r="H2606" i="2"/>
  <c r="F2606" i="2"/>
  <c r="D2606" i="2"/>
  <c r="E2606" i="2" s="1"/>
  <c r="I2605" i="2"/>
  <c r="H2605" i="2"/>
  <c r="F2605" i="2"/>
  <c r="D2605" i="2"/>
  <c r="E2605" i="2" s="1"/>
  <c r="I2604" i="2"/>
  <c r="H2604" i="2"/>
  <c r="F2604" i="2"/>
  <c r="D2604" i="2"/>
  <c r="E2604" i="2" s="1"/>
  <c r="I2603" i="2"/>
  <c r="H2603" i="2"/>
  <c r="F2603" i="2"/>
  <c r="D2603" i="2"/>
  <c r="E2603" i="2" s="1"/>
  <c r="I2602" i="2"/>
  <c r="H2602" i="2"/>
  <c r="F2602" i="2"/>
  <c r="D2602" i="2"/>
  <c r="E2602" i="2" s="1"/>
  <c r="I2601" i="2"/>
  <c r="H2601" i="2"/>
  <c r="F2601" i="2"/>
  <c r="D2601" i="2"/>
  <c r="E2601" i="2" s="1"/>
  <c r="I2600" i="2"/>
  <c r="H2600" i="2"/>
  <c r="F2600" i="2"/>
  <c r="D2600" i="2"/>
  <c r="E2600" i="2" s="1"/>
  <c r="I2599" i="2"/>
  <c r="H2599" i="2"/>
  <c r="F2599" i="2"/>
  <c r="D2599" i="2"/>
  <c r="E2599" i="2" s="1"/>
  <c r="I2598" i="2"/>
  <c r="H2598" i="2"/>
  <c r="F2598" i="2"/>
  <c r="D2598" i="2"/>
  <c r="E2598" i="2" s="1"/>
  <c r="I2597" i="2"/>
  <c r="H2597" i="2"/>
  <c r="F2597" i="2"/>
  <c r="D2597" i="2"/>
  <c r="E2597" i="2" s="1"/>
  <c r="I2596" i="2"/>
  <c r="H2596" i="2"/>
  <c r="F2596" i="2"/>
  <c r="D2596" i="2"/>
  <c r="E2596" i="2" s="1"/>
  <c r="I2595" i="2"/>
  <c r="H2595" i="2"/>
  <c r="F2595" i="2"/>
  <c r="D2595" i="2"/>
  <c r="E2595" i="2" s="1"/>
  <c r="I2594" i="2"/>
  <c r="H2594" i="2"/>
  <c r="F2594" i="2"/>
  <c r="D2594" i="2"/>
  <c r="E2594" i="2" s="1"/>
  <c r="I2593" i="2"/>
  <c r="H2593" i="2"/>
  <c r="F2593" i="2"/>
  <c r="D2593" i="2"/>
  <c r="E2593" i="2" s="1"/>
  <c r="I2592" i="2"/>
  <c r="H2592" i="2"/>
  <c r="F2592" i="2"/>
  <c r="D2592" i="2"/>
  <c r="E2592" i="2" s="1"/>
  <c r="I2591" i="2"/>
  <c r="H2591" i="2"/>
  <c r="F2591" i="2"/>
  <c r="D2591" i="2"/>
  <c r="E2591" i="2" s="1"/>
  <c r="I2590" i="2"/>
  <c r="H2590" i="2"/>
  <c r="F2590" i="2"/>
  <c r="D2590" i="2"/>
  <c r="E2590" i="2" s="1"/>
  <c r="I2589" i="2"/>
  <c r="H2589" i="2"/>
  <c r="F2589" i="2"/>
  <c r="D2589" i="2"/>
  <c r="E2589" i="2" s="1"/>
  <c r="I2588" i="2"/>
  <c r="H2588" i="2"/>
  <c r="F2588" i="2"/>
  <c r="D2588" i="2"/>
  <c r="E2588" i="2" s="1"/>
  <c r="I2587" i="2"/>
  <c r="H2587" i="2"/>
  <c r="F2587" i="2"/>
  <c r="D2587" i="2"/>
  <c r="E2587" i="2" s="1"/>
  <c r="J2587" i="2" s="1"/>
  <c r="K2587" i="2" s="1"/>
  <c r="I2586" i="2"/>
  <c r="H2586" i="2"/>
  <c r="F2586" i="2"/>
  <c r="D2586" i="2"/>
  <c r="E2586" i="2" s="1"/>
  <c r="I2585" i="2"/>
  <c r="H2585" i="2"/>
  <c r="F2585" i="2"/>
  <c r="D2585" i="2"/>
  <c r="E2585" i="2" s="1"/>
  <c r="I2584" i="2"/>
  <c r="H2584" i="2"/>
  <c r="F2584" i="2"/>
  <c r="D2584" i="2"/>
  <c r="E2584" i="2" s="1"/>
  <c r="I2583" i="2"/>
  <c r="H2583" i="2"/>
  <c r="F2583" i="2"/>
  <c r="D2583" i="2"/>
  <c r="E2583" i="2" s="1"/>
  <c r="I2582" i="2"/>
  <c r="H2582" i="2"/>
  <c r="F2582" i="2"/>
  <c r="D2582" i="2"/>
  <c r="E2582" i="2" s="1"/>
  <c r="I2581" i="2"/>
  <c r="H2581" i="2"/>
  <c r="F2581" i="2"/>
  <c r="D2581" i="2"/>
  <c r="E2581" i="2" s="1"/>
  <c r="I2580" i="2"/>
  <c r="H2580" i="2"/>
  <c r="F2580" i="2"/>
  <c r="D2580" i="2"/>
  <c r="E2580" i="2" s="1"/>
  <c r="I2579" i="2"/>
  <c r="H2579" i="2"/>
  <c r="F2579" i="2"/>
  <c r="D2579" i="2"/>
  <c r="E2579" i="2" s="1"/>
  <c r="I2578" i="2"/>
  <c r="H2578" i="2"/>
  <c r="F2578" i="2"/>
  <c r="D2578" i="2"/>
  <c r="E2578" i="2" s="1"/>
  <c r="I2577" i="2"/>
  <c r="H2577" i="2"/>
  <c r="F2577" i="2"/>
  <c r="D2577" i="2"/>
  <c r="E2577" i="2" s="1"/>
  <c r="I2576" i="2"/>
  <c r="H2576" i="2"/>
  <c r="F2576" i="2"/>
  <c r="D2576" i="2"/>
  <c r="E2576" i="2" s="1"/>
  <c r="I2575" i="2"/>
  <c r="H2575" i="2"/>
  <c r="F2575" i="2"/>
  <c r="D2575" i="2"/>
  <c r="E2575" i="2" s="1"/>
  <c r="I2574" i="2"/>
  <c r="H2574" i="2"/>
  <c r="F2574" i="2"/>
  <c r="D2574" i="2"/>
  <c r="E2574" i="2" s="1"/>
  <c r="I2573" i="2"/>
  <c r="H2573" i="2"/>
  <c r="F2573" i="2"/>
  <c r="D2573" i="2"/>
  <c r="E2573" i="2" s="1"/>
  <c r="I2572" i="2"/>
  <c r="H2572" i="2"/>
  <c r="F2572" i="2"/>
  <c r="D2572" i="2"/>
  <c r="E2572" i="2" s="1"/>
  <c r="I2571" i="2"/>
  <c r="H2571" i="2"/>
  <c r="F2571" i="2"/>
  <c r="D2571" i="2"/>
  <c r="E2571" i="2" s="1"/>
  <c r="I2570" i="2"/>
  <c r="H2570" i="2"/>
  <c r="F2570" i="2"/>
  <c r="D2570" i="2"/>
  <c r="E2570" i="2" s="1"/>
  <c r="I2569" i="2"/>
  <c r="H2569" i="2"/>
  <c r="F2569" i="2"/>
  <c r="D2569" i="2"/>
  <c r="E2569" i="2" s="1"/>
  <c r="I2568" i="2"/>
  <c r="H2568" i="2"/>
  <c r="F2568" i="2"/>
  <c r="D2568" i="2"/>
  <c r="E2568" i="2" s="1"/>
  <c r="I2567" i="2"/>
  <c r="H2567" i="2"/>
  <c r="F2567" i="2"/>
  <c r="D2567" i="2"/>
  <c r="E2567" i="2" s="1"/>
  <c r="I2566" i="2"/>
  <c r="H2566" i="2"/>
  <c r="F2566" i="2"/>
  <c r="D2566" i="2"/>
  <c r="E2566" i="2" s="1"/>
  <c r="I2565" i="2"/>
  <c r="H2565" i="2"/>
  <c r="F2565" i="2"/>
  <c r="D2565" i="2"/>
  <c r="E2565" i="2" s="1"/>
  <c r="I2564" i="2"/>
  <c r="H2564" i="2"/>
  <c r="F2564" i="2"/>
  <c r="D2564" i="2"/>
  <c r="E2564" i="2" s="1"/>
  <c r="I2563" i="2"/>
  <c r="H2563" i="2"/>
  <c r="F2563" i="2"/>
  <c r="D2563" i="2"/>
  <c r="E2563" i="2" s="1"/>
  <c r="I2562" i="2"/>
  <c r="H2562" i="2"/>
  <c r="F2562" i="2"/>
  <c r="D2562" i="2"/>
  <c r="E2562" i="2" s="1"/>
  <c r="I2561" i="2"/>
  <c r="H2561" i="2"/>
  <c r="F2561" i="2"/>
  <c r="D2561" i="2"/>
  <c r="E2561" i="2" s="1"/>
  <c r="I2560" i="2"/>
  <c r="H2560" i="2"/>
  <c r="F2560" i="2"/>
  <c r="D2560" i="2"/>
  <c r="E2560" i="2" s="1"/>
  <c r="I2559" i="2"/>
  <c r="H2559" i="2"/>
  <c r="F2559" i="2"/>
  <c r="D2559" i="2"/>
  <c r="E2559" i="2" s="1"/>
  <c r="I2558" i="2"/>
  <c r="H2558" i="2"/>
  <c r="F2558" i="2"/>
  <c r="D2558" i="2"/>
  <c r="E2558" i="2" s="1"/>
  <c r="I2557" i="2"/>
  <c r="H2557" i="2"/>
  <c r="F2557" i="2"/>
  <c r="D2557" i="2"/>
  <c r="E2557" i="2" s="1"/>
  <c r="I2556" i="2"/>
  <c r="H2556" i="2"/>
  <c r="F2556" i="2"/>
  <c r="D2556" i="2"/>
  <c r="E2556" i="2" s="1"/>
  <c r="I2555" i="2"/>
  <c r="H2555" i="2"/>
  <c r="F2555" i="2"/>
  <c r="D2555" i="2"/>
  <c r="E2555" i="2" s="1"/>
  <c r="I2554" i="2"/>
  <c r="H2554" i="2"/>
  <c r="F2554" i="2"/>
  <c r="D2554" i="2"/>
  <c r="E2554" i="2" s="1"/>
  <c r="I2553" i="2"/>
  <c r="H2553" i="2"/>
  <c r="F2553" i="2"/>
  <c r="D2553" i="2"/>
  <c r="E2553" i="2" s="1"/>
  <c r="I2552" i="2"/>
  <c r="H2552" i="2"/>
  <c r="F2552" i="2"/>
  <c r="D2552" i="2"/>
  <c r="E2552" i="2" s="1"/>
  <c r="I2551" i="2"/>
  <c r="H2551" i="2"/>
  <c r="F2551" i="2"/>
  <c r="D2551" i="2"/>
  <c r="E2551" i="2" s="1"/>
  <c r="I2550" i="2"/>
  <c r="H2550" i="2"/>
  <c r="F2550" i="2"/>
  <c r="D2550" i="2"/>
  <c r="E2550" i="2" s="1"/>
  <c r="I2549" i="2"/>
  <c r="H2549" i="2"/>
  <c r="F2549" i="2"/>
  <c r="D2549" i="2"/>
  <c r="E2549" i="2" s="1"/>
  <c r="I2548" i="2"/>
  <c r="H2548" i="2"/>
  <c r="F2548" i="2"/>
  <c r="D2548" i="2"/>
  <c r="E2548" i="2" s="1"/>
  <c r="I2547" i="2"/>
  <c r="H2547" i="2"/>
  <c r="F2547" i="2"/>
  <c r="D2547" i="2"/>
  <c r="E2547" i="2" s="1"/>
  <c r="I2546" i="2"/>
  <c r="H2546" i="2"/>
  <c r="F2546" i="2"/>
  <c r="D2546" i="2"/>
  <c r="E2546" i="2" s="1"/>
  <c r="I2545" i="2"/>
  <c r="H2545" i="2"/>
  <c r="F2545" i="2"/>
  <c r="D2545" i="2"/>
  <c r="E2545" i="2" s="1"/>
  <c r="I2544" i="2"/>
  <c r="H2544" i="2"/>
  <c r="F2544" i="2"/>
  <c r="D2544" i="2"/>
  <c r="E2544" i="2" s="1"/>
  <c r="I2543" i="2"/>
  <c r="H2543" i="2"/>
  <c r="F2543" i="2"/>
  <c r="D2543" i="2"/>
  <c r="E2543" i="2" s="1"/>
  <c r="J2543" i="2" s="1"/>
  <c r="K2543" i="2" s="1"/>
  <c r="I2542" i="2"/>
  <c r="H2542" i="2"/>
  <c r="F2542" i="2"/>
  <c r="D2542" i="2"/>
  <c r="E2542" i="2" s="1"/>
  <c r="I2541" i="2"/>
  <c r="H2541" i="2"/>
  <c r="F2541" i="2"/>
  <c r="D2541" i="2"/>
  <c r="E2541" i="2" s="1"/>
  <c r="I2540" i="2"/>
  <c r="H2540" i="2"/>
  <c r="F2540" i="2"/>
  <c r="D2540" i="2"/>
  <c r="E2540" i="2" s="1"/>
  <c r="I2539" i="2"/>
  <c r="H2539" i="2"/>
  <c r="F2539" i="2"/>
  <c r="E2539" i="2"/>
  <c r="D2539" i="2"/>
  <c r="I2538" i="2"/>
  <c r="H2538" i="2"/>
  <c r="F2538" i="2"/>
  <c r="D2538" i="2"/>
  <c r="E2538" i="2" s="1"/>
  <c r="I2537" i="2"/>
  <c r="H2537" i="2"/>
  <c r="F2537" i="2"/>
  <c r="D2537" i="2"/>
  <c r="E2537" i="2" s="1"/>
  <c r="I2536" i="2"/>
  <c r="H2536" i="2"/>
  <c r="F2536" i="2"/>
  <c r="D2536" i="2"/>
  <c r="E2536" i="2" s="1"/>
  <c r="I2535" i="2"/>
  <c r="H2535" i="2"/>
  <c r="F2535" i="2"/>
  <c r="D2535" i="2"/>
  <c r="E2535" i="2" s="1"/>
  <c r="I2534" i="2"/>
  <c r="H2534" i="2"/>
  <c r="F2534" i="2"/>
  <c r="D2534" i="2"/>
  <c r="E2534" i="2" s="1"/>
  <c r="I2533" i="2"/>
  <c r="H2533" i="2"/>
  <c r="F2533" i="2"/>
  <c r="D2533" i="2"/>
  <c r="E2533" i="2" s="1"/>
  <c r="I2532" i="2"/>
  <c r="H2532" i="2"/>
  <c r="F2532" i="2"/>
  <c r="D2532" i="2"/>
  <c r="E2532" i="2" s="1"/>
  <c r="I2531" i="2"/>
  <c r="H2531" i="2"/>
  <c r="F2531" i="2"/>
  <c r="D2531" i="2"/>
  <c r="E2531" i="2" s="1"/>
  <c r="I2530" i="2"/>
  <c r="J2530" i="2" s="1"/>
  <c r="K2530" i="2" s="1"/>
  <c r="H2530" i="2"/>
  <c r="F2530" i="2"/>
  <c r="D2530" i="2"/>
  <c r="E2530" i="2" s="1"/>
  <c r="I2529" i="2"/>
  <c r="H2529" i="2"/>
  <c r="F2529" i="2"/>
  <c r="D2529" i="2"/>
  <c r="E2529" i="2" s="1"/>
  <c r="I2528" i="2"/>
  <c r="H2528" i="2"/>
  <c r="F2528" i="2"/>
  <c r="D2528" i="2"/>
  <c r="E2528" i="2" s="1"/>
  <c r="I2527" i="2"/>
  <c r="H2527" i="2"/>
  <c r="F2527" i="2"/>
  <c r="D2527" i="2"/>
  <c r="E2527" i="2" s="1"/>
  <c r="I2526" i="2"/>
  <c r="H2526" i="2"/>
  <c r="F2526" i="2"/>
  <c r="D2526" i="2"/>
  <c r="E2526" i="2" s="1"/>
  <c r="I2525" i="2"/>
  <c r="H2525" i="2"/>
  <c r="F2525" i="2"/>
  <c r="D2525" i="2"/>
  <c r="E2525" i="2" s="1"/>
  <c r="I2524" i="2"/>
  <c r="H2524" i="2"/>
  <c r="F2524" i="2"/>
  <c r="D2524" i="2"/>
  <c r="E2524" i="2" s="1"/>
  <c r="I2523" i="2"/>
  <c r="H2523" i="2"/>
  <c r="F2523" i="2"/>
  <c r="D2523" i="2"/>
  <c r="E2523" i="2" s="1"/>
  <c r="I2522" i="2"/>
  <c r="H2522" i="2"/>
  <c r="F2522" i="2"/>
  <c r="D2522" i="2"/>
  <c r="E2522" i="2" s="1"/>
  <c r="I2521" i="2"/>
  <c r="H2521" i="2"/>
  <c r="F2521" i="2"/>
  <c r="D2521" i="2"/>
  <c r="E2521" i="2" s="1"/>
  <c r="I2520" i="2"/>
  <c r="H2520" i="2"/>
  <c r="F2520" i="2"/>
  <c r="D2520" i="2"/>
  <c r="E2520" i="2" s="1"/>
  <c r="I2519" i="2"/>
  <c r="H2519" i="2"/>
  <c r="F2519" i="2"/>
  <c r="D2519" i="2"/>
  <c r="E2519" i="2" s="1"/>
  <c r="I2518" i="2"/>
  <c r="J2518" i="2" s="1"/>
  <c r="K2518" i="2" s="1"/>
  <c r="H2518" i="2"/>
  <c r="F2518" i="2"/>
  <c r="D2518" i="2"/>
  <c r="E2518" i="2" s="1"/>
  <c r="I2517" i="2"/>
  <c r="H2517" i="2"/>
  <c r="F2517" i="2"/>
  <c r="D2517" i="2"/>
  <c r="E2517" i="2" s="1"/>
  <c r="I2516" i="2"/>
  <c r="H2516" i="2"/>
  <c r="F2516" i="2"/>
  <c r="D2516" i="2"/>
  <c r="E2516" i="2" s="1"/>
  <c r="I2515" i="2"/>
  <c r="H2515" i="2"/>
  <c r="F2515" i="2"/>
  <c r="D2515" i="2"/>
  <c r="E2515" i="2" s="1"/>
  <c r="I2514" i="2"/>
  <c r="H2514" i="2"/>
  <c r="F2514" i="2"/>
  <c r="D2514" i="2"/>
  <c r="E2514" i="2" s="1"/>
  <c r="I2513" i="2"/>
  <c r="H2513" i="2"/>
  <c r="F2513" i="2"/>
  <c r="D2513" i="2"/>
  <c r="E2513" i="2" s="1"/>
  <c r="I2512" i="2"/>
  <c r="H2512" i="2"/>
  <c r="F2512" i="2"/>
  <c r="D2512" i="2"/>
  <c r="E2512" i="2" s="1"/>
  <c r="I2511" i="2"/>
  <c r="H2511" i="2"/>
  <c r="F2511" i="2"/>
  <c r="D2511" i="2"/>
  <c r="E2511" i="2" s="1"/>
  <c r="I2510" i="2"/>
  <c r="H2510" i="2"/>
  <c r="F2510" i="2"/>
  <c r="D2510" i="2"/>
  <c r="E2510" i="2" s="1"/>
  <c r="I2509" i="2"/>
  <c r="H2509" i="2"/>
  <c r="F2509" i="2"/>
  <c r="D2509" i="2"/>
  <c r="E2509" i="2" s="1"/>
  <c r="I2508" i="2"/>
  <c r="H2508" i="2"/>
  <c r="F2508" i="2"/>
  <c r="D2508" i="2"/>
  <c r="E2508" i="2" s="1"/>
  <c r="I2507" i="2"/>
  <c r="H2507" i="2"/>
  <c r="F2507" i="2"/>
  <c r="D2507" i="2"/>
  <c r="E2507" i="2" s="1"/>
  <c r="I2506" i="2"/>
  <c r="H2506" i="2"/>
  <c r="F2506" i="2"/>
  <c r="D2506" i="2"/>
  <c r="E2506" i="2" s="1"/>
  <c r="I2505" i="2"/>
  <c r="H2505" i="2"/>
  <c r="F2505" i="2"/>
  <c r="D2505" i="2"/>
  <c r="E2505" i="2" s="1"/>
  <c r="I2504" i="2"/>
  <c r="H2504" i="2"/>
  <c r="F2504" i="2"/>
  <c r="D2504" i="2"/>
  <c r="E2504" i="2" s="1"/>
  <c r="I2503" i="2"/>
  <c r="H2503" i="2"/>
  <c r="F2503" i="2"/>
  <c r="D2503" i="2"/>
  <c r="E2503" i="2" s="1"/>
  <c r="I2502" i="2"/>
  <c r="H2502" i="2"/>
  <c r="F2502" i="2"/>
  <c r="D2502" i="2"/>
  <c r="E2502" i="2" s="1"/>
  <c r="I2501" i="2"/>
  <c r="H2501" i="2"/>
  <c r="F2501" i="2"/>
  <c r="D2501" i="2"/>
  <c r="E2501" i="2" s="1"/>
  <c r="I2500" i="2"/>
  <c r="H2500" i="2"/>
  <c r="F2500" i="2"/>
  <c r="D2500" i="2"/>
  <c r="E2500" i="2" s="1"/>
  <c r="I2499" i="2"/>
  <c r="H2499" i="2"/>
  <c r="F2499" i="2"/>
  <c r="D2499" i="2"/>
  <c r="E2499" i="2" s="1"/>
  <c r="I2498" i="2"/>
  <c r="H2498" i="2"/>
  <c r="F2498" i="2"/>
  <c r="D2498" i="2"/>
  <c r="E2498" i="2" s="1"/>
  <c r="I2497" i="2"/>
  <c r="H2497" i="2"/>
  <c r="F2497" i="2"/>
  <c r="D2497" i="2"/>
  <c r="E2497" i="2" s="1"/>
  <c r="I2496" i="2"/>
  <c r="H2496" i="2"/>
  <c r="F2496" i="2"/>
  <c r="D2496" i="2"/>
  <c r="E2496" i="2" s="1"/>
  <c r="I2495" i="2"/>
  <c r="H2495" i="2"/>
  <c r="F2495" i="2"/>
  <c r="D2495" i="2"/>
  <c r="E2495" i="2" s="1"/>
  <c r="I2494" i="2"/>
  <c r="H2494" i="2"/>
  <c r="F2494" i="2"/>
  <c r="D2494" i="2"/>
  <c r="E2494" i="2" s="1"/>
  <c r="I2493" i="2"/>
  <c r="H2493" i="2"/>
  <c r="F2493" i="2"/>
  <c r="D2493" i="2"/>
  <c r="E2493" i="2" s="1"/>
  <c r="I2492" i="2"/>
  <c r="H2492" i="2"/>
  <c r="F2492" i="2"/>
  <c r="D2492" i="2"/>
  <c r="E2492" i="2" s="1"/>
  <c r="I2491" i="2"/>
  <c r="H2491" i="2"/>
  <c r="F2491" i="2"/>
  <c r="D2491" i="2"/>
  <c r="E2491" i="2" s="1"/>
  <c r="I2490" i="2"/>
  <c r="H2490" i="2"/>
  <c r="F2490" i="2"/>
  <c r="D2490" i="2"/>
  <c r="E2490" i="2" s="1"/>
  <c r="I2489" i="2"/>
  <c r="H2489" i="2"/>
  <c r="F2489" i="2"/>
  <c r="D2489" i="2"/>
  <c r="E2489" i="2" s="1"/>
  <c r="I2488" i="2"/>
  <c r="H2488" i="2"/>
  <c r="F2488" i="2"/>
  <c r="D2488" i="2"/>
  <c r="E2488" i="2" s="1"/>
  <c r="I2487" i="2"/>
  <c r="H2487" i="2"/>
  <c r="F2487" i="2"/>
  <c r="D2487" i="2"/>
  <c r="E2487" i="2" s="1"/>
  <c r="I2486" i="2"/>
  <c r="H2486" i="2"/>
  <c r="F2486" i="2"/>
  <c r="D2486" i="2"/>
  <c r="E2486" i="2" s="1"/>
  <c r="I2485" i="2"/>
  <c r="H2485" i="2"/>
  <c r="F2485" i="2"/>
  <c r="D2485" i="2"/>
  <c r="E2485" i="2" s="1"/>
  <c r="I2484" i="2"/>
  <c r="H2484" i="2"/>
  <c r="F2484" i="2"/>
  <c r="D2484" i="2"/>
  <c r="E2484" i="2" s="1"/>
  <c r="I2483" i="2"/>
  <c r="H2483" i="2"/>
  <c r="F2483" i="2"/>
  <c r="D2483" i="2"/>
  <c r="E2483" i="2" s="1"/>
  <c r="I2482" i="2"/>
  <c r="H2482" i="2"/>
  <c r="F2482" i="2"/>
  <c r="D2482" i="2"/>
  <c r="E2482" i="2" s="1"/>
  <c r="I2481" i="2"/>
  <c r="H2481" i="2"/>
  <c r="F2481" i="2"/>
  <c r="D2481" i="2"/>
  <c r="E2481" i="2" s="1"/>
  <c r="I2480" i="2"/>
  <c r="H2480" i="2"/>
  <c r="F2480" i="2"/>
  <c r="D2480" i="2"/>
  <c r="E2480" i="2" s="1"/>
  <c r="I2479" i="2"/>
  <c r="H2479" i="2"/>
  <c r="F2479" i="2"/>
  <c r="D2479" i="2"/>
  <c r="E2479" i="2" s="1"/>
  <c r="I2478" i="2"/>
  <c r="H2478" i="2"/>
  <c r="F2478" i="2"/>
  <c r="D2478" i="2"/>
  <c r="E2478" i="2" s="1"/>
  <c r="I2477" i="2"/>
  <c r="H2477" i="2"/>
  <c r="F2477" i="2"/>
  <c r="D2477" i="2"/>
  <c r="E2477" i="2" s="1"/>
  <c r="I2476" i="2"/>
  <c r="H2476" i="2"/>
  <c r="F2476" i="2"/>
  <c r="D2476" i="2"/>
  <c r="E2476" i="2" s="1"/>
  <c r="I2475" i="2"/>
  <c r="H2475" i="2"/>
  <c r="F2475" i="2"/>
  <c r="D2475" i="2"/>
  <c r="E2475" i="2" s="1"/>
  <c r="I2474" i="2"/>
  <c r="H2474" i="2"/>
  <c r="F2474" i="2"/>
  <c r="D2474" i="2"/>
  <c r="E2474" i="2" s="1"/>
  <c r="I2473" i="2"/>
  <c r="H2473" i="2"/>
  <c r="F2473" i="2"/>
  <c r="D2473" i="2"/>
  <c r="E2473" i="2" s="1"/>
  <c r="I2472" i="2"/>
  <c r="H2472" i="2"/>
  <c r="F2472" i="2"/>
  <c r="D2472" i="2"/>
  <c r="E2472" i="2" s="1"/>
  <c r="I2471" i="2"/>
  <c r="H2471" i="2"/>
  <c r="F2471" i="2"/>
  <c r="D2471" i="2"/>
  <c r="E2471" i="2" s="1"/>
  <c r="I2470" i="2"/>
  <c r="H2470" i="2"/>
  <c r="F2470" i="2"/>
  <c r="D2470" i="2"/>
  <c r="E2470" i="2" s="1"/>
  <c r="I2469" i="2"/>
  <c r="H2469" i="2"/>
  <c r="F2469" i="2"/>
  <c r="D2469" i="2"/>
  <c r="E2469" i="2" s="1"/>
  <c r="I2468" i="2"/>
  <c r="H2468" i="2"/>
  <c r="F2468" i="2"/>
  <c r="D2468" i="2"/>
  <c r="E2468" i="2" s="1"/>
  <c r="I2467" i="2"/>
  <c r="H2467" i="2"/>
  <c r="F2467" i="2"/>
  <c r="D2467" i="2"/>
  <c r="E2467" i="2" s="1"/>
  <c r="I2466" i="2"/>
  <c r="H2466" i="2"/>
  <c r="F2466" i="2"/>
  <c r="D2466" i="2"/>
  <c r="E2466" i="2" s="1"/>
  <c r="I2465" i="2"/>
  <c r="H2465" i="2"/>
  <c r="F2465" i="2"/>
  <c r="D2465" i="2"/>
  <c r="E2465" i="2" s="1"/>
  <c r="I2464" i="2"/>
  <c r="H2464" i="2"/>
  <c r="F2464" i="2"/>
  <c r="D2464" i="2"/>
  <c r="E2464" i="2" s="1"/>
  <c r="I2463" i="2"/>
  <c r="H2463" i="2"/>
  <c r="F2463" i="2"/>
  <c r="D2463" i="2"/>
  <c r="E2463" i="2" s="1"/>
  <c r="I2462" i="2"/>
  <c r="H2462" i="2"/>
  <c r="F2462" i="2"/>
  <c r="D2462" i="2"/>
  <c r="E2462" i="2" s="1"/>
  <c r="I2461" i="2"/>
  <c r="H2461" i="2"/>
  <c r="F2461" i="2"/>
  <c r="D2461" i="2"/>
  <c r="E2461" i="2" s="1"/>
  <c r="I2460" i="2"/>
  <c r="H2460" i="2"/>
  <c r="F2460" i="2"/>
  <c r="D2460" i="2"/>
  <c r="E2460" i="2" s="1"/>
  <c r="I2459" i="2"/>
  <c r="H2459" i="2"/>
  <c r="F2459" i="2"/>
  <c r="D2459" i="2"/>
  <c r="E2459" i="2" s="1"/>
  <c r="I2458" i="2"/>
  <c r="H2458" i="2"/>
  <c r="F2458" i="2"/>
  <c r="D2458" i="2"/>
  <c r="E2458" i="2" s="1"/>
  <c r="I2457" i="2"/>
  <c r="H2457" i="2"/>
  <c r="F2457" i="2"/>
  <c r="D2457" i="2"/>
  <c r="E2457" i="2" s="1"/>
  <c r="I2456" i="2"/>
  <c r="H2456" i="2"/>
  <c r="F2456" i="2"/>
  <c r="D2456" i="2"/>
  <c r="E2456" i="2" s="1"/>
  <c r="I2455" i="2"/>
  <c r="H2455" i="2"/>
  <c r="F2455" i="2"/>
  <c r="D2455" i="2"/>
  <c r="E2455" i="2" s="1"/>
  <c r="I2454" i="2"/>
  <c r="H2454" i="2"/>
  <c r="F2454" i="2"/>
  <c r="D2454" i="2"/>
  <c r="E2454" i="2" s="1"/>
  <c r="I2453" i="2"/>
  <c r="H2453" i="2"/>
  <c r="F2453" i="2"/>
  <c r="D2453" i="2"/>
  <c r="E2453" i="2" s="1"/>
  <c r="I2452" i="2"/>
  <c r="H2452" i="2"/>
  <c r="F2452" i="2"/>
  <c r="D2452" i="2"/>
  <c r="E2452" i="2" s="1"/>
  <c r="I2451" i="2"/>
  <c r="H2451" i="2"/>
  <c r="F2451" i="2"/>
  <c r="D2451" i="2"/>
  <c r="E2451" i="2" s="1"/>
  <c r="I2450" i="2"/>
  <c r="H2450" i="2"/>
  <c r="F2450" i="2"/>
  <c r="D2450" i="2"/>
  <c r="E2450" i="2" s="1"/>
  <c r="I2449" i="2"/>
  <c r="H2449" i="2"/>
  <c r="F2449" i="2"/>
  <c r="D2449" i="2"/>
  <c r="E2449" i="2" s="1"/>
  <c r="I2448" i="2"/>
  <c r="H2448" i="2"/>
  <c r="F2448" i="2"/>
  <c r="D2448" i="2"/>
  <c r="E2448" i="2" s="1"/>
  <c r="I2447" i="2"/>
  <c r="H2447" i="2"/>
  <c r="F2447" i="2"/>
  <c r="D2447" i="2"/>
  <c r="E2447" i="2" s="1"/>
  <c r="I2446" i="2"/>
  <c r="H2446" i="2"/>
  <c r="F2446" i="2"/>
  <c r="D2446" i="2"/>
  <c r="E2446" i="2" s="1"/>
  <c r="I2445" i="2"/>
  <c r="H2445" i="2"/>
  <c r="F2445" i="2"/>
  <c r="D2445" i="2"/>
  <c r="E2445" i="2" s="1"/>
  <c r="I2444" i="2"/>
  <c r="H2444" i="2"/>
  <c r="F2444" i="2"/>
  <c r="D2444" i="2"/>
  <c r="E2444" i="2" s="1"/>
  <c r="I2443" i="2"/>
  <c r="H2443" i="2"/>
  <c r="F2443" i="2"/>
  <c r="D2443" i="2"/>
  <c r="E2443" i="2" s="1"/>
  <c r="I2442" i="2"/>
  <c r="H2442" i="2"/>
  <c r="F2442" i="2"/>
  <c r="D2442" i="2"/>
  <c r="E2442" i="2" s="1"/>
  <c r="I2441" i="2"/>
  <c r="H2441" i="2"/>
  <c r="F2441" i="2"/>
  <c r="D2441" i="2"/>
  <c r="E2441" i="2" s="1"/>
  <c r="I2440" i="2"/>
  <c r="H2440" i="2"/>
  <c r="F2440" i="2"/>
  <c r="D2440" i="2"/>
  <c r="E2440" i="2" s="1"/>
  <c r="I2439" i="2"/>
  <c r="H2439" i="2"/>
  <c r="F2439" i="2"/>
  <c r="D2439" i="2"/>
  <c r="E2439" i="2" s="1"/>
  <c r="I2438" i="2"/>
  <c r="H2438" i="2"/>
  <c r="F2438" i="2"/>
  <c r="D2438" i="2"/>
  <c r="E2438" i="2" s="1"/>
  <c r="I2437" i="2"/>
  <c r="H2437" i="2"/>
  <c r="F2437" i="2"/>
  <c r="D2437" i="2"/>
  <c r="E2437" i="2" s="1"/>
  <c r="I2436" i="2"/>
  <c r="H2436" i="2"/>
  <c r="F2436" i="2"/>
  <c r="D2436" i="2"/>
  <c r="E2436" i="2" s="1"/>
  <c r="I2435" i="2"/>
  <c r="H2435" i="2"/>
  <c r="F2435" i="2"/>
  <c r="D2435" i="2"/>
  <c r="E2435" i="2" s="1"/>
  <c r="I2434" i="2"/>
  <c r="H2434" i="2"/>
  <c r="F2434" i="2"/>
  <c r="D2434" i="2"/>
  <c r="E2434" i="2" s="1"/>
  <c r="I2433" i="2"/>
  <c r="H2433" i="2"/>
  <c r="F2433" i="2"/>
  <c r="D2433" i="2"/>
  <c r="E2433" i="2" s="1"/>
  <c r="I2432" i="2"/>
  <c r="H2432" i="2"/>
  <c r="F2432" i="2"/>
  <c r="D2432" i="2"/>
  <c r="E2432" i="2" s="1"/>
  <c r="I2431" i="2"/>
  <c r="H2431" i="2"/>
  <c r="F2431" i="2"/>
  <c r="D2431" i="2"/>
  <c r="E2431" i="2" s="1"/>
  <c r="I2430" i="2"/>
  <c r="H2430" i="2"/>
  <c r="F2430" i="2"/>
  <c r="D2430" i="2"/>
  <c r="E2430" i="2" s="1"/>
  <c r="I2429" i="2"/>
  <c r="H2429" i="2"/>
  <c r="F2429" i="2"/>
  <c r="D2429" i="2"/>
  <c r="E2429" i="2" s="1"/>
  <c r="J2429" i="2" s="1"/>
  <c r="K2429" i="2" s="1"/>
  <c r="I2428" i="2"/>
  <c r="H2428" i="2"/>
  <c r="F2428" i="2"/>
  <c r="D2428" i="2"/>
  <c r="E2428" i="2" s="1"/>
  <c r="I2427" i="2"/>
  <c r="H2427" i="2"/>
  <c r="F2427" i="2"/>
  <c r="D2427" i="2"/>
  <c r="E2427" i="2" s="1"/>
  <c r="I2426" i="2"/>
  <c r="H2426" i="2"/>
  <c r="F2426" i="2"/>
  <c r="D2426" i="2"/>
  <c r="E2426" i="2" s="1"/>
  <c r="J2426" i="2" s="1"/>
  <c r="K2426" i="2" s="1"/>
  <c r="I2425" i="2"/>
  <c r="H2425" i="2"/>
  <c r="F2425" i="2"/>
  <c r="D2425" i="2"/>
  <c r="E2425" i="2" s="1"/>
  <c r="I2424" i="2"/>
  <c r="H2424" i="2"/>
  <c r="F2424" i="2"/>
  <c r="D2424" i="2"/>
  <c r="E2424" i="2" s="1"/>
  <c r="I2423" i="2"/>
  <c r="H2423" i="2"/>
  <c r="F2423" i="2"/>
  <c r="D2423" i="2"/>
  <c r="E2423" i="2" s="1"/>
  <c r="I2422" i="2"/>
  <c r="H2422" i="2"/>
  <c r="F2422" i="2"/>
  <c r="D2422" i="2"/>
  <c r="E2422" i="2" s="1"/>
  <c r="J2422" i="2" s="1"/>
  <c r="K2422" i="2" s="1"/>
  <c r="I2421" i="2"/>
  <c r="H2421" i="2"/>
  <c r="F2421" i="2"/>
  <c r="D2421" i="2"/>
  <c r="E2421" i="2" s="1"/>
  <c r="I2420" i="2"/>
  <c r="H2420" i="2"/>
  <c r="F2420" i="2"/>
  <c r="D2420" i="2"/>
  <c r="E2420" i="2" s="1"/>
  <c r="I2419" i="2"/>
  <c r="H2419" i="2"/>
  <c r="F2419" i="2"/>
  <c r="D2419" i="2"/>
  <c r="E2419" i="2" s="1"/>
  <c r="I2418" i="2"/>
  <c r="H2418" i="2"/>
  <c r="F2418" i="2"/>
  <c r="D2418" i="2"/>
  <c r="E2418" i="2" s="1"/>
  <c r="I2417" i="2"/>
  <c r="H2417" i="2"/>
  <c r="F2417" i="2"/>
  <c r="D2417" i="2"/>
  <c r="E2417" i="2" s="1"/>
  <c r="I2416" i="2"/>
  <c r="H2416" i="2"/>
  <c r="F2416" i="2"/>
  <c r="D2416" i="2"/>
  <c r="E2416" i="2" s="1"/>
  <c r="I2415" i="2"/>
  <c r="H2415" i="2"/>
  <c r="F2415" i="2"/>
  <c r="D2415" i="2"/>
  <c r="E2415" i="2" s="1"/>
  <c r="I2414" i="2"/>
  <c r="H2414" i="2"/>
  <c r="F2414" i="2"/>
  <c r="D2414" i="2"/>
  <c r="E2414" i="2" s="1"/>
  <c r="I2413" i="2"/>
  <c r="H2413" i="2"/>
  <c r="F2413" i="2"/>
  <c r="D2413" i="2"/>
  <c r="E2413" i="2" s="1"/>
  <c r="I2412" i="2"/>
  <c r="H2412" i="2"/>
  <c r="F2412" i="2"/>
  <c r="D2412" i="2"/>
  <c r="E2412" i="2" s="1"/>
  <c r="J2412" i="2" s="1"/>
  <c r="K2412" i="2" s="1"/>
  <c r="I2411" i="2"/>
  <c r="H2411" i="2"/>
  <c r="F2411" i="2"/>
  <c r="D2411" i="2"/>
  <c r="E2411" i="2" s="1"/>
  <c r="I2410" i="2"/>
  <c r="H2410" i="2"/>
  <c r="F2410" i="2"/>
  <c r="D2410" i="2"/>
  <c r="E2410" i="2" s="1"/>
  <c r="I2409" i="2"/>
  <c r="H2409" i="2"/>
  <c r="F2409" i="2"/>
  <c r="D2409" i="2"/>
  <c r="E2409" i="2" s="1"/>
  <c r="I2408" i="2"/>
  <c r="H2408" i="2"/>
  <c r="F2408" i="2"/>
  <c r="D2408" i="2"/>
  <c r="E2408" i="2" s="1"/>
  <c r="I2407" i="2"/>
  <c r="H2407" i="2"/>
  <c r="F2407" i="2"/>
  <c r="D2407" i="2"/>
  <c r="E2407" i="2" s="1"/>
  <c r="I2406" i="2"/>
  <c r="H2406" i="2"/>
  <c r="F2406" i="2"/>
  <c r="D2406" i="2"/>
  <c r="E2406" i="2" s="1"/>
  <c r="I2405" i="2"/>
  <c r="H2405" i="2"/>
  <c r="F2405" i="2"/>
  <c r="D2405" i="2"/>
  <c r="E2405" i="2" s="1"/>
  <c r="I2404" i="2"/>
  <c r="H2404" i="2"/>
  <c r="F2404" i="2"/>
  <c r="D2404" i="2"/>
  <c r="E2404" i="2" s="1"/>
  <c r="I2403" i="2"/>
  <c r="H2403" i="2"/>
  <c r="F2403" i="2"/>
  <c r="D2403" i="2"/>
  <c r="E2403" i="2" s="1"/>
  <c r="I2402" i="2"/>
  <c r="H2402" i="2"/>
  <c r="F2402" i="2"/>
  <c r="D2402" i="2"/>
  <c r="E2402" i="2" s="1"/>
  <c r="I2401" i="2"/>
  <c r="H2401" i="2"/>
  <c r="F2401" i="2"/>
  <c r="D2401" i="2"/>
  <c r="E2401" i="2" s="1"/>
  <c r="I2400" i="2"/>
  <c r="H2400" i="2"/>
  <c r="F2400" i="2"/>
  <c r="D2400" i="2"/>
  <c r="E2400" i="2" s="1"/>
  <c r="I2399" i="2"/>
  <c r="H2399" i="2"/>
  <c r="F2399" i="2"/>
  <c r="D2399" i="2"/>
  <c r="E2399" i="2" s="1"/>
  <c r="I2398" i="2"/>
  <c r="H2398" i="2"/>
  <c r="F2398" i="2"/>
  <c r="D2398" i="2"/>
  <c r="E2398" i="2" s="1"/>
  <c r="I2397" i="2"/>
  <c r="H2397" i="2"/>
  <c r="F2397" i="2"/>
  <c r="D2397" i="2"/>
  <c r="E2397" i="2" s="1"/>
  <c r="I2396" i="2"/>
  <c r="H2396" i="2"/>
  <c r="F2396" i="2"/>
  <c r="D2396" i="2"/>
  <c r="E2396" i="2" s="1"/>
  <c r="I2395" i="2"/>
  <c r="H2395" i="2"/>
  <c r="F2395" i="2"/>
  <c r="D2395" i="2"/>
  <c r="E2395" i="2" s="1"/>
  <c r="I2394" i="2"/>
  <c r="H2394" i="2"/>
  <c r="F2394" i="2"/>
  <c r="D2394" i="2"/>
  <c r="E2394" i="2" s="1"/>
  <c r="I2393" i="2"/>
  <c r="H2393" i="2"/>
  <c r="F2393" i="2"/>
  <c r="D2393" i="2"/>
  <c r="E2393" i="2" s="1"/>
  <c r="I2392" i="2"/>
  <c r="H2392" i="2"/>
  <c r="F2392" i="2"/>
  <c r="D2392" i="2"/>
  <c r="E2392" i="2" s="1"/>
  <c r="I2391" i="2"/>
  <c r="H2391" i="2"/>
  <c r="F2391" i="2"/>
  <c r="D2391" i="2"/>
  <c r="E2391" i="2" s="1"/>
  <c r="I2390" i="2"/>
  <c r="H2390" i="2"/>
  <c r="F2390" i="2"/>
  <c r="D2390" i="2"/>
  <c r="E2390" i="2" s="1"/>
  <c r="I2389" i="2"/>
  <c r="H2389" i="2"/>
  <c r="F2389" i="2"/>
  <c r="D2389" i="2"/>
  <c r="E2389" i="2" s="1"/>
  <c r="I2388" i="2"/>
  <c r="H2388" i="2"/>
  <c r="F2388" i="2"/>
  <c r="D2388" i="2"/>
  <c r="E2388" i="2" s="1"/>
  <c r="I2387" i="2"/>
  <c r="H2387" i="2"/>
  <c r="F2387" i="2"/>
  <c r="D2387" i="2"/>
  <c r="E2387" i="2" s="1"/>
  <c r="I2386" i="2"/>
  <c r="H2386" i="2"/>
  <c r="F2386" i="2"/>
  <c r="D2386" i="2"/>
  <c r="E2386" i="2" s="1"/>
  <c r="I2385" i="2"/>
  <c r="H2385" i="2"/>
  <c r="F2385" i="2"/>
  <c r="D2385" i="2"/>
  <c r="E2385" i="2" s="1"/>
  <c r="I2384" i="2"/>
  <c r="H2384" i="2"/>
  <c r="F2384" i="2"/>
  <c r="E2384" i="2"/>
  <c r="D2384" i="2"/>
  <c r="I2383" i="2"/>
  <c r="H2383" i="2"/>
  <c r="F2383" i="2"/>
  <c r="D2383" i="2"/>
  <c r="E2383" i="2" s="1"/>
  <c r="I2382" i="2"/>
  <c r="H2382" i="2"/>
  <c r="F2382" i="2"/>
  <c r="D2382" i="2"/>
  <c r="E2382" i="2" s="1"/>
  <c r="I2381" i="2"/>
  <c r="H2381" i="2"/>
  <c r="F2381" i="2"/>
  <c r="D2381" i="2"/>
  <c r="E2381" i="2" s="1"/>
  <c r="I2380" i="2"/>
  <c r="H2380" i="2"/>
  <c r="F2380" i="2"/>
  <c r="D2380" i="2"/>
  <c r="E2380" i="2" s="1"/>
  <c r="I2379" i="2"/>
  <c r="H2379" i="2"/>
  <c r="F2379" i="2"/>
  <c r="D2379" i="2"/>
  <c r="E2379" i="2" s="1"/>
  <c r="I2378" i="2"/>
  <c r="H2378" i="2"/>
  <c r="F2378" i="2"/>
  <c r="D2378" i="2"/>
  <c r="E2378" i="2" s="1"/>
  <c r="I2377" i="2"/>
  <c r="H2377" i="2"/>
  <c r="F2377" i="2"/>
  <c r="D2377" i="2"/>
  <c r="E2377" i="2" s="1"/>
  <c r="I2376" i="2"/>
  <c r="H2376" i="2"/>
  <c r="F2376" i="2"/>
  <c r="D2376" i="2"/>
  <c r="E2376" i="2" s="1"/>
  <c r="I2375" i="2"/>
  <c r="H2375" i="2"/>
  <c r="F2375" i="2"/>
  <c r="D2375" i="2"/>
  <c r="E2375" i="2" s="1"/>
  <c r="I2374" i="2"/>
  <c r="H2374" i="2"/>
  <c r="F2374" i="2"/>
  <c r="D2374" i="2"/>
  <c r="E2374" i="2" s="1"/>
  <c r="I2373" i="2"/>
  <c r="H2373" i="2"/>
  <c r="F2373" i="2"/>
  <c r="D2373" i="2"/>
  <c r="E2373" i="2" s="1"/>
  <c r="I2372" i="2"/>
  <c r="H2372" i="2"/>
  <c r="F2372" i="2"/>
  <c r="D2372" i="2"/>
  <c r="E2372" i="2" s="1"/>
  <c r="I2371" i="2"/>
  <c r="H2371" i="2"/>
  <c r="F2371" i="2"/>
  <c r="D2371" i="2"/>
  <c r="E2371" i="2" s="1"/>
  <c r="I2370" i="2"/>
  <c r="H2370" i="2"/>
  <c r="F2370" i="2"/>
  <c r="D2370" i="2"/>
  <c r="E2370" i="2" s="1"/>
  <c r="I2369" i="2"/>
  <c r="H2369" i="2"/>
  <c r="F2369" i="2"/>
  <c r="D2369" i="2"/>
  <c r="E2369" i="2" s="1"/>
  <c r="I2368" i="2"/>
  <c r="H2368" i="2"/>
  <c r="F2368" i="2"/>
  <c r="D2368" i="2"/>
  <c r="E2368" i="2" s="1"/>
  <c r="I2367" i="2"/>
  <c r="H2367" i="2"/>
  <c r="F2367" i="2"/>
  <c r="D2367" i="2"/>
  <c r="E2367" i="2" s="1"/>
  <c r="I2366" i="2"/>
  <c r="H2366" i="2"/>
  <c r="F2366" i="2"/>
  <c r="D2366" i="2"/>
  <c r="E2366" i="2" s="1"/>
  <c r="I2365" i="2"/>
  <c r="H2365" i="2"/>
  <c r="F2365" i="2"/>
  <c r="D2365" i="2"/>
  <c r="E2365" i="2" s="1"/>
  <c r="I2364" i="2"/>
  <c r="H2364" i="2"/>
  <c r="F2364" i="2"/>
  <c r="D2364" i="2"/>
  <c r="E2364" i="2" s="1"/>
  <c r="I2363" i="2"/>
  <c r="H2363" i="2"/>
  <c r="F2363" i="2"/>
  <c r="D2363" i="2"/>
  <c r="E2363" i="2" s="1"/>
  <c r="I2362" i="2"/>
  <c r="H2362" i="2"/>
  <c r="F2362" i="2"/>
  <c r="D2362" i="2"/>
  <c r="E2362" i="2" s="1"/>
  <c r="I2361" i="2"/>
  <c r="H2361" i="2"/>
  <c r="F2361" i="2"/>
  <c r="D2361" i="2"/>
  <c r="E2361" i="2" s="1"/>
  <c r="I2360" i="2"/>
  <c r="H2360" i="2"/>
  <c r="F2360" i="2"/>
  <c r="D2360" i="2"/>
  <c r="E2360" i="2" s="1"/>
  <c r="I2359" i="2"/>
  <c r="H2359" i="2"/>
  <c r="F2359" i="2"/>
  <c r="D2359" i="2"/>
  <c r="E2359" i="2" s="1"/>
  <c r="I2358" i="2"/>
  <c r="H2358" i="2"/>
  <c r="F2358" i="2"/>
  <c r="D2358" i="2"/>
  <c r="E2358" i="2" s="1"/>
  <c r="I2357" i="2"/>
  <c r="H2357" i="2"/>
  <c r="F2357" i="2"/>
  <c r="D2357" i="2"/>
  <c r="E2357" i="2" s="1"/>
  <c r="I2356" i="2"/>
  <c r="H2356" i="2"/>
  <c r="F2356" i="2"/>
  <c r="D2356" i="2"/>
  <c r="E2356" i="2" s="1"/>
  <c r="I2355" i="2"/>
  <c r="H2355" i="2"/>
  <c r="F2355" i="2"/>
  <c r="D2355" i="2"/>
  <c r="E2355" i="2" s="1"/>
  <c r="I2354" i="2"/>
  <c r="H2354" i="2"/>
  <c r="F2354" i="2"/>
  <c r="D2354" i="2"/>
  <c r="E2354" i="2" s="1"/>
  <c r="I2353" i="2"/>
  <c r="H2353" i="2"/>
  <c r="F2353" i="2"/>
  <c r="D2353" i="2"/>
  <c r="E2353" i="2" s="1"/>
  <c r="I2352" i="2"/>
  <c r="H2352" i="2"/>
  <c r="F2352" i="2"/>
  <c r="D2352" i="2"/>
  <c r="E2352" i="2" s="1"/>
  <c r="I2351" i="2"/>
  <c r="H2351" i="2"/>
  <c r="F2351" i="2"/>
  <c r="D2351" i="2"/>
  <c r="E2351" i="2" s="1"/>
  <c r="I2350" i="2"/>
  <c r="H2350" i="2"/>
  <c r="F2350" i="2"/>
  <c r="D2350" i="2"/>
  <c r="E2350" i="2" s="1"/>
  <c r="I2349" i="2"/>
  <c r="H2349" i="2"/>
  <c r="F2349" i="2"/>
  <c r="D2349" i="2"/>
  <c r="E2349" i="2" s="1"/>
  <c r="I2348" i="2"/>
  <c r="H2348" i="2"/>
  <c r="F2348" i="2"/>
  <c r="D2348" i="2"/>
  <c r="E2348" i="2" s="1"/>
  <c r="I2347" i="2"/>
  <c r="H2347" i="2"/>
  <c r="F2347" i="2"/>
  <c r="D2347" i="2"/>
  <c r="E2347" i="2" s="1"/>
  <c r="I2346" i="2"/>
  <c r="H2346" i="2"/>
  <c r="F2346" i="2"/>
  <c r="D2346" i="2"/>
  <c r="E2346" i="2" s="1"/>
  <c r="I2345" i="2"/>
  <c r="H2345" i="2"/>
  <c r="F2345" i="2"/>
  <c r="D2345" i="2"/>
  <c r="E2345" i="2" s="1"/>
  <c r="I2344" i="2"/>
  <c r="H2344" i="2"/>
  <c r="F2344" i="2"/>
  <c r="D2344" i="2"/>
  <c r="E2344" i="2" s="1"/>
  <c r="I2343" i="2"/>
  <c r="J2343" i="2" s="1"/>
  <c r="K2343" i="2" s="1"/>
  <c r="H2343" i="2"/>
  <c r="F2343" i="2"/>
  <c r="D2343" i="2"/>
  <c r="E2343" i="2" s="1"/>
  <c r="I2342" i="2"/>
  <c r="H2342" i="2"/>
  <c r="F2342" i="2"/>
  <c r="D2342" i="2"/>
  <c r="E2342" i="2" s="1"/>
  <c r="I2341" i="2"/>
  <c r="H2341" i="2"/>
  <c r="F2341" i="2"/>
  <c r="D2341" i="2"/>
  <c r="E2341" i="2" s="1"/>
  <c r="I2340" i="2"/>
  <c r="H2340" i="2"/>
  <c r="F2340" i="2"/>
  <c r="D2340" i="2"/>
  <c r="E2340" i="2" s="1"/>
  <c r="I2339" i="2"/>
  <c r="H2339" i="2"/>
  <c r="F2339" i="2"/>
  <c r="D2339" i="2"/>
  <c r="E2339" i="2" s="1"/>
  <c r="I2338" i="2"/>
  <c r="H2338" i="2"/>
  <c r="F2338" i="2"/>
  <c r="D2338" i="2"/>
  <c r="E2338" i="2" s="1"/>
  <c r="I2337" i="2"/>
  <c r="H2337" i="2"/>
  <c r="F2337" i="2"/>
  <c r="D2337" i="2"/>
  <c r="E2337" i="2" s="1"/>
  <c r="I2336" i="2"/>
  <c r="H2336" i="2"/>
  <c r="F2336" i="2"/>
  <c r="D2336" i="2"/>
  <c r="E2336" i="2" s="1"/>
  <c r="I2335" i="2"/>
  <c r="H2335" i="2"/>
  <c r="F2335" i="2"/>
  <c r="D2335" i="2"/>
  <c r="E2335" i="2" s="1"/>
  <c r="I2334" i="2"/>
  <c r="H2334" i="2"/>
  <c r="F2334" i="2"/>
  <c r="D2334" i="2"/>
  <c r="E2334" i="2" s="1"/>
  <c r="I2333" i="2"/>
  <c r="H2333" i="2"/>
  <c r="F2333" i="2"/>
  <c r="D2333" i="2"/>
  <c r="E2333" i="2" s="1"/>
  <c r="I2332" i="2"/>
  <c r="H2332" i="2"/>
  <c r="F2332" i="2"/>
  <c r="D2332" i="2"/>
  <c r="E2332" i="2" s="1"/>
  <c r="I2331" i="2"/>
  <c r="H2331" i="2"/>
  <c r="F2331" i="2"/>
  <c r="D2331" i="2"/>
  <c r="E2331" i="2" s="1"/>
  <c r="I2330" i="2"/>
  <c r="H2330" i="2"/>
  <c r="F2330" i="2"/>
  <c r="D2330" i="2"/>
  <c r="E2330" i="2" s="1"/>
  <c r="I2329" i="2"/>
  <c r="H2329" i="2"/>
  <c r="F2329" i="2"/>
  <c r="D2329" i="2"/>
  <c r="E2329" i="2" s="1"/>
  <c r="I2328" i="2"/>
  <c r="H2328" i="2"/>
  <c r="F2328" i="2"/>
  <c r="D2328" i="2"/>
  <c r="E2328" i="2" s="1"/>
  <c r="I2327" i="2"/>
  <c r="H2327" i="2"/>
  <c r="F2327" i="2"/>
  <c r="D2327" i="2"/>
  <c r="E2327" i="2" s="1"/>
  <c r="I2326" i="2"/>
  <c r="H2326" i="2"/>
  <c r="F2326" i="2"/>
  <c r="D2326" i="2"/>
  <c r="E2326" i="2" s="1"/>
  <c r="I2325" i="2"/>
  <c r="H2325" i="2"/>
  <c r="F2325" i="2"/>
  <c r="D2325" i="2"/>
  <c r="E2325" i="2" s="1"/>
  <c r="I2324" i="2"/>
  <c r="H2324" i="2"/>
  <c r="F2324" i="2"/>
  <c r="D2324" i="2"/>
  <c r="E2324" i="2" s="1"/>
  <c r="I2323" i="2"/>
  <c r="H2323" i="2"/>
  <c r="F2323" i="2"/>
  <c r="D2323" i="2"/>
  <c r="E2323" i="2" s="1"/>
  <c r="I2322" i="2"/>
  <c r="H2322" i="2"/>
  <c r="F2322" i="2"/>
  <c r="D2322" i="2"/>
  <c r="E2322" i="2" s="1"/>
  <c r="I2321" i="2"/>
  <c r="H2321" i="2"/>
  <c r="F2321" i="2"/>
  <c r="D2321" i="2"/>
  <c r="E2321" i="2" s="1"/>
  <c r="I2320" i="2"/>
  <c r="H2320" i="2"/>
  <c r="F2320" i="2"/>
  <c r="D2320" i="2"/>
  <c r="E2320" i="2" s="1"/>
  <c r="I2319" i="2"/>
  <c r="H2319" i="2"/>
  <c r="F2319" i="2"/>
  <c r="D2319" i="2"/>
  <c r="E2319" i="2" s="1"/>
  <c r="I2318" i="2"/>
  <c r="H2318" i="2"/>
  <c r="F2318" i="2"/>
  <c r="D2318" i="2"/>
  <c r="E2318" i="2" s="1"/>
  <c r="I2317" i="2"/>
  <c r="H2317" i="2"/>
  <c r="F2317" i="2"/>
  <c r="D2317" i="2"/>
  <c r="E2317" i="2" s="1"/>
  <c r="I2316" i="2"/>
  <c r="H2316" i="2"/>
  <c r="F2316" i="2"/>
  <c r="D2316" i="2"/>
  <c r="E2316" i="2" s="1"/>
  <c r="I2315" i="2"/>
  <c r="H2315" i="2"/>
  <c r="F2315" i="2"/>
  <c r="D2315" i="2"/>
  <c r="E2315" i="2" s="1"/>
  <c r="I2314" i="2"/>
  <c r="H2314" i="2"/>
  <c r="F2314" i="2"/>
  <c r="D2314" i="2"/>
  <c r="E2314" i="2" s="1"/>
  <c r="I2313" i="2"/>
  <c r="H2313" i="2"/>
  <c r="F2313" i="2"/>
  <c r="D2313" i="2"/>
  <c r="E2313" i="2" s="1"/>
  <c r="I2312" i="2"/>
  <c r="H2312" i="2"/>
  <c r="F2312" i="2"/>
  <c r="D2312" i="2"/>
  <c r="E2312" i="2" s="1"/>
  <c r="I2311" i="2"/>
  <c r="H2311" i="2"/>
  <c r="F2311" i="2"/>
  <c r="D2311" i="2"/>
  <c r="E2311" i="2" s="1"/>
  <c r="I2310" i="2"/>
  <c r="H2310" i="2"/>
  <c r="F2310" i="2"/>
  <c r="D2310" i="2"/>
  <c r="E2310" i="2" s="1"/>
  <c r="I2309" i="2"/>
  <c r="H2309" i="2"/>
  <c r="F2309" i="2"/>
  <c r="D2309" i="2"/>
  <c r="E2309" i="2" s="1"/>
  <c r="I2308" i="2"/>
  <c r="H2308" i="2"/>
  <c r="F2308" i="2"/>
  <c r="D2308" i="2"/>
  <c r="E2308" i="2" s="1"/>
  <c r="I2307" i="2"/>
  <c r="H2307" i="2"/>
  <c r="F2307" i="2"/>
  <c r="D2307" i="2"/>
  <c r="E2307" i="2" s="1"/>
  <c r="I2306" i="2"/>
  <c r="H2306" i="2"/>
  <c r="F2306" i="2"/>
  <c r="D2306" i="2"/>
  <c r="E2306" i="2" s="1"/>
  <c r="I2305" i="2"/>
  <c r="H2305" i="2"/>
  <c r="F2305" i="2"/>
  <c r="D2305" i="2"/>
  <c r="E2305" i="2" s="1"/>
  <c r="I2304" i="2"/>
  <c r="H2304" i="2"/>
  <c r="F2304" i="2"/>
  <c r="D2304" i="2"/>
  <c r="E2304" i="2" s="1"/>
  <c r="I2303" i="2"/>
  <c r="H2303" i="2"/>
  <c r="F2303" i="2"/>
  <c r="D2303" i="2"/>
  <c r="E2303" i="2" s="1"/>
  <c r="J2302" i="2"/>
  <c r="K2302" i="2" s="1"/>
  <c r="I2302" i="2"/>
  <c r="H2302" i="2"/>
  <c r="F2302" i="2"/>
  <c r="D2302" i="2"/>
  <c r="E2302" i="2" s="1"/>
  <c r="I2301" i="2"/>
  <c r="H2301" i="2"/>
  <c r="F2301" i="2"/>
  <c r="D2301" i="2"/>
  <c r="E2301" i="2" s="1"/>
  <c r="I2300" i="2"/>
  <c r="H2300" i="2"/>
  <c r="F2300" i="2"/>
  <c r="D2300" i="2"/>
  <c r="E2300" i="2" s="1"/>
  <c r="I2299" i="2"/>
  <c r="H2299" i="2"/>
  <c r="F2299" i="2"/>
  <c r="D2299" i="2"/>
  <c r="E2299" i="2" s="1"/>
  <c r="I2298" i="2"/>
  <c r="H2298" i="2"/>
  <c r="F2298" i="2"/>
  <c r="D2298" i="2"/>
  <c r="E2298" i="2" s="1"/>
  <c r="I2297" i="2"/>
  <c r="H2297" i="2"/>
  <c r="F2297" i="2"/>
  <c r="E2297" i="2"/>
  <c r="D2297" i="2"/>
  <c r="I2296" i="2"/>
  <c r="H2296" i="2"/>
  <c r="F2296" i="2"/>
  <c r="D2296" i="2"/>
  <c r="E2296" i="2" s="1"/>
  <c r="I2295" i="2"/>
  <c r="H2295" i="2"/>
  <c r="F2295" i="2"/>
  <c r="D2295" i="2"/>
  <c r="E2295" i="2" s="1"/>
  <c r="I2294" i="2"/>
  <c r="H2294" i="2"/>
  <c r="F2294" i="2"/>
  <c r="D2294" i="2"/>
  <c r="E2294" i="2" s="1"/>
  <c r="J2294" i="2" s="1"/>
  <c r="K2294" i="2" s="1"/>
  <c r="I2293" i="2"/>
  <c r="H2293" i="2"/>
  <c r="F2293" i="2"/>
  <c r="D2293" i="2"/>
  <c r="E2293" i="2" s="1"/>
  <c r="I2292" i="2"/>
  <c r="H2292" i="2"/>
  <c r="F2292" i="2"/>
  <c r="D2292" i="2"/>
  <c r="E2292" i="2" s="1"/>
  <c r="I2291" i="2"/>
  <c r="H2291" i="2"/>
  <c r="F2291" i="2"/>
  <c r="D2291" i="2"/>
  <c r="E2291" i="2" s="1"/>
  <c r="I2290" i="2"/>
  <c r="H2290" i="2"/>
  <c r="F2290" i="2"/>
  <c r="D2290" i="2"/>
  <c r="E2290" i="2" s="1"/>
  <c r="I2289" i="2"/>
  <c r="H2289" i="2"/>
  <c r="F2289" i="2"/>
  <c r="D2289" i="2"/>
  <c r="E2289" i="2" s="1"/>
  <c r="I2288" i="2"/>
  <c r="H2288" i="2"/>
  <c r="F2288" i="2"/>
  <c r="D2288" i="2"/>
  <c r="E2288" i="2" s="1"/>
  <c r="I2287" i="2"/>
  <c r="H2287" i="2"/>
  <c r="F2287" i="2"/>
  <c r="D2287" i="2"/>
  <c r="E2287" i="2" s="1"/>
  <c r="I2286" i="2"/>
  <c r="H2286" i="2"/>
  <c r="F2286" i="2"/>
  <c r="D2286" i="2"/>
  <c r="E2286" i="2" s="1"/>
  <c r="J2286" i="2" s="1"/>
  <c r="K2286" i="2" s="1"/>
  <c r="I2285" i="2"/>
  <c r="H2285" i="2"/>
  <c r="F2285" i="2"/>
  <c r="D2285" i="2"/>
  <c r="E2285" i="2" s="1"/>
  <c r="I2284" i="2"/>
  <c r="H2284" i="2"/>
  <c r="F2284" i="2"/>
  <c r="D2284" i="2"/>
  <c r="E2284" i="2" s="1"/>
  <c r="I2283" i="2"/>
  <c r="H2283" i="2"/>
  <c r="F2283" i="2"/>
  <c r="D2283" i="2"/>
  <c r="E2283" i="2" s="1"/>
  <c r="I2282" i="2"/>
  <c r="H2282" i="2"/>
  <c r="F2282" i="2"/>
  <c r="D2282" i="2"/>
  <c r="E2282" i="2" s="1"/>
  <c r="I2281" i="2"/>
  <c r="H2281" i="2"/>
  <c r="F2281" i="2"/>
  <c r="D2281" i="2"/>
  <c r="E2281" i="2" s="1"/>
  <c r="I2280" i="2"/>
  <c r="H2280" i="2"/>
  <c r="F2280" i="2"/>
  <c r="D2280" i="2"/>
  <c r="E2280" i="2" s="1"/>
  <c r="I2279" i="2"/>
  <c r="H2279" i="2"/>
  <c r="F2279" i="2"/>
  <c r="D2279" i="2"/>
  <c r="E2279" i="2" s="1"/>
  <c r="I2278" i="2"/>
  <c r="H2278" i="2"/>
  <c r="F2278" i="2"/>
  <c r="D2278" i="2"/>
  <c r="E2278" i="2" s="1"/>
  <c r="I2277" i="2"/>
  <c r="H2277" i="2"/>
  <c r="F2277" i="2"/>
  <c r="D2277" i="2"/>
  <c r="E2277" i="2" s="1"/>
  <c r="I2276" i="2"/>
  <c r="H2276" i="2"/>
  <c r="F2276" i="2"/>
  <c r="D2276" i="2"/>
  <c r="E2276" i="2" s="1"/>
  <c r="I2275" i="2"/>
  <c r="H2275" i="2"/>
  <c r="F2275" i="2"/>
  <c r="D2275" i="2"/>
  <c r="E2275" i="2" s="1"/>
  <c r="I2274" i="2"/>
  <c r="H2274" i="2"/>
  <c r="F2274" i="2"/>
  <c r="D2274" i="2"/>
  <c r="E2274" i="2" s="1"/>
  <c r="I2273" i="2"/>
  <c r="H2273" i="2"/>
  <c r="F2273" i="2"/>
  <c r="D2273" i="2"/>
  <c r="E2273" i="2" s="1"/>
  <c r="I2272" i="2"/>
  <c r="H2272" i="2"/>
  <c r="F2272" i="2"/>
  <c r="D2272" i="2"/>
  <c r="E2272" i="2" s="1"/>
  <c r="I2271" i="2"/>
  <c r="H2271" i="2"/>
  <c r="F2271" i="2"/>
  <c r="D2271" i="2"/>
  <c r="E2271" i="2" s="1"/>
  <c r="I2270" i="2"/>
  <c r="H2270" i="2"/>
  <c r="F2270" i="2"/>
  <c r="D2270" i="2"/>
  <c r="E2270" i="2" s="1"/>
  <c r="I2269" i="2"/>
  <c r="H2269" i="2"/>
  <c r="F2269" i="2"/>
  <c r="D2269" i="2"/>
  <c r="E2269" i="2" s="1"/>
  <c r="I2268" i="2"/>
  <c r="H2268" i="2"/>
  <c r="F2268" i="2"/>
  <c r="D2268" i="2"/>
  <c r="E2268" i="2" s="1"/>
  <c r="I2267" i="2"/>
  <c r="H2267" i="2"/>
  <c r="F2267" i="2"/>
  <c r="D2267" i="2"/>
  <c r="E2267" i="2" s="1"/>
  <c r="I2266" i="2"/>
  <c r="H2266" i="2"/>
  <c r="F2266" i="2"/>
  <c r="D2266" i="2"/>
  <c r="E2266" i="2" s="1"/>
  <c r="I2265" i="2"/>
  <c r="H2265" i="2"/>
  <c r="F2265" i="2"/>
  <c r="D2265" i="2"/>
  <c r="E2265" i="2" s="1"/>
  <c r="I2264" i="2"/>
  <c r="H2264" i="2"/>
  <c r="F2264" i="2"/>
  <c r="D2264" i="2"/>
  <c r="E2264" i="2" s="1"/>
  <c r="I2263" i="2"/>
  <c r="H2263" i="2"/>
  <c r="F2263" i="2"/>
  <c r="D2263" i="2"/>
  <c r="E2263" i="2" s="1"/>
  <c r="I2262" i="2"/>
  <c r="H2262" i="2"/>
  <c r="F2262" i="2"/>
  <c r="D2262" i="2"/>
  <c r="E2262" i="2" s="1"/>
  <c r="I2261" i="2"/>
  <c r="H2261" i="2"/>
  <c r="F2261" i="2"/>
  <c r="D2261" i="2"/>
  <c r="E2261" i="2" s="1"/>
  <c r="I2260" i="2"/>
  <c r="H2260" i="2"/>
  <c r="F2260" i="2"/>
  <c r="D2260" i="2"/>
  <c r="E2260" i="2" s="1"/>
  <c r="I2259" i="2"/>
  <c r="H2259" i="2"/>
  <c r="F2259" i="2"/>
  <c r="D2259" i="2"/>
  <c r="E2259" i="2" s="1"/>
  <c r="J2258" i="2"/>
  <c r="K2258" i="2" s="1"/>
  <c r="I2258" i="2"/>
  <c r="H2258" i="2"/>
  <c r="F2258" i="2"/>
  <c r="D2258" i="2"/>
  <c r="E2258" i="2" s="1"/>
  <c r="I2257" i="2"/>
  <c r="H2257" i="2"/>
  <c r="F2257" i="2"/>
  <c r="D2257" i="2"/>
  <c r="E2257" i="2" s="1"/>
  <c r="I2256" i="2"/>
  <c r="H2256" i="2"/>
  <c r="F2256" i="2"/>
  <c r="D2256" i="2"/>
  <c r="E2256" i="2" s="1"/>
  <c r="I2255" i="2"/>
  <c r="H2255" i="2"/>
  <c r="F2255" i="2"/>
  <c r="D2255" i="2"/>
  <c r="E2255" i="2" s="1"/>
  <c r="I2254" i="2"/>
  <c r="H2254" i="2"/>
  <c r="F2254" i="2"/>
  <c r="D2254" i="2"/>
  <c r="E2254" i="2" s="1"/>
  <c r="I2253" i="2"/>
  <c r="H2253" i="2"/>
  <c r="F2253" i="2"/>
  <c r="D2253" i="2"/>
  <c r="E2253" i="2" s="1"/>
  <c r="I2252" i="2"/>
  <c r="H2252" i="2"/>
  <c r="F2252" i="2"/>
  <c r="D2252" i="2"/>
  <c r="E2252" i="2" s="1"/>
  <c r="I2251" i="2"/>
  <c r="H2251" i="2"/>
  <c r="F2251" i="2"/>
  <c r="D2251" i="2"/>
  <c r="E2251" i="2" s="1"/>
  <c r="I2250" i="2"/>
  <c r="H2250" i="2"/>
  <c r="F2250" i="2"/>
  <c r="D2250" i="2"/>
  <c r="E2250" i="2" s="1"/>
  <c r="I2249" i="2"/>
  <c r="H2249" i="2"/>
  <c r="F2249" i="2"/>
  <c r="D2249" i="2"/>
  <c r="E2249" i="2" s="1"/>
  <c r="I2248" i="2"/>
  <c r="H2248" i="2"/>
  <c r="F2248" i="2"/>
  <c r="D2248" i="2"/>
  <c r="E2248" i="2" s="1"/>
  <c r="I2247" i="2"/>
  <c r="H2247" i="2"/>
  <c r="F2247" i="2"/>
  <c r="D2247" i="2"/>
  <c r="E2247" i="2" s="1"/>
  <c r="I2246" i="2"/>
  <c r="H2246" i="2"/>
  <c r="F2246" i="2"/>
  <c r="D2246" i="2"/>
  <c r="E2246" i="2" s="1"/>
  <c r="I2245" i="2"/>
  <c r="H2245" i="2"/>
  <c r="F2245" i="2"/>
  <c r="D2245" i="2"/>
  <c r="E2245" i="2" s="1"/>
  <c r="I2244" i="2"/>
  <c r="H2244" i="2"/>
  <c r="F2244" i="2"/>
  <c r="D2244" i="2"/>
  <c r="E2244" i="2" s="1"/>
  <c r="I2243" i="2"/>
  <c r="H2243" i="2"/>
  <c r="F2243" i="2"/>
  <c r="D2243" i="2"/>
  <c r="E2243" i="2" s="1"/>
  <c r="I2242" i="2"/>
  <c r="H2242" i="2"/>
  <c r="F2242" i="2"/>
  <c r="D2242" i="2"/>
  <c r="E2242" i="2" s="1"/>
  <c r="I2241" i="2"/>
  <c r="H2241" i="2"/>
  <c r="F2241" i="2"/>
  <c r="D2241" i="2"/>
  <c r="E2241" i="2" s="1"/>
  <c r="I2240" i="2"/>
  <c r="H2240" i="2"/>
  <c r="F2240" i="2"/>
  <c r="D2240" i="2"/>
  <c r="E2240" i="2" s="1"/>
  <c r="I2239" i="2"/>
  <c r="H2239" i="2"/>
  <c r="F2239" i="2"/>
  <c r="D2239" i="2"/>
  <c r="E2239" i="2" s="1"/>
  <c r="I2238" i="2"/>
  <c r="H2238" i="2"/>
  <c r="F2238" i="2"/>
  <c r="D2238" i="2"/>
  <c r="E2238" i="2" s="1"/>
  <c r="I2237" i="2"/>
  <c r="H2237" i="2"/>
  <c r="F2237" i="2"/>
  <c r="D2237" i="2"/>
  <c r="E2237" i="2" s="1"/>
  <c r="I2236" i="2"/>
  <c r="H2236" i="2"/>
  <c r="F2236" i="2"/>
  <c r="D2236" i="2"/>
  <c r="E2236" i="2" s="1"/>
  <c r="I2235" i="2"/>
  <c r="H2235" i="2"/>
  <c r="F2235" i="2"/>
  <c r="D2235" i="2"/>
  <c r="E2235" i="2" s="1"/>
  <c r="I2234" i="2"/>
  <c r="H2234" i="2"/>
  <c r="F2234" i="2"/>
  <c r="E2234" i="2"/>
  <c r="D2234" i="2"/>
  <c r="I2233" i="2"/>
  <c r="H2233" i="2"/>
  <c r="F2233" i="2"/>
  <c r="D2233" i="2"/>
  <c r="E2233" i="2" s="1"/>
  <c r="I2232" i="2"/>
  <c r="H2232" i="2"/>
  <c r="F2232" i="2"/>
  <c r="D2232" i="2"/>
  <c r="E2232" i="2" s="1"/>
  <c r="I2231" i="2"/>
  <c r="H2231" i="2"/>
  <c r="F2231" i="2"/>
  <c r="D2231" i="2"/>
  <c r="E2231" i="2" s="1"/>
  <c r="I2230" i="2"/>
  <c r="H2230" i="2"/>
  <c r="F2230" i="2"/>
  <c r="D2230" i="2"/>
  <c r="E2230" i="2" s="1"/>
  <c r="I2229" i="2"/>
  <c r="H2229" i="2"/>
  <c r="F2229" i="2"/>
  <c r="D2229" i="2"/>
  <c r="E2229" i="2" s="1"/>
  <c r="I2228" i="2"/>
  <c r="J2228" i="2" s="1"/>
  <c r="K2228" i="2" s="1"/>
  <c r="H2228" i="2"/>
  <c r="F2228" i="2"/>
  <c r="D2228" i="2"/>
  <c r="E2228" i="2" s="1"/>
  <c r="I2227" i="2"/>
  <c r="H2227" i="2"/>
  <c r="F2227" i="2"/>
  <c r="D2227" i="2"/>
  <c r="E2227" i="2" s="1"/>
  <c r="I2226" i="2"/>
  <c r="H2226" i="2"/>
  <c r="F2226" i="2"/>
  <c r="D2226" i="2"/>
  <c r="E2226" i="2" s="1"/>
  <c r="I2225" i="2"/>
  <c r="H2225" i="2"/>
  <c r="F2225" i="2"/>
  <c r="D2225" i="2"/>
  <c r="E2225" i="2" s="1"/>
  <c r="I2224" i="2"/>
  <c r="H2224" i="2"/>
  <c r="F2224" i="2"/>
  <c r="D2224" i="2"/>
  <c r="E2224" i="2" s="1"/>
  <c r="I2223" i="2"/>
  <c r="H2223" i="2"/>
  <c r="F2223" i="2"/>
  <c r="D2223" i="2"/>
  <c r="E2223" i="2" s="1"/>
  <c r="I2222" i="2"/>
  <c r="J2222" i="2" s="1"/>
  <c r="K2222" i="2" s="1"/>
  <c r="H2222" i="2"/>
  <c r="F2222" i="2"/>
  <c r="D2222" i="2"/>
  <c r="E2222" i="2" s="1"/>
  <c r="I2221" i="2"/>
  <c r="H2221" i="2"/>
  <c r="F2221" i="2"/>
  <c r="D2221" i="2"/>
  <c r="E2221" i="2" s="1"/>
  <c r="I2220" i="2"/>
  <c r="H2220" i="2"/>
  <c r="F2220" i="2"/>
  <c r="D2220" i="2"/>
  <c r="E2220" i="2" s="1"/>
  <c r="I2219" i="2"/>
  <c r="H2219" i="2"/>
  <c r="F2219" i="2"/>
  <c r="D2219" i="2"/>
  <c r="E2219" i="2" s="1"/>
  <c r="I2218" i="2"/>
  <c r="H2218" i="2"/>
  <c r="F2218" i="2"/>
  <c r="D2218" i="2"/>
  <c r="E2218" i="2" s="1"/>
  <c r="I2217" i="2"/>
  <c r="H2217" i="2"/>
  <c r="F2217" i="2"/>
  <c r="D2217" i="2"/>
  <c r="E2217" i="2" s="1"/>
  <c r="I2216" i="2"/>
  <c r="H2216" i="2"/>
  <c r="F2216" i="2"/>
  <c r="D2216" i="2"/>
  <c r="E2216" i="2" s="1"/>
  <c r="I2215" i="2"/>
  <c r="H2215" i="2"/>
  <c r="F2215" i="2"/>
  <c r="D2215" i="2"/>
  <c r="E2215" i="2" s="1"/>
  <c r="I2214" i="2"/>
  <c r="H2214" i="2"/>
  <c r="F2214" i="2"/>
  <c r="D2214" i="2"/>
  <c r="E2214" i="2" s="1"/>
  <c r="I2213" i="2"/>
  <c r="H2213" i="2"/>
  <c r="F2213" i="2"/>
  <c r="D2213" i="2"/>
  <c r="E2213" i="2" s="1"/>
  <c r="I2212" i="2"/>
  <c r="H2212" i="2"/>
  <c r="F2212" i="2"/>
  <c r="D2212" i="2"/>
  <c r="E2212" i="2" s="1"/>
  <c r="I2211" i="2"/>
  <c r="H2211" i="2"/>
  <c r="F2211" i="2"/>
  <c r="D2211" i="2"/>
  <c r="E2211" i="2" s="1"/>
  <c r="I2210" i="2"/>
  <c r="H2210" i="2"/>
  <c r="F2210" i="2"/>
  <c r="D2210" i="2"/>
  <c r="E2210" i="2" s="1"/>
  <c r="I2209" i="2"/>
  <c r="H2209" i="2"/>
  <c r="F2209" i="2"/>
  <c r="D2209" i="2"/>
  <c r="E2209" i="2" s="1"/>
  <c r="I2208" i="2"/>
  <c r="H2208" i="2"/>
  <c r="F2208" i="2"/>
  <c r="D2208" i="2"/>
  <c r="E2208" i="2" s="1"/>
  <c r="I2207" i="2"/>
  <c r="H2207" i="2"/>
  <c r="F2207" i="2"/>
  <c r="D2207" i="2"/>
  <c r="E2207" i="2" s="1"/>
  <c r="I2206" i="2"/>
  <c r="H2206" i="2"/>
  <c r="F2206" i="2"/>
  <c r="D2206" i="2"/>
  <c r="E2206" i="2" s="1"/>
  <c r="I2205" i="2"/>
  <c r="H2205" i="2"/>
  <c r="F2205" i="2"/>
  <c r="D2205" i="2"/>
  <c r="E2205" i="2" s="1"/>
  <c r="I2204" i="2"/>
  <c r="H2204" i="2"/>
  <c r="F2204" i="2"/>
  <c r="D2204" i="2"/>
  <c r="E2204" i="2" s="1"/>
  <c r="I2203" i="2"/>
  <c r="H2203" i="2"/>
  <c r="F2203" i="2"/>
  <c r="D2203" i="2"/>
  <c r="E2203" i="2" s="1"/>
  <c r="I2202" i="2"/>
  <c r="H2202" i="2"/>
  <c r="F2202" i="2"/>
  <c r="D2202" i="2"/>
  <c r="E2202" i="2" s="1"/>
  <c r="I2201" i="2"/>
  <c r="H2201" i="2"/>
  <c r="F2201" i="2"/>
  <c r="D2201" i="2"/>
  <c r="E2201" i="2" s="1"/>
  <c r="I2200" i="2"/>
  <c r="H2200" i="2"/>
  <c r="F2200" i="2"/>
  <c r="D2200" i="2"/>
  <c r="E2200" i="2" s="1"/>
  <c r="I2199" i="2"/>
  <c r="H2199" i="2"/>
  <c r="F2199" i="2"/>
  <c r="D2199" i="2"/>
  <c r="E2199" i="2" s="1"/>
  <c r="I2198" i="2"/>
  <c r="H2198" i="2"/>
  <c r="F2198" i="2"/>
  <c r="D2198" i="2"/>
  <c r="E2198" i="2" s="1"/>
  <c r="I2197" i="2"/>
  <c r="H2197" i="2"/>
  <c r="F2197" i="2"/>
  <c r="D2197" i="2"/>
  <c r="E2197" i="2" s="1"/>
  <c r="I2196" i="2"/>
  <c r="H2196" i="2"/>
  <c r="F2196" i="2"/>
  <c r="D2196" i="2"/>
  <c r="E2196" i="2" s="1"/>
  <c r="I2195" i="2"/>
  <c r="H2195" i="2"/>
  <c r="F2195" i="2"/>
  <c r="D2195" i="2"/>
  <c r="E2195" i="2" s="1"/>
  <c r="I2194" i="2"/>
  <c r="H2194" i="2"/>
  <c r="F2194" i="2"/>
  <c r="D2194" i="2"/>
  <c r="E2194" i="2" s="1"/>
  <c r="I2193" i="2"/>
  <c r="H2193" i="2"/>
  <c r="F2193" i="2"/>
  <c r="D2193" i="2"/>
  <c r="E2193" i="2" s="1"/>
  <c r="I2192" i="2"/>
  <c r="H2192" i="2"/>
  <c r="F2192" i="2"/>
  <c r="D2192" i="2"/>
  <c r="E2192" i="2" s="1"/>
  <c r="I2191" i="2"/>
  <c r="H2191" i="2"/>
  <c r="F2191" i="2"/>
  <c r="D2191" i="2"/>
  <c r="E2191" i="2" s="1"/>
  <c r="I2190" i="2"/>
  <c r="H2190" i="2"/>
  <c r="F2190" i="2"/>
  <c r="D2190" i="2"/>
  <c r="E2190" i="2" s="1"/>
  <c r="I2189" i="2"/>
  <c r="H2189" i="2"/>
  <c r="F2189" i="2"/>
  <c r="D2189" i="2"/>
  <c r="E2189" i="2" s="1"/>
  <c r="I2188" i="2"/>
  <c r="H2188" i="2"/>
  <c r="F2188" i="2"/>
  <c r="D2188" i="2"/>
  <c r="E2188" i="2" s="1"/>
  <c r="I2187" i="2"/>
  <c r="H2187" i="2"/>
  <c r="F2187" i="2"/>
  <c r="D2187" i="2"/>
  <c r="E2187" i="2" s="1"/>
  <c r="I2186" i="2"/>
  <c r="H2186" i="2"/>
  <c r="F2186" i="2"/>
  <c r="D2186" i="2"/>
  <c r="E2186" i="2" s="1"/>
  <c r="I2185" i="2"/>
  <c r="H2185" i="2"/>
  <c r="F2185" i="2"/>
  <c r="D2185" i="2"/>
  <c r="E2185" i="2" s="1"/>
  <c r="I2184" i="2"/>
  <c r="H2184" i="2"/>
  <c r="F2184" i="2"/>
  <c r="D2184" i="2"/>
  <c r="E2184" i="2" s="1"/>
  <c r="I2183" i="2"/>
  <c r="H2183" i="2"/>
  <c r="F2183" i="2"/>
  <c r="D2183" i="2"/>
  <c r="E2183" i="2" s="1"/>
  <c r="I2182" i="2"/>
  <c r="J2182" i="2" s="1"/>
  <c r="K2182" i="2" s="1"/>
  <c r="H2182" i="2"/>
  <c r="F2182" i="2"/>
  <c r="D2182" i="2"/>
  <c r="E2182" i="2" s="1"/>
  <c r="I2181" i="2"/>
  <c r="H2181" i="2"/>
  <c r="F2181" i="2"/>
  <c r="D2181" i="2"/>
  <c r="E2181" i="2" s="1"/>
  <c r="I2180" i="2"/>
  <c r="H2180" i="2"/>
  <c r="F2180" i="2"/>
  <c r="D2180" i="2"/>
  <c r="E2180" i="2" s="1"/>
  <c r="I2179" i="2"/>
  <c r="H2179" i="2"/>
  <c r="F2179" i="2"/>
  <c r="D2179" i="2"/>
  <c r="E2179" i="2" s="1"/>
  <c r="I2178" i="2"/>
  <c r="H2178" i="2"/>
  <c r="F2178" i="2"/>
  <c r="D2178" i="2"/>
  <c r="E2178" i="2" s="1"/>
  <c r="I2177" i="2"/>
  <c r="H2177" i="2"/>
  <c r="F2177" i="2"/>
  <c r="D2177" i="2"/>
  <c r="E2177" i="2" s="1"/>
  <c r="I2176" i="2"/>
  <c r="H2176" i="2"/>
  <c r="F2176" i="2"/>
  <c r="D2176" i="2"/>
  <c r="E2176" i="2" s="1"/>
  <c r="I2175" i="2"/>
  <c r="H2175" i="2"/>
  <c r="F2175" i="2"/>
  <c r="D2175" i="2"/>
  <c r="E2175" i="2" s="1"/>
  <c r="I2174" i="2"/>
  <c r="H2174" i="2"/>
  <c r="F2174" i="2"/>
  <c r="D2174" i="2"/>
  <c r="E2174" i="2" s="1"/>
  <c r="I2173" i="2"/>
  <c r="H2173" i="2"/>
  <c r="F2173" i="2"/>
  <c r="D2173" i="2"/>
  <c r="E2173" i="2" s="1"/>
  <c r="I2172" i="2"/>
  <c r="J2172" i="2" s="1"/>
  <c r="K2172" i="2" s="1"/>
  <c r="H2172" i="2"/>
  <c r="F2172" i="2"/>
  <c r="D2172" i="2"/>
  <c r="E2172" i="2" s="1"/>
  <c r="I2171" i="2"/>
  <c r="H2171" i="2"/>
  <c r="F2171" i="2"/>
  <c r="D2171" i="2"/>
  <c r="E2171" i="2" s="1"/>
  <c r="I2170" i="2"/>
  <c r="H2170" i="2"/>
  <c r="F2170" i="2"/>
  <c r="D2170" i="2"/>
  <c r="E2170" i="2" s="1"/>
  <c r="I2169" i="2"/>
  <c r="H2169" i="2"/>
  <c r="F2169" i="2"/>
  <c r="D2169" i="2"/>
  <c r="E2169" i="2" s="1"/>
  <c r="I2168" i="2"/>
  <c r="H2168" i="2"/>
  <c r="F2168" i="2"/>
  <c r="D2168" i="2"/>
  <c r="E2168" i="2" s="1"/>
  <c r="I2167" i="2"/>
  <c r="H2167" i="2"/>
  <c r="F2167" i="2"/>
  <c r="D2167" i="2"/>
  <c r="E2167" i="2" s="1"/>
  <c r="I2166" i="2"/>
  <c r="J2166" i="2" s="1"/>
  <c r="K2166" i="2" s="1"/>
  <c r="H2166" i="2"/>
  <c r="F2166" i="2"/>
  <c r="D2166" i="2"/>
  <c r="E2166" i="2" s="1"/>
  <c r="I2165" i="2"/>
  <c r="H2165" i="2"/>
  <c r="F2165" i="2"/>
  <c r="D2165" i="2"/>
  <c r="E2165" i="2" s="1"/>
  <c r="I2164" i="2"/>
  <c r="H2164" i="2"/>
  <c r="F2164" i="2"/>
  <c r="D2164" i="2"/>
  <c r="E2164" i="2" s="1"/>
  <c r="I2163" i="2"/>
  <c r="H2163" i="2"/>
  <c r="F2163" i="2"/>
  <c r="D2163" i="2"/>
  <c r="E2163" i="2" s="1"/>
  <c r="I2162" i="2"/>
  <c r="H2162" i="2"/>
  <c r="F2162" i="2"/>
  <c r="D2162" i="2"/>
  <c r="E2162" i="2" s="1"/>
  <c r="I2161" i="2"/>
  <c r="H2161" i="2"/>
  <c r="F2161" i="2"/>
  <c r="D2161" i="2"/>
  <c r="E2161" i="2" s="1"/>
  <c r="I2160" i="2"/>
  <c r="H2160" i="2"/>
  <c r="F2160" i="2"/>
  <c r="D2160" i="2"/>
  <c r="E2160" i="2" s="1"/>
  <c r="I2159" i="2"/>
  <c r="H2159" i="2"/>
  <c r="F2159" i="2"/>
  <c r="D2159" i="2"/>
  <c r="E2159" i="2" s="1"/>
  <c r="I2158" i="2"/>
  <c r="H2158" i="2"/>
  <c r="F2158" i="2"/>
  <c r="D2158" i="2"/>
  <c r="E2158" i="2" s="1"/>
  <c r="I2157" i="2"/>
  <c r="H2157" i="2"/>
  <c r="F2157" i="2"/>
  <c r="D2157" i="2"/>
  <c r="E2157" i="2" s="1"/>
  <c r="I2156" i="2"/>
  <c r="H2156" i="2"/>
  <c r="F2156" i="2"/>
  <c r="D2156" i="2"/>
  <c r="E2156" i="2" s="1"/>
  <c r="I2155" i="2"/>
  <c r="H2155" i="2"/>
  <c r="F2155" i="2"/>
  <c r="D2155" i="2"/>
  <c r="E2155" i="2" s="1"/>
  <c r="I2154" i="2"/>
  <c r="H2154" i="2"/>
  <c r="F2154" i="2"/>
  <c r="D2154" i="2"/>
  <c r="E2154" i="2" s="1"/>
  <c r="I2153" i="2"/>
  <c r="H2153" i="2"/>
  <c r="F2153" i="2"/>
  <c r="D2153" i="2"/>
  <c r="E2153" i="2" s="1"/>
  <c r="I2152" i="2"/>
  <c r="H2152" i="2"/>
  <c r="F2152" i="2"/>
  <c r="D2152" i="2"/>
  <c r="E2152" i="2" s="1"/>
  <c r="I2151" i="2"/>
  <c r="H2151" i="2"/>
  <c r="F2151" i="2"/>
  <c r="D2151" i="2"/>
  <c r="E2151" i="2" s="1"/>
  <c r="J2151" i="2" s="1"/>
  <c r="K2151" i="2" s="1"/>
  <c r="I2150" i="2"/>
  <c r="H2150" i="2"/>
  <c r="F2150" i="2"/>
  <c r="D2150" i="2"/>
  <c r="E2150" i="2" s="1"/>
  <c r="I2149" i="2"/>
  <c r="H2149" i="2"/>
  <c r="F2149" i="2"/>
  <c r="D2149" i="2"/>
  <c r="E2149" i="2" s="1"/>
  <c r="I2148" i="2"/>
  <c r="H2148" i="2"/>
  <c r="F2148" i="2"/>
  <c r="D2148" i="2"/>
  <c r="E2148" i="2" s="1"/>
  <c r="I2147" i="2"/>
  <c r="H2147" i="2"/>
  <c r="F2147" i="2"/>
  <c r="D2147" i="2"/>
  <c r="E2147" i="2" s="1"/>
  <c r="I2146" i="2"/>
  <c r="H2146" i="2"/>
  <c r="F2146" i="2"/>
  <c r="D2146" i="2"/>
  <c r="E2146" i="2" s="1"/>
  <c r="I2145" i="2"/>
  <c r="H2145" i="2"/>
  <c r="F2145" i="2"/>
  <c r="D2145" i="2"/>
  <c r="E2145" i="2" s="1"/>
  <c r="I2144" i="2"/>
  <c r="H2144" i="2"/>
  <c r="F2144" i="2"/>
  <c r="D2144" i="2"/>
  <c r="E2144" i="2" s="1"/>
  <c r="I2143" i="2"/>
  <c r="H2143" i="2"/>
  <c r="F2143" i="2"/>
  <c r="D2143" i="2"/>
  <c r="E2143" i="2" s="1"/>
  <c r="J2143" i="2" s="1"/>
  <c r="K2143" i="2" s="1"/>
  <c r="I2142" i="2"/>
  <c r="H2142" i="2"/>
  <c r="F2142" i="2"/>
  <c r="D2142" i="2"/>
  <c r="E2142" i="2" s="1"/>
  <c r="I2141" i="2"/>
  <c r="H2141" i="2"/>
  <c r="F2141" i="2"/>
  <c r="D2141" i="2"/>
  <c r="E2141" i="2" s="1"/>
  <c r="I2140" i="2"/>
  <c r="H2140" i="2"/>
  <c r="F2140" i="2"/>
  <c r="D2140" i="2"/>
  <c r="E2140" i="2" s="1"/>
  <c r="I2139" i="2"/>
  <c r="H2139" i="2"/>
  <c r="F2139" i="2"/>
  <c r="D2139" i="2"/>
  <c r="E2139" i="2" s="1"/>
  <c r="I2138" i="2"/>
  <c r="H2138" i="2"/>
  <c r="F2138" i="2"/>
  <c r="D2138" i="2"/>
  <c r="E2138" i="2" s="1"/>
  <c r="I2137" i="2"/>
  <c r="H2137" i="2"/>
  <c r="F2137" i="2"/>
  <c r="D2137" i="2"/>
  <c r="E2137" i="2" s="1"/>
  <c r="I2136" i="2"/>
  <c r="H2136" i="2"/>
  <c r="F2136" i="2"/>
  <c r="D2136" i="2"/>
  <c r="E2136" i="2" s="1"/>
  <c r="I2135" i="2"/>
  <c r="H2135" i="2"/>
  <c r="F2135" i="2"/>
  <c r="D2135" i="2"/>
  <c r="E2135" i="2" s="1"/>
  <c r="I2134" i="2"/>
  <c r="H2134" i="2"/>
  <c r="F2134" i="2"/>
  <c r="D2134" i="2"/>
  <c r="E2134" i="2" s="1"/>
  <c r="I2133" i="2"/>
  <c r="H2133" i="2"/>
  <c r="F2133" i="2"/>
  <c r="D2133" i="2"/>
  <c r="E2133" i="2" s="1"/>
  <c r="J2133" i="2" s="1"/>
  <c r="K2133" i="2" s="1"/>
  <c r="I2132" i="2"/>
  <c r="H2132" i="2"/>
  <c r="F2132" i="2"/>
  <c r="D2132" i="2"/>
  <c r="E2132" i="2" s="1"/>
  <c r="I2131" i="2"/>
  <c r="H2131" i="2"/>
  <c r="F2131" i="2"/>
  <c r="D2131" i="2"/>
  <c r="E2131" i="2" s="1"/>
  <c r="I2130" i="2"/>
  <c r="H2130" i="2"/>
  <c r="F2130" i="2"/>
  <c r="D2130" i="2"/>
  <c r="E2130" i="2" s="1"/>
  <c r="I2129" i="2"/>
  <c r="H2129" i="2"/>
  <c r="F2129" i="2"/>
  <c r="D2129" i="2"/>
  <c r="E2129" i="2" s="1"/>
  <c r="I2128" i="2"/>
  <c r="H2128" i="2"/>
  <c r="F2128" i="2"/>
  <c r="D2128" i="2"/>
  <c r="E2128" i="2" s="1"/>
  <c r="I2127" i="2"/>
  <c r="H2127" i="2"/>
  <c r="F2127" i="2"/>
  <c r="D2127" i="2"/>
  <c r="E2127" i="2" s="1"/>
  <c r="I2126" i="2"/>
  <c r="H2126" i="2"/>
  <c r="F2126" i="2"/>
  <c r="D2126" i="2"/>
  <c r="E2126" i="2" s="1"/>
  <c r="I2125" i="2"/>
  <c r="H2125" i="2"/>
  <c r="F2125" i="2"/>
  <c r="D2125" i="2"/>
  <c r="E2125" i="2" s="1"/>
  <c r="I2124" i="2"/>
  <c r="H2124" i="2"/>
  <c r="F2124" i="2"/>
  <c r="D2124" i="2"/>
  <c r="E2124" i="2" s="1"/>
  <c r="I2123" i="2"/>
  <c r="H2123" i="2"/>
  <c r="F2123" i="2"/>
  <c r="D2123" i="2"/>
  <c r="E2123" i="2" s="1"/>
  <c r="J2123" i="2" s="1"/>
  <c r="K2123" i="2" s="1"/>
  <c r="I2122" i="2"/>
  <c r="H2122" i="2"/>
  <c r="F2122" i="2"/>
  <c r="D2122" i="2"/>
  <c r="E2122" i="2" s="1"/>
  <c r="I2121" i="2"/>
  <c r="H2121" i="2"/>
  <c r="F2121" i="2"/>
  <c r="D2121" i="2"/>
  <c r="E2121" i="2" s="1"/>
  <c r="I2120" i="2"/>
  <c r="H2120" i="2"/>
  <c r="F2120" i="2"/>
  <c r="D2120" i="2"/>
  <c r="E2120" i="2" s="1"/>
  <c r="I2119" i="2"/>
  <c r="H2119" i="2"/>
  <c r="F2119" i="2"/>
  <c r="D2119" i="2"/>
  <c r="E2119" i="2" s="1"/>
  <c r="I2118" i="2"/>
  <c r="H2118" i="2"/>
  <c r="F2118" i="2"/>
  <c r="D2118" i="2"/>
  <c r="E2118" i="2" s="1"/>
  <c r="I2117" i="2"/>
  <c r="H2117" i="2"/>
  <c r="F2117" i="2"/>
  <c r="D2117" i="2"/>
  <c r="E2117" i="2" s="1"/>
  <c r="I2116" i="2"/>
  <c r="H2116" i="2"/>
  <c r="F2116" i="2"/>
  <c r="D2116" i="2"/>
  <c r="E2116" i="2" s="1"/>
  <c r="I2115" i="2"/>
  <c r="H2115" i="2"/>
  <c r="F2115" i="2"/>
  <c r="D2115" i="2"/>
  <c r="E2115" i="2" s="1"/>
  <c r="I2114" i="2"/>
  <c r="H2114" i="2"/>
  <c r="F2114" i="2"/>
  <c r="D2114" i="2"/>
  <c r="E2114" i="2" s="1"/>
  <c r="I2113" i="2"/>
  <c r="H2113" i="2"/>
  <c r="F2113" i="2"/>
  <c r="D2113" i="2"/>
  <c r="E2113" i="2" s="1"/>
  <c r="I2112" i="2"/>
  <c r="H2112" i="2"/>
  <c r="F2112" i="2"/>
  <c r="D2112" i="2"/>
  <c r="E2112" i="2" s="1"/>
  <c r="I2111" i="2"/>
  <c r="H2111" i="2"/>
  <c r="F2111" i="2"/>
  <c r="D2111" i="2"/>
  <c r="E2111" i="2" s="1"/>
  <c r="I2110" i="2"/>
  <c r="H2110" i="2"/>
  <c r="F2110" i="2"/>
  <c r="D2110" i="2"/>
  <c r="E2110" i="2" s="1"/>
  <c r="I2109" i="2"/>
  <c r="H2109" i="2"/>
  <c r="F2109" i="2"/>
  <c r="D2109" i="2"/>
  <c r="E2109" i="2" s="1"/>
  <c r="I2108" i="2"/>
  <c r="H2108" i="2"/>
  <c r="F2108" i="2"/>
  <c r="D2108" i="2"/>
  <c r="E2108" i="2" s="1"/>
  <c r="I2107" i="2"/>
  <c r="H2107" i="2"/>
  <c r="F2107" i="2"/>
  <c r="D2107" i="2"/>
  <c r="E2107" i="2" s="1"/>
  <c r="I2106" i="2"/>
  <c r="H2106" i="2"/>
  <c r="F2106" i="2"/>
  <c r="D2106" i="2"/>
  <c r="E2106" i="2" s="1"/>
  <c r="I2105" i="2"/>
  <c r="H2105" i="2"/>
  <c r="F2105" i="2"/>
  <c r="D2105" i="2"/>
  <c r="E2105" i="2" s="1"/>
  <c r="I2104" i="2"/>
  <c r="H2104" i="2"/>
  <c r="F2104" i="2"/>
  <c r="D2104" i="2"/>
  <c r="E2104" i="2" s="1"/>
  <c r="I2103" i="2"/>
  <c r="H2103" i="2"/>
  <c r="F2103" i="2"/>
  <c r="D2103" i="2"/>
  <c r="E2103" i="2" s="1"/>
  <c r="J2103" i="2" s="1"/>
  <c r="K2103" i="2" s="1"/>
  <c r="I2102" i="2"/>
  <c r="H2102" i="2"/>
  <c r="F2102" i="2"/>
  <c r="D2102" i="2"/>
  <c r="E2102" i="2" s="1"/>
  <c r="I2101" i="2"/>
  <c r="H2101" i="2"/>
  <c r="F2101" i="2"/>
  <c r="D2101" i="2"/>
  <c r="E2101" i="2" s="1"/>
  <c r="I2100" i="2"/>
  <c r="H2100" i="2"/>
  <c r="F2100" i="2"/>
  <c r="D2100" i="2"/>
  <c r="E2100" i="2" s="1"/>
  <c r="I2099" i="2"/>
  <c r="H2099" i="2"/>
  <c r="F2099" i="2"/>
  <c r="D2099" i="2"/>
  <c r="E2099" i="2" s="1"/>
  <c r="I2098" i="2"/>
  <c r="H2098" i="2"/>
  <c r="F2098" i="2"/>
  <c r="D2098" i="2"/>
  <c r="E2098" i="2" s="1"/>
  <c r="I2097" i="2"/>
  <c r="H2097" i="2"/>
  <c r="F2097" i="2"/>
  <c r="D2097" i="2"/>
  <c r="E2097" i="2" s="1"/>
  <c r="I2096" i="2"/>
  <c r="H2096" i="2"/>
  <c r="F2096" i="2"/>
  <c r="D2096" i="2"/>
  <c r="E2096" i="2" s="1"/>
  <c r="I2095" i="2"/>
  <c r="H2095" i="2"/>
  <c r="F2095" i="2"/>
  <c r="D2095" i="2"/>
  <c r="E2095" i="2" s="1"/>
  <c r="I2094" i="2"/>
  <c r="H2094" i="2"/>
  <c r="F2094" i="2"/>
  <c r="D2094" i="2"/>
  <c r="E2094" i="2" s="1"/>
  <c r="I2093" i="2"/>
  <c r="H2093" i="2"/>
  <c r="F2093" i="2"/>
  <c r="D2093" i="2"/>
  <c r="E2093" i="2" s="1"/>
  <c r="I2092" i="2"/>
  <c r="H2092" i="2"/>
  <c r="F2092" i="2"/>
  <c r="D2092" i="2"/>
  <c r="E2092" i="2" s="1"/>
  <c r="I2091" i="2"/>
  <c r="H2091" i="2"/>
  <c r="F2091" i="2"/>
  <c r="D2091" i="2"/>
  <c r="E2091" i="2" s="1"/>
  <c r="J2091" i="2" s="1"/>
  <c r="K2091" i="2" s="1"/>
  <c r="I2090" i="2"/>
  <c r="H2090" i="2"/>
  <c r="F2090" i="2"/>
  <c r="D2090" i="2"/>
  <c r="E2090" i="2" s="1"/>
  <c r="I2089" i="2"/>
  <c r="H2089" i="2"/>
  <c r="F2089" i="2"/>
  <c r="D2089" i="2"/>
  <c r="E2089" i="2" s="1"/>
  <c r="J2089" i="2" s="1"/>
  <c r="K2089" i="2" s="1"/>
  <c r="I2088" i="2"/>
  <c r="H2088" i="2"/>
  <c r="F2088" i="2"/>
  <c r="D2088" i="2"/>
  <c r="E2088" i="2" s="1"/>
  <c r="I2087" i="2"/>
  <c r="H2087" i="2"/>
  <c r="F2087" i="2"/>
  <c r="D2087" i="2"/>
  <c r="E2087" i="2" s="1"/>
  <c r="J2087" i="2" s="1"/>
  <c r="K2087" i="2" s="1"/>
  <c r="I2086" i="2"/>
  <c r="H2086" i="2"/>
  <c r="F2086" i="2"/>
  <c r="D2086" i="2"/>
  <c r="E2086" i="2" s="1"/>
  <c r="I2085" i="2"/>
  <c r="H2085" i="2"/>
  <c r="F2085" i="2"/>
  <c r="E2085" i="2"/>
  <c r="D2085" i="2"/>
  <c r="I2084" i="2"/>
  <c r="H2084" i="2"/>
  <c r="F2084" i="2"/>
  <c r="D2084" i="2"/>
  <c r="E2084" i="2" s="1"/>
  <c r="I2083" i="2"/>
  <c r="H2083" i="2"/>
  <c r="F2083" i="2"/>
  <c r="D2083" i="2"/>
  <c r="E2083" i="2" s="1"/>
  <c r="I2082" i="2"/>
  <c r="H2082" i="2"/>
  <c r="F2082" i="2"/>
  <c r="D2082" i="2"/>
  <c r="E2082" i="2" s="1"/>
  <c r="I2081" i="2"/>
  <c r="H2081" i="2"/>
  <c r="F2081" i="2"/>
  <c r="D2081" i="2"/>
  <c r="E2081" i="2" s="1"/>
  <c r="I2080" i="2"/>
  <c r="H2080" i="2"/>
  <c r="F2080" i="2"/>
  <c r="D2080" i="2"/>
  <c r="E2080" i="2" s="1"/>
  <c r="I2079" i="2"/>
  <c r="H2079" i="2"/>
  <c r="F2079" i="2"/>
  <c r="D2079" i="2"/>
  <c r="E2079" i="2" s="1"/>
  <c r="I2078" i="2"/>
  <c r="H2078" i="2"/>
  <c r="F2078" i="2"/>
  <c r="D2078" i="2"/>
  <c r="E2078" i="2" s="1"/>
  <c r="I2077" i="2"/>
  <c r="H2077" i="2"/>
  <c r="F2077" i="2"/>
  <c r="D2077" i="2"/>
  <c r="E2077" i="2" s="1"/>
  <c r="I2076" i="2"/>
  <c r="H2076" i="2"/>
  <c r="F2076" i="2"/>
  <c r="D2076" i="2"/>
  <c r="E2076" i="2" s="1"/>
  <c r="I2075" i="2"/>
  <c r="H2075" i="2"/>
  <c r="F2075" i="2"/>
  <c r="D2075" i="2"/>
  <c r="E2075" i="2" s="1"/>
  <c r="I2074" i="2"/>
  <c r="H2074" i="2"/>
  <c r="F2074" i="2"/>
  <c r="D2074" i="2"/>
  <c r="E2074" i="2" s="1"/>
  <c r="I2073" i="2"/>
  <c r="H2073" i="2"/>
  <c r="F2073" i="2"/>
  <c r="D2073" i="2"/>
  <c r="E2073" i="2" s="1"/>
  <c r="I2072" i="2"/>
  <c r="H2072" i="2"/>
  <c r="F2072" i="2"/>
  <c r="D2072" i="2"/>
  <c r="E2072" i="2" s="1"/>
  <c r="I2071" i="2"/>
  <c r="H2071" i="2"/>
  <c r="F2071" i="2"/>
  <c r="D2071" i="2"/>
  <c r="E2071" i="2" s="1"/>
  <c r="I2070" i="2"/>
  <c r="H2070" i="2"/>
  <c r="F2070" i="2"/>
  <c r="D2070" i="2"/>
  <c r="E2070" i="2" s="1"/>
  <c r="I2069" i="2"/>
  <c r="H2069" i="2"/>
  <c r="F2069" i="2"/>
  <c r="D2069" i="2"/>
  <c r="E2069" i="2" s="1"/>
  <c r="I2068" i="2"/>
  <c r="H2068" i="2"/>
  <c r="F2068" i="2"/>
  <c r="D2068" i="2"/>
  <c r="E2068" i="2" s="1"/>
  <c r="I2067" i="2"/>
  <c r="H2067" i="2"/>
  <c r="F2067" i="2"/>
  <c r="D2067" i="2"/>
  <c r="E2067" i="2" s="1"/>
  <c r="I2066" i="2"/>
  <c r="H2066" i="2"/>
  <c r="F2066" i="2"/>
  <c r="D2066" i="2"/>
  <c r="E2066" i="2" s="1"/>
  <c r="I2065" i="2"/>
  <c r="H2065" i="2"/>
  <c r="F2065" i="2"/>
  <c r="D2065" i="2"/>
  <c r="E2065" i="2" s="1"/>
  <c r="I2064" i="2"/>
  <c r="H2064" i="2"/>
  <c r="F2064" i="2"/>
  <c r="D2064" i="2"/>
  <c r="E2064" i="2" s="1"/>
  <c r="I2063" i="2"/>
  <c r="H2063" i="2"/>
  <c r="F2063" i="2"/>
  <c r="D2063" i="2"/>
  <c r="E2063" i="2" s="1"/>
  <c r="I2062" i="2"/>
  <c r="H2062" i="2"/>
  <c r="F2062" i="2"/>
  <c r="D2062" i="2"/>
  <c r="E2062" i="2" s="1"/>
  <c r="I2061" i="2"/>
  <c r="H2061" i="2"/>
  <c r="F2061" i="2"/>
  <c r="D2061" i="2"/>
  <c r="E2061" i="2" s="1"/>
  <c r="I2060" i="2"/>
  <c r="H2060" i="2"/>
  <c r="F2060" i="2"/>
  <c r="D2060" i="2"/>
  <c r="E2060" i="2" s="1"/>
  <c r="I2059" i="2"/>
  <c r="H2059" i="2"/>
  <c r="F2059" i="2"/>
  <c r="D2059" i="2"/>
  <c r="E2059" i="2" s="1"/>
  <c r="I2058" i="2"/>
  <c r="H2058" i="2"/>
  <c r="F2058" i="2"/>
  <c r="D2058" i="2"/>
  <c r="E2058" i="2" s="1"/>
  <c r="I2057" i="2"/>
  <c r="H2057" i="2"/>
  <c r="F2057" i="2"/>
  <c r="D2057" i="2"/>
  <c r="E2057" i="2" s="1"/>
  <c r="I2056" i="2"/>
  <c r="H2056" i="2"/>
  <c r="F2056" i="2"/>
  <c r="D2056" i="2"/>
  <c r="E2056" i="2" s="1"/>
  <c r="I2055" i="2"/>
  <c r="H2055" i="2"/>
  <c r="F2055" i="2"/>
  <c r="D2055" i="2"/>
  <c r="E2055" i="2" s="1"/>
  <c r="I2054" i="2"/>
  <c r="H2054" i="2"/>
  <c r="F2054" i="2"/>
  <c r="D2054" i="2"/>
  <c r="E2054" i="2" s="1"/>
  <c r="I2053" i="2"/>
  <c r="H2053" i="2"/>
  <c r="F2053" i="2"/>
  <c r="D2053" i="2"/>
  <c r="E2053" i="2" s="1"/>
  <c r="I2052" i="2"/>
  <c r="H2052" i="2"/>
  <c r="F2052" i="2"/>
  <c r="D2052" i="2"/>
  <c r="E2052" i="2" s="1"/>
  <c r="I2051" i="2"/>
  <c r="H2051" i="2"/>
  <c r="F2051" i="2"/>
  <c r="D2051" i="2"/>
  <c r="E2051" i="2" s="1"/>
  <c r="I2050" i="2"/>
  <c r="H2050" i="2"/>
  <c r="F2050" i="2"/>
  <c r="D2050" i="2"/>
  <c r="E2050" i="2" s="1"/>
  <c r="I2049" i="2"/>
  <c r="H2049" i="2"/>
  <c r="F2049" i="2"/>
  <c r="D2049" i="2"/>
  <c r="E2049" i="2" s="1"/>
  <c r="I2048" i="2"/>
  <c r="H2048" i="2"/>
  <c r="F2048" i="2"/>
  <c r="D2048" i="2"/>
  <c r="E2048" i="2" s="1"/>
  <c r="I2047" i="2"/>
  <c r="H2047" i="2"/>
  <c r="F2047" i="2"/>
  <c r="D2047" i="2"/>
  <c r="E2047" i="2" s="1"/>
  <c r="I2046" i="2"/>
  <c r="H2046" i="2"/>
  <c r="F2046" i="2"/>
  <c r="D2046" i="2"/>
  <c r="E2046" i="2" s="1"/>
  <c r="I2045" i="2"/>
  <c r="H2045" i="2"/>
  <c r="F2045" i="2"/>
  <c r="D2045" i="2"/>
  <c r="E2045" i="2" s="1"/>
  <c r="I2044" i="2"/>
  <c r="H2044" i="2"/>
  <c r="F2044" i="2"/>
  <c r="D2044" i="2"/>
  <c r="E2044" i="2" s="1"/>
  <c r="I2043" i="2"/>
  <c r="H2043" i="2"/>
  <c r="F2043" i="2"/>
  <c r="D2043" i="2"/>
  <c r="E2043" i="2" s="1"/>
  <c r="I2042" i="2"/>
  <c r="H2042" i="2"/>
  <c r="F2042" i="2"/>
  <c r="D2042" i="2"/>
  <c r="E2042" i="2" s="1"/>
  <c r="I2041" i="2"/>
  <c r="H2041" i="2"/>
  <c r="F2041" i="2"/>
  <c r="D2041" i="2"/>
  <c r="E2041" i="2" s="1"/>
  <c r="I2040" i="2"/>
  <c r="H2040" i="2"/>
  <c r="F2040" i="2"/>
  <c r="D2040" i="2"/>
  <c r="E2040" i="2" s="1"/>
  <c r="I2039" i="2"/>
  <c r="H2039" i="2"/>
  <c r="F2039" i="2"/>
  <c r="D2039" i="2"/>
  <c r="E2039" i="2" s="1"/>
  <c r="I2038" i="2"/>
  <c r="H2038" i="2"/>
  <c r="F2038" i="2"/>
  <c r="D2038" i="2"/>
  <c r="E2038" i="2" s="1"/>
  <c r="I2037" i="2"/>
  <c r="H2037" i="2"/>
  <c r="F2037" i="2"/>
  <c r="D2037" i="2"/>
  <c r="E2037" i="2" s="1"/>
  <c r="I2036" i="2"/>
  <c r="H2036" i="2"/>
  <c r="F2036" i="2"/>
  <c r="D2036" i="2"/>
  <c r="E2036" i="2" s="1"/>
  <c r="I2035" i="2"/>
  <c r="H2035" i="2"/>
  <c r="F2035" i="2"/>
  <c r="D2035" i="2"/>
  <c r="E2035" i="2" s="1"/>
  <c r="I2034" i="2"/>
  <c r="H2034" i="2"/>
  <c r="F2034" i="2"/>
  <c r="D2034" i="2"/>
  <c r="E2034" i="2" s="1"/>
  <c r="I2033" i="2"/>
  <c r="H2033" i="2"/>
  <c r="F2033" i="2"/>
  <c r="D2033" i="2"/>
  <c r="E2033" i="2" s="1"/>
  <c r="I2032" i="2"/>
  <c r="H2032" i="2"/>
  <c r="F2032" i="2"/>
  <c r="D2032" i="2"/>
  <c r="E2032" i="2" s="1"/>
  <c r="I2031" i="2"/>
  <c r="H2031" i="2"/>
  <c r="F2031" i="2"/>
  <c r="D2031" i="2"/>
  <c r="E2031" i="2" s="1"/>
  <c r="J2031" i="2" s="1"/>
  <c r="K2031" i="2" s="1"/>
  <c r="I2030" i="2"/>
  <c r="H2030" i="2"/>
  <c r="F2030" i="2"/>
  <c r="D2030" i="2"/>
  <c r="E2030" i="2" s="1"/>
  <c r="I2029" i="2"/>
  <c r="H2029" i="2"/>
  <c r="F2029" i="2"/>
  <c r="D2029" i="2"/>
  <c r="E2029" i="2" s="1"/>
  <c r="I2028" i="2"/>
  <c r="H2028" i="2"/>
  <c r="F2028" i="2"/>
  <c r="D2028" i="2"/>
  <c r="E2028" i="2" s="1"/>
  <c r="I2027" i="2"/>
  <c r="H2027" i="2"/>
  <c r="F2027" i="2"/>
  <c r="D2027" i="2"/>
  <c r="E2027" i="2" s="1"/>
  <c r="J2027" i="2" s="1"/>
  <c r="K2027" i="2" s="1"/>
  <c r="I2026" i="2"/>
  <c r="H2026" i="2"/>
  <c r="F2026" i="2"/>
  <c r="D2026" i="2"/>
  <c r="E2026" i="2" s="1"/>
  <c r="I2025" i="2"/>
  <c r="H2025" i="2"/>
  <c r="F2025" i="2"/>
  <c r="D2025" i="2"/>
  <c r="E2025" i="2" s="1"/>
  <c r="J2025" i="2" s="1"/>
  <c r="K2025" i="2" s="1"/>
  <c r="I2024" i="2"/>
  <c r="H2024" i="2"/>
  <c r="F2024" i="2"/>
  <c r="D2024" i="2"/>
  <c r="E2024" i="2" s="1"/>
  <c r="I2023" i="2"/>
  <c r="H2023" i="2"/>
  <c r="F2023" i="2"/>
  <c r="E2023" i="2"/>
  <c r="D2023" i="2"/>
  <c r="I2022" i="2"/>
  <c r="H2022" i="2"/>
  <c r="F2022" i="2"/>
  <c r="D2022" i="2"/>
  <c r="E2022" i="2" s="1"/>
  <c r="I2021" i="2"/>
  <c r="H2021" i="2"/>
  <c r="F2021" i="2"/>
  <c r="D2021" i="2"/>
  <c r="E2021" i="2" s="1"/>
  <c r="I2020" i="2"/>
  <c r="H2020" i="2"/>
  <c r="F2020" i="2"/>
  <c r="D2020" i="2"/>
  <c r="E2020" i="2" s="1"/>
  <c r="I2019" i="2"/>
  <c r="H2019" i="2"/>
  <c r="F2019" i="2"/>
  <c r="D2019" i="2"/>
  <c r="E2019" i="2" s="1"/>
  <c r="I2018" i="2"/>
  <c r="H2018" i="2"/>
  <c r="F2018" i="2"/>
  <c r="D2018" i="2"/>
  <c r="E2018" i="2" s="1"/>
  <c r="I2017" i="2"/>
  <c r="H2017" i="2"/>
  <c r="F2017" i="2"/>
  <c r="D2017" i="2"/>
  <c r="E2017" i="2" s="1"/>
  <c r="I2016" i="2"/>
  <c r="H2016" i="2"/>
  <c r="F2016" i="2"/>
  <c r="D2016" i="2"/>
  <c r="E2016" i="2" s="1"/>
  <c r="I2015" i="2"/>
  <c r="H2015" i="2"/>
  <c r="F2015" i="2"/>
  <c r="D2015" i="2"/>
  <c r="E2015" i="2" s="1"/>
  <c r="I2014" i="2"/>
  <c r="H2014" i="2"/>
  <c r="F2014" i="2"/>
  <c r="D2014" i="2"/>
  <c r="E2014" i="2" s="1"/>
  <c r="I2013" i="2"/>
  <c r="H2013" i="2"/>
  <c r="F2013" i="2"/>
  <c r="D2013" i="2"/>
  <c r="E2013" i="2" s="1"/>
  <c r="I2012" i="2"/>
  <c r="H2012" i="2"/>
  <c r="F2012" i="2"/>
  <c r="D2012" i="2"/>
  <c r="E2012" i="2" s="1"/>
  <c r="I2011" i="2"/>
  <c r="H2011" i="2"/>
  <c r="F2011" i="2"/>
  <c r="D2011" i="2"/>
  <c r="E2011" i="2" s="1"/>
  <c r="I2010" i="2"/>
  <c r="H2010" i="2"/>
  <c r="F2010" i="2"/>
  <c r="D2010" i="2"/>
  <c r="E2010" i="2" s="1"/>
  <c r="I2009" i="2"/>
  <c r="H2009" i="2"/>
  <c r="F2009" i="2"/>
  <c r="D2009" i="2"/>
  <c r="E2009" i="2" s="1"/>
  <c r="I2008" i="2"/>
  <c r="H2008" i="2"/>
  <c r="F2008" i="2"/>
  <c r="D2008" i="2"/>
  <c r="E2008" i="2" s="1"/>
  <c r="I2007" i="2"/>
  <c r="H2007" i="2"/>
  <c r="F2007" i="2"/>
  <c r="D2007" i="2"/>
  <c r="E2007" i="2" s="1"/>
  <c r="J2007" i="2" s="1"/>
  <c r="K2007" i="2" s="1"/>
  <c r="I2006" i="2"/>
  <c r="H2006" i="2"/>
  <c r="F2006" i="2"/>
  <c r="D2006" i="2"/>
  <c r="E2006" i="2" s="1"/>
  <c r="I2005" i="2"/>
  <c r="H2005" i="2"/>
  <c r="F2005" i="2"/>
  <c r="D2005" i="2"/>
  <c r="E2005" i="2" s="1"/>
  <c r="I2004" i="2"/>
  <c r="H2004" i="2"/>
  <c r="F2004" i="2"/>
  <c r="D2004" i="2"/>
  <c r="E2004" i="2" s="1"/>
  <c r="I2003" i="2"/>
  <c r="H2003" i="2"/>
  <c r="F2003" i="2"/>
  <c r="D2003" i="2"/>
  <c r="E2003" i="2" s="1"/>
  <c r="I2002" i="2"/>
  <c r="H2002" i="2"/>
  <c r="F2002" i="2"/>
  <c r="D2002" i="2"/>
  <c r="E2002" i="2" s="1"/>
  <c r="I2001" i="2"/>
  <c r="H2001" i="2"/>
  <c r="F2001" i="2"/>
  <c r="D2001" i="2"/>
  <c r="E2001" i="2" s="1"/>
  <c r="I2000" i="2"/>
  <c r="H2000" i="2"/>
  <c r="F2000" i="2"/>
  <c r="D2000" i="2"/>
  <c r="E2000" i="2" s="1"/>
  <c r="I1999" i="2"/>
  <c r="H1999" i="2"/>
  <c r="F1999" i="2"/>
  <c r="D1999" i="2"/>
  <c r="E1999" i="2" s="1"/>
  <c r="I1998" i="2"/>
  <c r="H1998" i="2"/>
  <c r="F1998" i="2"/>
  <c r="D1998" i="2"/>
  <c r="E1998" i="2" s="1"/>
  <c r="I1997" i="2"/>
  <c r="H1997" i="2"/>
  <c r="F1997" i="2"/>
  <c r="D1997" i="2"/>
  <c r="E1997" i="2" s="1"/>
  <c r="I1996" i="2"/>
  <c r="H1996" i="2"/>
  <c r="F1996" i="2"/>
  <c r="D1996" i="2"/>
  <c r="E1996" i="2" s="1"/>
  <c r="I1995" i="2"/>
  <c r="H1995" i="2"/>
  <c r="F1995" i="2"/>
  <c r="D1995" i="2"/>
  <c r="E1995" i="2" s="1"/>
  <c r="I1994" i="2"/>
  <c r="H1994" i="2"/>
  <c r="F1994" i="2"/>
  <c r="D1994" i="2"/>
  <c r="E1994" i="2" s="1"/>
  <c r="I1993" i="2"/>
  <c r="H1993" i="2"/>
  <c r="F1993" i="2"/>
  <c r="D1993" i="2"/>
  <c r="E1993" i="2" s="1"/>
  <c r="I1992" i="2"/>
  <c r="H1992" i="2"/>
  <c r="F1992" i="2"/>
  <c r="D1992" i="2"/>
  <c r="E1992" i="2" s="1"/>
  <c r="I1991" i="2"/>
  <c r="H1991" i="2"/>
  <c r="F1991" i="2"/>
  <c r="D1991" i="2"/>
  <c r="E1991" i="2" s="1"/>
  <c r="I1990" i="2"/>
  <c r="H1990" i="2"/>
  <c r="F1990" i="2"/>
  <c r="D1990" i="2"/>
  <c r="E1990" i="2" s="1"/>
  <c r="I1989" i="2"/>
  <c r="H1989" i="2"/>
  <c r="F1989" i="2"/>
  <c r="D1989" i="2"/>
  <c r="E1989" i="2" s="1"/>
  <c r="I1988" i="2"/>
  <c r="H1988" i="2"/>
  <c r="F1988" i="2"/>
  <c r="D1988" i="2"/>
  <c r="E1988" i="2" s="1"/>
  <c r="I1987" i="2"/>
  <c r="H1987" i="2"/>
  <c r="F1987" i="2"/>
  <c r="D1987" i="2"/>
  <c r="E1987" i="2" s="1"/>
  <c r="I1986" i="2"/>
  <c r="H1986" i="2"/>
  <c r="F1986" i="2"/>
  <c r="D1986" i="2"/>
  <c r="E1986" i="2" s="1"/>
  <c r="I1985" i="2"/>
  <c r="H1985" i="2"/>
  <c r="F1985" i="2"/>
  <c r="D1985" i="2"/>
  <c r="E1985" i="2" s="1"/>
  <c r="I1984" i="2"/>
  <c r="H1984" i="2"/>
  <c r="F1984" i="2"/>
  <c r="D1984" i="2"/>
  <c r="E1984" i="2" s="1"/>
  <c r="I1983" i="2"/>
  <c r="H1983" i="2"/>
  <c r="F1983" i="2"/>
  <c r="D1983" i="2"/>
  <c r="E1983" i="2" s="1"/>
  <c r="I1982" i="2"/>
  <c r="H1982" i="2"/>
  <c r="F1982" i="2"/>
  <c r="D1982" i="2"/>
  <c r="E1982" i="2" s="1"/>
  <c r="I1981" i="2"/>
  <c r="J1981" i="2" s="1"/>
  <c r="K1981" i="2" s="1"/>
  <c r="H1981" i="2"/>
  <c r="F1981" i="2"/>
  <c r="D1981" i="2"/>
  <c r="E1981" i="2" s="1"/>
  <c r="I1980" i="2"/>
  <c r="H1980" i="2"/>
  <c r="F1980" i="2"/>
  <c r="D1980" i="2"/>
  <c r="E1980" i="2" s="1"/>
  <c r="I1979" i="2"/>
  <c r="H1979" i="2"/>
  <c r="F1979" i="2"/>
  <c r="D1979" i="2"/>
  <c r="E1979" i="2" s="1"/>
  <c r="I1978" i="2"/>
  <c r="H1978" i="2"/>
  <c r="F1978" i="2"/>
  <c r="D1978" i="2"/>
  <c r="E1978" i="2" s="1"/>
  <c r="I1977" i="2"/>
  <c r="H1977" i="2"/>
  <c r="F1977" i="2"/>
  <c r="D1977" i="2"/>
  <c r="E1977" i="2" s="1"/>
  <c r="I1976" i="2"/>
  <c r="H1976" i="2"/>
  <c r="F1976" i="2"/>
  <c r="D1976" i="2"/>
  <c r="E1976" i="2" s="1"/>
  <c r="I1975" i="2"/>
  <c r="H1975" i="2"/>
  <c r="F1975" i="2"/>
  <c r="D1975" i="2"/>
  <c r="E1975" i="2" s="1"/>
  <c r="I1974" i="2"/>
  <c r="H1974" i="2"/>
  <c r="F1974" i="2"/>
  <c r="D1974" i="2"/>
  <c r="E1974" i="2" s="1"/>
  <c r="I1973" i="2"/>
  <c r="H1973" i="2"/>
  <c r="F1973" i="2"/>
  <c r="D1973" i="2"/>
  <c r="E1973" i="2" s="1"/>
  <c r="I1972" i="2"/>
  <c r="H1972" i="2"/>
  <c r="F1972" i="2"/>
  <c r="D1972" i="2"/>
  <c r="E1972" i="2" s="1"/>
  <c r="I1971" i="2"/>
  <c r="H1971" i="2"/>
  <c r="F1971" i="2"/>
  <c r="D1971" i="2"/>
  <c r="E1971" i="2" s="1"/>
  <c r="I1970" i="2"/>
  <c r="H1970" i="2"/>
  <c r="F1970" i="2"/>
  <c r="D1970" i="2"/>
  <c r="E1970" i="2" s="1"/>
  <c r="I1969" i="2"/>
  <c r="H1969" i="2"/>
  <c r="F1969" i="2"/>
  <c r="D1969" i="2"/>
  <c r="E1969" i="2" s="1"/>
  <c r="I1968" i="2"/>
  <c r="H1968" i="2"/>
  <c r="F1968" i="2"/>
  <c r="D1968" i="2"/>
  <c r="E1968" i="2" s="1"/>
  <c r="I1967" i="2"/>
  <c r="H1967" i="2"/>
  <c r="F1967" i="2"/>
  <c r="D1967" i="2"/>
  <c r="E1967" i="2" s="1"/>
  <c r="I1966" i="2"/>
  <c r="H1966" i="2"/>
  <c r="F1966" i="2"/>
  <c r="D1966" i="2"/>
  <c r="E1966" i="2" s="1"/>
  <c r="I1965" i="2"/>
  <c r="H1965" i="2"/>
  <c r="F1965" i="2"/>
  <c r="D1965" i="2"/>
  <c r="E1965" i="2" s="1"/>
  <c r="I1964" i="2"/>
  <c r="H1964" i="2"/>
  <c r="F1964" i="2"/>
  <c r="D1964" i="2"/>
  <c r="E1964" i="2" s="1"/>
  <c r="I1963" i="2"/>
  <c r="H1963" i="2"/>
  <c r="F1963" i="2"/>
  <c r="D1963" i="2"/>
  <c r="E1963" i="2" s="1"/>
  <c r="I1962" i="2"/>
  <c r="H1962" i="2"/>
  <c r="F1962" i="2"/>
  <c r="D1962" i="2"/>
  <c r="E1962" i="2" s="1"/>
  <c r="I1961" i="2"/>
  <c r="H1961" i="2"/>
  <c r="F1961" i="2"/>
  <c r="D1961" i="2"/>
  <c r="E1961" i="2" s="1"/>
  <c r="I1960" i="2"/>
  <c r="H1960" i="2"/>
  <c r="F1960" i="2"/>
  <c r="D1960" i="2"/>
  <c r="E1960" i="2" s="1"/>
  <c r="I1959" i="2"/>
  <c r="H1959" i="2"/>
  <c r="F1959" i="2"/>
  <c r="D1959" i="2"/>
  <c r="E1959" i="2" s="1"/>
  <c r="I1958" i="2"/>
  <c r="H1958" i="2"/>
  <c r="F1958" i="2"/>
  <c r="D1958" i="2"/>
  <c r="E1958" i="2" s="1"/>
  <c r="I1957" i="2"/>
  <c r="H1957" i="2"/>
  <c r="F1957" i="2"/>
  <c r="D1957" i="2"/>
  <c r="E1957" i="2" s="1"/>
  <c r="I1956" i="2"/>
  <c r="H1956" i="2"/>
  <c r="F1956" i="2"/>
  <c r="D1956" i="2"/>
  <c r="E1956" i="2" s="1"/>
  <c r="I1955" i="2"/>
  <c r="H1955" i="2"/>
  <c r="F1955" i="2"/>
  <c r="D1955" i="2"/>
  <c r="E1955" i="2" s="1"/>
  <c r="I1954" i="2"/>
  <c r="H1954" i="2"/>
  <c r="F1954" i="2"/>
  <c r="D1954" i="2"/>
  <c r="E1954" i="2" s="1"/>
  <c r="I1953" i="2"/>
  <c r="H1953" i="2"/>
  <c r="F1953" i="2"/>
  <c r="D1953" i="2"/>
  <c r="E1953" i="2" s="1"/>
  <c r="I1952" i="2"/>
  <c r="H1952" i="2"/>
  <c r="F1952" i="2"/>
  <c r="D1952" i="2"/>
  <c r="E1952" i="2" s="1"/>
  <c r="I1951" i="2"/>
  <c r="H1951" i="2"/>
  <c r="F1951" i="2"/>
  <c r="D1951" i="2"/>
  <c r="E1951" i="2" s="1"/>
  <c r="I1950" i="2"/>
  <c r="H1950" i="2"/>
  <c r="F1950" i="2"/>
  <c r="D1950" i="2"/>
  <c r="E1950" i="2" s="1"/>
  <c r="I1949" i="2"/>
  <c r="H1949" i="2"/>
  <c r="F1949" i="2"/>
  <c r="D1949" i="2"/>
  <c r="E1949" i="2" s="1"/>
  <c r="I1948" i="2"/>
  <c r="H1948" i="2"/>
  <c r="F1948" i="2"/>
  <c r="D1948" i="2"/>
  <c r="E1948" i="2" s="1"/>
  <c r="I1947" i="2"/>
  <c r="H1947" i="2"/>
  <c r="F1947" i="2"/>
  <c r="D1947" i="2"/>
  <c r="E1947" i="2" s="1"/>
  <c r="I1946" i="2"/>
  <c r="H1946" i="2"/>
  <c r="F1946" i="2"/>
  <c r="D1946" i="2"/>
  <c r="E1946" i="2" s="1"/>
  <c r="I1945" i="2"/>
  <c r="H1945" i="2"/>
  <c r="F1945" i="2"/>
  <c r="D1945" i="2"/>
  <c r="E1945" i="2" s="1"/>
  <c r="I1944" i="2"/>
  <c r="H1944" i="2"/>
  <c r="F1944" i="2"/>
  <c r="D1944" i="2"/>
  <c r="E1944" i="2" s="1"/>
  <c r="I1943" i="2"/>
  <c r="H1943" i="2"/>
  <c r="F1943" i="2"/>
  <c r="D1943" i="2"/>
  <c r="E1943" i="2" s="1"/>
  <c r="I1942" i="2"/>
  <c r="H1942" i="2"/>
  <c r="F1942" i="2"/>
  <c r="D1942" i="2"/>
  <c r="E1942" i="2" s="1"/>
  <c r="I1941" i="2"/>
  <c r="H1941" i="2"/>
  <c r="F1941" i="2"/>
  <c r="D1941" i="2"/>
  <c r="E1941" i="2" s="1"/>
  <c r="I1940" i="2"/>
  <c r="H1940" i="2"/>
  <c r="F1940" i="2"/>
  <c r="D1940" i="2"/>
  <c r="E1940" i="2" s="1"/>
  <c r="I1939" i="2"/>
  <c r="H1939" i="2"/>
  <c r="F1939" i="2"/>
  <c r="D1939" i="2"/>
  <c r="E1939" i="2" s="1"/>
  <c r="I1938" i="2"/>
  <c r="H1938" i="2"/>
  <c r="F1938" i="2"/>
  <c r="D1938" i="2"/>
  <c r="E1938" i="2" s="1"/>
  <c r="I1937" i="2"/>
  <c r="H1937" i="2"/>
  <c r="F1937" i="2"/>
  <c r="D1937" i="2"/>
  <c r="E1937" i="2" s="1"/>
  <c r="I1936" i="2"/>
  <c r="H1936" i="2"/>
  <c r="F1936" i="2"/>
  <c r="D1936" i="2"/>
  <c r="E1936" i="2" s="1"/>
  <c r="I1935" i="2"/>
  <c r="H1935" i="2"/>
  <c r="F1935" i="2"/>
  <c r="D1935" i="2"/>
  <c r="E1935" i="2" s="1"/>
  <c r="I1934" i="2"/>
  <c r="H1934" i="2"/>
  <c r="F1934" i="2"/>
  <c r="D1934" i="2"/>
  <c r="E1934" i="2" s="1"/>
  <c r="I1933" i="2"/>
  <c r="H1933" i="2"/>
  <c r="F1933" i="2"/>
  <c r="D1933" i="2"/>
  <c r="E1933" i="2" s="1"/>
  <c r="I1932" i="2"/>
  <c r="H1932" i="2"/>
  <c r="F1932" i="2"/>
  <c r="D1932" i="2"/>
  <c r="E1932" i="2" s="1"/>
  <c r="I1931" i="2"/>
  <c r="H1931" i="2"/>
  <c r="F1931" i="2"/>
  <c r="D1931" i="2"/>
  <c r="E1931" i="2" s="1"/>
  <c r="I1930" i="2"/>
  <c r="H1930" i="2"/>
  <c r="F1930" i="2"/>
  <c r="D1930" i="2"/>
  <c r="E1930" i="2" s="1"/>
  <c r="I1929" i="2"/>
  <c r="H1929" i="2"/>
  <c r="F1929" i="2"/>
  <c r="D1929" i="2"/>
  <c r="E1929" i="2" s="1"/>
  <c r="I1928" i="2"/>
  <c r="H1928" i="2"/>
  <c r="F1928" i="2"/>
  <c r="D1928" i="2"/>
  <c r="E1928" i="2" s="1"/>
  <c r="I1927" i="2"/>
  <c r="H1927" i="2"/>
  <c r="F1927" i="2"/>
  <c r="D1927" i="2"/>
  <c r="E1927" i="2" s="1"/>
  <c r="I1926" i="2"/>
  <c r="H1926" i="2"/>
  <c r="F1926" i="2"/>
  <c r="D1926" i="2"/>
  <c r="E1926" i="2" s="1"/>
  <c r="I1925" i="2"/>
  <c r="H1925" i="2"/>
  <c r="F1925" i="2"/>
  <c r="D1925" i="2"/>
  <c r="E1925" i="2" s="1"/>
  <c r="I1924" i="2"/>
  <c r="H1924" i="2"/>
  <c r="F1924" i="2"/>
  <c r="D1924" i="2"/>
  <c r="E1924" i="2" s="1"/>
  <c r="I1923" i="2"/>
  <c r="H1923" i="2"/>
  <c r="F1923" i="2"/>
  <c r="D1923" i="2"/>
  <c r="E1923" i="2" s="1"/>
  <c r="I1922" i="2"/>
  <c r="H1922" i="2"/>
  <c r="F1922" i="2"/>
  <c r="D1922" i="2"/>
  <c r="E1922" i="2" s="1"/>
  <c r="I1921" i="2"/>
  <c r="H1921" i="2"/>
  <c r="F1921" i="2"/>
  <c r="D1921" i="2"/>
  <c r="E1921" i="2" s="1"/>
  <c r="I1920" i="2"/>
  <c r="H1920" i="2"/>
  <c r="F1920" i="2"/>
  <c r="D1920" i="2"/>
  <c r="E1920" i="2" s="1"/>
  <c r="I1919" i="2"/>
  <c r="H1919" i="2"/>
  <c r="F1919" i="2"/>
  <c r="D1919" i="2"/>
  <c r="E1919" i="2" s="1"/>
  <c r="I1918" i="2"/>
  <c r="H1918" i="2"/>
  <c r="F1918" i="2"/>
  <c r="D1918" i="2"/>
  <c r="E1918" i="2" s="1"/>
  <c r="I1917" i="2"/>
  <c r="H1917" i="2"/>
  <c r="F1917" i="2"/>
  <c r="D1917" i="2"/>
  <c r="E1917" i="2" s="1"/>
  <c r="I1916" i="2"/>
  <c r="H1916" i="2"/>
  <c r="F1916" i="2"/>
  <c r="D1916" i="2"/>
  <c r="E1916" i="2" s="1"/>
  <c r="I1915" i="2"/>
  <c r="H1915" i="2"/>
  <c r="F1915" i="2"/>
  <c r="D1915" i="2"/>
  <c r="E1915" i="2" s="1"/>
  <c r="I1914" i="2"/>
  <c r="H1914" i="2"/>
  <c r="F1914" i="2"/>
  <c r="D1914" i="2"/>
  <c r="E1914" i="2" s="1"/>
  <c r="I1913" i="2"/>
  <c r="H1913" i="2"/>
  <c r="F1913" i="2"/>
  <c r="D1913" i="2"/>
  <c r="E1913" i="2" s="1"/>
  <c r="I1912" i="2"/>
  <c r="H1912" i="2"/>
  <c r="F1912" i="2"/>
  <c r="D1912" i="2"/>
  <c r="E1912" i="2" s="1"/>
  <c r="I1911" i="2"/>
  <c r="H1911" i="2"/>
  <c r="F1911" i="2"/>
  <c r="D1911" i="2"/>
  <c r="E1911" i="2" s="1"/>
  <c r="I1910" i="2"/>
  <c r="H1910" i="2"/>
  <c r="F1910" i="2"/>
  <c r="D1910" i="2"/>
  <c r="E1910" i="2" s="1"/>
  <c r="I1909" i="2"/>
  <c r="H1909" i="2"/>
  <c r="F1909" i="2"/>
  <c r="D1909" i="2"/>
  <c r="E1909" i="2" s="1"/>
  <c r="I1908" i="2"/>
  <c r="H1908" i="2"/>
  <c r="F1908" i="2"/>
  <c r="D1908" i="2"/>
  <c r="E1908" i="2" s="1"/>
  <c r="I1907" i="2"/>
  <c r="H1907" i="2"/>
  <c r="F1907" i="2"/>
  <c r="D1907" i="2"/>
  <c r="E1907" i="2" s="1"/>
  <c r="I1906" i="2"/>
  <c r="H1906" i="2"/>
  <c r="F1906" i="2"/>
  <c r="D1906" i="2"/>
  <c r="E1906" i="2" s="1"/>
  <c r="I1905" i="2"/>
  <c r="H1905" i="2"/>
  <c r="F1905" i="2"/>
  <c r="D1905" i="2"/>
  <c r="E1905" i="2" s="1"/>
  <c r="I1904" i="2"/>
  <c r="H1904" i="2"/>
  <c r="F1904" i="2"/>
  <c r="D1904" i="2"/>
  <c r="E1904" i="2" s="1"/>
  <c r="I1903" i="2"/>
  <c r="H1903" i="2"/>
  <c r="F1903" i="2"/>
  <c r="D1903" i="2"/>
  <c r="E1903" i="2" s="1"/>
  <c r="I1902" i="2"/>
  <c r="H1902" i="2"/>
  <c r="F1902" i="2"/>
  <c r="D1902" i="2"/>
  <c r="E1902" i="2" s="1"/>
  <c r="J1901" i="2"/>
  <c r="K1901" i="2" s="1"/>
  <c r="I1901" i="2"/>
  <c r="H1901" i="2"/>
  <c r="F1901" i="2"/>
  <c r="D1901" i="2"/>
  <c r="E1901" i="2" s="1"/>
  <c r="I1900" i="2"/>
  <c r="H1900" i="2"/>
  <c r="F1900" i="2"/>
  <c r="E1900" i="2"/>
  <c r="D1900" i="2"/>
  <c r="I1899" i="2"/>
  <c r="H1899" i="2"/>
  <c r="F1899" i="2"/>
  <c r="D1899" i="2"/>
  <c r="E1899" i="2" s="1"/>
  <c r="I1898" i="2"/>
  <c r="H1898" i="2"/>
  <c r="F1898" i="2"/>
  <c r="D1898" i="2"/>
  <c r="E1898" i="2" s="1"/>
  <c r="I1897" i="2"/>
  <c r="H1897" i="2"/>
  <c r="F1897" i="2"/>
  <c r="D1897" i="2"/>
  <c r="E1897" i="2" s="1"/>
  <c r="I1896" i="2"/>
  <c r="H1896" i="2"/>
  <c r="F1896" i="2"/>
  <c r="D1896" i="2"/>
  <c r="E1896" i="2" s="1"/>
  <c r="I1895" i="2"/>
  <c r="H1895" i="2"/>
  <c r="F1895" i="2"/>
  <c r="D1895" i="2"/>
  <c r="E1895" i="2" s="1"/>
  <c r="I1894" i="2"/>
  <c r="H1894" i="2"/>
  <c r="F1894" i="2"/>
  <c r="D1894" i="2"/>
  <c r="E1894" i="2" s="1"/>
  <c r="I1893" i="2"/>
  <c r="H1893" i="2"/>
  <c r="F1893" i="2"/>
  <c r="D1893" i="2"/>
  <c r="E1893" i="2" s="1"/>
  <c r="I1892" i="2"/>
  <c r="H1892" i="2"/>
  <c r="F1892" i="2"/>
  <c r="D1892" i="2"/>
  <c r="E1892" i="2" s="1"/>
  <c r="I1891" i="2"/>
  <c r="H1891" i="2"/>
  <c r="F1891" i="2"/>
  <c r="D1891" i="2"/>
  <c r="E1891" i="2" s="1"/>
  <c r="I1890" i="2"/>
  <c r="H1890" i="2"/>
  <c r="F1890" i="2"/>
  <c r="D1890" i="2"/>
  <c r="E1890" i="2" s="1"/>
  <c r="I1889" i="2"/>
  <c r="H1889" i="2"/>
  <c r="F1889" i="2"/>
  <c r="D1889" i="2"/>
  <c r="E1889" i="2" s="1"/>
  <c r="J1889" i="2" s="1"/>
  <c r="K1889" i="2" s="1"/>
  <c r="I1888" i="2"/>
  <c r="H1888" i="2"/>
  <c r="F1888" i="2"/>
  <c r="D1888" i="2"/>
  <c r="E1888" i="2" s="1"/>
  <c r="I1887" i="2"/>
  <c r="H1887" i="2"/>
  <c r="F1887" i="2"/>
  <c r="D1887" i="2"/>
  <c r="E1887" i="2" s="1"/>
  <c r="I1886" i="2"/>
  <c r="H1886" i="2"/>
  <c r="F1886" i="2"/>
  <c r="D1886" i="2"/>
  <c r="E1886" i="2" s="1"/>
  <c r="I1885" i="2"/>
  <c r="H1885" i="2"/>
  <c r="F1885" i="2"/>
  <c r="D1885" i="2"/>
  <c r="E1885" i="2" s="1"/>
  <c r="I1884" i="2"/>
  <c r="H1884" i="2"/>
  <c r="F1884" i="2"/>
  <c r="E1884" i="2"/>
  <c r="D1884" i="2"/>
  <c r="I1883" i="2"/>
  <c r="H1883" i="2"/>
  <c r="F1883" i="2"/>
  <c r="D1883" i="2"/>
  <c r="E1883" i="2" s="1"/>
  <c r="I1882" i="2"/>
  <c r="J1882" i="2" s="1"/>
  <c r="K1882" i="2" s="1"/>
  <c r="H1882" i="2"/>
  <c r="F1882" i="2"/>
  <c r="D1882" i="2"/>
  <c r="E1882" i="2" s="1"/>
  <c r="I1881" i="2"/>
  <c r="H1881" i="2"/>
  <c r="F1881" i="2"/>
  <c r="D1881" i="2"/>
  <c r="E1881" i="2" s="1"/>
  <c r="I1880" i="2"/>
  <c r="H1880" i="2"/>
  <c r="F1880" i="2"/>
  <c r="D1880" i="2"/>
  <c r="E1880" i="2" s="1"/>
  <c r="I1879" i="2"/>
  <c r="H1879" i="2"/>
  <c r="F1879" i="2"/>
  <c r="D1879" i="2"/>
  <c r="E1879" i="2" s="1"/>
  <c r="I1878" i="2"/>
  <c r="H1878" i="2"/>
  <c r="F1878" i="2"/>
  <c r="D1878" i="2"/>
  <c r="E1878" i="2" s="1"/>
  <c r="I1877" i="2"/>
  <c r="H1877" i="2"/>
  <c r="F1877" i="2"/>
  <c r="D1877" i="2"/>
  <c r="E1877" i="2" s="1"/>
  <c r="I1876" i="2"/>
  <c r="H1876" i="2"/>
  <c r="F1876" i="2"/>
  <c r="D1876" i="2"/>
  <c r="E1876" i="2" s="1"/>
  <c r="I1875" i="2"/>
  <c r="H1875" i="2"/>
  <c r="F1875" i="2"/>
  <c r="D1875" i="2"/>
  <c r="E1875" i="2" s="1"/>
  <c r="I1874" i="2"/>
  <c r="H1874" i="2"/>
  <c r="F1874" i="2"/>
  <c r="D1874" i="2"/>
  <c r="E1874" i="2" s="1"/>
  <c r="I1873" i="2"/>
  <c r="H1873" i="2"/>
  <c r="F1873" i="2"/>
  <c r="D1873" i="2"/>
  <c r="E1873" i="2" s="1"/>
  <c r="I1872" i="2"/>
  <c r="H1872" i="2"/>
  <c r="F1872" i="2"/>
  <c r="D1872" i="2"/>
  <c r="E1872" i="2" s="1"/>
  <c r="I1871" i="2"/>
  <c r="H1871" i="2"/>
  <c r="F1871" i="2"/>
  <c r="D1871" i="2"/>
  <c r="E1871" i="2" s="1"/>
  <c r="I1870" i="2"/>
  <c r="H1870" i="2"/>
  <c r="F1870" i="2"/>
  <c r="D1870" i="2"/>
  <c r="E1870" i="2" s="1"/>
  <c r="I1869" i="2"/>
  <c r="H1869" i="2"/>
  <c r="F1869" i="2"/>
  <c r="D1869" i="2"/>
  <c r="E1869" i="2" s="1"/>
  <c r="I1868" i="2"/>
  <c r="H1868" i="2"/>
  <c r="F1868" i="2"/>
  <c r="D1868" i="2"/>
  <c r="E1868" i="2" s="1"/>
  <c r="I1867" i="2"/>
  <c r="H1867" i="2"/>
  <c r="F1867" i="2"/>
  <c r="D1867" i="2"/>
  <c r="E1867" i="2" s="1"/>
  <c r="I1866" i="2"/>
  <c r="H1866" i="2"/>
  <c r="F1866" i="2"/>
  <c r="D1866" i="2"/>
  <c r="E1866" i="2" s="1"/>
  <c r="I1865" i="2"/>
  <c r="H1865" i="2"/>
  <c r="F1865" i="2"/>
  <c r="D1865" i="2"/>
  <c r="E1865" i="2" s="1"/>
  <c r="I1864" i="2"/>
  <c r="H1864" i="2"/>
  <c r="F1864" i="2"/>
  <c r="D1864" i="2"/>
  <c r="E1864" i="2" s="1"/>
  <c r="I1863" i="2"/>
  <c r="H1863" i="2"/>
  <c r="F1863" i="2"/>
  <c r="D1863" i="2"/>
  <c r="E1863" i="2" s="1"/>
  <c r="I1862" i="2"/>
  <c r="H1862" i="2"/>
  <c r="F1862" i="2"/>
  <c r="D1862" i="2"/>
  <c r="E1862" i="2" s="1"/>
  <c r="I1861" i="2"/>
  <c r="H1861" i="2"/>
  <c r="F1861" i="2"/>
  <c r="D1861" i="2"/>
  <c r="E1861" i="2" s="1"/>
  <c r="I1860" i="2"/>
  <c r="H1860" i="2"/>
  <c r="F1860" i="2"/>
  <c r="D1860" i="2"/>
  <c r="E1860" i="2" s="1"/>
  <c r="I1859" i="2"/>
  <c r="H1859" i="2"/>
  <c r="F1859" i="2"/>
  <c r="D1859" i="2"/>
  <c r="E1859" i="2" s="1"/>
  <c r="I1858" i="2"/>
  <c r="H1858" i="2"/>
  <c r="F1858" i="2"/>
  <c r="D1858" i="2"/>
  <c r="E1858" i="2" s="1"/>
  <c r="I1857" i="2"/>
  <c r="H1857" i="2"/>
  <c r="F1857" i="2"/>
  <c r="D1857" i="2"/>
  <c r="E1857" i="2" s="1"/>
  <c r="I1856" i="2"/>
  <c r="H1856" i="2"/>
  <c r="F1856" i="2"/>
  <c r="D1856" i="2"/>
  <c r="E1856" i="2" s="1"/>
  <c r="I1855" i="2"/>
  <c r="H1855" i="2"/>
  <c r="F1855" i="2"/>
  <c r="D1855" i="2"/>
  <c r="E1855" i="2" s="1"/>
  <c r="I1854" i="2"/>
  <c r="H1854" i="2"/>
  <c r="F1854" i="2"/>
  <c r="D1854" i="2"/>
  <c r="E1854" i="2" s="1"/>
  <c r="I1853" i="2"/>
  <c r="H1853" i="2"/>
  <c r="F1853" i="2"/>
  <c r="D1853" i="2"/>
  <c r="E1853" i="2" s="1"/>
  <c r="I1852" i="2"/>
  <c r="H1852" i="2"/>
  <c r="F1852" i="2"/>
  <c r="D1852" i="2"/>
  <c r="E1852" i="2" s="1"/>
  <c r="I1851" i="2"/>
  <c r="H1851" i="2"/>
  <c r="F1851" i="2"/>
  <c r="D1851" i="2"/>
  <c r="E1851" i="2" s="1"/>
  <c r="I1850" i="2"/>
  <c r="H1850" i="2"/>
  <c r="F1850" i="2"/>
  <c r="D1850" i="2"/>
  <c r="E1850" i="2" s="1"/>
  <c r="I1849" i="2"/>
  <c r="H1849" i="2"/>
  <c r="F1849" i="2"/>
  <c r="D1849" i="2"/>
  <c r="E1849" i="2" s="1"/>
  <c r="I1848" i="2"/>
  <c r="H1848" i="2"/>
  <c r="F1848" i="2"/>
  <c r="D1848" i="2"/>
  <c r="E1848" i="2" s="1"/>
  <c r="I1847" i="2"/>
  <c r="H1847" i="2"/>
  <c r="F1847" i="2"/>
  <c r="D1847" i="2"/>
  <c r="E1847" i="2" s="1"/>
  <c r="I1846" i="2"/>
  <c r="H1846" i="2"/>
  <c r="F1846" i="2"/>
  <c r="D1846" i="2"/>
  <c r="E1846" i="2" s="1"/>
  <c r="I1845" i="2"/>
  <c r="H1845" i="2"/>
  <c r="F1845" i="2"/>
  <c r="D1845" i="2"/>
  <c r="E1845" i="2" s="1"/>
  <c r="I1844" i="2"/>
  <c r="H1844" i="2"/>
  <c r="F1844" i="2"/>
  <c r="D1844" i="2"/>
  <c r="E1844" i="2" s="1"/>
  <c r="I1843" i="2"/>
  <c r="H1843" i="2"/>
  <c r="F1843" i="2"/>
  <c r="D1843" i="2"/>
  <c r="E1843" i="2" s="1"/>
  <c r="I1842" i="2"/>
  <c r="H1842" i="2"/>
  <c r="F1842" i="2"/>
  <c r="D1842" i="2"/>
  <c r="E1842" i="2" s="1"/>
  <c r="I1841" i="2"/>
  <c r="H1841" i="2"/>
  <c r="F1841" i="2"/>
  <c r="D1841" i="2"/>
  <c r="E1841" i="2" s="1"/>
  <c r="I1840" i="2"/>
  <c r="H1840" i="2"/>
  <c r="F1840" i="2"/>
  <c r="D1840" i="2"/>
  <c r="E1840" i="2" s="1"/>
  <c r="I1839" i="2"/>
  <c r="H1839" i="2"/>
  <c r="F1839" i="2"/>
  <c r="D1839" i="2"/>
  <c r="E1839" i="2" s="1"/>
  <c r="I1838" i="2"/>
  <c r="H1838" i="2"/>
  <c r="F1838" i="2"/>
  <c r="D1838" i="2"/>
  <c r="E1838" i="2" s="1"/>
  <c r="I1837" i="2"/>
  <c r="H1837" i="2"/>
  <c r="F1837" i="2"/>
  <c r="D1837" i="2"/>
  <c r="E1837" i="2" s="1"/>
  <c r="I1836" i="2"/>
  <c r="H1836" i="2"/>
  <c r="F1836" i="2"/>
  <c r="D1836" i="2"/>
  <c r="E1836" i="2" s="1"/>
  <c r="I1835" i="2"/>
  <c r="H1835" i="2"/>
  <c r="F1835" i="2"/>
  <c r="D1835" i="2"/>
  <c r="E1835" i="2" s="1"/>
  <c r="I1834" i="2"/>
  <c r="H1834" i="2"/>
  <c r="F1834" i="2"/>
  <c r="D1834" i="2"/>
  <c r="E1834" i="2" s="1"/>
  <c r="I1833" i="2"/>
  <c r="H1833" i="2"/>
  <c r="F1833" i="2"/>
  <c r="D1833" i="2"/>
  <c r="E1833" i="2" s="1"/>
  <c r="I1832" i="2"/>
  <c r="H1832" i="2"/>
  <c r="F1832" i="2"/>
  <c r="D1832" i="2"/>
  <c r="E1832" i="2" s="1"/>
  <c r="I1831" i="2"/>
  <c r="H1831" i="2"/>
  <c r="F1831" i="2"/>
  <c r="D1831" i="2"/>
  <c r="E1831" i="2" s="1"/>
  <c r="I1830" i="2"/>
  <c r="H1830" i="2"/>
  <c r="F1830" i="2"/>
  <c r="D1830" i="2"/>
  <c r="E1830" i="2" s="1"/>
  <c r="I1829" i="2"/>
  <c r="H1829" i="2"/>
  <c r="F1829" i="2"/>
  <c r="D1829" i="2"/>
  <c r="E1829" i="2" s="1"/>
  <c r="I1828" i="2"/>
  <c r="H1828" i="2"/>
  <c r="F1828" i="2"/>
  <c r="D1828" i="2"/>
  <c r="E1828" i="2" s="1"/>
  <c r="I1827" i="2"/>
  <c r="H1827" i="2"/>
  <c r="F1827" i="2"/>
  <c r="D1827" i="2"/>
  <c r="E1827" i="2" s="1"/>
  <c r="I1826" i="2"/>
  <c r="H1826" i="2"/>
  <c r="F1826" i="2"/>
  <c r="D1826" i="2"/>
  <c r="E1826" i="2" s="1"/>
  <c r="I1825" i="2"/>
  <c r="H1825" i="2"/>
  <c r="F1825" i="2"/>
  <c r="D1825" i="2"/>
  <c r="E1825" i="2" s="1"/>
  <c r="I1824" i="2"/>
  <c r="H1824" i="2"/>
  <c r="F1824" i="2"/>
  <c r="D1824" i="2"/>
  <c r="E1824" i="2" s="1"/>
  <c r="I1823" i="2"/>
  <c r="H1823" i="2"/>
  <c r="F1823" i="2"/>
  <c r="D1823" i="2"/>
  <c r="E1823" i="2" s="1"/>
  <c r="I1822" i="2"/>
  <c r="H1822" i="2"/>
  <c r="F1822" i="2"/>
  <c r="D1822" i="2"/>
  <c r="E1822" i="2" s="1"/>
  <c r="I1821" i="2"/>
  <c r="H1821" i="2"/>
  <c r="F1821" i="2"/>
  <c r="D1821" i="2"/>
  <c r="E1821" i="2" s="1"/>
  <c r="I1820" i="2"/>
  <c r="H1820" i="2"/>
  <c r="F1820" i="2"/>
  <c r="D1820" i="2"/>
  <c r="E1820" i="2" s="1"/>
  <c r="I1819" i="2"/>
  <c r="H1819" i="2"/>
  <c r="F1819" i="2"/>
  <c r="D1819" i="2"/>
  <c r="E1819" i="2" s="1"/>
  <c r="I1818" i="2"/>
  <c r="H1818" i="2"/>
  <c r="F1818" i="2"/>
  <c r="D1818" i="2"/>
  <c r="E1818" i="2" s="1"/>
  <c r="I1817" i="2"/>
  <c r="H1817" i="2"/>
  <c r="F1817" i="2"/>
  <c r="D1817" i="2"/>
  <c r="E1817" i="2" s="1"/>
  <c r="I1816" i="2"/>
  <c r="H1816" i="2"/>
  <c r="F1816" i="2"/>
  <c r="D1816" i="2"/>
  <c r="E1816" i="2" s="1"/>
  <c r="I1815" i="2"/>
  <c r="H1815" i="2"/>
  <c r="F1815" i="2"/>
  <c r="D1815" i="2"/>
  <c r="E1815" i="2" s="1"/>
  <c r="I1814" i="2"/>
  <c r="H1814" i="2"/>
  <c r="F1814" i="2"/>
  <c r="D1814" i="2"/>
  <c r="E1814" i="2" s="1"/>
  <c r="I1813" i="2"/>
  <c r="H1813" i="2"/>
  <c r="F1813" i="2"/>
  <c r="D1813" i="2"/>
  <c r="E1813" i="2" s="1"/>
  <c r="I1812" i="2"/>
  <c r="H1812" i="2"/>
  <c r="F1812" i="2"/>
  <c r="D1812" i="2"/>
  <c r="E1812" i="2" s="1"/>
  <c r="I1811" i="2"/>
  <c r="H1811" i="2"/>
  <c r="F1811" i="2"/>
  <c r="D1811" i="2"/>
  <c r="E1811" i="2" s="1"/>
  <c r="I1810" i="2"/>
  <c r="H1810" i="2"/>
  <c r="F1810" i="2"/>
  <c r="D1810" i="2"/>
  <c r="E1810" i="2" s="1"/>
  <c r="I1809" i="2"/>
  <c r="H1809" i="2"/>
  <c r="F1809" i="2"/>
  <c r="D1809" i="2"/>
  <c r="E1809" i="2" s="1"/>
  <c r="I1808" i="2"/>
  <c r="H1808" i="2"/>
  <c r="F1808" i="2"/>
  <c r="D1808" i="2"/>
  <c r="E1808" i="2" s="1"/>
  <c r="I1807" i="2"/>
  <c r="H1807" i="2"/>
  <c r="F1807" i="2"/>
  <c r="D1807" i="2"/>
  <c r="E1807" i="2" s="1"/>
  <c r="I1806" i="2"/>
  <c r="H1806" i="2"/>
  <c r="F1806" i="2"/>
  <c r="D1806" i="2"/>
  <c r="E1806" i="2" s="1"/>
  <c r="I1805" i="2"/>
  <c r="H1805" i="2"/>
  <c r="F1805" i="2"/>
  <c r="D1805" i="2"/>
  <c r="E1805" i="2" s="1"/>
  <c r="I1804" i="2"/>
  <c r="H1804" i="2"/>
  <c r="F1804" i="2"/>
  <c r="D1804" i="2"/>
  <c r="E1804" i="2" s="1"/>
  <c r="I1803" i="2"/>
  <c r="H1803" i="2"/>
  <c r="F1803" i="2"/>
  <c r="D1803" i="2"/>
  <c r="E1803" i="2" s="1"/>
  <c r="I1802" i="2"/>
  <c r="H1802" i="2"/>
  <c r="F1802" i="2"/>
  <c r="D1802" i="2"/>
  <c r="E1802" i="2" s="1"/>
  <c r="I1801" i="2"/>
  <c r="H1801" i="2"/>
  <c r="F1801" i="2"/>
  <c r="D1801" i="2"/>
  <c r="E1801" i="2" s="1"/>
  <c r="I1800" i="2"/>
  <c r="H1800" i="2"/>
  <c r="F1800" i="2"/>
  <c r="D1800" i="2"/>
  <c r="E1800" i="2" s="1"/>
  <c r="I1799" i="2"/>
  <c r="H1799" i="2"/>
  <c r="F1799" i="2"/>
  <c r="D1799" i="2"/>
  <c r="E1799" i="2" s="1"/>
  <c r="I1798" i="2"/>
  <c r="H1798" i="2"/>
  <c r="F1798" i="2"/>
  <c r="D1798" i="2"/>
  <c r="E1798" i="2" s="1"/>
  <c r="I1797" i="2"/>
  <c r="H1797" i="2"/>
  <c r="F1797" i="2"/>
  <c r="D1797" i="2"/>
  <c r="E1797" i="2" s="1"/>
  <c r="I1796" i="2"/>
  <c r="H1796" i="2"/>
  <c r="F1796" i="2"/>
  <c r="D1796" i="2"/>
  <c r="E1796" i="2" s="1"/>
  <c r="I1795" i="2"/>
  <c r="H1795" i="2"/>
  <c r="F1795" i="2"/>
  <c r="D1795" i="2"/>
  <c r="E1795" i="2" s="1"/>
  <c r="I1794" i="2"/>
  <c r="H1794" i="2"/>
  <c r="F1794" i="2"/>
  <c r="D1794" i="2"/>
  <c r="E1794" i="2" s="1"/>
  <c r="I1793" i="2"/>
  <c r="H1793" i="2"/>
  <c r="F1793" i="2"/>
  <c r="D1793" i="2"/>
  <c r="E1793" i="2" s="1"/>
  <c r="J1793" i="2" s="1"/>
  <c r="K1793" i="2" s="1"/>
  <c r="I1792" i="2"/>
  <c r="H1792" i="2"/>
  <c r="F1792" i="2"/>
  <c r="D1792" i="2"/>
  <c r="E1792" i="2" s="1"/>
  <c r="I1791" i="2"/>
  <c r="H1791" i="2"/>
  <c r="F1791" i="2"/>
  <c r="D1791" i="2"/>
  <c r="E1791" i="2" s="1"/>
  <c r="I1790" i="2"/>
  <c r="H1790" i="2"/>
  <c r="F1790" i="2"/>
  <c r="D1790" i="2"/>
  <c r="E1790" i="2" s="1"/>
  <c r="I1789" i="2"/>
  <c r="H1789" i="2"/>
  <c r="F1789" i="2"/>
  <c r="D1789" i="2"/>
  <c r="E1789" i="2" s="1"/>
  <c r="J1789" i="2" s="1"/>
  <c r="K1789" i="2" s="1"/>
  <c r="I1788" i="2"/>
  <c r="H1788" i="2"/>
  <c r="F1788" i="2"/>
  <c r="E1788" i="2"/>
  <c r="D1788" i="2"/>
  <c r="I1787" i="2"/>
  <c r="H1787" i="2"/>
  <c r="F1787" i="2"/>
  <c r="D1787" i="2"/>
  <c r="E1787" i="2" s="1"/>
  <c r="I1786" i="2"/>
  <c r="H1786" i="2"/>
  <c r="F1786" i="2"/>
  <c r="D1786" i="2"/>
  <c r="E1786" i="2" s="1"/>
  <c r="I1785" i="2"/>
  <c r="H1785" i="2"/>
  <c r="F1785" i="2"/>
  <c r="D1785" i="2"/>
  <c r="E1785" i="2" s="1"/>
  <c r="I1784" i="2"/>
  <c r="H1784" i="2"/>
  <c r="F1784" i="2"/>
  <c r="D1784" i="2"/>
  <c r="E1784" i="2" s="1"/>
  <c r="I1783" i="2"/>
  <c r="H1783" i="2"/>
  <c r="F1783" i="2"/>
  <c r="D1783" i="2"/>
  <c r="E1783" i="2" s="1"/>
  <c r="I1782" i="2"/>
  <c r="H1782" i="2"/>
  <c r="F1782" i="2"/>
  <c r="D1782" i="2"/>
  <c r="E1782" i="2" s="1"/>
  <c r="I1781" i="2"/>
  <c r="H1781" i="2"/>
  <c r="F1781" i="2"/>
  <c r="D1781" i="2"/>
  <c r="E1781" i="2" s="1"/>
  <c r="I1780" i="2"/>
  <c r="H1780" i="2"/>
  <c r="F1780" i="2"/>
  <c r="D1780" i="2"/>
  <c r="E1780" i="2" s="1"/>
  <c r="I1779" i="2"/>
  <c r="H1779" i="2"/>
  <c r="F1779" i="2"/>
  <c r="E1779" i="2"/>
  <c r="D1779" i="2"/>
  <c r="I1778" i="2"/>
  <c r="H1778" i="2"/>
  <c r="F1778" i="2"/>
  <c r="D1778" i="2"/>
  <c r="E1778" i="2" s="1"/>
  <c r="I1777" i="2"/>
  <c r="H1777" i="2"/>
  <c r="F1777" i="2"/>
  <c r="D1777" i="2"/>
  <c r="E1777" i="2" s="1"/>
  <c r="I1776" i="2"/>
  <c r="H1776" i="2"/>
  <c r="F1776" i="2"/>
  <c r="D1776" i="2"/>
  <c r="E1776" i="2" s="1"/>
  <c r="I1775" i="2"/>
  <c r="H1775" i="2"/>
  <c r="F1775" i="2"/>
  <c r="D1775" i="2"/>
  <c r="E1775" i="2" s="1"/>
  <c r="I1774" i="2"/>
  <c r="H1774" i="2"/>
  <c r="F1774" i="2"/>
  <c r="D1774" i="2"/>
  <c r="E1774" i="2" s="1"/>
  <c r="I1773" i="2"/>
  <c r="H1773" i="2"/>
  <c r="F1773" i="2"/>
  <c r="D1773" i="2"/>
  <c r="E1773" i="2" s="1"/>
  <c r="I1772" i="2"/>
  <c r="H1772" i="2"/>
  <c r="F1772" i="2"/>
  <c r="D1772" i="2"/>
  <c r="E1772" i="2" s="1"/>
  <c r="I1771" i="2"/>
  <c r="H1771" i="2"/>
  <c r="F1771" i="2"/>
  <c r="D1771" i="2"/>
  <c r="E1771" i="2" s="1"/>
  <c r="I1770" i="2"/>
  <c r="H1770" i="2"/>
  <c r="F1770" i="2"/>
  <c r="D1770" i="2"/>
  <c r="E1770" i="2" s="1"/>
  <c r="I1769" i="2"/>
  <c r="H1769" i="2"/>
  <c r="F1769" i="2"/>
  <c r="D1769" i="2"/>
  <c r="E1769" i="2" s="1"/>
  <c r="I1768" i="2"/>
  <c r="H1768" i="2"/>
  <c r="F1768" i="2"/>
  <c r="D1768" i="2"/>
  <c r="E1768" i="2" s="1"/>
  <c r="I1767" i="2"/>
  <c r="H1767" i="2"/>
  <c r="F1767" i="2"/>
  <c r="D1767" i="2"/>
  <c r="E1767" i="2" s="1"/>
  <c r="I1766" i="2"/>
  <c r="H1766" i="2"/>
  <c r="F1766" i="2"/>
  <c r="D1766" i="2"/>
  <c r="E1766" i="2" s="1"/>
  <c r="I1765" i="2"/>
  <c r="H1765" i="2"/>
  <c r="F1765" i="2"/>
  <c r="D1765" i="2"/>
  <c r="E1765" i="2" s="1"/>
  <c r="I1764" i="2"/>
  <c r="H1764" i="2"/>
  <c r="F1764" i="2"/>
  <c r="D1764" i="2"/>
  <c r="E1764" i="2" s="1"/>
  <c r="I1763" i="2"/>
  <c r="H1763" i="2"/>
  <c r="F1763" i="2"/>
  <c r="D1763" i="2"/>
  <c r="E1763" i="2" s="1"/>
  <c r="I1762" i="2"/>
  <c r="H1762" i="2"/>
  <c r="F1762" i="2"/>
  <c r="D1762" i="2"/>
  <c r="E1762" i="2" s="1"/>
  <c r="I1761" i="2"/>
  <c r="H1761" i="2"/>
  <c r="F1761" i="2"/>
  <c r="D1761" i="2"/>
  <c r="E1761" i="2" s="1"/>
  <c r="I1760" i="2"/>
  <c r="H1760" i="2"/>
  <c r="F1760" i="2"/>
  <c r="D1760" i="2"/>
  <c r="E1760" i="2" s="1"/>
  <c r="I1759" i="2"/>
  <c r="H1759" i="2"/>
  <c r="F1759" i="2"/>
  <c r="D1759" i="2"/>
  <c r="E1759" i="2" s="1"/>
  <c r="I1758" i="2"/>
  <c r="H1758" i="2"/>
  <c r="F1758" i="2"/>
  <c r="D1758" i="2"/>
  <c r="E1758" i="2" s="1"/>
  <c r="I1757" i="2"/>
  <c r="H1757" i="2"/>
  <c r="F1757" i="2"/>
  <c r="D1757" i="2"/>
  <c r="E1757" i="2" s="1"/>
  <c r="I1756" i="2"/>
  <c r="H1756" i="2"/>
  <c r="F1756" i="2"/>
  <c r="D1756" i="2"/>
  <c r="E1756" i="2" s="1"/>
  <c r="I1755" i="2"/>
  <c r="H1755" i="2"/>
  <c r="F1755" i="2"/>
  <c r="D1755" i="2"/>
  <c r="E1755" i="2" s="1"/>
  <c r="I1754" i="2"/>
  <c r="H1754" i="2"/>
  <c r="F1754" i="2"/>
  <c r="D1754" i="2"/>
  <c r="E1754" i="2" s="1"/>
  <c r="I1753" i="2"/>
  <c r="H1753" i="2"/>
  <c r="F1753" i="2"/>
  <c r="D1753" i="2"/>
  <c r="E1753" i="2" s="1"/>
  <c r="I1752" i="2"/>
  <c r="H1752" i="2"/>
  <c r="F1752" i="2"/>
  <c r="D1752" i="2"/>
  <c r="E1752" i="2" s="1"/>
  <c r="I1751" i="2"/>
  <c r="H1751" i="2"/>
  <c r="F1751" i="2"/>
  <c r="D1751" i="2"/>
  <c r="E1751" i="2" s="1"/>
  <c r="I1750" i="2"/>
  <c r="H1750" i="2"/>
  <c r="F1750" i="2"/>
  <c r="D1750" i="2"/>
  <c r="E1750" i="2" s="1"/>
  <c r="I1749" i="2"/>
  <c r="H1749" i="2"/>
  <c r="F1749" i="2"/>
  <c r="D1749" i="2"/>
  <c r="E1749" i="2" s="1"/>
  <c r="I1748" i="2"/>
  <c r="H1748" i="2"/>
  <c r="F1748" i="2"/>
  <c r="D1748" i="2"/>
  <c r="E1748" i="2" s="1"/>
  <c r="I1747" i="2"/>
  <c r="H1747" i="2"/>
  <c r="F1747" i="2"/>
  <c r="D1747" i="2"/>
  <c r="E1747" i="2" s="1"/>
  <c r="I1746" i="2"/>
  <c r="H1746" i="2"/>
  <c r="F1746" i="2"/>
  <c r="D1746" i="2"/>
  <c r="E1746" i="2" s="1"/>
  <c r="I1745" i="2"/>
  <c r="H1745" i="2"/>
  <c r="F1745" i="2"/>
  <c r="D1745" i="2"/>
  <c r="E1745" i="2" s="1"/>
  <c r="I1744" i="2"/>
  <c r="H1744" i="2"/>
  <c r="F1744" i="2"/>
  <c r="D1744" i="2"/>
  <c r="E1744" i="2" s="1"/>
  <c r="J1744" i="2" s="1"/>
  <c r="K1744" i="2" s="1"/>
  <c r="I1743" i="2"/>
  <c r="H1743" i="2"/>
  <c r="F1743" i="2"/>
  <c r="D1743" i="2"/>
  <c r="E1743" i="2" s="1"/>
  <c r="I1742" i="2"/>
  <c r="H1742" i="2"/>
  <c r="F1742" i="2"/>
  <c r="D1742" i="2"/>
  <c r="E1742" i="2" s="1"/>
  <c r="I1741" i="2"/>
  <c r="H1741" i="2"/>
  <c r="F1741" i="2"/>
  <c r="D1741" i="2"/>
  <c r="E1741" i="2" s="1"/>
  <c r="I1740" i="2"/>
  <c r="H1740" i="2"/>
  <c r="F1740" i="2"/>
  <c r="D1740" i="2"/>
  <c r="E1740" i="2" s="1"/>
  <c r="I1739" i="2"/>
  <c r="H1739" i="2"/>
  <c r="F1739" i="2"/>
  <c r="D1739" i="2"/>
  <c r="E1739" i="2" s="1"/>
  <c r="I1738" i="2"/>
  <c r="H1738" i="2"/>
  <c r="F1738" i="2"/>
  <c r="D1738" i="2"/>
  <c r="E1738" i="2" s="1"/>
  <c r="I1737" i="2"/>
  <c r="H1737" i="2"/>
  <c r="F1737" i="2"/>
  <c r="D1737" i="2"/>
  <c r="E1737" i="2" s="1"/>
  <c r="I1736" i="2"/>
  <c r="H1736" i="2"/>
  <c r="F1736" i="2"/>
  <c r="D1736" i="2"/>
  <c r="E1736" i="2" s="1"/>
  <c r="I1735" i="2"/>
  <c r="H1735" i="2"/>
  <c r="F1735" i="2"/>
  <c r="D1735" i="2"/>
  <c r="E1735" i="2" s="1"/>
  <c r="I1734" i="2"/>
  <c r="H1734" i="2"/>
  <c r="F1734" i="2"/>
  <c r="D1734" i="2"/>
  <c r="E1734" i="2" s="1"/>
  <c r="I1733" i="2"/>
  <c r="H1733" i="2"/>
  <c r="F1733" i="2"/>
  <c r="D1733" i="2"/>
  <c r="E1733" i="2" s="1"/>
  <c r="I1732" i="2"/>
  <c r="H1732" i="2"/>
  <c r="F1732" i="2"/>
  <c r="D1732" i="2"/>
  <c r="E1732" i="2" s="1"/>
  <c r="I1731" i="2"/>
  <c r="H1731" i="2"/>
  <c r="F1731" i="2"/>
  <c r="D1731" i="2"/>
  <c r="E1731" i="2" s="1"/>
  <c r="I1730" i="2"/>
  <c r="H1730" i="2"/>
  <c r="F1730" i="2"/>
  <c r="D1730" i="2"/>
  <c r="E1730" i="2" s="1"/>
  <c r="J1730" i="2" s="1"/>
  <c r="K1730" i="2" s="1"/>
  <c r="I1729" i="2"/>
  <c r="H1729" i="2"/>
  <c r="F1729" i="2"/>
  <c r="D1729" i="2"/>
  <c r="E1729" i="2" s="1"/>
  <c r="I1728" i="2"/>
  <c r="H1728" i="2"/>
  <c r="F1728" i="2"/>
  <c r="D1728" i="2"/>
  <c r="E1728" i="2" s="1"/>
  <c r="I1727" i="2"/>
  <c r="H1727" i="2"/>
  <c r="F1727" i="2"/>
  <c r="D1727" i="2"/>
  <c r="E1727" i="2" s="1"/>
  <c r="I1726" i="2"/>
  <c r="H1726" i="2"/>
  <c r="F1726" i="2"/>
  <c r="D1726" i="2"/>
  <c r="E1726" i="2" s="1"/>
  <c r="I1725" i="2"/>
  <c r="H1725" i="2"/>
  <c r="F1725" i="2"/>
  <c r="D1725" i="2"/>
  <c r="E1725" i="2" s="1"/>
  <c r="I1724" i="2"/>
  <c r="H1724" i="2"/>
  <c r="F1724" i="2"/>
  <c r="D1724" i="2"/>
  <c r="E1724" i="2" s="1"/>
  <c r="I1723" i="2"/>
  <c r="H1723" i="2"/>
  <c r="F1723" i="2"/>
  <c r="D1723" i="2"/>
  <c r="E1723" i="2" s="1"/>
  <c r="I1722" i="2"/>
  <c r="H1722" i="2"/>
  <c r="F1722" i="2"/>
  <c r="E1722" i="2"/>
  <c r="D1722" i="2"/>
  <c r="I1721" i="2"/>
  <c r="H1721" i="2"/>
  <c r="F1721" i="2"/>
  <c r="D1721" i="2"/>
  <c r="E1721" i="2" s="1"/>
  <c r="I1720" i="2"/>
  <c r="J1720" i="2" s="1"/>
  <c r="K1720" i="2" s="1"/>
  <c r="H1720" i="2"/>
  <c r="F1720" i="2"/>
  <c r="D1720" i="2"/>
  <c r="E1720" i="2" s="1"/>
  <c r="I1719" i="2"/>
  <c r="H1719" i="2"/>
  <c r="F1719" i="2"/>
  <c r="D1719" i="2"/>
  <c r="E1719" i="2" s="1"/>
  <c r="I1718" i="2"/>
  <c r="H1718" i="2"/>
  <c r="F1718" i="2"/>
  <c r="D1718" i="2"/>
  <c r="E1718" i="2" s="1"/>
  <c r="I1717" i="2"/>
  <c r="H1717" i="2"/>
  <c r="F1717" i="2"/>
  <c r="D1717" i="2"/>
  <c r="E1717" i="2" s="1"/>
  <c r="I1716" i="2"/>
  <c r="H1716" i="2"/>
  <c r="F1716" i="2"/>
  <c r="D1716" i="2"/>
  <c r="E1716" i="2" s="1"/>
  <c r="I1715" i="2"/>
  <c r="H1715" i="2"/>
  <c r="F1715" i="2"/>
  <c r="D1715" i="2"/>
  <c r="E1715" i="2" s="1"/>
  <c r="I1714" i="2"/>
  <c r="H1714" i="2"/>
  <c r="F1714" i="2"/>
  <c r="D1714" i="2"/>
  <c r="E1714" i="2" s="1"/>
  <c r="I1713" i="2"/>
  <c r="H1713" i="2"/>
  <c r="F1713" i="2"/>
  <c r="D1713" i="2"/>
  <c r="E1713" i="2" s="1"/>
  <c r="I1712" i="2"/>
  <c r="H1712" i="2"/>
  <c r="F1712" i="2"/>
  <c r="D1712" i="2"/>
  <c r="E1712" i="2" s="1"/>
  <c r="I1711" i="2"/>
  <c r="H1711" i="2"/>
  <c r="F1711" i="2"/>
  <c r="D1711" i="2"/>
  <c r="E1711" i="2" s="1"/>
  <c r="I1710" i="2"/>
  <c r="H1710" i="2"/>
  <c r="F1710" i="2"/>
  <c r="D1710" i="2"/>
  <c r="E1710" i="2" s="1"/>
  <c r="I1709" i="2"/>
  <c r="H1709" i="2"/>
  <c r="F1709" i="2"/>
  <c r="D1709" i="2"/>
  <c r="E1709" i="2" s="1"/>
  <c r="I1708" i="2"/>
  <c r="H1708" i="2"/>
  <c r="F1708" i="2"/>
  <c r="D1708" i="2"/>
  <c r="E1708" i="2" s="1"/>
  <c r="I1707" i="2"/>
  <c r="H1707" i="2"/>
  <c r="F1707" i="2"/>
  <c r="D1707" i="2"/>
  <c r="E1707" i="2" s="1"/>
  <c r="I1706" i="2"/>
  <c r="H1706" i="2"/>
  <c r="F1706" i="2"/>
  <c r="D1706" i="2"/>
  <c r="E1706" i="2" s="1"/>
  <c r="I1705" i="2"/>
  <c r="H1705" i="2"/>
  <c r="F1705" i="2"/>
  <c r="D1705" i="2"/>
  <c r="E1705" i="2" s="1"/>
  <c r="I1704" i="2"/>
  <c r="H1704" i="2"/>
  <c r="F1704" i="2"/>
  <c r="D1704" i="2"/>
  <c r="E1704" i="2" s="1"/>
  <c r="I1703" i="2"/>
  <c r="H1703" i="2"/>
  <c r="F1703" i="2"/>
  <c r="D1703" i="2"/>
  <c r="E1703" i="2" s="1"/>
  <c r="I1702" i="2"/>
  <c r="H1702" i="2"/>
  <c r="F1702" i="2"/>
  <c r="D1702" i="2"/>
  <c r="E1702" i="2" s="1"/>
  <c r="I1701" i="2"/>
  <c r="H1701" i="2"/>
  <c r="F1701" i="2"/>
  <c r="D1701" i="2"/>
  <c r="E1701" i="2" s="1"/>
  <c r="I1700" i="2"/>
  <c r="H1700" i="2"/>
  <c r="F1700" i="2"/>
  <c r="D1700" i="2"/>
  <c r="E1700" i="2" s="1"/>
  <c r="I1699" i="2"/>
  <c r="H1699" i="2"/>
  <c r="F1699" i="2"/>
  <c r="D1699" i="2"/>
  <c r="E1699" i="2" s="1"/>
  <c r="I1698" i="2"/>
  <c r="H1698" i="2"/>
  <c r="F1698" i="2"/>
  <c r="D1698" i="2"/>
  <c r="E1698" i="2" s="1"/>
  <c r="I1697" i="2"/>
  <c r="H1697" i="2"/>
  <c r="F1697" i="2"/>
  <c r="D1697" i="2"/>
  <c r="E1697" i="2" s="1"/>
  <c r="I1696" i="2"/>
  <c r="H1696" i="2"/>
  <c r="F1696" i="2"/>
  <c r="D1696" i="2"/>
  <c r="E1696" i="2" s="1"/>
  <c r="I1695" i="2"/>
  <c r="H1695" i="2"/>
  <c r="F1695" i="2"/>
  <c r="D1695" i="2"/>
  <c r="E1695" i="2" s="1"/>
  <c r="I1694" i="2"/>
  <c r="H1694" i="2"/>
  <c r="F1694" i="2"/>
  <c r="D1694" i="2"/>
  <c r="E1694" i="2" s="1"/>
  <c r="I1693" i="2"/>
  <c r="H1693" i="2"/>
  <c r="F1693" i="2"/>
  <c r="D1693" i="2"/>
  <c r="E1693" i="2" s="1"/>
  <c r="I1692" i="2"/>
  <c r="H1692" i="2"/>
  <c r="F1692" i="2"/>
  <c r="D1692" i="2"/>
  <c r="E1692" i="2" s="1"/>
  <c r="I1691" i="2"/>
  <c r="H1691" i="2"/>
  <c r="F1691" i="2"/>
  <c r="D1691" i="2"/>
  <c r="E1691" i="2" s="1"/>
  <c r="I1690" i="2"/>
  <c r="H1690" i="2"/>
  <c r="F1690" i="2"/>
  <c r="D1690" i="2"/>
  <c r="E1690" i="2" s="1"/>
  <c r="I1689" i="2"/>
  <c r="H1689" i="2"/>
  <c r="F1689" i="2"/>
  <c r="D1689" i="2"/>
  <c r="E1689" i="2" s="1"/>
  <c r="I1688" i="2"/>
  <c r="H1688" i="2"/>
  <c r="F1688" i="2"/>
  <c r="D1688" i="2"/>
  <c r="E1688" i="2" s="1"/>
  <c r="I1687" i="2"/>
  <c r="H1687" i="2"/>
  <c r="F1687" i="2"/>
  <c r="D1687" i="2"/>
  <c r="E1687" i="2" s="1"/>
  <c r="I1686" i="2"/>
  <c r="H1686" i="2"/>
  <c r="F1686" i="2"/>
  <c r="D1686" i="2"/>
  <c r="E1686" i="2" s="1"/>
  <c r="I1685" i="2"/>
  <c r="H1685" i="2"/>
  <c r="F1685" i="2"/>
  <c r="D1685" i="2"/>
  <c r="E1685" i="2" s="1"/>
  <c r="I1684" i="2"/>
  <c r="H1684" i="2"/>
  <c r="F1684" i="2"/>
  <c r="D1684" i="2"/>
  <c r="E1684" i="2" s="1"/>
  <c r="I1683" i="2"/>
  <c r="H1683" i="2"/>
  <c r="F1683" i="2"/>
  <c r="E1683" i="2"/>
  <c r="D1683" i="2"/>
  <c r="I1682" i="2"/>
  <c r="H1682" i="2"/>
  <c r="F1682" i="2"/>
  <c r="D1682" i="2"/>
  <c r="E1682" i="2" s="1"/>
  <c r="I1681" i="2"/>
  <c r="H1681" i="2"/>
  <c r="F1681" i="2"/>
  <c r="D1681" i="2"/>
  <c r="E1681" i="2" s="1"/>
  <c r="I1680" i="2"/>
  <c r="H1680" i="2"/>
  <c r="F1680" i="2"/>
  <c r="D1680" i="2"/>
  <c r="E1680" i="2" s="1"/>
  <c r="I1679" i="2"/>
  <c r="H1679" i="2"/>
  <c r="F1679" i="2"/>
  <c r="D1679" i="2"/>
  <c r="E1679" i="2" s="1"/>
  <c r="I1678" i="2"/>
  <c r="H1678" i="2"/>
  <c r="F1678" i="2"/>
  <c r="D1678" i="2"/>
  <c r="E1678" i="2" s="1"/>
  <c r="I1677" i="2"/>
  <c r="H1677" i="2"/>
  <c r="F1677" i="2"/>
  <c r="D1677" i="2"/>
  <c r="E1677" i="2" s="1"/>
  <c r="I1676" i="2"/>
  <c r="H1676" i="2"/>
  <c r="F1676" i="2"/>
  <c r="D1676" i="2"/>
  <c r="E1676" i="2" s="1"/>
  <c r="I1675" i="2"/>
  <c r="H1675" i="2"/>
  <c r="F1675" i="2"/>
  <c r="D1675" i="2"/>
  <c r="E1675" i="2" s="1"/>
  <c r="I1674" i="2"/>
  <c r="H1674" i="2"/>
  <c r="F1674" i="2"/>
  <c r="D1674" i="2"/>
  <c r="E1674" i="2" s="1"/>
  <c r="I1673" i="2"/>
  <c r="H1673" i="2"/>
  <c r="F1673" i="2"/>
  <c r="D1673" i="2"/>
  <c r="E1673" i="2" s="1"/>
  <c r="I1672" i="2"/>
  <c r="H1672" i="2"/>
  <c r="F1672" i="2"/>
  <c r="D1672" i="2"/>
  <c r="E1672" i="2" s="1"/>
  <c r="I1671" i="2"/>
  <c r="H1671" i="2"/>
  <c r="F1671" i="2"/>
  <c r="D1671" i="2"/>
  <c r="E1671" i="2" s="1"/>
  <c r="I1670" i="2"/>
  <c r="H1670" i="2"/>
  <c r="F1670" i="2"/>
  <c r="D1670" i="2"/>
  <c r="E1670" i="2" s="1"/>
  <c r="I1669" i="2"/>
  <c r="H1669" i="2"/>
  <c r="F1669" i="2"/>
  <c r="D1669" i="2"/>
  <c r="E1669" i="2" s="1"/>
  <c r="I1668" i="2"/>
  <c r="H1668" i="2"/>
  <c r="F1668" i="2"/>
  <c r="D1668" i="2"/>
  <c r="E1668" i="2" s="1"/>
  <c r="I1667" i="2"/>
  <c r="H1667" i="2"/>
  <c r="F1667" i="2"/>
  <c r="D1667" i="2"/>
  <c r="E1667" i="2" s="1"/>
  <c r="J1666" i="2"/>
  <c r="K1666" i="2" s="1"/>
  <c r="I1666" i="2"/>
  <c r="H1666" i="2"/>
  <c r="F1666" i="2"/>
  <c r="D1666" i="2"/>
  <c r="E1666" i="2" s="1"/>
  <c r="I1665" i="2"/>
  <c r="H1665" i="2"/>
  <c r="F1665" i="2"/>
  <c r="D1665" i="2"/>
  <c r="E1665" i="2" s="1"/>
  <c r="I1664" i="2"/>
  <c r="H1664" i="2"/>
  <c r="F1664" i="2"/>
  <c r="D1664" i="2"/>
  <c r="E1664" i="2" s="1"/>
  <c r="I1663" i="2"/>
  <c r="H1663" i="2"/>
  <c r="F1663" i="2"/>
  <c r="E1663" i="2"/>
  <c r="D1663" i="2"/>
  <c r="I1662" i="2"/>
  <c r="H1662" i="2"/>
  <c r="F1662" i="2"/>
  <c r="D1662" i="2"/>
  <c r="E1662" i="2" s="1"/>
  <c r="I1661" i="2"/>
  <c r="H1661" i="2"/>
  <c r="F1661" i="2"/>
  <c r="D1661" i="2"/>
  <c r="E1661" i="2" s="1"/>
  <c r="I1660" i="2"/>
  <c r="H1660" i="2"/>
  <c r="F1660" i="2"/>
  <c r="D1660" i="2"/>
  <c r="E1660" i="2" s="1"/>
  <c r="I1659" i="2"/>
  <c r="H1659" i="2"/>
  <c r="F1659" i="2"/>
  <c r="D1659" i="2"/>
  <c r="E1659" i="2" s="1"/>
  <c r="I1658" i="2"/>
  <c r="H1658" i="2"/>
  <c r="F1658" i="2"/>
  <c r="D1658" i="2"/>
  <c r="E1658" i="2" s="1"/>
  <c r="I1657" i="2"/>
  <c r="H1657" i="2"/>
  <c r="F1657" i="2"/>
  <c r="D1657" i="2"/>
  <c r="E1657" i="2" s="1"/>
  <c r="I1656" i="2"/>
  <c r="H1656" i="2"/>
  <c r="F1656" i="2"/>
  <c r="D1656" i="2"/>
  <c r="E1656" i="2" s="1"/>
  <c r="I1655" i="2"/>
  <c r="H1655" i="2"/>
  <c r="F1655" i="2"/>
  <c r="D1655" i="2"/>
  <c r="E1655" i="2" s="1"/>
  <c r="I1654" i="2"/>
  <c r="H1654" i="2"/>
  <c r="F1654" i="2"/>
  <c r="D1654" i="2"/>
  <c r="E1654" i="2" s="1"/>
  <c r="I1653" i="2"/>
  <c r="H1653" i="2"/>
  <c r="F1653" i="2"/>
  <c r="D1653" i="2"/>
  <c r="E1653" i="2" s="1"/>
  <c r="I1652" i="2"/>
  <c r="H1652" i="2"/>
  <c r="F1652" i="2"/>
  <c r="D1652" i="2"/>
  <c r="E1652" i="2" s="1"/>
  <c r="I1651" i="2"/>
  <c r="H1651" i="2"/>
  <c r="F1651" i="2"/>
  <c r="D1651" i="2"/>
  <c r="E1651" i="2" s="1"/>
  <c r="I1650" i="2"/>
  <c r="H1650" i="2"/>
  <c r="F1650" i="2"/>
  <c r="D1650" i="2"/>
  <c r="E1650" i="2" s="1"/>
  <c r="I1649" i="2"/>
  <c r="H1649" i="2"/>
  <c r="F1649" i="2"/>
  <c r="D1649" i="2"/>
  <c r="E1649" i="2" s="1"/>
  <c r="I1648" i="2"/>
  <c r="H1648" i="2"/>
  <c r="F1648" i="2"/>
  <c r="D1648" i="2"/>
  <c r="E1648" i="2" s="1"/>
  <c r="I1647" i="2"/>
  <c r="H1647" i="2"/>
  <c r="F1647" i="2"/>
  <c r="D1647" i="2"/>
  <c r="E1647" i="2" s="1"/>
  <c r="I1646" i="2"/>
  <c r="H1646" i="2"/>
  <c r="F1646" i="2"/>
  <c r="D1646" i="2"/>
  <c r="E1646" i="2" s="1"/>
  <c r="I1645" i="2"/>
  <c r="H1645" i="2"/>
  <c r="F1645" i="2"/>
  <c r="D1645" i="2"/>
  <c r="E1645" i="2" s="1"/>
  <c r="I1644" i="2"/>
  <c r="H1644" i="2"/>
  <c r="F1644" i="2"/>
  <c r="D1644" i="2"/>
  <c r="E1644" i="2" s="1"/>
  <c r="I1643" i="2"/>
  <c r="H1643" i="2"/>
  <c r="F1643" i="2"/>
  <c r="D1643" i="2"/>
  <c r="E1643" i="2" s="1"/>
  <c r="I1642" i="2"/>
  <c r="H1642" i="2"/>
  <c r="F1642" i="2"/>
  <c r="D1642" i="2"/>
  <c r="E1642" i="2" s="1"/>
  <c r="I1641" i="2"/>
  <c r="H1641" i="2"/>
  <c r="F1641" i="2"/>
  <c r="D1641" i="2"/>
  <c r="E1641" i="2" s="1"/>
  <c r="I1640" i="2"/>
  <c r="H1640" i="2"/>
  <c r="F1640" i="2"/>
  <c r="D1640" i="2"/>
  <c r="E1640" i="2" s="1"/>
  <c r="I1639" i="2"/>
  <c r="H1639" i="2"/>
  <c r="F1639" i="2"/>
  <c r="D1639" i="2"/>
  <c r="E1639" i="2" s="1"/>
  <c r="I1638" i="2"/>
  <c r="H1638" i="2"/>
  <c r="F1638" i="2"/>
  <c r="D1638" i="2"/>
  <c r="E1638" i="2" s="1"/>
  <c r="I1637" i="2"/>
  <c r="H1637" i="2"/>
  <c r="F1637" i="2"/>
  <c r="D1637" i="2"/>
  <c r="E1637" i="2" s="1"/>
  <c r="I1636" i="2"/>
  <c r="H1636" i="2"/>
  <c r="F1636" i="2"/>
  <c r="D1636" i="2"/>
  <c r="E1636" i="2" s="1"/>
  <c r="I1635" i="2"/>
  <c r="H1635" i="2"/>
  <c r="F1635" i="2"/>
  <c r="D1635" i="2"/>
  <c r="E1635" i="2" s="1"/>
  <c r="I1634" i="2"/>
  <c r="H1634" i="2"/>
  <c r="F1634" i="2"/>
  <c r="D1634" i="2"/>
  <c r="E1634" i="2" s="1"/>
  <c r="I1633" i="2"/>
  <c r="H1633" i="2"/>
  <c r="F1633" i="2"/>
  <c r="D1633" i="2"/>
  <c r="E1633" i="2" s="1"/>
  <c r="I1632" i="2"/>
  <c r="H1632" i="2"/>
  <c r="F1632" i="2"/>
  <c r="D1632" i="2"/>
  <c r="E1632" i="2" s="1"/>
  <c r="I1631" i="2"/>
  <c r="H1631" i="2"/>
  <c r="F1631" i="2"/>
  <c r="D1631" i="2"/>
  <c r="E1631" i="2" s="1"/>
  <c r="I1630" i="2"/>
  <c r="H1630" i="2"/>
  <c r="F1630" i="2"/>
  <c r="D1630" i="2"/>
  <c r="E1630" i="2" s="1"/>
  <c r="I1629" i="2"/>
  <c r="H1629" i="2"/>
  <c r="F1629" i="2"/>
  <c r="D1629" i="2"/>
  <c r="E1629" i="2" s="1"/>
  <c r="I1628" i="2"/>
  <c r="H1628" i="2"/>
  <c r="F1628" i="2"/>
  <c r="D1628" i="2"/>
  <c r="E1628" i="2" s="1"/>
  <c r="I1627" i="2"/>
  <c r="H1627" i="2"/>
  <c r="F1627" i="2"/>
  <c r="D1627" i="2"/>
  <c r="E1627" i="2" s="1"/>
  <c r="I1626" i="2"/>
  <c r="H1626" i="2"/>
  <c r="F1626" i="2"/>
  <c r="D1626" i="2"/>
  <c r="E1626" i="2" s="1"/>
  <c r="I1625" i="2"/>
  <c r="H1625" i="2"/>
  <c r="F1625" i="2"/>
  <c r="D1625" i="2"/>
  <c r="E1625" i="2" s="1"/>
  <c r="I1624" i="2"/>
  <c r="H1624" i="2"/>
  <c r="F1624" i="2"/>
  <c r="D1624" i="2"/>
  <c r="E1624" i="2" s="1"/>
  <c r="I1623" i="2"/>
  <c r="H1623" i="2"/>
  <c r="F1623" i="2"/>
  <c r="D1623" i="2"/>
  <c r="E1623" i="2" s="1"/>
  <c r="I1622" i="2"/>
  <c r="H1622" i="2"/>
  <c r="F1622" i="2"/>
  <c r="D1622" i="2"/>
  <c r="E1622" i="2" s="1"/>
  <c r="I1621" i="2"/>
  <c r="H1621" i="2"/>
  <c r="F1621" i="2"/>
  <c r="D1621" i="2"/>
  <c r="E1621" i="2" s="1"/>
  <c r="I1620" i="2"/>
  <c r="H1620" i="2"/>
  <c r="F1620" i="2"/>
  <c r="D1620" i="2"/>
  <c r="E1620" i="2" s="1"/>
  <c r="I1619" i="2"/>
  <c r="H1619" i="2"/>
  <c r="F1619" i="2"/>
  <c r="D1619" i="2"/>
  <c r="E1619" i="2" s="1"/>
  <c r="I1618" i="2"/>
  <c r="H1618" i="2"/>
  <c r="F1618" i="2"/>
  <c r="D1618" i="2"/>
  <c r="E1618" i="2" s="1"/>
  <c r="I1617" i="2"/>
  <c r="H1617" i="2"/>
  <c r="F1617" i="2"/>
  <c r="D1617" i="2"/>
  <c r="E1617" i="2" s="1"/>
  <c r="I1616" i="2"/>
  <c r="H1616" i="2"/>
  <c r="F1616" i="2"/>
  <c r="D1616" i="2"/>
  <c r="E1616" i="2" s="1"/>
  <c r="I1615" i="2"/>
  <c r="H1615" i="2"/>
  <c r="F1615" i="2"/>
  <c r="D1615" i="2"/>
  <c r="E1615" i="2" s="1"/>
  <c r="I1614" i="2"/>
  <c r="H1614" i="2"/>
  <c r="F1614" i="2"/>
  <c r="D1614" i="2"/>
  <c r="E1614" i="2" s="1"/>
  <c r="I1613" i="2"/>
  <c r="H1613" i="2"/>
  <c r="F1613" i="2"/>
  <c r="D1613" i="2"/>
  <c r="E1613" i="2" s="1"/>
  <c r="I1612" i="2"/>
  <c r="H1612" i="2"/>
  <c r="F1612" i="2"/>
  <c r="D1612" i="2"/>
  <c r="E1612" i="2" s="1"/>
  <c r="I1611" i="2"/>
  <c r="H1611" i="2"/>
  <c r="F1611" i="2"/>
  <c r="D1611" i="2"/>
  <c r="E1611" i="2" s="1"/>
  <c r="I1610" i="2"/>
  <c r="H1610" i="2"/>
  <c r="F1610" i="2"/>
  <c r="D1610" i="2"/>
  <c r="E1610" i="2" s="1"/>
  <c r="I1609" i="2"/>
  <c r="H1609" i="2"/>
  <c r="F1609" i="2"/>
  <c r="D1609" i="2"/>
  <c r="E1609" i="2" s="1"/>
  <c r="I1608" i="2"/>
  <c r="H1608" i="2"/>
  <c r="F1608" i="2"/>
  <c r="D1608" i="2"/>
  <c r="E1608" i="2" s="1"/>
  <c r="I1607" i="2"/>
  <c r="H1607" i="2"/>
  <c r="F1607" i="2"/>
  <c r="D1607" i="2"/>
  <c r="E1607" i="2" s="1"/>
  <c r="I1606" i="2"/>
  <c r="H1606" i="2"/>
  <c r="F1606" i="2"/>
  <c r="D1606" i="2"/>
  <c r="E1606" i="2" s="1"/>
  <c r="I1605" i="2"/>
  <c r="J1605" i="2" s="1"/>
  <c r="K1605" i="2" s="1"/>
  <c r="H1605" i="2"/>
  <c r="F1605" i="2"/>
  <c r="D1605" i="2"/>
  <c r="E1605" i="2" s="1"/>
  <c r="I1604" i="2"/>
  <c r="H1604" i="2"/>
  <c r="F1604" i="2"/>
  <c r="D1604" i="2"/>
  <c r="E1604" i="2" s="1"/>
  <c r="I1603" i="2"/>
  <c r="H1603" i="2"/>
  <c r="F1603" i="2"/>
  <c r="D1603" i="2"/>
  <c r="E1603" i="2" s="1"/>
  <c r="I1602" i="2"/>
  <c r="H1602" i="2"/>
  <c r="F1602" i="2"/>
  <c r="D1602" i="2"/>
  <c r="E1602" i="2" s="1"/>
  <c r="I1601" i="2"/>
  <c r="H1601" i="2"/>
  <c r="F1601" i="2"/>
  <c r="D1601" i="2"/>
  <c r="E1601" i="2" s="1"/>
  <c r="I1600" i="2"/>
  <c r="H1600" i="2"/>
  <c r="F1600" i="2"/>
  <c r="D1600" i="2"/>
  <c r="E1600" i="2" s="1"/>
  <c r="I1599" i="2"/>
  <c r="H1599" i="2"/>
  <c r="F1599" i="2"/>
  <c r="D1599" i="2"/>
  <c r="E1599" i="2" s="1"/>
  <c r="I1598" i="2"/>
  <c r="H1598" i="2"/>
  <c r="F1598" i="2"/>
  <c r="D1598" i="2"/>
  <c r="E1598" i="2" s="1"/>
  <c r="I1597" i="2"/>
  <c r="H1597" i="2"/>
  <c r="F1597" i="2"/>
  <c r="D1597" i="2"/>
  <c r="E1597" i="2" s="1"/>
  <c r="I1596" i="2"/>
  <c r="H1596" i="2"/>
  <c r="F1596" i="2"/>
  <c r="D1596" i="2"/>
  <c r="E1596" i="2" s="1"/>
  <c r="I1595" i="2"/>
  <c r="H1595" i="2"/>
  <c r="F1595" i="2"/>
  <c r="D1595" i="2"/>
  <c r="E1595" i="2" s="1"/>
  <c r="I1594" i="2"/>
  <c r="H1594" i="2"/>
  <c r="F1594" i="2"/>
  <c r="D1594" i="2"/>
  <c r="E1594" i="2" s="1"/>
  <c r="I1593" i="2"/>
  <c r="H1593" i="2"/>
  <c r="F1593" i="2"/>
  <c r="D1593" i="2"/>
  <c r="E1593" i="2" s="1"/>
  <c r="I1592" i="2"/>
  <c r="H1592" i="2"/>
  <c r="F1592" i="2"/>
  <c r="D1592" i="2"/>
  <c r="E1592" i="2" s="1"/>
  <c r="I1591" i="2"/>
  <c r="H1591" i="2"/>
  <c r="F1591" i="2"/>
  <c r="D1591" i="2"/>
  <c r="E1591" i="2" s="1"/>
  <c r="I1590" i="2"/>
  <c r="H1590" i="2"/>
  <c r="F1590" i="2"/>
  <c r="D1590" i="2"/>
  <c r="E1590" i="2" s="1"/>
  <c r="I1589" i="2"/>
  <c r="H1589" i="2"/>
  <c r="F1589" i="2"/>
  <c r="D1589" i="2"/>
  <c r="E1589" i="2" s="1"/>
  <c r="I1588" i="2"/>
  <c r="H1588" i="2"/>
  <c r="F1588" i="2"/>
  <c r="D1588" i="2"/>
  <c r="E1588" i="2" s="1"/>
  <c r="I1587" i="2"/>
  <c r="H1587" i="2"/>
  <c r="F1587" i="2"/>
  <c r="D1587" i="2"/>
  <c r="E1587" i="2" s="1"/>
  <c r="I1586" i="2"/>
  <c r="H1586" i="2"/>
  <c r="F1586" i="2"/>
  <c r="D1586" i="2"/>
  <c r="E1586" i="2" s="1"/>
  <c r="I1585" i="2"/>
  <c r="H1585" i="2"/>
  <c r="F1585" i="2"/>
  <c r="D1585" i="2"/>
  <c r="E1585" i="2" s="1"/>
  <c r="I1584" i="2"/>
  <c r="H1584" i="2"/>
  <c r="F1584" i="2"/>
  <c r="D1584" i="2"/>
  <c r="E1584" i="2" s="1"/>
  <c r="I1583" i="2"/>
  <c r="H1583" i="2"/>
  <c r="F1583" i="2"/>
  <c r="D1583" i="2"/>
  <c r="E1583" i="2" s="1"/>
  <c r="I1582" i="2"/>
  <c r="H1582" i="2"/>
  <c r="F1582" i="2"/>
  <c r="D1582" i="2"/>
  <c r="E1582" i="2" s="1"/>
  <c r="I1581" i="2"/>
  <c r="H1581" i="2"/>
  <c r="F1581" i="2"/>
  <c r="D1581" i="2"/>
  <c r="E1581" i="2" s="1"/>
  <c r="I1580" i="2"/>
  <c r="H1580" i="2"/>
  <c r="F1580" i="2"/>
  <c r="D1580" i="2"/>
  <c r="E1580" i="2" s="1"/>
  <c r="I1579" i="2"/>
  <c r="H1579" i="2"/>
  <c r="F1579" i="2"/>
  <c r="D1579" i="2"/>
  <c r="E1579" i="2" s="1"/>
  <c r="I1578" i="2"/>
  <c r="H1578" i="2"/>
  <c r="F1578" i="2"/>
  <c r="D1578" i="2"/>
  <c r="E1578" i="2" s="1"/>
  <c r="I1577" i="2"/>
  <c r="H1577" i="2"/>
  <c r="F1577" i="2"/>
  <c r="D1577" i="2"/>
  <c r="E1577" i="2" s="1"/>
  <c r="I1576" i="2"/>
  <c r="H1576" i="2"/>
  <c r="F1576" i="2"/>
  <c r="D1576" i="2"/>
  <c r="E1576" i="2" s="1"/>
  <c r="I1575" i="2"/>
  <c r="H1575" i="2"/>
  <c r="F1575" i="2"/>
  <c r="D1575" i="2"/>
  <c r="E1575" i="2" s="1"/>
  <c r="I1574" i="2"/>
  <c r="H1574" i="2"/>
  <c r="F1574" i="2"/>
  <c r="D1574" i="2"/>
  <c r="E1574" i="2" s="1"/>
  <c r="I1573" i="2"/>
  <c r="H1573" i="2"/>
  <c r="F1573" i="2"/>
  <c r="D1573" i="2"/>
  <c r="E1573" i="2" s="1"/>
  <c r="I1572" i="2"/>
  <c r="H1572" i="2"/>
  <c r="F1572" i="2"/>
  <c r="D1572" i="2"/>
  <c r="E1572" i="2" s="1"/>
  <c r="I1571" i="2"/>
  <c r="H1571" i="2"/>
  <c r="F1571" i="2"/>
  <c r="D1571" i="2"/>
  <c r="E1571" i="2" s="1"/>
  <c r="I1570" i="2"/>
  <c r="H1570" i="2"/>
  <c r="F1570" i="2"/>
  <c r="D1570" i="2"/>
  <c r="E1570" i="2" s="1"/>
  <c r="I1569" i="2"/>
  <c r="H1569" i="2"/>
  <c r="F1569" i="2"/>
  <c r="D1569" i="2"/>
  <c r="E1569" i="2" s="1"/>
  <c r="I1568" i="2"/>
  <c r="H1568" i="2"/>
  <c r="F1568" i="2"/>
  <c r="D1568" i="2"/>
  <c r="E1568" i="2" s="1"/>
  <c r="I1567" i="2"/>
  <c r="H1567" i="2"/>
  <c r="F1567" i="2"/>
  <c r="D1567" i="2"/>
  <c r="E1567" i="2" s="1"/>
  <c r="I1566" i="2"/>
  <c r="H1566" i="2"/>
  <c r="F1566" i="2"/>
  <c r="D1566" i="2"/>
  <c r="E1566" i="2" s="1"/>
  <c r="I1565" i="2"/>
  <c r="H1565" i="2"/>
  <c r="F1565" i="2"/>
  <c r="D1565" i="2"/>
  <c r="E1565" i="2" s="1"/>
  <c r="I1564" i="2"/>
  <c r="H1564" i="2"/>
  <c r="F1564" i="2"/>
  <c r="D1564" i="2"/>
  <c r="E1564" i="2" s="1"/>
  <c r="I1563" i="2"/>
  <c r="H1563" i="2"/>
  <c r="F1563" i="2"/>
  <c r="D1563" i="2"/>
  <c r="E1563" i="2" s="1"/>
  <c r="I1562" i="2"/>
  <c r="H1562" i="2"/>
  <c r="F1562" i="2"/>
  <c r="D1562" i="2"/>
  <c r="E1562" i="2" s="1"/>
  <c r="I1561" i="2"/>
  <c r="H1561" i="2"/>
  <c r="F1561" i="2"/>
  <c r="D1561" i="2"/>
  <c r="E1561" i="2" s="1"/>
  <c r="I1560" i="2"/>
  <c r="H1560" i="2"/>
  <c r="F1560" i="2"/>
  <c r="D1560" i="2"/>
  <c r="E1560" i="2" s="1"/>
  <c r="I1559" i="2"/>
  <c r="H1559" i="2"/>
  <c r="F1559" i="2"/>
  <c r="D1559" i="2"/>
  <c r="E1559" i="2" s="1"/>
  <c r="I1558" i="2"/>
  <c r="H1558" i="2"/>
  <c r="F1558" i="2"/>
  <c r="D1558" i="2"/>
  <c r="E1558" i="2" s="1"/>
  <c r="I1557" i="2"/>
  <c r="J1557" i="2" s="1"/>
  <c r="K1557" i="2" s="1"/>
  <c r="H1557" i="2"/>
  <c r="F1557" i="2"/>
  <c r="D1557" i="2"/>
  <c r="E1557" i="2" s="1"/>
  <c r="I1556" i="2"/>
  <c r="H1556" i="2"/>
  <c r="F1556" i="2"/>
  <c r="D1556" i="2"/>
  <c r="E1556" i="2" s="1"/>
  <c r="I1555" i="2"/>
  <c r="H1555" i="2"/>
  <c r="F1555" i="2"/>
  <c r="D1555" i="2"/>
  <c r="E1555" i="2" s="1"/>
  <c r="I1554" i="2"/>
  <c r="H1554" i="2"/>
  <c r="F1554" i="2"/>
  <c r="D1554" i="2"/>
  <c r="E1554" i="2" s="1"/>
  <c r="I1553" i="2"/>
  <c r="H1553" i="2"/>
  <c r="F1553" i="2"/>
  <c r="D1553" i="2"/>
  <c r="E1553" i="2" s="1"/>
  <c r="I1552" i="2"/>
  <c r="H1552" i="2"/>
  <c r="F1552" i="2"/>
  <c r="D1552" i="2"/>
  <c r="E1552" i="2" s="1"/>
  <c r="I1551" i="2"/>
  <c r="H1551" i="2"/>
  <c r="F1551" i="2"/>
  <c r="D1551" i="2"/>
  <c r="E1551" i="2" s="1"/>
  <c r="I1550" i="2"/>
  <c r="H1550" i="2"/>
  <c r="F1550" i="2"/>
  <c r="D1550" i="2"/>
  <c r="E1550" i="2" s="1"/>
  <c r="I1549" i="2"/>
  <c r="H1549" i="2"/>
  <c r="F1549" i="2"/>
  <c r="D1549" i="2"/>
  <c r="E1549" i="2" s="1"/>
  <c r="I1548" i="2"/>
  <c r="H1548" i="2"/>
  <c r="F1548" i="2"/>
  <c r="D1548" i="2"/>
  <c r="E1548" i="2" s="1"/>
  <c r="I1547" i="2"/>
  <c r="H1547" i="2"/>
  <c r="F1547" i="2"/>
  <c r="D1547" i="2"/>
  <c r="E1547" i="2" s="1"/>
  <c r="I1546" i="2"/>
  <c r="H1546" i="2"/>
  <c r="F1546" i="2"/>
  <c r="D1546" i="2"/>
  <c r="E1546" i="2" s="1"/>
  <c r="I1545" i="2"/>
  <c r="H1545" i="2"/>
  <c r="F1545" i="2"/>
  <c r="D1545" i="2"/>
  <c r="E1545" i="2" s="1"/>
  <c r="I1544" i="2"/>
  <c r="H1544" i="2"/>
  <c r="F1544" i="2"/>
  <c r="D1544" i="2"/>
  <c r="E1544" i="2" s="1"/>
  <c r="I1543" i="2"/>
  <c r="H1543" i="2"/>
  <c r="F1543" i="2"/>
  <c r="D1543" i="2"/>
  <c r="E1543" i="2" s="1"/>
  <c r="I1542" i="2"/>
  <c r="H1542" i="2"/>
  <c r="F1542" i="2"/>
  <c r="D1542" i="2"/>
  <c r="E1542" i="2" s="1"/>
  <c r="I1541" i="2"/>
  <c r="H1541" i="2"/>
  <c r="F1541" i="2"/>
  <c r="D1541" i="2"/>
  <c r="E1541" i="2" s="1"/>
  <c r="I1540" i="2"/>
  <c r="J1540" i="2" s="1"/>
  <c r="K1540" i="2" s="1"/>
  <c r="H1540" i="2"/>
  <c r="F1540" i="2"/>
  <c r="D1540" i="2"/>
  <c r="E1540" i="2" s="1"/>
  <c r="I1539" i="2"/>
  <c r="H1539" i="2"/>
  <c r="F1539" i="2"/>
  <c r="D1539" i="2"/>
  <c r="E1539" i="2" s="1"/>
  <c r="I1538" i="2"/>
  <c r="H1538" i="2"/>
  <c r="F1538" i="2"/>
  <c r="E1538" i="2"/>
  <c r="D1538" i="2"/>
  <c r="I1537" i="2"/>
  <c r="H1537" i="2"/>
  <c r="F1537" i="2"/>
  <c r="D1537" i="2"/>
  <c r="E1537" i="2" s="1"/>
  <c r="I1536" i="2"/>
  <c r="H1536" i="2"/>
  <c r="F1536" i="2"/>
  <c r="D1536" i="2"/>
  <c r="E1536" i="2" s="1"/>
  <c r="I1535" i="2"/>
  <c r="H1535" i="2"/>
  <c r="F1535" i="2"/>
  <c r="D1535" i="2"/>
  <c r="E1535" i="2" s="1"/>
  <c r="I1534" i="2"/>
  <c r="H1534" i="2"/>
  <c r="F1534" i="2"/>
  <c r="D1534" i="2"/>
  <c r="E1534" i="2" s="1"/>
  <c r="I1533" i="2"/>
  <c r="H1533" i="2"/>
  <c r="F1533" i="2"/>
  <c r="D1533" i="2"/>
  <c r="E1533" i="2" s="1"/>
  <c r="I1532" i="2"/>
  <c r="H1532" i="2"/>
  <c r="F1532" i="2"/>
  <c r="D1532" i="2"/>
  <c r="E1532" i="2" s="1"/>
  <c r="I1531" i="2"/>
  <c r="H1531" i="2"/>
  <c r="F1531" i="2"/>
  <c r="D1531" i="2"/>
  <c r="E1531" i="2" s="1"/>
  <c r="I1530" i="2"/>
  <c r="H1530" i="2"/>
  <c r="F1530" i="2"/>
  <c r="D1530" i="2"/>
  <c r="E1530" i="2" s="1"/>
  <c r="I1529" i="2"/>
  <c r="H1529" i="2"/>
  <c r="F1529" i="2"/>
  <c r="D1529" i="2"/>
  <c r="E1529" i="2" s="1"/>
  <c r="I1528" i="2"/>
  <c r="H1528" i="2"/>
  <c r="F1528" i="2"/>
  <c r="D1528" i="2"/>
  <c r="E1528" i="2" s="1"/>
  <c r="I1527" i="2"/>
  <c r="H1527" i="2"/>
  <c r="F1527" i="2"/>
  <c r="D1527" i="2"/>
  <c r="E1527" i="2" s="1"/>
  <c r="I1526" i="2"/>
  <c r="H1526" i="2"/>
  <c r="F1526" i="2"/>
  <c r="D1526" i="2"/>
  <c r="E1526" i="2" s="1"/>
  <c r="I1525" i="2"/>
  <c r="H1525" i="2"/>
  <c r="F1525" i="2"/>
  <c r="D1525" i="2"/>
  <c r="E1525" i="2" s="1"/>
  <c r="I1524" i="2"/>
  <c r="H1524" i="2"/>
  <c r="F1524" i="2"/>
  <c r="D1524" i="2"/>
  <c r="E1524" i="2" s="1"/>
  <c r="I1523" i="2"/>
  <c r="H1523" i="2"/>
  <c r="F1523" i="2"/>
  <c r="D1523" i="2"/>
  <c r="E1523" i="2" s="1"/>
  <c r="I1522" i="2"/>
  <c r="H1522" i="2"/>
  <c r="F1522" i="2"/>
  <c r="D1522" i="2"/>
  <c r="E1522" i="2" s="1"/>
  <c r="I1521" i="2"/>
  <c r="H1521" i="2"/>
  <c r="F1521" i="2"/>
  <c r="D1521" i="2"/>
  <c r="E1521" i="2" s="1"/>
  <c r="I1520" i="2"/>
  <c r="H1520" i="2"/>
  <c r="F1520" i="2"/>
  <c r="D1520" i="2"/>
  <c r="E1520" i="2" s="1"/>
  <c r="I1519" i="2"/>
  <c r="H1519" i="2"/>
  <c r="F1519" i="2"/>
  <c r="D1519" i="2"/>
  <c r="E1519" i="2" s="1"/>
  <c r="I1518" i="2"/>
  <c r="H1518" i="2"/>
  <c r="F1518" i="2"/>
  <c r="D1518" i="2"/>
  <c r="E1518" i="2" s="1"/>
  <c r="I1517" i="2"/>
  <c r="H1517" i="2"/>
  <c r="F1517" i="2"/>
  <c r="D1517" i="2"/>
  <c r="E1517" i="2" s="1"/>
  <c r="I1516" i="2"/>
  <c r="H1516" i="2"/>
  <c r="F1516" i="2"/>
  <c r="D1516" i="2"/>
  <c r="E1516" i="2" s="1"/>
  <c r="I1515" i="2"/>
  <c r="H1515" i="2"/>
  <c r="F1515" i="2"/>
  <c r="D1515" i="2"/>
  <c r="E1515" i="2" s="1"/>
  <c r="I1514" i="2"/>
  <c r="H1514" i="2"/>
  <c r="F1514" i="2"/>
  <c r="D1514" i="2"/>
  <c r="E1514" i="2" s="1"/>
  <c r="I1513" i="2"/>
  <c r="H1513" i="2"/>
  <c r="F1513" i="2"/>
  <c r="D1513" i="2"/>
  <c r="E1513" i="2" s="1"/>
  <c r="I1512" i="2"/>
  <c r="H1512" i="2"/>
  <c r="F1512" i="2"/>
  <c r="D1512" i="2"/>
  <c r="E1512" i="2" s="1"/>
  <c r="I1511" i="2"/>
  <c r="H1511" i="2"/>
  <c r="F1511" i="2"/>
  <c r="D1511" i="2"/>
  <c r="E1511" i="2" s="1"/>
  <c r="I1510" i="2"/>
  <c r="H1510" i="2"/>
  <c r="F1510" i="2"/>
  <c r="D1510" i="2"/>
  <c r="E1510" i="2" s="1"/>
  <c r="I1509" i="2"/>
  <c r="H1509" i="2"/>
  <c r="F1509" i="2"/>
  <c r="D1509" i="2"/>
  <c r="E1509" i="2" s="1"/>
  <c r="I1508" i="2"/>
  <c r="H1508" i="2"/>
  <c r="F1508" i="2"/>
  <c r="D1508" i="2"/>
  <c r="E1508" i="2" s="1"/>
  <c r="I1507" i="2"/>
  <c r="H1507" i="2"/>
  <c r="F1507" i="2"/>
  <c r="D1507" i="2"/>
  <c r="E1507" i="2" s="1"/>
  <c r="I1506" i="2"/>
  <c r="H1506" i="2"/>
  <c r="F1506" i="2"/>
  <c r="D1506" i="2"/>
  <c r="E1506" i="2" s="1"/>
  <c r="I1505" i="2"/>
  <c r="H1505" i="2"/>
  <c r="F1505" i="2"/>
  <c r="D1505" i="2"/>
  <c r="E1505" i="2" s="1"/>
  <c r="I1504" i="2"/>
  <c r="H1504" i="2"/>
  <c r="F1504" i="2"/>
  <c r="D1504" i="2"/>
  <c r="E1504" i="2" s="1"/>
  <c r="I1503" i="2"/>
  <c r="H1503" i="2"/>
  <c r="F1503" i="2"/>
  <c r="D1503" i="2"/>
  <c r="E1503" i="2" s="1"/>
  <c r="I1502" i="2"/>
  <c r="H1502" i="2"/>
  <c r="F1502" i="2"/>
  <c r="D1502" i="2"/>
  <c r="E1502" i="2" s="1"/>
  <c r="I1501" i="2"/>
  <c r="H1501" i="2"/>
  <c r="F1501" i="2"/>
  <c r="D1501" i="2"/>
  <c r="E1501" i="2" s="1"/>
  <c r="I1500" i="2"/>
  <c r="H1500" i="2"/>
  <c r="F1500" i="2"/>
  <c r="D1500" i="2"/>
  <c r="E1500" i="2" s="1"/>
  <c r="I1499" i="2"/>
  <c r="H1499" i="2"/>
  <c r="F1499" i="2"/>
  <c r="D1499" i="2"/>
  <c r="E1499" i="2" s="1"/>
  <c r="I1498" i="2"/>
  <c r="H1498" i="2"/>
  <c r="F1498" i="2"/>
  <c r="D1498" i="2"/>
  <c r="E1498" i="2" s="1"/>
  <c r="I1497" i="2"/>
  <c r="H1497" i="2"/>
  <c r="F1497" i="2"/>
  <c r="D1497" i="2"/>
  <c r="E1497" i="2" s="1"/>
  <c r="I1496" i="2"/>
  <c r="H1496" i="2"/>
  <c r="F1496" i="2"/>
  <c r="D1496" i="2"/>
  <c r="E1496" i="2" s="1"/>
  <c r="I1495" i="2"/>
  <c r="H1495" i="2"/>
  <c r="F1495" i="2"/>
  <c r="D1495" i="2"/>
  <c r="E1495" i="2" s="1"/>
  <c r="I1494" i="2"/>
  <c r="H1494" i="2"/>
  <c r="F1494" i="2"/>
  <c r="D1494" i="2"/>
  <c r="E1494" i="2" s="1"/>
  <c r="I1493" i="2"/>
  <c r="H1493" i="2"/>
  <c r="F1493" i="2"/>
  <c r="D1493" i="2"/>
  <c r="E1493" i="2" s="1"/>
  <c r="I1492" i="2"/>
  <c r="H1492" i="2"/>
  <c r="F1492" i="2"/>
  <c r="D1492" i="2"/>
  <c r="E1492" i="2" s="1"/>
  <c r="I1491" i="2"/>
  <c r="H1491" i="2"/>
  <c r="F1491" i="2"/>
  <c r="D1491" i="2"/>
  <c r="E1491" i="2" s="1"/>
  <c r="I1490" i="2"/>
  <c r="H1490" i="2"/>
  <c r="F1490" i="2"/>
  <c r="D1490" i="2"/>
  <c r="E1490" i="2" s="1"/>
  <c r="I1489" i="2"/>
  <c r="H1489" i="2"/>
  <c r="F1489" i="2"/>
  <c r="D1489" i="2"/>
  <c r="E1489" i="2" s="1"/>
  <c r="I1488" i="2"/>
  <c r="H1488" i="2"/>
  <c r="F1488" i="2"/>
  <c r="D1488" i="2"/>
  <c r="E1488" i="2" s="1"/>
  <c r="I1487" i="2"/>
  <c r="H1487" i="2"/>
  <c r="F1487" i="2"/>
  <c r="D1487" i="2"/>
  <c r="E1487" i="2" s="1"/>
  <c r="I1486" i="2"/>
  <c r="H1486" i="2"/>
  <c r="F1486" i="2"/>
  <c r="D1486" i="2"/>
  <c r="E1486" i="2" s="1"/>
  <c r="I1485" i="2"/>
  <c r="H1485" i="2"/>
  <c r="F1485" i="2"/>
  <c r="D1485" i="2"/>
  <c r="E1485" i="2" s="1"/>
  <c r="I1484" i="2"/>
  <c r="H1484" i="2"/>
  <c r="F1484" i="2"/>
  <c r="D1484" i="2"/>
  <c r="E1484" i="2" s="1"/>
  <c r="I1483" i="2"/>
  <c r="H1483" i="2"/>
  <c r="F1483" i="2"/>
  <c r="D1483" i="2"/>
  <c r="E1483" i="2" s="1"/>
  <c r="I1482" i="2"/>
  <c r="H1482" i="2"/>
  <c r="F1482" i="2"/>
  <c r="D1482" i="2"/>
  <c r="E1482" i="2" s="1"/>
  <c r="I1481" i="2"/>
  <c r="H1481" i="2"/>
  <c r="F1481" i="2"/>
  <c r="D1481" i="2"/>
  <c r="E1481" i="2" s="1"/>
  <c r="I1480" i="2"/>
  <c r="H1480" i="2"/>
  <c r="F1480" i="2"/>
  <c r="D1480" i="2"/>
  <c r="E1480" i="2" s="1"/>
  <c r="I1479" i="2"/>
  <c r="H1479" i="2"/>
  <c r="F1479" i="2"/>
  <c r="D1479" i="2"/>
  <c r="E1479" i="2" s="1"/>
  <c r="I1478" i="2"/>
  <c r="H1478" i="2"/>
  <c r="F1478" i="2"/>
  <c r="D1478" i="2"/>
  <c r="E1478" i="2" s="1"/>
  <c r="I1477" i="2"/>
  <c r="H1477" i="2"/>
  <c r="F1477" i="2"/>
  <c r="D1477" i="2"/>
  <c r="E1477" i="2" s="1"/>
  <c r="I1476" i="2"/>
  <c r="H1476" i="2"/>
  <c r="F1476" i="2"/>
  <c r="D1476" i="2"/>
  <c r="E1476" i="2" s="1"/>
  <c r="I1475" i="2"/>
  <c r="H1475" i="2"/>
  <c r="F1475" i="2"/>
  <c r="D1475" i="2"/>
  <c r="E1475" i="2" s="1"/>
  <c r="I1474" i="2"/>
  <c r="H1474" i="2"/>
  <c r="F1474" i="2"/>
  <c r="D1474" i="2"/>
  <c r="E1474" i="2" s="1"/>
  <c r="I1473" i="2"/>
  <c r="H1473" i="2"/>
  <c r="F1473" i="2"/>
  <c r="D1473" i="2"/>
  <c r="E1473" i="2" s="1"/>
  <c r="I1472" i="2"/>
  <c r="H1472" i="2"/>
  <c r="F1472" i="2"/>
  <c r="D1472" i="2"/>
  <c r="E1472" i="2" s="1"/>
  <c r="I1471" i="2"/>
  <c r="H1471" i="2"/>
  <c r="F1471" i="2"/>
  <c r="D1471" i="2"/>
  <c r="E1471" i="2" s="1"/>
  <c r="I1470" i="2"/>
  <c r="H1470" i="2"/>
  <c r="F1470" i="2"/>
  <c r="D1470" i="2"/>
  <c r="E1470" i="2" s="1"/>
  <c r="I1469" i="2"/>
  <c r="H1469" i="2"/>
  <c r="F1469" i="2"/>
  <c r="D1469" i="2"/>
  <c r="E1469" i="2" s="1"/>
  <c r="I1468" i="2"/>
  <c r="H1468" i="2"/>
  <c r="F1468" i="2"/>
  <c r="D1468" i="2"/>
  <c r="E1468" i="2" s="1"/>
  <c r="I1467" i="2"/>
  <c r="H1467" i="2"/>
  <c r="F1467" i="2"/>
  <c r="D1467" i="2"/>
  <c r="E1467" i="2" s="1"/>
  <c r="I1466" i="2"/>
  <c r="H1466" i="2"/>
  <c r="F1466" i="2"/>
  <c r="D1466" i="2"/>
  <c r="E1466" i="2" s="1"/>
  <c r="I1465" i="2"/>
  <c r="H1465" i="2"/>
  <c r="F1465" i="2"/>
  <c r="D1465" i="2"/>
  <c r="E1465" i="2" s="1"/>
  <c r="I1464" i="2"/>
  <c r="H1464" i="2"/>
  <c r="F1464" i="2"/>
  <c r="D1464" i="2"/>
  <c r="E1464" i="2" s="1"/>
  <c r="I1463" i="2"/>
  <c r="H1463" i="2"/>
  <c r="F1463" i="2"/>
  <c r="D1463" i="2"/>
  <c r="E1463" i="2" s="1"/>
  <c r="I1462" i="2"/>
  <c r="H1462" i="2"/>
  <c r="F1462" i="2"/>
  <c r="D1462" i="2"/>
  <c r="E1462" i="2" s="1"/>
  <c r="I1461" i="2"/>
  <c r="H1461" i="2"/>
  <c r="F1461" i="2"/>
  <c r="D1461" i="2"/>
  <c r="E1461" i="2" s="1"/>
  <c r="I1460" i="2"/>
  <c r="H1460" i="2"/>
  <c r="F1460" i="2"/>
  <c r="D1460" i="2"/>
  <c r="E1460" i="2" s="1"/>
  <c r="I1459" i="2"/>
  <c r="H1459" i="2"/>
  <c r="F1459" i="2"/>
  <c r="D1459" i="2"/>
  <c r="E1459" i="2" s="1"/>
  <c r="I1458" i="2"/>
  <c r="H1458" i="2"/>
  <c r="F1458" i="2"/>
  <c r="D1458" i="2"/>
  <c r="E1458" i="2" s="1"/>
  <c r="I1457" i="2"/>
  <c r="H1457" i="2"/>
  <c r="F1457" i="2"/>
  <c r="D1457" i="2"/>
  <c r="E1457" i="2" s="1"/>
  <c r="I1456" i="2"/>
  <c r="H1456" i="2"/>
  <c r="F1456" i="2"/>
  <c r="D1456" i="2"/>
  <c r="E1456" i="2" s="1"/>
  <c r="I1455" i="2"/>
  <c r="H1455" i="2"/>
  <c r="F1455" i="2"/>
  <c r="D1455" i="2"/>
  <c r="E1455" i="2" s="1"/>
  <c r="I1454" i="2"/>
  <c r="H1454" i="2"/>
  <c r="F1454" i="2"/>
  <c r="D1454" i="2"/>
  <c r="E1454" i="2" s="1"/>
  <c r="J1454" i="2" s="1"/>
  <c r="K1454" i="2" s="1"/>
  <c r="I1453" i="2"/>
  <c r="J1453" i="2" s="1"/>
  <c r="K1453" i="2" s="1"/>
  <c r="H1453" i="2"/>
  <c r="F1453" i="2"/>
  <c r="D1453" i="2"/>
  <c r="E1453" i="2" s="1"/>
  <c r="I1452" i="2"/>
  <c r="H1452" i="2"/>
  <c r="F1452" i="2"/>
  <c r="D1452" i="2"/>
  <c r="E1452" i="2" s="1"/>
  <c r="I1451" i="2"/>
  <c r="H1451" i="2"/>
  <c r="F1451" i="2"/>
  <c r="D1451" i="2"/>
  <c r="E1451" i="2" s="1"/>
  <c r="I1450" i="2"/>
  <c r="H1450" i="2"/>
  <c r="F1450" i="2"/>
  <c r="D1450" i="2"/>
  <c r="E1450" i="2" s="1"/>
  <c r="I1449" i="2"/>
  <c r="H1449" i="2"/>
  <c r="F1449" i="2"/>
  <c r="E1449" i="2"/>
  <c r="D1449" i="2"/>
  <c r="I1448" i="2"/>
  <c r="H1448" i="2"/>
  <c r="F1448" i="2"/>
  <c r="D1448" i="2"/>
  <c r="E1448" i="2" s="1"/>
  <c r="I1447" i="2"/>
  <c r="H1447" i="2"/>
  <c r="F1447" i="2"/>
  <c r="D1447" i="2"/>
  <c r="E1447" i="2" s="1"/>
  <c r="I1446" i="2"/>
  <c r="H1446" i="2"/>
  <c r="F1446" i="2"/>
  <c r="D1446" i="2"/>
  <c r="E1446" i="2" s="1"/>
  <c r="I1445" i="2"/>
  <c r="H1445" i="2"/>
  <c r="F1445" i="2"/>
  <c r="D1445" i="2"/>
  <c r="E1445" i="2" s="1"/>
  <c r="I1444" i="2"/>
  <c r="H1444" i="2"/>
  <c r="F1444" i="2"/>
  <c r="D1444" i="2"/>
  <c r="E1444" i="2" s="1"/>
  <c r="I1443" i="2"/>
  <c r="H1443" i="2"/>
  <c r="F1443" i="2"/>
  <c r="D1443" i="2"/>
  <c r="E1443" i="2" s="1"/>
  <c r="I1442" i="2"/>
  <c r="H1442" i="2"/>
  <c r="F1442" i="2"/>
  <c r="D1442" i="2"/>
  <c r="E1442" i="2" s="1"/>
  <c r="I1441" i="2"/>
  <c r="H1441" i="2"/>
  <c r="F1441" i="2"/>
  <c r="D1441" i="2"/>
  <c r="E1441" i="2" s="1"/>
  <c r="I1440" i="2"/>
  <c r="H1440" i="2"/>
  <c r="F1440" i="2"/>
  <c r="D1440" i="2"/>
  <c r="E1440" i="2" s="1"/>
  <c r="I1439" i="2"/>
  <c r="H1439" i="2"/>
  <c r="F1439" i="2"/>
  <c r="D1439" i="2"/>
  <c r="E1439" i="2" s="1"/>
  <c r="I1438" i="2"/>
  <c r="H1438" i="2"/>
  <c r="F1438" i="2"/>
  <c r="D1438" i="2"/>
  <c r="E1438" i="2" s="1"/>
  <c r="I1437" i="2"/>
  <c r="H1437" i="2"/>
  <c r="F1437" i="2"/>
  <c r="D1437" i="2"/>
  <c r="E1437" i="2" s="1"/>
  <c r="I1436" i="2"/>
  <c r="H1436" i="2"/>
  <c r="F1436" i="2"/>
  <c r="D1436" i="2"/>
  <c r="E1436" i="2" s="1"/>
  <c r="I1435" i="2"/>
  <c r="H1435" i="2"/>
  <c r="F1435" i="2"/>
  <c r="D1435" i="2"/>
  <c r="E1435" i="2" s="1"/>
  <c r="I1434" i="2"/>
  <c r="H1434" i="2"/>
  <c r="F1434" i="2"/>
  <c r="D1434" i="2"/>
  <c r="E1434" i="2" s="1"/>
  <c r="I1433" i="2"/>
  <c r="H1433" i="2"/>
  <c r="F1433" i="2"/>
  <c r="D1433" i="2"/>
  <c r="E1433" i="2" s="1"/>
  <c r="I1432" i="2"/>
  <c r="H1432" i="2"/>
  <c r="F1432" i="2"/>
  <c r="D1432" i="2"/>
  <c r="E1432" i="2" s="1"/>
  <c r="I1431" i="2"/>
  <c r="H1431" i="2"/>
  <c r="F1431" i="2"/>
  <c r="D1431" i="2"/>
  <c r="E1431" i="2" s="1"/>
  <c r="I1430" i="2"/>
  <c r="H1430" i="2"/>
  <c r="F1430" i="2"/>
  <c r="D1430" i="2"/>
  <c r="E1430" i="2" s="1"/>
  <c r="I1429" i="2"/>
  <c r="H1429" i="2"/>
  <c r="F1429" i="2"/>
  <c r="D1429" i="2"/>
  <c r="E1429" i="2" s="1"/>
  <c r="I1428" i="2"/>
  <c r="H1428" i="2"/>
  <c r="F1428" i="2"/>
  <c r="D1428" i="2"/>
  <c r="E1428" i="2" s="1"/>
  <c r="I1427" i="2"/>
  <c r="H1427" i="2"/>
  <c r="F1427" i="2"/>
  <c r="D1427" i="2"/>
  <c r="E1427" i="2" s="1"/>
  <c r="I1426" i="2"/>
  <c r="H1426" i="2"/>
  <c r="F1426" i="2"/>
  <c r="E1426" i="2"/>
  <c r="D1426" i="2"/>
  <c r="I1425" i="2"/>
  <c r="H1425" i="2"/>
  <c r="F1425" i="2"/>
  <c r="D1425" i="2"/>
  <c r="E1425" i="2" s="1"/>
  <c r="I1424" i="2"/>
  <c r="H1424" i="2"/>
  <c r="F1424" i="2"/>
  <c r="D1424" i="2"/>
  <c r="E1424" i="2" s="1"/>
  <c r="I1423" i="2"/>
  <c r="H1423" i="2"/>
  <c r="F1423" i="2"/>
  <c r="D1423" i="2"/>
  <c r="E1423" i="2" s="1"/>
  <c r="I1422" i="2"/>
  <c r="H1422" i="2"/>
  <c r="F1422" i="2"/>
  <c r="D1422" i="2"/>
  <c r="E1422" i="2" s="1"/>
  <c r="I1421" i="2"/>
  <c r="H1421" i="2"/>
  <c r="F1421" i="2"/>
  <c r="D1421" i="2"/>
  <c r="E1421" i="2" s="1"/>
  <c r="I1420" i="2"/>
  <c r="H1420" i="2"/>
  <c r="F1420" i="2"/>
  <c r="D1420" i="2"/>
  <c r="E1420" i="2" s="1"/>
  <c r="I1419" i="2"/>
  <c r="H1419" i="2"/>
  <c r="F1419" i="2"/>
  <c r="D1419" i="2"/>
  <c r="E1419" i="2" s="1"/>
  <c r="I1418" i="2"/>
  <c r="H1418" i="2"/>
  <c r="F1418" i="2"/>
  <c r="D1418" i="2"/>
  <c r="E1418" i="2" s="1"/>
  <c r="J1418" i="2" s="1"/>
  <c r="K1418" i="2" s="1"/>
  <c r="I1417" i="2"/>
  <c r="H1417" i="2"/>
  <c r="F1417" i="2"/>
  <c r="D1417" i="2"/>
  <c r="E1417" i="2" s="1"/>
  <c r="J1417" i="2" s="1"/>
  <c r="K1417" i="2" s="1"/>
  <c r="I1416" i="2"/>
  <c r="H1416" i="2"/>
  <c r="F1416" i="2"/>
  <c r="D1416" i="2"/>
  <c r="E1416" i="2" s="1"/>
  <c r="I1415" i="2"/>
  <c r="H1415" i="2"/>
  <c r="F1415" i="2"/>
  <c r="D1415" i="2"/>
  <c r="E1415" i="2" s="1"/>
  <c r="I1414" i="2"/>
  <c r="H1414" i="2"/>
  <c r="F1414" i="2"/>
  <c r="D1414" i="2"/>
  <c r="E1414" i="2" s="1"/>
  <c r="I1413" i="2"/>
  <c r="H1413" i="2"/>
  <c r="F1413" i="2"/>
  <c r="E1413" i="2"/>
  <c r="D1413" i="2"/>
  <c r="I1412" i="2"/>
  <c r="H1412" i="2"/>
  <c r="F1412" i="2"/>
  <c r="D1412" i="2"/>
  <c r="E1412" i="2" s="1"/>
  <c r="I1411" i="2"/>
  <c r="H1411" i="2"/>
  <c r="F1411" i="2"/>
  <c r="D1411" i="2"/>
  <c r="E1411" i="2" s="1"/>
  <c r="I1410" i="2"/>
  <c r="H1410" i="2"/>
  <c r="F1410" i="2"/>
  <c r="D1410" i="2"/>
  <c r="E1410" i="2" s="1"/>
  <c r="I1409" i="2"/>
  <c r="H1409" i="2"/>
  <c r="F1409" i="2"/>
  <c r="D1409" i="2"/>
  <c r="E1409" i="2" s="1"/>
  <c r="I1408" i="2"/>
  <c r="H1408" i="2"/>
  <c r="F1408" i="2"/>
  <c r="D1408" i="2"/>
  <c r="E1408" i="2" s="1"/>
  <c r="I1407" i="2"/>
  <c r="H1407" i="2"/>
  <c r="F1407" i="2"/>
  <c r="D1407" i="2"/>
  <c r="E1407" i="2" s="1"/>
  <c r="I1406" i="2"/>
  <c r="H1406" i="2"/>
  <c r="F1406" i="2"/>
  <c r="D1406" i="2"/>
  <c r="E1406" i="2" s="1"/>
  <c r="I1405" i="2"/>
  <c r="H1405" i="2"/>
  <c r="F1405" i="2"/>
  <c r="D1405" i="2"/>
  <c r="E1405" i="2" s="1"/>
  <c r="I1404" i="2"/>
  <c r="H1404" i="2"/>
  <c r="F1404" i="2"/>
  <c r="D1404" i="2"/>
  <c r="E1404" i="2" s="1"/>
  <c r="I1403" i="2"/>
  <c r="H1403" i="2"/>
  <c r="F1403" i="2"/>
  <c r="D1403" i="2"/>
  <c r="E1403" i="2" s="1"/>
  <c r="I1402" i="2"/>
  <c r="H1402" i="2"/>
  <c r="F1402" i="2"/>
  <c r="D1402" i="2"/>
  <c r="E1402" i="2" s="1"/>
  <c r="I1401" i="2"/>
  <c r="H1401" i="2"/>
  <c r="F1401" i="2"/>
  <c r="D1401" i="2"/>
  <c r="E1401" i="2" s="1"/>
  <c r="I1400" i="2"/>
  <c r="H1400" i="2"/>
  <c r="F1400" i="2"/>
  <c r="D1400" i="2"/>
  <c r="E1400" i="2" s="1"/>
  <c r="I1399" i="2"/>
  <c r="H1399" i="2"/>
  <c r="F1399" i="2"/>
  <c r="D1399" i="2"/>
  <c r="E1399" i="2" s="1"/>
  <c r="I1398" i="2"/>
  <c r="H1398" i="2"/>
  <c r="F1398" i="2"/>
  <c r="D1398" i="2"/>
  <c r="E1398" i="2" s="1"/>
  <c r="I1397" i="2"/>
  <c r="H1397" i="2"/>
  <c r="F1397" i="2"/>
  <c r="D1397" i="2"/>
  <c r="E1397" i="2" s="1"/>
  <c r="I1396" i="2"/>
  <c r="H1396" i="2"/>
  <c r="F1396" i="2"/>
  <c r="D1396" i="2"/>
  <c r="E1396" i="2" s="1"/>
  <c r="I1395" i="2"/>
  <c r="H1395" i="2"/>
  <c r="F1395" i="2"/>
  <c r="D1395" i="2"/>
  <c r="E1395" i="2" s="1"/>
  <c r="I1394" i="2"/>
  <c r="H1394" i="2"/>
  <c r="F1394" i="2"/>
  <c r="D1394" i="2"/>
  <c r="E1394" i="2" s="1"/>
  <c r="I1393" i="2"/>
  <c r="H1393" i="2"/>
  <c r="F1393" i="2"/>
  <c r="D1393" i="2"/>
  <c r="E1393" i="2" s="1"/>
  <c r="I1392" i="2"/>
  <c r="H1392" i="2"/>
  <c r="F1392" i="2"/>
  <c r="D1392" i="2"/>
  <c r="E1392" i="2" s="1"/>
  <c r="I1391" i="2"/>
  <c r="H1391" i="2"/>
  <c r="F1391" i="2"/>
  <c r="D1391" i="2"/>
  <c r="E1391" i="2" s="1"/>
  <c r="I1390" i="2"/>
  <c r="H1390" i="2"/>
  <c r="F1390" i="2"/>
  <c r="D1390" i="2"/>
  <c r="E1390" i="2" s="1"/>
  <c r="I1389" i="2"/>
  <c r="H1389" i="2"/>
  <c r="F1389" i="2"/>
  <c r="D1389" i="2"/>
  <c r="E1389" i="2" s="1"/>
  <c r="I1388" i="2"/>
  <c r="H1388" i="2"/>
  <c r="F1388" i="2"/>
  <c r="D1388" i="2"/>
  <c r="E1388" i="2" s="1"/>
  <c r="I1387" i="2"/>
  <c r="H1387" i="2"/>
  <c r="F1387" i="2"/>
  <c r="D1387" i="2"/>
  <c r="E1387" i="2" s="1"/>
  <c r="I1386" i="2"/>
  <c r="H1386" i="2"/>
  <c r="F1386" i="2"/>
  <c r="D1386" i="2"/>
  <c r="E1386" i="2" s="1"/>
  <c r="I1385" i="2"/>
  <c r="H1385" i="2"/>
  <c r="F1385" i="2"/>
  <c r="D1385" i="2"/>
  <c r="E1385" i="2" s="1"/>
  <c r="I1384" i="2"/>
  <c r="H1384" i="2"/>
  <c r="F1384" i="2"/>
  <c r="D1384" i="2"/>
  <c r="E1384" i="2" s="1"/>
  <c r="I1383" i="2"/>
  <c r="H1383" i="2"/>
  <c r="F1383" i="2"/>
  <c r="D1383" i="2"/>
  <c r="E1383" i="2" s="1"/>
  <c r="I1382" i="2"/>
  <c r="H1382" i="2"/>
  <c r="F1382" i="2"/>
  <c r="D1382" i="2"/>
  <c r="E1382" i="2" s="1"/>
  <c r="I1381" i="2"/>
  <c r="H1381" i="2"/>
  <c r="F1381" i="2"/>
  <c r="D1381" i="2"/>
  <c r="E1381" i="2" s="1"/>
  <c r="I1380" i="2"/>
  <c r="H1380" i="2"/>
  <c r="F1380" i="2"/>
  <c r="D1380" i="2"/>
  <c r="E1380" i="2" s="1"/>
  <c r="I1379" i="2"/>
  <c r="H1379" i="2"/>
  <c r="F1379" i="2"/>
  <c r="D1379" i="2"/>
  <c r="E1379" i="2" s="1"/>
  <c r="I1378" i="2"/>
  <c r="H1378" i="2"/>
  <c r="F1378" i="2"/>
  <c r="D1378" i="2"/>
  <c r="E1378" i="2" s="1"/>
  <c r="I1377" i="2"/>
  <c r="H1377" i="2"/>
  <c r="F1377" i="2"/>
  <c r="D1377" i="2"/>
  <c r="E1377" i="2" s="1"/>
  <c r="I1376" i="2"/>
  <c r="H1376" i="2"/>
  <c r="F1376" i="2"/>
  <c r="D1376" i="2"/>
  <c r="E1376" i="2" s="1"/>
  <c r="I1375" i="2"/>
  <c r="H1375" i="2"/>
  <c r="F1375" i="2"/>
  <c r="D1375" i="2"/>
  <c r="E1375" i="2" s="1"/>
  <c r="I1374" i="2"/>
  <c r="H1374" i="2"/>
  <c r="F1374" i="2"/>
  <c r="D1374" i="2"/>
  <c r="E1374" i="2" s="1"/>
  <c r="I1373" i="2"/>
  <c r="H1373" i="2"/>
  <c r="F1373" i="2"/>
  <c r="D1373" i="2"/>
  <c r="E1373" i="2" s="1"/>
  <c r="I1372" i="2"/>
  <c r="J1372" i="2" s="1"/>
  <c r="K1372" i="2" s="1"/>
  <c r="H1372" i="2"/>
  <c r="F1372" i="2"/>
  <c r="D1372" i="2"/>
  <c r="E1372" i="2" s="1"/>
  <c r="I1371" i="2"/>
  <c r="H1371" i="2"/>
  <c r="F1371" i="2"/>
  <c r="D1371" i="2"/>
  <c r="E1371" i="2" s="1"/>
  <c r="I1370" i="2"/>
  <c r="H1370" i="2"/>
  <c r="F1370" i="2"/>
  <c r="D1370" i="2"/>
  <c r="E1370" i="2" s="1"/>
  <c r="I1369" i="2"/>
  <c r="H1369" i="2"/>
  <c r="F1369" i="2"/>
  <c r="D1369" i="2"/>
  <c r="E1369" i="2" s="1"/>
  <c r="I1368" i="2"/>
  <c r="H1368" i="2"/>
  <c r="F1368" i="2"/>
  <c r="D1368" i="2"/>
  <c r="E1368" i="2" s="1"/>
  <c r="I1367" i="2"/>
  <c r="H1367" i="2"/>
  <c r="F1367" i="2"/>
  <c r="D1367" i="2"/>
  <c r="E1367" i="2" s="1"/>
  <c r="I1366" i="2"/>
  <c r="H1366" i="2"/>
  <c r="F1366" i="2"/>
  <c r="D1366" i="2"/>
  <c r="E1366" i="2" s="1"/>
  <c r="I1365" i="2"/>
  <c r="H1365" i="2"/>
  <c r="F1365" i="2"/>
  <c r="D1365" i="2"/>
  <c r="E1365" i="2" s="1"/>
  <c r="I1364" i="2"/>
  <c r="H1364" i="2"/>
  <c r="F1364" i="2"/>
  <c r="D1364" i="2"/>
  <c r="E1364" i="2" s="1"/>
  <c r="I1363" i="2"/>
  <c r="H1363" i="2"/>
  <c r="F1363" i="2"/>
  <c r="D1363" i="2"/>
  <c r="E1363" i="2" s="1"/>
  <c r="I1362" i="2"/>
  <c r="H1362" i="2"/>
  <c r="F1362" i="2"/>
  <c r="D1362" i="2"/>
  <c r="E1362" i="2" s="1"/>
  <c r="I1361" i="2"/>
  <c r="H1361" i="2"/>
  <c r="F1361" i="2"/>
  <c r="D1361" i="2"/>
  <c r="E1361" i="2" s="1"/>
  <c r="I1360" i="2"/>
  <c r="H1360" i="2"/>
  <c r="F1360" i="2"/>
  <c r="D1360" i="2"/>
  <c r="E1360" i="2" s="1"/>
  <c r="I1359" i="2"/>
  <c r="H1359" i="2"/>
  <c r="F1359" i="2"/>
  <c r="D1359" i="2"/>
  <c r="E1359" i="2" s="1"/>
  <c r="I1358" i="2"/>
  <c r="H1358" i="2"/>
  <c r="F1358" i="2"/>
  <c r="D1358" i="2"/>
  <c r="E1358" i="2" s="1"/>
  <c r="I1357" i="2"/>
  <c r="H1357" i="2"/>
  <c r="F1357" i="2"/>
  <c r="D1357" i="2"/>
  <c r="E1357" i="2" s="1"/>
  <c r="I1356" i="2"/>
  <c r="H1356" i="2"/>
  <c r="F1356" i="2"/>
  <c r="D1356" i="2"/>
  <c r="E1356" i="2" s="1"/>
  <c r="I1355" i="2"/>
  <c r="H1355" i="2"/>
  <c r="F1355" i="2"/>
  <c r="D1355" i="2"/>
  <c r="E1355" i="2" s="1"/>
  <c r="I1354" i="2"/>
  <c r="H1354" i="2"/>
  <c r="F1354" i="2"/>
  <c r="D1354" i="2"/>
  <c r="E1354" i="2" s="1"/>
  <c r="I1353" i="2"/>
  <c r="H1353" i="2"/>
  <c r="F1353" i="2"/>
  <c r="D1353" i="2"/>
  <c r="E1353" i="2" s="1"/>
  <c r="I1352" i="2"/>
  <c r="H1352" i="2"/>
  <c r="F1352" i="2"/>
  <c r="D1352" i="2"/>
  <c r="E1352" i="2" s="1"/>
  <c r="I1351" i="2"/>
  <c r="H1351" i="2"/>
  <c r="F1351" i="2"/>
  <c r="D1351" i="2"/>
  <c r="E1351" i="2" s="1"/>
  <c r="I1350" i="2"/>
  <c r="H1350" i="2"/>
  <c r="F1350" i="2"/>
  <c r="D1350" i="2"/>
  <c r="E1350" i="2" s="1"/>
  <c r="I1349" i="2"/>
  <c r="H1349" i="2"/>
  <c r="F1349" i="2"/>
  <c r="D1349" i="2"/>
  <c r="E1349" i="2" s="1"/>
  <c r="I1348" i="2"/>
  <c r="H1348" i="2"/>
  <c r="F1348" i="2"/>
  <c r="D1348" i="2"/>
  <c r="E1348" i="2" s="1"/>
  <c r="I1347" i="2"/>
  <c r="H1347" i="2"/>
  <c r="F1347" i="2"/>
  <c r="D1347" i="2"/>
  <c r="E1347" i="2" s="1"/>
  <c r="I1346" i="2"/>
  <c r="H1346" i="2"/>
  <c r="F1346" i="2"/>
  <c r="D1346" i="2"/>
  <c r="E1346" i="2" s="1"/>
  <c r="I1345" i="2"/>
  <c r="H1345" i="2"/>
  <c r="F1345" i="2"/>
  <c r="D1345" i="2"/>
  <c r="E1345" i="2" s="1"/>
  <c r="I1344" i="2"/>
  <c r="H1344" i="2"/>
  <c r="F1344" i="2"/>
  <c r="D1344" i="2"/>
  <c r="E1344" i="2" s="1"/>
  <c r="I1343" i="2"/>
  <c r="H1343" i="2"/>
  <c r="F1343" i="2"/>
  <c r="D1343" i="2"/>
  <c r="E1343" i="2" s="1"/>
  <c r="I1342" i="2"/>
  <c r="H1342" i="2"/>
  <c r="F1342" i="2"/>
  <c r="D1342" i="2"/>
  <c r="E1342" i="2" s="1"/>
  <c r="I1341" i="2"/>
  <c r="H1341" i="2"/>
  <c r="F1341" i="2"/>
  <c r="D1341" i="2"/>
  <c r="E1341" i="2" s="1"/>
  <c r="I1340" i="2"/>
  <c r="J1340" i="2" s="1"/>
  <c r="K1340" i="2" s="1"/>
  <c r="H1340" i="2"/>
  <c r="F1340" i="2"/>
  <c r="D1340" i="2"/>
  <c r="E1340" i="2" s="1"/>
  <c r="I1339" i="2"/>
  <c r="H1339" i="2"/>
  <c r="F1339" i="2"/>
  <c r="D1339" i="2"/>
  <c r="E1339" i="2" s="1"/>
  <c r="I1338" i="2"/>
  <c r="H1338" i="2"/>
  <c r="F1338" i="2"/>
  <c r="D1338" i="2"/>
  <c r="E1338" i="2" s="1"/>
  <c r="I1337" i="2"/>
  <c r="H1337" i="2"/>
  <c r="F1337" i="2"/>
  <c r="D1337" i="2"/>
  <c r="E1337" i="2" s="1"/>
  <c r="I1336" i="2"/>
  <c r="H1336" i="2"/>
  <c r="F1336" i="2"/>
  <c r="D1336" i="2"/>
  <c r="E1336" i="2" s="1"/>
  <c r="I1335" i="2"/>
  <c r="H1335" i="2"/>
  <c r="F1335" i="2"/>
  <c r="D1335" i="2"/>
  <c r="E1335" i="2" s="1"/>
  <c r="I1334" i="2"/>
  <c r="H1334" i="2"/>
  <c r="F1334" i="2"/>
  <c r="D1334" i="2"/>
  <c r="E1334" i="2" s="1"/>
  <c r="J1334" i="2" s="1"/>
  <c r="K1334" i="2" s="1"/>
  <c r="I1333" i="2"/>
  <c r="H1333" i="2"/>
  <c r="F1333" i="2"/>
  <c r="D1333" i="2"/>
  <c r="E1333" i="2" s="1"/>
  <c r="I1332" i="2"/>
  <c r="H1332" i="2"/>
  <c r="F1332" i="2"/>
  <c r="D1332" i="2"/>
  <c r="E1332" i="2" s="1"/>
  <c r="I1331" i="2"/>
  <c r="H1331" i="2"/>
  <c r="F1331" i="2"/>
  <c r="D1331" i="2"/>
  <c r="E1331" i="2" s="1"/>
  <c r="I1330" i="2"/>
  <c r="H1330" i="2"/>
  <c r="F1330" i="2"/>
  <c r="D1330" i="2"/>
  <c r="E1330" i="2" s="1"/>
  <c r="I1329" i="2"/>
  <c r="H1329" i="2"/>
  <c r="F1329" i="2"/>
  <c r="D1329" i="2"/>
  <c r="E1329" i="2" s="1"/>
  <c r="I1328" i="2"/>
  <c r="H1328" i="2"/>
  <c r="F1328" i="2"/>
  <c r="D1328" i="2"/>
  <c r="E1328" i="2" s="1"/>
  <c r="I1327" i="2"/>
  <c r="H1327" i="2"/>
  <c r="F1327" i="2"/>
  <c r="D1327" i="2"/>
  <c r="E1327" i="2" s="1"/>
  <c r="I1326" i="2"/>
  <c r="H1326" i="2"/>
  <c r="F1326" i="2"/>
  <c r="D1326" i="2"/>
  <c r="E1326" i="2" s="1"/>
  <c r="I1325" i="2"/>
  <c r="H1325" i="2"/>
  <c r="F1325" i="2"/>
  <c r="D1325" i="2"/>
  <c r="E1325" i="2" s="1"/>
  <c r="I1324" i="2"/>
  <c r="H1324" i="2"/>
  <c r="F1324" i="2"/>
  <c r="D1324" i="2"/>
  <c r="E1324" i="2" s="1"/>
  <c r="I1323" i="2"/>
  <c r="H1323" i="2"/>
  <c r="F1323" i="2"/>
  <c r="D1323" i="2"/>
  <c r="E1323" i="2" s="1"/>
  <c r="I1322" i="2"/>
  <c r="H1322" i="2"/>
  <c r="F1322" i="2"/>
  <c r="D1322" i="2"/>
  <c r="E1322" i="2" s="1"/>
  <c r="I1321" i="2"/>
  <c r="H1321" i="2"/>
  <c r="F1321" i="2"/>
  <c r="D1321" i="2"/>
  <c r="E1321" i="2" s="1"/>
  <c r="I1320" i="2"/>
  <c r="H1320" i="2"/>
  <c r="F1320" i="2"/>
  <c r="D1320" i="2"/>
  <c r="E1320" i="2" s="1"/>
  <c r="I1319" i="2"/>
  <c r="H1319" i="2"/>
  <c r="F1319" i="2"/>
  <c r="D1319" i="2"/>
  <c r="E1319" i="2" s="1"/>
  <c r="I1318" i="2"/>
  <c r="H1318" i="2"/>
  <c r="F1318" i="2"/>
  <c r="D1318" i="2"/>
  <c r="E1318" i="2" s="1"/>
  <c r="I1317" i="2"/>
  <c r="H1317" i="2"/>
  <c r="F1317" i="2"/>
  <c r="D1317" i="2"/>
  <c r="E1317" i="2" s="1"/>
  <c r="I1316" i="2"/>
  <c r="H1316" i="2"/>
  <c r="F1316" i="2"/>
  <c r="D1316" i="2"/>
  <c r="E1316" i="2" s="1"/>
  <c r="I1315" i="2"/>
  <c r="H1315" i="2"/>
  <c r="F1315" i="2"/>
  <c r="D1315" i="2"/>
  <c r="E1315" i="2" s="1"/>
  <c r="I1314" i="2"/>
  <c r="H1314" i="2"/>
  <c r="F1314" i="2"/>
  <c r="D1314" i="2"/>
  <c r="E1314" i="2" s="1"/>
  <c r="I1313" i="2"/>
  <c r="H1313" i="2"/>
  <c r="F1313" i="2"/>
  <c r="D1313" i="2"/>
  <c r="E1313" i="2" s="1"/>
  <c r="I1312" i="2"/>
  <c r="H1312" i="2"/>
  <c r="F1312" i="2"/>
  <c r="D1312" i="2"/>
  <c r="E1312" i="2" s="1"/>
  <c r="I1311" i="2"/>
  <c r="H1311" i="2"/>
  <c r="F1311" i="2"/>
  <c r="D1311" i="2"/>
  <c r="E1311" i="2" s="1"/>
  <c r="I1310" i="2"/>
  <c r="H1310" i="2"/>
  <c r="F1310" i="2"/>
  <c r="D1310" i="2"/>
  <c r="E1310" i="2" s="1"/>
  <c r="I1309" i="2"/>
  <c r="H1309" i="2"/>
  <c r="F1309" i="2"/>
  <c r="D1309" i="2"/>
  <c r="E1309" i="2" s="1"/>
  <c r="I1308" i="2"/>
  <c r="H1308" i="2"/>
  <c r="F1308" i="2"/>
  <c r="D1308" i="2"/>
  <c r="E1308" i="2" s="1"/>
  <c r="I1307" i="2"/>
  <c r="H1307" i="2"/>
  <c r="F1307" i="2"/>
  <c r="D1307" i="2"/>
  <c r="E1307" i="2" s="1"/>
  <c r="I1306" i="2"/>
  <c r="H1306" i="2"/>
  <c r="F1306" i="2"/>
  <c r="D1306" i="2"/>
  <c r="E1306" i="2" s="1"/>
  <c r="I1305" i="2"/>
  <c r="H1305" i="2"/>
  <c r="F1305" i="2"/>
  <c r="D1305" i="2"/>
  <c r="E1305" i="2" s="1"/>
  <c r="I1304" i="2"/>
  <c r="H1304" i="2"/>
  <c r="F1304" i="2"/>
  <c r="D1304" i="2"/>
  <c r="E1304" i="2" s="1"/>
  <c r="I1303" i="2"/>
  <c r="H1303" i="2"/>
  <c r="F1303" i="2"/>
  <c r="D1303" i="2"/>
  <c r="E1303" i="2" s="1"/>
  <c r="I1302" i="2"/>
  <c r="H1302" i="2"/>
  <c r="F1302" i="2"/>
  <c r="D1302" i="2"/>
  <c r="E1302" i="2" s="1"/>
  <c r="I1301" i="2"/>
  <c r="H1301" i="2"/>
  <c r="F1301" i="2"/>
  <c r="D1301" i="2"/>
  <c r="E1301" i="2" s="1"/>
  <c r="I1300" i="2"/>
  <c r="H1300" i="2"/>
  <c r="F1300" i="2"/>
  <c r="D1300" i="2"/>
  <c r="E1300" i="2" s="1"/>
  <c r="I1299" i="2"/>
  <c r="H1299" i="2"/>
  <c r="F1299" i="2"/>
  <c r="D1299" i="2"/>
  <c r="E1299" i="2" s="1"/>
  <c r="I1298" i="2"/>
  <c r="H1298" i="2"/>
  <c r="F1298" i="2"/>
  <c r="D1298" i="2"/>
  <c r="E1298" i="2" s="1"/>
  <c r="I1297" i="2"/>
  <c r="H1297" i="2"/>
  <c r="F1297" i="2"/>
  <c r="D1297" i="2"/>
  <c r="E1297" i="2" s="1"/>
  <c r="I1296" i="2"/>
  <c r="H1296" i="2"/>
  <c r="F1296" i="2"/>
  <c r="D1296" i="2"/>
  <c r="E1296" i="2" s="1"/>
  <c r="I1295" i="2"/>
  <c r="H1295" i="2"/>
  <c r="F1295" i="2"/>
  <c r="D1295" i="2"/>
  <c r="E1295" i="2" s="1"/>
  <c r="I1294" i="2"/>
  <c r="H1294" i="2"/>
  <c r="F1294" i="2"/>
  <c r="D1294" i="2"/>
  <c r="E1294" i="2" s="1"/>
  <c r="I1293" i="2"/>
  <c r="H1293" i="2"/>
  <c r="F1293" i="2"/>
  <c r="D1293" i="2"/>
  <c r="E1293" i="2" s="1"/>
  <c r="I1292" i="2"/>
  <c r="H1292" i="2"/>
  <c r="F1292" i="2"/>
  <c r="D1292" i="2"/>
  <c r="E1292" i="2" s="1"/>
  <c r="I1291" i="2"/>
  <c r="H1291" i="2"/>
  <c r="F1291" i="2"/>
  <c r="D1291" i="2"/>
  <c r="E1291" i="2" s="1"/>
  <c r="I1290" i="2"/>
  <c r="H1290" i="2"/>
  <c r="F1290" i="2"/>
  <c r="D1290" i="2"/>
  <c r="E1290" i="2" s="1"/>
  <c r="J1290" i="2" s="1"/>
  <c r="K1290" i="2" s="1"/>
  <c r="I1289" i="2"/>
  <c r="H1289" i="2"/>
  <c r="F1289" i="2"/>
  <c r="D1289" i="2"/>
  <c r="E1289" i="2" s="1"/>
  <c r="I1288" i="2"/>
  <c r="H1288" i="2"/>
  <c r="F1288" i="2"/>
  <c r="D1288" i="2"/>
  <c r="E1288" i="2" s="1"/>
  <c r="I1287" i="2"/>
  <c r="H1287" i="2"/>
  <c r="F1287" i="2"/>
  <c r="D1287" i="2"/>
  <c r="E1287" i="2" s="1"/>
  <c r="I1286" i="2"/>
  <c r="H1286" i="2"/>
  <c r="F1286" i="2"/>
  <c r="D1286" i="2"/>
  <c r="E1286" i="2" s="1"/>
  <c r="I1285" i="2"/>
  <c r="H1285" i="2"/>
  <c r="F1285" i="2"/>
  <c r="D1285" i="2"/>
  <c r="E1285" i="2" s="1"/>
  <c r="I1284" i="2"/>
  <c r="H1284" i="2"/>
  <c r="F1284" i="2"/>
  <c r="D1284" i="2"/>
  <c r="E1284" i="2" s="1"/>
  <c r="I1283" i="2"/>
  <c r="H1283" i="2"/>
  <c r="F1283" i="2"/>
  <c r="D1283" i="2"/>
  <c r="E1283" i="2" s="1"/>
  <c r="I1282" i="2"/>
  <c r="H1282" i="2"/>
  <c r="F1282" i="2"/>
  <c r="D1282" i="2"/>
  <c r="E1282" i="2" s="1"/>
  <c r="I1281" i="2"/>
  <c r="H1281" i="2"/>
  <c r="F1281" i="2"/>
  <c r="D1281" i="2"/>
  <c r="E1281" i="2" s="1"/>
  <c r="I1280" i="2"/>
  <c r="H1280" i="2"/>
  <c r="F1280" i="2"/>
  <c r="D1280" i="2"/>
  <c r="E1280" i="2" s="1"/>
  <c r="I1279" i="2"/>
  <c r="H1279" i="2"/>
  <c r="F1279" i="2"/>
  <c r="D1279" i="2"/>
  <c r="E1279" i="2" s="1"/>
  <c r="I1278" i="2"/>
  <c r="H1278" i="2"/>
  <c r="F1278" i="2"/>
  <c r="D1278" i="2"/>
  <c r="E1278" i="2" s="1"/>
  <c r="I1277" i="2"/>
  <c r="H1277" i="2"/>
  <c r="F1277" i="2"/>
  <c r="D1277" i="2"/>
  <c r="E1277" i="2" s="1"/>
  <c r="I1276" i="2"/>
  <c r="H1276" i="2"/>
  <c r="F1276" i="2"/>
  <c r="D1276" i="2"/>
  <c r="E1276" i="2" s="1"/>
  <c r="I1275" i="2"/>
  <c r="H1275" i="2"/>
  <c r="F1275" i="2"/>
  <c r="D1275" i="2"/>
  <c r="E1275" i="2" s="1"/>
  <c r="I1274" i="2"/>
  <c r="H1274" i="2"/>
  <c r="F1274" i="2"/>
  <c r="D1274" i="2"/>
  <c r="E1274" i="2" s="1"/>
  <c r="I1273" i="2"/>
  <c r="H1273" i="2"/>
  <c r="F1273" i="2"/>
  <c r="D1273" i="2"/>
  <c r="E1273" i="2" s="1"/>
  <c r="I1272" i="2"/>
  <c r="H1272" i="2"/>
  <c r="F1272" i="2"/>
  <c r="D1272" i="2"/>
  <c r="E1272" i="2" s="1"/>
  <c r="I1271" i="2"/>
  <c r="H1271" i="2"/>
  <c r="F1271" i="2"/>
  <c r="D1271" i="2"/>
  <c r="E1271" i="2" s="1"/>
  <c r="I1270" i="2"/>
  <c r="H1270" i="2"/>
  <c r="F1270" i="2"/>
  <c r="D1270" i="2"/>
  <c r="E1270" i="2" s="1"/>
  <c r="I1269" i="2"/>
  <c r="H1269" i="2"/>
  <c r="F1269" i="2"/>
  <c r="D1269" i="2"/>
  <c r="E1269" i="2" s="1"/>
  <c r="I1268" i="2"/>
  <c r="H1268" i="2"/>
  <c r="F1268" i="2"/>
  <c r="D1268" i="2"/>
  <c r="E1268" i="2" s="1"/>
  <c r="I1267" i="2"/>
  <c r="H1267" i="2"/>
  <c r="F1267" i="2"/>
  <c r="D1267" i="2"/>
  <c r="E1267" i="2" s="1"/>
  <c r="I1266" i="2"/>
  <c r="H1266" i="2"/>
  <c r="F1266" i="2"/>
  <c r="D1266" i="2"/>
  <c r="E1266" i="2" s="1"/>
  <c r="I1265" i="2"/>
  <c r="H1265" i="2"/>
  <c r="F1265" i="2"/>
  <c r="D1265" i="2"/>
  <c r="E1265" i="2" s="1"/>
  <c r="I1264" i="2"/>
  <c r="H1264" i="2"/>
  <c r="F1264" i="2"/>
  <c r="D1264" i="2"/>
  <c r="E1264" i="2" s="1"/>
  <c r="I1263" i="2"/>
  <c r="H1263" i="2"/>
  <c r="F1263" i="2"/>
  <c r="D1263" i="2"/>
  <c r="E1263" i="2" s="1"/>
  <c r="I1262" i="2"/>
  <c r="H1262" i="2"/>
  <c r="F1262" i="2"/>
  <c r="D1262" i="2"/>
  <c r="E1262" i="2" s="1"/>
  <c r="I1261" i="2"/>
  <c r="H1261" i="2"/>
  <c r="F1261" i="2"/>
  <c r="D1261" i="2"/>
  <c r="E1261" i="2" s="1"/>
  <c r="I1260" i="2"/>
  <c r="H1260" i="2"/>
  <c r="F1260" i="2"/>
  <c r="D1260" i="2"/>
  <c r="E1260" i="2" s="1"/>
  <c r="I1259" i="2"/>
  <c r="H1259" i="2"/>
  <c r="F1259" i="2"/>
  <c r="D1259" i="2"/>
  <c r="E1259" i="2" s="1"/>
  <c r="I1258" i="2"/>
  <c r="H1258" i="2"/>
  <c r="F1258" i="2"/>
  <c r="D1258" i="2"/>
  <c r="E1258" i="2" s="1"/>
  <c r="I1257" i="2"/>
  <c r="H1257" i="2"/>
  <c r="F1257" i="2"/>
  <c r="D1257" i="2"/>
  <c r="E1257" i="2" s="1"/>
  <c r="I1256" i="2"/>
  <c r="H1256" i="2"/>
  <c r="F1256" i="2"/>
  <c r="D1256" i="2"/>
  <c r="E1256" i="2" s="1"/>
  <c r="I1255" i="2"/>
  <c r="H1255" i="2"/>
  <c r="F1255" i="2"/>
  <c r="D1255" i="2"/>
  <c r="E1255" i="2" s="1"/>
  <c r="I1254" i="2"/>
  <c r="H1254" i="2"/>
  <c r="F1254" i="2"/>
  <c r="D1254" i="2"/>
  <c r="E1254" i="2" s="1"/>
  <c r="I1253" i="2"/>
  <c r="H1253" i="2"/>
  <c r="F1253" i="2"/>
  <c r="D1253" i="2"/>
  <c r="E1253" i="2" s="1"/>
  <c r="I1252" i="2"/>
  <c r="H1252" i="2"/>
  <c r="F1252" i="2"/>
  <c r="D1252" i="2"/>
  <c r="E1252" i="2" s="1"/>
  <c r="I1251" i="2"/>
  <c r="H1251" i="2"/>
  <c r="F1251" i="2"/>
  <c r="D1251" i="2"/>
  <c r="E1251" i="2" s="1"/>
  <c r="I1250" i="2"/>
  <c r="H1250" i="2"/>
  <c r="F1250" i="2"/>
  <c r="D1250" i="2"/>
  <c r="E1250" i="2" s="1"/>
  <c r="I1249" i="2"/>
  <c r="H1249" i="2"/>
  <c r="F1249" i="2"/>
  <c r="D1249" i="2"/>
  <c r="E1249" i="2" s="1"/>
  <c r="I1248" i="2"/>
  <c r="H1248" i="2"/>
  <c r="F1248" i="2"/>
  <c r="D1248" i="2"/>
  <c r="E1248" i="2" s="1"/>
  <c r="I1247" i="2"/>
  <c r="H1247" i="2"/>
  <c r="F1247" i="2"/>
  <c r="D1247" i="2"/>
  <c r="E1247" i="2" s="1"/>
  <c r="I1246" i="2"/>
  <c r="H1246" i="2"/>
  <c r="F1246" i="2"/>
  <c r="D1246" i="2"/>
  <c r="E1246" i="2" s="1"/>
  <c r="I1245" i="2"/>
  <c r="H1245" i="2"/>
  <c r="F1245" i="2"/>
  <c r="D1245" i="2"/>
  <c r="E1245" i="2" s="1"/>
  <c r="I1244" i="2"/>
  <c r="H1244" i="2"/>
  <c r="F1244" i="2"/>
  <c r="D1244" i="2"/>
  <c r="E1244" i="2" s="1"/>
  <c r="I1243" i="2"/>
  <c r="H1243" i="2"/>
  <c r="F1243" i="2"/>
  <c r="D1243" i="2"/>
  <c r="E1243" i="2" s="1"/>
  <c r="I1242" i="2"/>
  <c r="H1242" i="2"/>
  <c r="F1242" i="2"/>
  <c r="D1242" i="2"/>
  <c r="E1242" i="2" s="1"/>
  <c r="I1241" i="2"/>
  <c r="H1241" i="2"/>
  <c r="F1241" i="2"/>
  <c r="D1241" i="2"/>
  <c r="E1241" i="2" s="1"/>
  <c r="I1240" i="2"/>
  <c r="H1240" i="2"/>
  <c r="F1240" i="2"/>
  <c r="D1240" i="2"/>
  <c r="E1240" i="2" s="1"/>
  <c r="I1239" i="2"/>
  <c r="H1239" i="2"/>
  <c r="F1239" i="2"/>
  <c r="D1239" i="2"/>
  <c r="E1239" i="2" s="1"/>
  <c r="I1238" i="2"/>
  <c r="H1238" i="2"/>
  <c r="F1238" i="2"/>
  <c r="D1238" i="2"/>
  <c r="E1238" i="2" s="1"/>
  <c r="I1237" i="2"/>
  <c r="H1237" i="2"/>
  <c r="F1237" i="2"/>
  <c r="D1237" i="2"/>
  <c r="E1237" i="2" s="1"/>
  <c r="I1236" i="2"/>
  <c r="H1236" i="2"/>
  <c r="F1236" i="2"/>
  <c r="D1236" i="2"/>
  <c r="E1236" i="2" s="1"/>
  <c r="I1235" i="2"/>
  <c r="H1235" i="2"/>
  <c r="F1235" i="2"/>
  <c r="D1235" i="2"/>
  <c r="E1235" i="2" s="1"/>
  <c r="I1234" i="2"/>
  <c r="H1234" i="2"/>
  <c r="F1234" i="2"/>
  <c r="D1234" i="2"/>
  <c r="E1234" i="2" s="1"/>
  <c r="I1233" i="2"/>
  <c r="H1233" i="2"/>
  <c r="F1233" i="2"/>
  <c r="D1233" i="2"/>
  <c r="E1233" i="2" s="1"/>
  <c r="I1232" i="2"/>
  <c r="H1232" i="2"/>
  <c r="F1232" i="2"/>
  <c r="D1232" i="2"/>
  <c r="E1232" i="2" s="1"/>
  <c r="I1231" i="2"/>
  <c r="H1231" i="2"/>
  <c r="F1231" i="2"/>
  <c r="D1231" i="2"/>
  <c r="E1231" i="2" s="1"/>
  <c r="I1230" i="2"/>
  <c r="H1230" i="2"/>
  <c r="F1230" i="2"/>
  <c r="D1230" i="2"/>
  <c r="E1230" i="2" s="1"/>
  <c r="I1229" i="2"/>
  <c r="H1229" i="2"/>
  <c r="F1229" i="2"/>
  <c r="D1229" i="2"/>
  <c r="E1229" i="2" s="1"/>
  <c r="I1228" i="2"/>
  <c r="H1228" i="2"/>
  <c r="F1228" i="2"/>
  <c r="D1228" i="2"/>
  <c r="E1228" i="2" s="1"/>
  <c r="I1227" i="2"/>
  <c r="H1227" i="2"/>
  <c r="F1227" i="2"/>
  <c r="D1227" i="2"/>
  <c r="E1227" i="2" s="1"/>
  <c r="I1226" i="2"/>
  <c r="H1226" i="2"/>
  <c r="F1226" i="2"/>
  <c r="D1226" i="2"/>
  <c r="E1226" i="2" s="1"/>
  <c r="J1226" i="2" s="1"/>
  <c r="K1226" i="2" s="1"/>
  <c r="I1225" i="2"/>
  <c r="H1225" i="2"/>
  <c r="F1225" i="2"/>
  <c r="D1225" i="2"/>
  <c r="E1225" i="2" s="1"/>
  <c r="I1224" i="2"/>
  <c r="H1224" i="2"/>
  <c r="F1224" i="2"/>
  <c r="D1224" i="2"/>
  <c r="E1224" i="2" s="1"/>
  <c r="I1223" i="2"/>
  <c r="H1223" i="2"/>
  <c r="F1223" i="2"/>
  <c r="D1223" i="2"/>
  <c r="E1223" i="2" s="1"/>
  <c r="I1222" i="2"/>
  <c r="H1222" i="2"/>
  <c r="F1222" i="2"/>
  <c r="E1222" i="2"/>
  <c r="D1222" i="2"/>
  <c r="I1221" i="2"/>
  <c r="H1221" i="2"/>
  <c r="F1221" i="2"/>
  <c r="D1221" i="2"/>
  <c r="E1221" i="2" s="1"/>
  <c r="I1220" i="2"/>
  <c r="H1220" i="2"/>
  <c r="F1220" i="2"/>
  <c r="D1220" i="2"/>
  <c r="E1220" i="2" s="1"/>
  <c r="I1219" i="2"/>
  <c r="H1219" i="2"/>
  <c r="F1219" i="2"/>
  <c r="D1219" i="2"/>
  <c r="E1219" i="2" s="1"/>
  <c r="I1218" i="2"/>
  <c r="H1218" i="2"/>
  <c r="F1218" i="2"/>
  <c r="D1218" i="2"/>
  <c r="E1218" i="2" s="1"/>
  <c r="I1217" i="2"/>
  <c r="J1217" i="2" s="1"/>
  <c r="K1217" i="2" s="1"/>
  <c r="H1217" i="2"/>
  <c r="F1217" i="2"/>
  <c r="D1217" i="2"/>
  <c r="E1217" i="2" s="1"/>
  <c r="I1216" i="2"/>
  <c r="H1216" i="2"/>
  <c r="F1216" i="2"/>
  <c r="D1216" i="2"/>
  <c r="E1216" i="2" s="1"/>
  <c r="I1215" i="2"/>
  <c r="H1215" i="2"/>
  <c r="F1215" i="2"/>
  <c r="D1215" i="2"/>
  <c r="E1215" i="2" s="1"/>
  <c r="I1214" i="2"/>
  <c r="H1214" i="2"/>
  <c r="F1214" i="2"/>
  <c r="D1214" i="2"/>
  <c r="E1214" i="2" s="1"/>
  <c r="I1213" i="2"/>
  <c r="H1213" i="2"/>
  <c r="F1213" i="2"/>
  <c r="D1213" i="2"/>
  <c r="E1213" i="2" s="1"/>
  <c r="I1212" i="2"/>
  <c r="H1212" i="2"/>
  <c r="F1212" i="2"/>
  <c r="D1212" i="2"/>
  <c r="E1212" i="2" s="1"/>
  <c r="I1211" i="2"/>
  <c r="H1211" i="2"/>
  <c r="F1211" i="2"/>
  <c r="D1211" i="2"/>
  <c r="E1211" i="2" s="1"/>
  <c r="I1210" i="2"/>
  <c r="H1210" i="2"/>
  <c r="F1210" i="2"/>
  <c r="D1210" i="2"/>
  <c r="E1210" i="2" s="1"/>
  <c r="I1209" i="2"/>
  <c r="H1209" i="2"/>
  <c r="F1209" i="2"/>
  <c r="D1209" i="2"/>
  <c r="E1209" i="2" s="1"/>
  <c r="I1208" i="2"/>
  <c r="H1208" i="2"/>
  <c r="F1208" i="2"/>
  <c r="D1208" i="2"/>
  <c r="E1208" i="2" s="1"/>
  <c r="I1207" i="2"/>
  <c r="H1207" i="2"/>
  <c r="F1207" i="2"/>
  <c r="D1207" i="2"/>
  <c r="E1207" i="2" s="1"/>
  <c r="I1206" i="2"/>
  <c r="H1206" i="2"/>
  <c r="F1206" i="2"/>
  <c r="D1206" i="2"/>
  <c r="E1206" i="2" s="1"/>
  <c r="I1205" i="2"/>
  <c r="H1205" i="2"/>
  <c r="F1205" i="2"/>
  <c r="D1205" i="2"/>
  <c r="E1205" i="2" s="1"/>
  <c r="I1204" i="2"/>
  <c r="H1204" i="2"/>
  <c r="F1204" i="2"/>
  <c r="D1204" i="2"/>
  <c r="E1204" i="2" s="1"/>
  <c r="I1203" i="2"/>
  <c r="H1203" i="2"/>
  <c r="F1203" i="2"/>
  <c r="D1203" i="2"/>
  <c r="E1203" i="2" s="1"/>
  <c r="I1202" i="2"/>
  <c r="H1202" i="2"/>
  <c r="F1202" i="2"/>
  <c r="D1202" i="2"/>
  <c r="E1202" i="2" s="1"/>
  <c r="I1201" i="2"/>
  <c r="H1201" i="2"/>
  <c r="F1201" i="2"/>
  <c r="D1201" i="2"/>
  <c r="E1201" i="2" s="1"/>
  <c r="I1200" i="2"/>
  <c r="H1200" i="2"/>
  <c r="F1200" i="2"/>
  <c r="D1200" i="2"/>
  <c r="E1200" i="2" s="1"/>
  <c r="I1199" i="2"/>
  <c r="H1199" i="2"/>
  <c r="F1199" i="2"/>
  <c r="D1199" i="2"/>
  <c r="E1199" i="2" s="1"/>
  <c r="I1198" i="2"/>
  <c r="H1198" i="2"/>
  <c r="F1198" i="2"/>
  <c r="D1198" i="2"/>
  <c r="E1198" i="2" s="1"/>
  <c r="I1197" i="2"/>
  <c r="H1197" i="2"/>
  <c r="F1197" i="2"/>
  <c r="D1197" i="2"/>
  <c r="E1197" i="2" s="1"/>
  <c r="I1196" i="2"/>
  <c r="H1196" i="2"/>
  <c r="F1196" i="2"/>
  <c r="D1196" i="2"/>
  <c r="E1196" i="2" s="1"/>
  <c r="I1195" i="2"/>
  <c r="H1195" i="2"/>
  <c r="F1195" i="2"/>
  <c r="D1195" i="2"/>
  <c r="E1195" i="2" s="1"/>
  <c r="I1194" i="2"/>
  <c r="H1194" i="2"/>
  <c r="F1194" i="2"/>
  <c r="D1194" i="2"/>
  <c r="E1194" i="2" s="1"/>
  <c r="J1194" i="2" s="1"/>
  <c r="K1194" i="2" s="1"/>
  <c r="I1193" i="2"/>
  <c r="H1193" i="2"/>
  <c r="F1193" i="2"/>
  <c r="D1193" i="2"/>
  <c r="E1193" i="2" s="1"/>
  <c r="I1192" i="2"/>
  <c r="H1192" i="2"/>
  <c r="F1192" i="2"/>
  <c r="D1192" i="2"/>
  <c r="E1192" i="2" s="1"/>
  <c r="I1191" i="2"/>
  <c r="H1191" i="2"/>
  <c r="F1191" i="2"/>
  <c r="D1191" i="2"/>
  <c r="E1191" i="2" s="1"/>
  <c r="I1190" i="2"/>
  <c r="H1190" i="2"/>
  <c r="F1190" i="2"/>
  <c r="D1190" i="2"/>
  <c r="E1190" i="2" s="1"/>
  <c r="I1189" i="2"/>
  <c r="H1189" i="2"/>
  <c r="F1189" i="2"/>
  <c r="D1189" i="2"/>
  <c r="E1189" i="2" s="1"/>
  <c r="I1188" i="2"/>
  <c r="H1188" i="2"/>
  <c r="F1188" i="2"/>
  <c r="D1188" i="2"/>
  <c r="E1188" i="2" s="1"/>
  <c r="I1187" i="2"/>
  <c r="H1187" i="2"/>
  <c r="F1187" i="2"/>
  <c r="D1187" i="2"/>
  <c r="E1187" i="2" s="1"/>
  <c r="I1186" i="2"/>
  <c r="H1186" i="2"/>
  <c r="F1186" i="2"/>
  <c r="D1186" i="2"/>
  <c r="E1186" i="2" s="1"/>
  <c r="I1185" i="2"/>
  <c r="H1185" i="2"/>
  <c r="F1185" i="2"/>
  <c r="D1185" i="2"/>
  <c r="E1185" i="2" s="1"/>
  <c r="I1184" i="2"/>
  <c r="H1184" i="2"/>
  <c r="F1184" i="2"/>
  <c r="D1184" i="2"/>
  <c r="E1184" i="2" s="1"/>
  <c r="I1183" i="2"/>
  <c r="H1183" i="2"/>
  <c r="F1183" i="2"/>
  <c r="D1183" i="2"/>
  <c r="E1183" i="2" s="1"/>
  <c r="I1182" i="2"/>
  <c r="H1182" i="2"/>
  <c r="F1182" i="2"/>
  <c r="D1182" i="2"/>
  <c r="E1182" i="2" s="1"/>
  <c r="I1181" i="2"/>
  <c r="H1181" i="2"/>
  <c r="F1181" i="2"/>
  <c r="D1181" i="2"/>
  <c r="E1181" i="2" s="1"/>
  <c r="I1180" i="2"/>
  <c r="H1180" i="2"/>
  <c r="F1180" i="2"/>
  <c r="D1180" i="2"/>
  <c r="E1180" i="2" s="1"/>
  <c r="I1179" i="2"/>
  <c r="H1179" i="2"/>
  <c r="F1179" i="2"/>
  <c r="D1179" i="2"/>
  <c r="E1179" i="2" s="1"/>
  <c r="I1178" i="2"/>
  <c r="H1178" i="2"/>
  <c r="F1178" i="2"/>
  <c r="D1178" i="2"/>
  <c r="E1178" i="2" s="1"/>
  <c r="I1177" i="2"/>
  <c r="H1177" i="2"/>
  <c r="F1177" i="2"/>
  <c r="D1177" i="2"/>
  <c r="E1177" i="2" s="1"/>
  <c r="I1176" i="2"/>
  <c r="H1176" i="2"/>
  <c r="F1176" i="2"/>
  <c r="D1176" i="2"/>
  <c r="E1176" i="2" s="1"/>
  <c r="I1175" i="2"/>
  <c r="H1175" i="2"/>
  <c r="F1175" i="2"/>
  <c r="D1175" i="2"/>
  <c r="E1175" i="2" s="1"/>
  <c r="I1174" i="2"/>
  <c r="H1174" i="2"/>
  <c r="F1174" i="2"/>
  <c r="D1174" i="2"/>
  <c r="E1174" i="2" s="1"/>
  <c r="I1173" i="2"/>
  <c r="H1173" i="2"/>
  <c r="F1173" i="2"/>
  <c r="D1173" i="2"/>
  <c r="E1173" i="2" s="1"/>
  <c r="I1172" i="2"/>
  <c r="H1172" i="2"/>
  <c r="F1172" i="2"/>
  <c r="D1172" i="2"/>
  <c r="E1172" i="2" s="1"/>
  <c r="I1171" i="2"/>
  <c r="H1171" i="2"/>
  <c r="F1171" i="2"/>
  <c r="D1171" i="2"/>
  <c r="E1171" i="2" s="1"/>
  <c r="I1170" i="2"/>
  <c r="H1170" i="2"/>
  <c r="F1170" i="2"/>
  <c r="D1170" i="2"/>
  <c r="E1170" i="2" s="1"/>
  <c r="I1169" i="2"/>
  <c r="H1169" i="2"/>
  <c r="F1169" i="2"/>
  <c r="D1169" i="2"/>
  <c r="E1169" i="2" s="1"/>
  <c r="I1168" i="2"/>
  <c r="H1168" i="2"/>
  <c r="F1168" i="2"/>
  <c r="D1168" i="2"/>
  <c r="E1168" i="2" s="1"/>
  <c r="I1167" i="2"/>
  <c r="H1167" i="2"/>
  <c r="F1167" i="2"/>
  <c r="D1167" i="2"/>
  <c r="E1167" i="2" s="1"/>
  <c r="I1166" i="2"/>
  <c r="H1166" i="2"/>
  <c r="F1166" i="2"/>
  <c r="D1166" i="2"/>
  <c r="E1166" i="2" s="1"/>
  <c r="I1165" i="2"/>
  <c r="H1165" i="2"/>
  <c r="F1165" i="2"/>
  <c r="D1165" i="2"/>
  <c r="E1165" i="2" s="1"/>
  <c r="I1164" i="2"/>
  <c r="H1164" i="2"/>
  <c r="F1164" i="2"/>
  <c r="D1164" i="2"/>
  <c r="E1164" i="2" s="1"/>
  <c r="I1163" i="2"/>
  <c r="H1163" i="2"/>
  <c r="F1163" i="2"/>
  <c r="D1163" i="2"/>
  <c r="E1163" i="2" s="1"/>
  <c r="I1162" i="2"/>
  <c r="H1162" i="2"/>
  <c r="F1162" i="2"/>
  <c r="D1162" i="2"/>
  <c r="E1162" i="2" s="1"/>
  <c r="I1161" i="2"/>
  <c r="H1161" i="2"/>
  <c r="F1161" i="2"/>
  <c r="D1161" i="2"/>
  <c r="E1161" i="2" s="1"/>
  <c r="I1160" i="2"/>
  <c r="H1160" i="2"/>
  <c r="F1160" i="2"/>
  <c r="D1160" i="2"/>
  <c r="E1160" i="2" s="1"/>
  <c r="I1159" i="2"/>
  <c r="H1159" i="2"/>
  <c r="F1159" i="2"/>
  <c r="D1159" i="2"/>
  <c r="E1159" i="2" s="1"/>
  <c r="I1158" i="2"/>
  <c r="H1158" i="2"/>
  <c r="F1158" i="2"/>
  <c r="E1158" i="2"/>
  <c r="D1158" i="2"/>
  <c r="I1157" i="2"/>
  <c r="H1157" i="2"/>
  <c r="F1157" i="2"/>
  <c r="D1157" i="2"/>
  <c r="E1157" i="2" s="1"/>
  <c r="I1156" i="2"/>
  <c r="H1156" i="2"/>
  <c r="F1156" i="2"/>
  <c r="D1156" i="2"/>
  <c r="E1156" i="2" s="1"/>
  <c r="I1155" i="2"/>
  <c r="H1155" i="2"/>
  <c r="F1155" i="2"/>
  <c r="D1155" i="2"/>
  <c r="E1155" i="2" s="1"/>
  <c r="I1154" i="2"/>
  <c r="H1154" i="2"/>
  <c r="F1154" i="2"/>
  <c r="D1154" i="2"/>
  <c r="E1154" i="2" s="1"/>
  <c r="I1153" i="2"/>
  <c r="H1153" i="2"/>
  <c r="F1153" i="2"/>
  <c r="D1153" i="2"/>
  <c r="E1153" i="2" s="1"/>
  <c r="I1152" i="2"/>
  <c r="H1152" i="2"/>
  <c r="F1152" i="2"/>
  <c r="D1152" i="2"/>
  <c r="E1152" i="2" s="1"/>
  <c r="I1151" i="2"/>
  <c r="H1151" i="2"/>
  <c r="F1151" i="2"/>
  <c r="D1151" i="2"/>
  <c r="E1151" i="2" s="1"/>
  <c r="I1150" i="2"/>
  <c r="H1150" i="2"/>
  <c r="F1150" i="2"/>
  <c r="D1150" i="2"/>
  <c r="E1150" i="2" s="1"/>
  <c r="I1149" i="2"/>
  <c r="H1149" i="2"/>
  <c r="F1149" i="2"/>
  <c r="D1149" i="2"/>
  <c r="E1149" i="2" s="1"/>
  <c r="I1148" i="2"/>
  <c r="H1148" i="2"/>
  <c r="F1148" i="2"/>
  <c r="D1148" i="2"/>
  <c r="E1148" i="2" s="1"/>
  <c r="I1147" i="2"/>
  <c r="H1147" i="2"/>
  <c r="F1147" i="2"/>
  <c r="D1147" i="2"/>
  <c r="E1147" i="2" s="1"/>
  <c r="I1146" i="2"/>
  <c r="H1146" i="2"/>
  <c r="F1146" i="2"/>
  <c r="D1146" i="2"/>
  <c r="E1146" i="2" s="1"/>
  <c r="I1145" i="2"/>
  <c r="H1145" i="2"/>
  <c r="F1145" i="2"/>
  <c r="D1145" i="2"/>
  <c r="E1145" i="2" s="1"/>
  <c r="I1144" i="2"/>
  <c r="H1144" i="2"/>
  <c r="F1144" i="2"/>
  <c r="D1144" i="2"/>
  <c r="E1144" i="2" s="1"/>
  <c r="I1143" i="2"/>
  <c r="H1143" i="2"/>
  <c r="F1143" i="2"/>
  <c r="D1143" i="2"/>
  <c r="E1143" i="2" s="1"/>
  <c r="I1142" i="2"/>
  <c r="H1142" i="2"/>
  <c r="F1142" i="2"/>
  <c r="E1142" i="2"/>
  <c r="D1142" i="2"/>
  <c r="I1141" i="2"/>
  <c r="H1141" i="2"/>
  <c r="F1141" i="2"/>
  <c r="D1141" i="2"/>
  <c r="E1141" i="2" s="1"/>
  <c r="I1140" i="2"/>
  <c r="J1140" i="2" s="1"/>
  <c r="K1140" i="2" s="1"/>
  <c r="H1140" i="2"/>
  <c r="F1140" i="2"/>
  <c r="D1140" i="2"/>
  <c r="E1140" i="2" s="1"/>
  <c r="I1139" i="2"/>
  <c r="H1139" i="2"/>
  <c r="F1139" i="2"/>
  <c r="D1139" i="2"/>
  <c r="E1139" i="2" s="1"/>
  <c r="I1138" i="2"/>
  <c r="H1138" i="2"/>
  <c r="F1138" i="2"/>
  <c r="D1138" i="2"/>
  <c r="E1138" i="2" s="1"/>
  <c r="I1137" i="2"/>
  <c r="H1137" i="2"/>
  <c r="F1137" i="2"/>
  <c r="D1137" i="2"/>
  <c r="E1137" i="2" s="1"/>
  <c r="I1136" i="2"/>
  <c r="H1136" i="2"/>
  <c r="F1136" i="2"/>
  <c r="D1136" i="2"/>
  <c r="E1136" i="2" s="1"/>
  <c r="I1135" i="2"/>
  <c r="H1135" i="2"/>
  <c r="F1135" i="2"/>
  <c r="D1135" i="2"/>
  <c r="E1135" i="2" s="1"/>
  <c r="I1134" i="2"/>
  <c r="H1134" i="2"/>
  <c r="F1134" i="2"/>
  <c r="D1134" i="2"/>
  <c r="E1134" i="2" s="1"/>
  <c r="I1133" i="2"/>
  <c r="J1133" i="2" s="1"/>
  <c r="K1133" i="2" s="1"/>
  <c r="H1133" i="2"/>
  <c r="F1133" i="2"/>
  <c r="D1133" i="2"/>
  <c r="E1133" i="2" s="1"/>
  <c r="I1132" i="2"/>
  <c r="H1132" i="2"/>
  <c r="F1132" i="2"/>
  <c r="D1132" i="2"/>
  <c r="E1132" i="2" s="1"/>
  <c r="I1131" i="2"/>
  <c r="H1131" i="2"/>
  <c r="F1131" i="2"/>
  <c r="D1131" i="2"/>
  <c r="E1131" i="2" s="1"/>
  <c r="I1130" i="2"/>
  <c r="H1130" i="2"/>
  <c r="F1130" i="2"/>
  <c r="D1130" i="2"/>
  <c r="E1130" i="2" s="1"/>
  <c r="I1129" i="2"/>
  <c r="H1129" i="2"/>
  <c r="F1129" i="2"/>
  <c r="D1129" i="2"/>
  <c r="E1129" i="2" s="1"/>
  <c r="I1128" i="2"/>
  <c r="H1128" i="2"/>
  <c r="F1128" i="2"/>
  <c r="D1128" i="2"/>
  <c r="E1128" i="2" s="1"/>
  <c r="I1127" i="2"/>
  <c r="H1127" i="2"/>
  <c r="F1127" i="2"/>
  <c r="D1127" i="2"/>
  <c r="E1127" i="2" s="1"/>
  <c r="I1126" i="2"/>
  <c r="H1126" i="2"/>
  <c r="F1126" i="2"/>
  <c r="D1126" i="2"/>
  <c r="E1126" i="2" s="1"/>
  <c r="I1125" i="2"/>
  <c r="H1125" i="2"/>
  <c r="F1125" i="2"/>
  <c r="D1125" i="2"/>
  <c r="E1125" i="2" s="1"/>
  <c r="I1124" i="2"/>
  <c r="H1124" i="2"/>
  <c r="F1124" i="2"/>
  <c r="D1124" i="2"/>
  <c r="E1124" i="2" s="1"/>
  <c r="I1123" i="2"/>
  <c r="H1123" i="2"/>
  <c r="F1123" i="2"/>
  <c r="D1123" i="2"/>
  <c r="E1123" i="2" s="1"/>
  <c r="I1122" i="2"/>
  <c r="H1122" i="2"/>
  <c r="F1122" i="2"/>
  <c r="D1122" i="2"/>
  <c r="E1122" i="2" s="1"/>
  <c r="I1121" i="2"/>
  <c r="H1121" i="2"/>
  <c r="F1121" i="2"/>
  <c r="D1121" i="2"/>
  <c r="E1121" i="2" s="1"/>
  <c r="I1120" i="2"/>
  <c r="H1120" i="2"/>
  <c r="F1120" i="2"/>
  <c r="D1120" i="2"/>
  <c r="E1120" i="2" s="1"/>
  <c r="I1119" i="2"/>
  <c r="H1119" i="2"/>
  <c r="F1119" i="2"/>
  <c r="D1119" i="2"/>
  <c r="E1119" i="2" s="1"/>
  <c r="I1118" i="2"/>
  <c r="H1118" i="2"/>
  <c r="F1118" i="2"/>
  <c r="D1118" i="2"/>
  <c r="E1118" i="2" s="1"/>
  <c r="I1117" i="2"/>
  <c r="H1117" i="2"/>
  <c r="F1117" i="2"/>
  <c r="D1117" i="2"/>
  <c r="E1117" i="2" s="1"/>
  <c r="I1116" i="2"/>
  <c r="H1116" i="2"/>
  <c r="F1116" i="2"/>
  <c r="D1116" i="2"/>
  <c r="E1116" i="2" s="1"/>
  <c r="I1115" i="2"/>
  <c r="H1115" i="2"/>
  <c r="F1115" i="2"/>
  <c r="D1115" i="2"/>
  <c r="E1115" i="2" s="1"/>
  <c r="I1114" i="2"/>
  <c r="H1114" i="2"/>
  <c r="F1114" i="2"/>
  <c r="D1114" i="2"/>
  <c r="E1114" i="2" s="1"/>
  <c r="I1113" i="2"/>
  <c r="H1113" i="2"/>
  <c r="F1113" i="2"/>
  <c r="D1113" i="2"/>
  <c r="E1113" i="2" s="1"/>
  <c r="I1112" i="2"/>
  <c r="H1112" i="2"/>
  <c r="F1112" i="2"/>
  <c r="E1112" i="2"/>
  <c r="D1112" i="2"/>
  <c r="I1111" i="2"/>
  <c r="H1111" i="2"/>
  <c r="F1111" i="2"/>
  <c r="D1111" i="2"/>
  <c r="E1111" i="2" s="1"/>
  <c r="I1110" i="2"/>
  <c r="J1110" i="2" s="1"/>
  <c r="K1110" i="2" s="1"/>
  <c r="H1110" i="2"/>
  <c r="F1110" i="2"/>
  <c r="D1110" i="2"/>
  <c r="E1110" i="2" s="1"/>
  <c r="I1109" i="2"/>
  <c r="H1109" i="2"/>
  <c r="F1109" i="2"/>
  <c r="D1109" i="2"/>
  <c r="E1109" i="2" s="1"/>
  <c r="I1108" i="2"/>
  <c r="H1108" i="2"/>
  <c r="F1108" i="2"/>
  <c r="D1108" i="2"/>
  <c r="E1108" i="2" s="1"/>
  <c r="I1107" i="2"/>
  <c r="H1107" i="2"/>
  <c r="F1107" i="2"/>
  <c r="D1107" i="2"/>
  <c r="E1107" i="2" s="1"/>
  <c r="I1106" i="2"/>
  <c r="H1106" i="2"/>
  <c r="F1106" i="2"/>
  <c r="D1106" i="2"/>
  <c r="E1106" i="2" s="1"/>
  <c r="I1105" i="2"/>
  <c r="H1105" i="2"/>
  <c r="F1105" i="2"/>
  <c r="D1105" i="2"/>
  <c r="E1105" i="2" s="1"/>
  <c r="I1104" i="2"/>
  <c r="H1104" i="2"/>
  <c r="F1104" i="2"/>
  <c r="D1104" i="2"/>
  <c r="E1104" i="2" s="1"/>
  <c r="I1103" i="2"/>
  <c r="H1103" i="2"/>
  <c r="F1103" i="2"/>
  <c r="D1103" i="2"/>
  <c r="E1103" i="2" s="1"/>
  <c r="I1102" i="2"/>
  <c r="H1102" i="2"/>
  <c r="F1102" i="2"/>
  <c r="D1102" i="2"/>
  <c r="E1102" i="2" s="1"/>
  <c r="I1101" i="2"/>
  <c r="H1101" i="2"/>
  <c r="F1101" i="2"/>
  <c r="D1101" i="2"/>
  <c r="E1101" i="2" s="1"/>
  <c r="I1100" i="2"/>
  <c r="H1100" i="2"/>
  <c r="F1100" i="2"/>
  <c r="D1100" i="2"/>
  <c r="E1100" i="2" s="1"/>
  <c r="I1099" i="2"/>
  <c r="H1099" i="2"/>
  <c r="F1099" i="2"/>
  <c r="D1099" i="2"/>
  <c r="E1099" i="2" s="1"/>
  <c r="I1098" i="2"/>
  <c r="H1098" i="2"/>
  <c r="F1098" i="2"/>
  <c r="D1098" i="2"/>
  <c r="E1098" i="2" s="1"/>
  <c r="I1097" i="2"/>
  <c r="H1097" i="2"/>
  <c r="F1097" i="2"/>
  <c r="D1097" i="2"/>
  <c r="E1097" i="2" s="1"/>
  <c r="I1096" i="2"/>
  <c r="H1096" i="2"/>
  <c r="F1096" i="2"/>
  <c r="D1096" i="2"/>
  <c r="E1096" i="2" s="1"/>
  <c r="I1095" i="2"/>
  <c r="H1095" i="2"/>
  <c r="F1095" i="2"/>
  <c r="D1095" i="2"/>
  <c r="E1095" i="2" s="1"/>
  <c r="I1094" i="2"/>
  <c r="H1094" i="2"/>
  <c r="F1094" i="2"/>
  <c r="D1094" i="2"/>
  <c r="E1094" i="2" s="1"/>
  <c r="I1093" i="2"/>
  <c r="H1093" i="2"/>
  <c r="F1093" i="2"/>
  <c r="D1093" i="2"/>
  <c r="E1093" i="2" s="1"/>
  <c r="I1092" i="2"/>
  <c r="H1092" i="2"/>
  <c r="F1092" i="2"/>
  <c r="D1092" i="2"/>
  <c r="E1092" i="2" s="1"/>
  <c r="I1091" i="2"/>
  <c r="H1091" i="2"/>
  <c r="F1091" i="2"/>
  <c r="D1091" i="2"/>
  <c r="E1091" i="2" s="1"/>
  <c r="I1090" i="2"/>
  <c r="H1090" i="2"/>
  <c r="F1090" i="2"/>
  <c r="D1090" i="2"/>
  <c r="E1090" i="2" s="1"/>
  <c r="I1089" i="2"/>
  <c r="H1089" i="2"/>
  <c r="F1089" i="2"/>
  <c r="D1089" i="2"/>
  <c r="E1089" i="2" s="1"/>
  <c r="I1088" i="2"/>
  <c r="H1088" i="2"/>
  <c r="F1088" i="2"/>
  <c r="D1088" i="2"/>
  <c r="E1088" i="2" s="1"/>
  <c r="I1087" i="2"/>
  <c r="H1087" i="2"/>
  <c r="F1087" i="2"/>
  <c r="D1087" i="2"/>
  <c r="E1087" i="2" s="1"/>
  <c r="I1086" i="2"/>
  <c r="H1086" i="2"/>
  <c r="F1086" i="2"/>
  <c r="D1086" i="2"/>
  <c r="E1086" i="2" s="1"/>
  <c r="I1085" i="2"/>
  <c r="H1085" i="2"/>
  <c r="F1085" i="2"/>
  <c r="D1085" i="2"/>
  <c r="E1085" i="2" s="1"/>
  <c r="I1084" i="2"/>
  <c r="H1084" i="2"/>
  <c r="F1084" i="2"/>
  <c r="D1084" i="2"/>
  <c r="E1084" i="2" s="1"/>
  <c r="I1083" i="2"/>
  <c r="H1083" i="2"/>
  <c r="F1083" i="2"/>
  <c r="D1083" i="2"/>
  <c r="E1083" i="2" s="1"/>
  <c r="I1082" i="2"/>
  <c r="H1082" i="2"/>
  <c r="F1082" i="2"/>
  <c r="D1082" i="2"/>
  <c r="E1082" i="2" s="1"/>
  <c r="I1081" i="2"/>
  <c r="H1081" i="2"/>
  <c r="F1081" i="2"/>
  <c r="D1081" i="2"/>
  <c r="E1081" i="2" s="1"/>
  <c r="I1080" i="2"/>
  <c r="H1080" i="2"/>
  <c r="F1080" i="2"/>
  <c r="D1080" i="2"/>
  <c r="E1080" i="2" s="1"/>
  <c r="I1079" i="2"/>
  <c r="H1079" i="2"/>
  <c r="F1079" i="2"/>
  <c r="D1079" i="2"/>
  <c r="E1079" i="2" s="1"/>
  <c r="J1079" i="2" s="1"/>
  <c r="K1079" i="2" s="1"/>
  <c r="I1078" i="2"/>
  <c r="H1078" i="2"/>
  <c r="F1078" i="2"/>
  <c r="D1078" i="2"/>
  <c r="E1078" i="2" s="1"/>
  <c r="I1077" i="2"/>
  <c r="H1077" i="2"/>
  <c r="F1077" i="2"/>
  <c r="D1077" i="2"/>
  <c r="E1077" i="2" s="1"/>
  <c r="I1076" i="2"/>
  <c r="H1076" i="2"/>
  <c r="F1076" i="2"/>
  <c r="D1076" i="2"/>
  <c r="E1076" i="2" s="1"/>
  <c r="I1075" i="2"/>
  <c r="H1075" i="2"/>
  <c r="F1075" i="2"/>
  <c r="D1075" i="2"/>
  <c r="E1075" i="2" s="1"/>
  <c r="I1074" i="2"/>
  <c r="H1074" i="2"/>
  <c r="F1074" i="2"/>
  <c r="D1074" i="2"/>
  <c r="E1074" i="2" s="1"/>
  <c r="I1073" i="2"/>
  <c r="H1073" i="2"/>
  <c r="F1073" i="2"/>
  <c r="D1073" i="2"/>
  <c r="E1073" i="2" s="1"/>
  <c r="I1072" i="2"/>
  <c r="H1072" i="2"/>
  <c r="F1072" i="2"/>
  <c r="D1072" i="2"/>
  <c r="E1072" i="2" s="1"/>
  <c r="I1071" i="2"/>
  <c r="H1071" i="2"/>
  <c r="F1071" i="2"/>
  <c r="D1071" i="2"/>
  <c r="E1071" i="2" s="1"/>
  <c r="I1070" i="2"/>
  <c r="H1070" i="2"/>
  <c r="F1070" i="2"/>
  <c r="D1070" i="2"/>
  <c r="E1070" i="2" s="1"/>
  <c r="I1069" i="2"/>
  <c r="H1069" i="2"/>
  <c r="F1069" i="2"/>
  <c r="D1069" i="2"/>
  <c r="E1069" i="2" s="1"/>
  <c r="I1068" i="2"/>
  <c r="H1068" i="2"/>
  <c r="F1068" i="2"/>
  <c r="D1068" i="2"/>
  <c r="E1068" i="2" s="1"/>
  <c r="I1067" i="2"/>
  <c r="H1067" i="2"/>
  <c r="F1067" i="2"/>
  <c r="D1067" i="2"/>
  <c r="E1067" i="2" s="1"/>
  <c r="I1066" i="2"/>
  <c r="H1066" i="2"/>
  <c r="F1066" i="2"/>
  <c r="D1066" i="2"/>
  <c r="E1066" i="2" s="1"/>
  <c r="J1066" i="2" s="1"/>
  <c r="K1066" i="2" s="1"/>
  <c r="I1065" i="2"/>
  <c r="H1065" i="2"/>
  <c r="F1065" i="2"/>
  <c r="D1065" i="2"/>
  <c r="E1065" i="2" s="1"/>
  <c r="I1064" i="2"/>
  <c r="H1064" i="2"/>
  <c r="F1064" i="2"/>
  <c r="D1064" i="2"/>
  <c r="E1064" i="2" s="1"/>
  <c r="I1063" i="2"/>
  <c r="H1063" i="2"/>
  <c r="F1063" i="2"/>
  <c r="D1063" i="2"/>
  <c r="E1063" i="2" s="1"/>
  <c r="J1063" i="2" s="1"/>
  <c r="K1063" i="2" s="1"/>
  <c r="I1062" i="2"/>
  <c r="H1062" i="2"/>
  <c r="F1062" i="2"/>
  <c r="D1062" i="2"/>
  <c r="E1062" i="2" s="1"/>
  <c r="I1061" i="2"/>
  <c r="H1061" i="2"/>
  <c r="F1061" i="2"/>
  <c r="E1061" i="2"/>
  <c r="D1061" i="2"/>
  <c r="I1060" i="2"/>
  <c r="H1060" i="2"/>
  <c r="F1060" i="2"/>
  <c r="D1060" i="2"/>
  <c r="E1060" i="2" s="1"/>
  <c r="I1059" i="2"/>
  <c r="H1059" i="2"/>
  <c r="F1059" i="2"/>
  <c r="D1059" i="2"/>
  <c r="E1059" i="2" s="1"/>
  <c r="I1058" i="2"/>
  <c r="H1058" i="2"/>
  <c r="F1058" i="2"/>
  <c r="D1058" i="2"/>
  <c r="E1058" i="2" s="1"/>
  <c r="I1057" i="2"/>
  <c r="H1057" i="2"/>
  <c r="F1057" i="2"/>
  <c r="D1057" i="2"/>
  <c r="E1057" i="2" s="1"/>
  <c r="I1056" i="2"/>
  <c r="H1056" i="2"/>
  <c r="F1056" i="2"/>
  <c r="D1056" i="2"/>
  <c r="E1056" i="2" s="1"/>
  <c r="I1055" i="2"/>
  <c r="H1055" i="2"/>
  <c r="F1055" i="2"/>
  <c r="D1055" i="2"/>
  <c r="E1055" i="2" s="1"/>
  <c r="I1054" i="2"/>
  <c r="H1054" i="2"/>
  <c r="F1054" i="2"/>
  <c r="D1054" i="2"/>
  <c r="E1054" i="2" s="1"/>
  <c r="I1053" i="2"/>
  <c r="H1053" i="2"/>
  <c r="F1053" i="2"/>
  <c r="D1053" i="2"/>
  <c r="E1053" i="2" s="1"/>
  <c r="I1052" i="2"/>
  <c r="H1052" i="2"/>
  <c r="F1052" i="2"/>
  <c r="D1052" i="2"/>
  <c r="E1052" i="2" s="1"/>
  <c r="I1051" i="2"/>
  <c r="H1051" i="2"/>
  <c r="F1051" i="2"/>
  <c r="D1051" i="2"/>
  <c r="E1051" i="2" s="1"/>
  <c r="I1050" i="2"/>
  <c r="H1050" i="2"/>
  <c r="F1050" i="2"/>
  <c r="D1050" i="2"/>
  <c r="E1050" i="2" s="1"/>
  <c r="I1049" i="2"/>
  <c r="H1049" i="2"/>
  <c r="F1049" i="2"/>
  <c r="D1049" i="2"/>
  <c r="E1049" i="2" s="1"/>
  <c r="I1048" i="2"/>
  <c r="H1048" i="2"/>
  <c r="F1048" i="2"/>
  <c r="D1048" i="2"/>
  <c r="E1048" i="2" s="1"/>
  <c r="I1047" i="2"/>
  <c r="H1047" i="2"/>
  <c r="F1047" i="2"/>
  <c r="D1047" i="2"/>
  <c r="E1047" i="2" s="1"/>
  <c r="I1046" i="2"/>
  <c r="H1046" i="2"/>
  <c r="F1046" i="2"/>
  <c r="D1046" i="2"/>
  <c r="E1046" i="2" s="1"/>
  <c r="I1045" i="2"/>
  <c r="H1045" i="2"/>
  <c r="F1045" i="2"/>
  <c r="D1045" i="2"/>
  <c r="E1045" i="2" s="1"/>
  <c r="I1044" i="2"/>
  <c r="H1044" i="2"/>
  <c r="F1044" i="2"/>
  <c r="D1044" i="2"/>
  <c r="E1044" i="2" s="1"/>
  <c r="I1043" i="2"/>
  <c r="H1043" i="2"/>
  <c r="F1043" i="2"/>
  <c r="D1043" i="2"/>
  <c r="E1043" i="2" s="1"/>
  <c r="I1042" i="2"/>
  <c r="H1042" i="2"/>
  <c r="F1042" i="2"/>
  <c r="D1042" i="2"/>
  <c r="E1042" i="2" s="1"/>
  <c r="I1041" i="2"/>
  <c r="H1041" i="2"/>
  <c r="F1041" i="2"/>
  <c r="D1041" i="2"/>
  <c r="E1041" i="2" s="1"/>
  <c r="I1040" i="2"/>
  <c r="H1040" i="2"/>
  <c r="F1040" i="2"/>
  <c r="D1040" i="2"/>
  <c r="E1040" i="2" s="1"/>
  <c r="I1039" i="2"/>
  <c r="H1039" i="2"/>
  <c r="F1039" i="2"/>
  <c r="D1039" i="2"/>
  <c r="E1039" i="2" s="1"/>
  <c r="I1038" i="2"/>
  <c r="H1038" i="2"/>
  <c r="F1038" i="2"/>
  <c r="D1038" i="2"/>
  <c r="E1038" i="2" s="1"/>
  <c r="I1037" i="2"/>
  <c r="H1037" i="2"/>
  <c r="F1037" i="2"/>
  <c r="D1037" i="2"/>
  <c r="E1037" i="2" s="1"/>
  <c r="I1036" i="2"/>
  <c r="H1036" i="2"/>
  <c r="F1036" i="2"/>
  <c r="D1036" i="2"/>
  <c r="E1036" i="2" s="1"/>
  <c r="I1035" i="2"/>
  <c r="H1035" i="2"/>
  <c r="F1035" i="2"/>
  <c r="D1035" i="2"/>
  <c r="E1035" i="2" s="1"/>
  <c r="I1034" i="2"/>
  <c r="H1034" i="2"/>
  <c r="F1034" i="2"/>
  <c r="D1034" i="2"/>
  <c r="E1034" i="2" s="1"/>
  <c r="I1033" i="2"/>
  <c r="H1033" i="2"/>
  <c r="F1033" i="2"/>
  <c r="D1033" i="2"/>
  <c r="E1033" i="2" s="1"/>
  <c r="I1032" i="2"/>
  <c r="H1032" i="2"/>
  <c r="F1032" i="2"/>
  <c r="D1032" i="2"/>
  <c r="E1032" i="2" s="1"/>
  <c r="I1031" i="2"/>
  <c r="H1031" i="2"/>
  <c r="F1031" i="2"/>
  <c r="D1031" i="2"/>
  <c r="E1031" i="2" s="1"/>
  <c r="I1030" i="2"/>
  <c r="H1030" i="2"/>
  <c r="F1030" i="2"/>
  <c r="D1030" i="2"/>
  <c r="E1030" i="2" s="1"/>
  <c r="I1029" i="2"/>
  <c r="H1029" i="2"/>
  <c r="F1029" i="2"/>
  <c r="D1029" i="2"/>
  <c r="E1029" i="2" s="1"/>
  <c r="I1028" i="2"/>
  <c r="H1028" i="2"/>
  <c r="F1028" i="2"/>
  <c r="D1028" i="2"/>
  <c r="E1028" i="2" s="1"/>
  <c r="I1027" i="2"/>
  <c r="H1027" i="2"/>
  <c r="F1027" i="2"/>
  <c r="D1027" i="2"/>
  <c r="E1027" i="2" s="1"/>
  <c r="I1026" i="2"/>
  <c r="H1026" i="2"/>
  <c r="F1026" i="2"/>
  <c r="D1026" i="2"/>
  <c r="E1026" i="2" s="1"/>
  <c r="I1025" i="2"/>
  <c r="H1025" i="2"/>
  <c r="F1025" i="2"/>
  <c r="D1025" i="2"/>
  <c r="E1025" i="2" s="1"/>
  <c r="I1024" i="2"/>
  <c r="H1024" i="2"/>
  <c r="F1024" i="2"/>
  <c r="D1024" i="2"/>
  <c r="E1024" i="2" s="1"/>
  <c r="I1023" i="2"/>
  <c r="H1023" i="2"/>
  <c r="F1023" i="2"/>
  <c r="D1023" i="2"/>
  <c r="E1023" i="2" s="1"/>
  <c r="I1022" i="2"/>
  <c r="H1022" i="2"/>
  <c r="F1022" i="2"/>
  <c r="D1022" i="2"/>
  <c r="E1022" i="2" s="1"/>
  <c r="I1021" i="2"/>
  <c r="H1021" i="2"/>
  <c r="F1021" i="2"/>
  <c r="D1021" i="2"/>
  <c r="E1021" i="2" s="1"/>
  <c r="I1020" i="2"/>
  <c r="H1020" i="2"/>
  <c r="F1020" i="2"/>
  <c r="D1020" i="2"/>
  <c r="E1020" i="2" s="1"/>
  <c r="I1019" i="2"/>
  <c r="H1019" i="2"/>
  <c r="F1019" i="2"/>
  <c r="D1019" i="2"/>
  <c r="E1019" i="2" s="1"/>
  <c r="I1018" i="2"/>
  <c r="H1018" i="2"/>
  <c r="F1018" i="2"/>
  <c r="D1018" i="2"/>
  <c r="E1018" i="2" s="1"/>
  <c r="I1017" i="2"/>
  <c r="H1017" i="2"/>
  <c r="F1017" i="2"/>
  <c r="D1017" i="2"/>
  <c r="E1017" i="2" s="1"/>
  <c r="I1016" i="2"/>
  <c r="H1016" i="2"/>
  <c r="F1016" i="2"/>
  <c r="D1016" i="2"/>
  <c r="E1016" i="2" s="1"/>
  <c r="I1015" i="2"/>
  <c r="H1015" i="2"/>
  <c r="F1015" i="2"/>
  <c r="D1015" i="2"/>
  <c r="E1015" i="2" s="1"/>
  <c r="I1014" i="2"/>
  <c r="H1014" i="2"/>
  <c r="F1014" i="2"/>
  <c r="D1014" i="2"/>
  <c r="E1014" i="2" s="1"/>
  <c r="I1013" i="2"/>
  <c r="H1013" i="2"/>
  <c r="F1013" i="2"/>
  <c r="E1013" i="2"/>
  <c r="D1013" i="2"/>
  <c r="I1012" i="2"/>
  <c r="H1012" i="2"/>
  <c r="F1012" i="2"/>
  <c r="D1012" i="2"/>
  <c r="E1012" i="2" s="1"/>
  <c r="I1011" i="2"/>
  <c r="H1011" i="2"/>
  <c r="F1011" i="2"/>
  <c r="D1011" i="2"/>
  <c r="E1011" i="2" s="1"/>
  <c r="I1010" i="2"/>
  <c r="H1010" i="2"/>
  <c r="F1010" i="2"/>
  <c r="D1010" i="2"/>
  <c r="E1010" i="2" s="1"/>
  <c r="J1010" i="2" s="1"/>
  <c r="K1010" i="2" s="1"/>
  <c r="I1009" i="2"/>
  <c r="H1009" i="2"/>
  <c r="F1009" i="2"/>
  <c r="D1009" i="2"/>
  <c r="E1009" i="2" s="1"/>
  <c r="I1008" i="2"/>
  <c r="H1008" i="2"/>
  <c r="F1008" i="2"/>
  <c r="D1008" i="2"/>
  <c r="E1008" i="2" s="1"/>
  <c r="I1007" i="2"/>
  <c r="H1007" i="2"/>
  <c r="F1007" i="2"/>
  <c r="D1007" i="2"/>
  <c r="E1007" i="2" s="1"/>
  <c r="I1006" i="2"/>
  <c r="H1006" i="2"/>
  <c r="F1006" i="2"/>
  <c r="D1006" i="2"/>
  <c r="E1006" i="2" s="1"/>
  <c r="I1005" i="2"/>
  <c r="H1005" i="2"/>
  <c r="F1005" i="2"/>
  <c r="D1005" i="2"/>
  <c r="E1005" i="2" s="1"/>
  <c r="I1004" i="2"/>
  <c r="H1004" i="2"/>
  <c r="F1004" i="2"/>
  <c r="D1004" i="2"/>
  <c r="E1004" i="2" s="1"/>
  <c r="I1003" i="2"/>
  <c r="H1003" i="2"/>
  <c r="F1003" i="2"/>
  <c r="D1003" i="2"/>
  <c r="E1003" i="2" s="1"/>
  <c r="I1002" i="2"/>
  <c r="H1002" i="2"/>
  <c r="F1002" i="2"/>
  <c r="D1002" i="2"/>
  <c r="E1002" i="2" s="1"/>
  <c r="I1001" i="2"/>
  <c r="H1001" i="2"/>
  <c r="F1001" i="2"/>
  <c r="D1001" i="2"/>
  <c r="E1001" i="2" s="1"/>
  <c r="I1000" i="2"/>
  <c r="H1000" i="2"/>
  <c r="F1000" i="2"/>
  <c r="D1000" i="2"/>
  <c r="E1000" i="2" s="1"/>
  <c r="I999" i="2"/>
  <c r="H999" i="2"/>
  <c r="F999" i="2"/>
  <c r="D999" i="2"/>
  <c r="E999" i="2" s="1"/>
  <c r="I998" i="2"/>
  <c r="H998" i="2"/>
  <c r="F998" i="2"/>
  <c r="D998" i="2"/>
  <c r="E998" i="2" s="1"/>
  <c r="I997" i="2"/>
  <c r="H997" i="2"/>
  <c r="F997" i="2"/>
  <c r="D997" i="2"/>
  <c r="E997" i="2" s="1"/>
  <c r="I996" i="2"/>
  <c r="H996" i="2"/>
  <c r="F996" i="2"/>
  <c r="D996" i="2"/>
  <c r="E996" i="2" s="1"/>
  <c r="I995" i="2"/>
  <c r="H995" i="2"/>
  <c r="F995" i="2"/>
  <c r="D995" i="2"/>
  <c r="E995" i="2" s="1"/>
  <c r="I994" i="2"/>
  <c r="H994" i="2"/>
  <c r="F994" i="2"/>
  <c r="D994" i="2"/>
  <c r="E994" i="2" s="1"/>
  <c r="I993" i="2"/>
  <c r="H993" i="2"/>
  <c r="F993" i="2"/>
  <c r="D993" i="2"/>
  <c r="E993" i="2" s="1"/>
  <c r="I992" i="2"/>
  <c r="H992" i="2"/>
  <c r="F992" i="2"/>
  <c r="D992" i="2"/>
  <c r="E992" i="2" s="1"/>
  <c r="I991" i="2"/>
  <c r="H991" i="2"/>
  <c r="F991" i="2"/>
  <c r="D991" i="2"/>
  <c r="E991" i="2" s="1"/>
  <c r="I990" i="2"/>
  <c r="H990" i="2"/>
  <c r="F990" i="2"/>
  <c r="D990" i="2"/>
  <c r="E990" i="2" s="1"/>
  <c r="I989" i="2"/>
  <c r="H989" i="2"/>
  <c r="F989" i="2"/>
  <c r="D989" i="2"/>
  <c r="E989" i="2" s="1"/>
  <c r="I988" i="2"/>
  <c r="H988" i="2"/>
  <c r="F988" i="2"/>
  <c r="D988" i="2"/>
  <c r="E988" i="2" s="1"/>
  <c r="I987" i="2"/>
  <c r="H987" i="2"/>
  <c r="F987" i="2"/>
  <c r="D987" i="2"/>
  <c r="E987" i="2" s="1"/>
  <c r="I986" i="2"/>
  <c r="H986" i="2"/>
  <c r="F986" i="2"/>
  <c r="D986" i="2"/>
  <c r="E986" i="2" s="1"/>
  <c r="I985" i="2"/>
  <c r="H985" i="2"/>
  <c r="F985" i="2"/>
  <c r="D985" i="2"/>
  <c r="E985" i="2" s="1"/>
  <c r="I984" i="2"/>
  <c r="H984" i="2"/>
  <c r="F984" i="2"/>
  <c r="D984" i="2"/>
  <c r="E984" i="2" s="1"/>
  <c r="I983" i="2"/>
  <c r="H983" i="2"/>
  <c r="F983" i="2"/>
  <c r="D983" i="2"/>
  <c r="E983" i="2" s="1"/>
  <c r="I982" i="2"/>
  <c r="H982" i="2"/>
  <c r="F982" i="2"/>
  <c r="D982" i="2"/>
  <c r="E982" i="2" s="1"/>
  <c r="I981" i="2"/>
  <c r="H981" i="2"/>
  <c r="F981" i="2"/>
  <c r="D981" i="2"/>
  <c r="E981" i="2" s="1"/>
  <c r="I980" i="2"/>
  <c r="H980" i="2"/>
  <c r="F980" i="2"/>
  <c r="D980" i="2"/>
  <c r="E980" i="2" s="1"/>
  <c r="I979" i="2"/>
  <c r="H979" i="2"/>
  <c r="F979" i="2"/>
  <c r="D979" i="2"/>
  <c r="E979" i="2" s="1"/>
  <c r="I978" i="2"/>
  <c r="H978" i="2"/>
  <c r="F978" i="2"/>
  <c r="D978" i="2"/>
  <c r="E978" i="2" s="1"/>
  <c r="I977" i="2"/>
  <c r="H977" i="2"/>
  <c r="F977" i="2"/>
  <c r="D977" i="2"/>
  <c r="E977" i="2" s="1"/>
  <c r="I976" i="2"/>
  <c r="H976" i="2"/>
  <c r="F976" i="2"/>
  <c r="D976" i="2"/>
  <c r="E976" i="2" s="1"/>
  <c r="I975" i="2"/>
  <c r="H975" i="2"/>
  <c r="F975" i="2"/>
  <c r="D975" i="2"/>
  <c r="E975" i="2" s="1"/>
  <c r="I974" i="2"/>
  <c r="H974" i="2"/>
  <c r="F974" i="2"/>
  <c r="D974" i="2"/>
  <c r="E974" i="2" s="1"/>
  <c r="I973" i="2"/>
  <c r="H973" i="2"/>
  <c r="F973" i="2"/>
  <c r="D973" i="2"/>
  <c r="E973" i="2" s="1"/>
  <c r="I972" i="2"/>
  <c r="H972" i="2"/>
  <c r="F972" i="2"/>
  <c r="D972" i="2"/>
  <c r="E972" i="2" s="1"/>
  <c r="I971" i="2"/>
  <c r="H971" i="2"/>
  <c r="F971" i="2"/>
  <c r="D971" i="2"/>
  <c r="E971" i="2" s="1"/>
  <c r="I970" i="2"/>
  <c r="H970" i="2"/>
  <c r="F970" i="2"/>
  <c r="D970" i="2"/>
  <c r="E970" i="2" s="1"/>
  <c r="I969" i="2"/>
  <c r="H969" i="2"/>
  <c r="F969" i="2"/>
  <c r="D969" i="2"/>
  <c r="E969" i="2" s="1"/>
  <c r="I968" i="2"/>
  <c r="H968" i="2"/>
  <c r="F968" i="2"/>
  <c r="D968" i="2"/>
  <c r="E968" i="2" s="1"/>
  <c r="I967" i="2"/>
  <c r="H967" i="2"/>
  <c r="F967" i="2"/>
  <c r="D967" i="2"/>
  <c r="E967" i="2" s="1"/>
  <c r="I966" i="2"/>
  <c r="H966" i="2"/>
  <c r="F966" i="2"/>
  <c r="D966" i="2"/>
  <c r="E966" i="2" s="1"/>
  <c r="I965" i="2"/>
  <c r="H965" i="2"/>
  <c r="F965" i="2"/>
  <c r="D965" i="2"/>
  <c r="E965" i="2" s="1"/>
  <c r="I964" i="2"/>
  <c r="H964" i="2"/>
  <c r="F964" i="2"/>
  <c r="D964" i="2"/>
  <c r="E964" i="2" s="1"/>
  <c r="I963" i="2"/>
  <c r="H963" i="2"/>
  <c r="F963" i="2"/>
  <c r="D963" i="2"/>
  <c r="E963" i="2" s="1"/>
  <c r="I962" i="2"/>
  <c r="H962" i="2"/>
  <c r="F962" i="2"/>
  <c r="D962" i="2"/>
  <c r="E962" i="2" s="1"/>
  <c r="I961" i="2"/>
  <c r="H961" i="2"/>
  <c r="F961" i="2"/>
  <c r="D961" i="2"/>
  <c r="E961" i="2" s="1"/>
  <c r="I960" i="2"/>
  <c r="H960" i="2"/>
  <c r="F960" i="2"/>
  <c r="D960" i="2"/>
  <c r="E960" i="2" s="1"/>
  <c r="I959" i="2"/>
  <c r="H959" i="2"/>
  <c r="F959" i="2"/>
  <c r="D959" i="2"/>
  <c r="E959" i="2" s="1"/>
  <c r="I958" i="2"/>
  <c r="H958" i="2"/>
  <c r="F958" i="2"/>
  <c r="D958" i="2"/>
  <c r="E958" i="2" s="1"/>
  <c r="I957" i="2"/>
  <c r="H957" i="2"/>
  <c r="F957" i="2"/>
  <c r="D957" i="2"/>
  <c r="E957" i="2" s="1"/>
  <c r="I956" i="2"/>
  <c r="H956" i="2"/>
  <c r="F956" i="2"/>
  <c r="D956" i="2"/>
  <c r="E956" i="2" s="1"/>
  <c r="I955" i="2"/>
  <c r="H955" i="2"/>
  <c r="F955" i="2"/>
  <c r="D955" i="2"/>
  <c r="E955" i="2" s="1"/>
  <c r="I954" i="2"/>
  <c r="H954" i="2"/>
  <c r="F954" i="2"/>
  <c r="D954" i="2"/>
  <c r="E954" i="2" s="1"/>
  <c r="I953" i="2"/>
  <c r="H953" i="2"/>
  <c r="F953" i="2"/>
  <c r="D953" i="2"/>
  <c r="E953" i="2" s="1"/>
  <c r="I952" i="2"/>
  <c r="H952" i="2"/>
  <c r="F952" i="2"/>
  <c r="D952" i="2"/>
  <c r="E952" i="2" s="1"/>
  <c r="I951" i="2"/>
  <c r="H951" i="2"/>
  <c r="F951" i="2"/>
  <c r="D951" i="2"/>
  <c r="E951" i="2" s="1"/>
  <c r="I950" i="2"/>
  <c r="H950" i="2"/>
  <c r="F950" i="2"/>
  <c r="D950" i="2"/>
  <c r="E950" i="2" s="1"/>
  <c r="I949" i="2"/>
  <c r="H949" i="2"/>
  <c r="F949" i="2"/>
  <c r="D949" i="2"/>
  <c r="E949" i="2" s="1"/>
  <c r="I948" i="2"/>
  <c r="H948" i="2"/>
  <c r="F948" i="2"/>
  <c r="D948" i="2"/>
  <c r="E948" i="2" s="1"/>
  <c r="I947" i="2"/>
  <c r="H947" i="2"/>
  <c r="F947" i="2"/>
  <c r="D947" i="2"/>
  <c r="E947" i="2" s="1"/>
  <c r="I946" i="2"/>
  <c r="H946" i="2"/>
  <c r="F946" i="2"/>
  <c r="D946" i="2"/>
  <c r="E946" i="2" s="1"/>
  <c r="J946" i="2" s="1"/>
  <c r="K946" i="2" s="1"/>
  <c r="I945" i="2"/>
  <c r="H945" i="2"/>
  <c r="F945" i="2"/>
  <c r="D945" i="2"/>
  <c r="E945" i="2" s="1"/>
  <c r="I944" i="2"/>
  <c r="H944" i="2"/>
  <c r="F944" i="2"/>
  <c r="D944" i="2"/>
  <c r="E944" i="2" s="1"/>
  <c r="I943" i="2"/>
  <c r="H943" i="2"/>
  <c r="F943" i="2"/>
  <c r="D943" i="2"/>
  <c r="E943" i="2" s="1"/>
  <c r="I942" i="2"/>
  <c r="H942" i="2"/>
  <c r="F942" i="2"/>
  <c r="D942" i="2"/>
  <c r="E942" i="2" s="1"/>
  <c r="I941" i="2"/>
  <c r="H941" i="2"/>
  <c r="F941" i="2"/>
  <c r="D941" i="2"/>
  <c r="E941" i="2" s="1"/>
  <c r="I940" i="2"/>
  <c r="H940" i="2"/>
  <c r="F940" i="2"/>
  <c r="D940" i="2"/>
  <c r="E940" i="2" s="1"/>
  <c r="I939" i="2"/>
  <c r="H939" i="2"/>
  <c r="F939" i="2"/>
  <c r="D939" i="2"/>
  <c r="E939" i="2" s="1"/>
  <c r="I938" i="2"/>
  <c r="H938" i="2"/>
  <c r="F938" i="2"/>
  <c r="D938" i="2"/>
  <c r="E938" i="2" s="1"/>
  <c r="I937" i="2"/>
  <c r="H937" i="2"/>
  <c r="F937" i="2"/>
  <c r="D937" i="2"/>
  <c r="E937" i="2" s="1"/>
  <c r="I936" i="2"/>
  <c r="H936" i="2"/>
  <c r="F936" i="2"/>
  <c r="D936" i="2"/>
  <c r="E936" i="2" s="1"/>
  <c r="I935" i="2"/>
  <c r="H935" i="2"/>
  <c r="F935" i="2"/>
  <c r="D935" i="2"/>
  <c r="E935" i="2" s="1"/>
  <c r="I934" i="2"/>
  <c r="H934" i="2"/>
  <c r="F934" i="2"/>
  <c r="D934" i="2"/>
  <c r="E934" i="2" s="1"/>
  <c r="I933" i="2"/>
  <c r="H933" i="2"/>
  <c r="F933" i="2"/>
  <c r="E933" i="2"/>
  <c r="D933" i="2"/>
  <c r="I932" i="2"/>
  <c r="H932" i="2"/>
  <c r="F932" i="2"/>
  <c r="D932" i="2"/>
  <c r="E932" i="2" s="1"/>
  <c r="I931" i="2"/>
  <c r="H931" i="2"/>
  <c r="F931" i="2"/>
  <c r="D931" i="2"/>
  <c r="E931" i="2" s="1"/>
  <c r="I930" i="2"/>
  <c r="H930" i="2"/>
  <c r="F930" i="2"/>
  <c r="D930" i="2"/>
  <c r="E930" i="2" s="1"/>
  <c r="I929" i="2"/>
  <c r="H929" i="2"/>
  <c r="F929" i="2"/>
  <c r="D929" i="2"/>
  <c r="E929" i="2" s="1"/>
  <c r="I928" i="2"/>
  <c r="H928" i="2"/>
  <c r="F928" i="2"/>
  <c r="D928" i="2"/>
  <c r="E928" i="2" s="1"/>
  <c r="I927" i="2"/>
  <c r="H927" i="2"/>
  <c r="F927" i="2"/>
  <c r="D927" i="2"/>
  <c r="E927" i="2" s="1"/>
  <c r="I926" i="2"/>
  <c r="H926" i="2"/>
  <c r="F926" i="2"/>
  <c r="D926" i="2"/>
  <c r="E926" i="2" s="1"/>
  <c r="I925" i="2"/>
  <c r="H925" i="2"/>
  <c r="F925" i="2"/>
  <c r="D925" i="2"/>
  <c r="E925" i="2" s="1"/>
  <c r="I924" i="2"/>
  <c r="H924" i="2"/>
  <c r="F924" i="2"/>
  <c r="D924" i="2"/>
  <c r="E924" i="2" s="1"/>
  <c r="I923" i="2"/>
  <c r="H923" i="2"/>
  <c r="F923" i="2"/>
  <c r="D923" i="2"/>
  <c r="E923" i="2" s="1"/>
  <c r="I922" i="2"/>
  <c r="H922" i="2"/>
  <c r="F922" i="2"/>
  <c r="D922" i="2"/>
  <c r="E922" i="2" s="1"/>
  <c r="I921" i="2"/>
  <c r="H921" i="2"/>
  <c r="F921" i="2"/>
  <c r="D921" i="2"/>
  <c r="E921" i="2" s="1"/>
  <c r="I920" i="2"/>
  <c r="H920" i="2"/>
  <c r="F920" i="2"/>
  <c r="D920" i="2"/>
  <c r="E920" i="2" s="1"/>
  <c r="I919" i="2"/>
  <c r="H919" i="2"/>
  <c r="F919" i="2"/>
  <c r="D919" i="2"/>
  <c r="E919" i="2" s="1"/>
  <c r="I918" i="2"/>
  <c r="H918" i="2"/>
  <c r="F918" i="2"/>
  <c r="D918" i="2"/>
  <c r="E918" i="2" s="1"/>
  <c r="I917" i="2"/>
  <c r="H917" i="2"/>
  <c r="F917" i="2"/>
  <c r="D917" i="2"/>
  <c r="E917" i="2" s="1"/>
  <c r="I916" i="2"/>
  <c r="H916" i="2"/>
  <c r="F916" i="2"/>
  <c r="D916" i="2"/>
  <c r="E916" i="2" s="1"/>
  <c r="I915" i="2"/>
  <c r="H915" i="2"/>
  <c r="F915" i="2"/>
  <c r="D915" i="2"/>
  <c r="E915" i="2" s="1"/>
  <c r="I914" i="2"/>
  <c r="H914" i="2"/>
  <c r="F914" i="2"/>
  <c r="D914" i="2"/>
  <c r="E914" i="2" s="1"/>
  <c r="I913" i="2"/>
  <c r="H913" i="2"/>
  <c r="F913" i="2"/>
  <c r="D913" i="2"/>
  <c r="E913" i="2" s="1"/>
  <c r="I912" i="2"/>
  <c r="H912" i="2"/>
  <c r="F912" i="2"/>
  <c r="D912" i="2"/>
  <c r="E912" i="2" s="1"/>
  <c r="I911" i="2"/>
  <c r="H911" i="2"/>
  <c r="F911" i="2"/>
  <c r="D911" i="2"/>
  <c r="E911" i="2" s="1"/>
  <c r="I910" i="2"/>
  <c r="H910" i="2"/>
  <c r="F910" i="2"/>
  <c r="D910" i="2"/>
  <c r="E910" i="2" s="1"/>
  <c r="I909" i="2"/>
  <c r="H909" i="2"/>
  <c r="F909" i="2"/>
  <c r="D909" i="2"/>
  <c r="E909" i="2" s="1"/>
  <c r="I908" i="2"/>
  <c r="H908" i="2"/>
  <c r="F908" i="2"/>
  <c r="D908" i="2"/>
  <c r="E908" i="2" s="1"/>
  <c r="I907" i="2"/>
  <c r="H907" i="2"/>
  <c r="F907" i="2"/>
  <c r="D907" i="2"/>
  <c r="E907" i="2" s="1"/>
  <c r="I906" i="2"/>
  <c r="H906" i="2"/>
  <c r="F906" i="2"/>
  <c r="D906" i="2"/>
  <c r="E906" i="2" s="1"/>
  <c r="I905" i="2"/>
  <c r="H905" i="2"/>
  <c r="F905" i="2"/>
  <c r="D905" i="2"/>
  <c r="E905" i="2" s="1"/>
  <c r="I904" i="2"/>
  <c r="H904" i="2"/>
  <c r="F904" i="2"/>
  <c r="D904" i="2"/>
  <c r="E904" i="2" s="1"/>
  <c r="I903" i="2"/>
  <c r="H903" i="2"/>
  <c r="F903" i="2"/>
  <c r="D903" i="2"/>
  <c r="E903" i="2" s="1"/>
  <c r="I902" i="2"/>
  <c r="H902" i="2"/>
  <c r="F902" i="2"/>
  <c r="D902" i="2"/>
  <c r="E902" i="2" s="1"/>
  <c r="I901" i="2"/>
  <c r="H901" i="2"/>
  <c r="F901" i="2"/>
  <c r="D901" i="2"/>
  <c r="E901" i="2" s="1"/>
  <c r="I900" i="2"/>
  <c r="H900" i="2"/>
  <c r="F900" i="2"/>
  <c r="D900" i="2"/>
  <c r="E900" i="2" s="1"/>
  <c r="I899" i="2"/>
  <c r="H899" i="2"/>
  <c r="F899" i="2"/>
  <c r="D899" i="2"/>
  <c r="E899" i="2" s="1"/>
  <c r="I898" i="2"/>
  <c r="H898" i="2"/>
  <c r="F898" i="2"/>
  <c r="D898" i="2"/>
  <c r="E898" i="2" s="1"/>
  <c r="I897" i="2"/>
  <c r="H897" i="2"/>
  <c r="F897" i="2"/>
  <c r="D897" i="2"/>
  <c r="E897" i="2" s="1"/>
  <c r="I896" i="2"/>
  <c r="H896" i="2"/>
  <c r="F896" i="2"/>
  <c r="D896" i="2"/>
  <c r="E896" i="2" s="1"/>
  <c r="I895" i="2"/>
  <c r="H895" i="2"/>
  <c r="F895" i="2"/>
  <c r="D895" i="2"/>
  <c r="E895" i="2" s="1"/>
  <c r="I894" i="2"/>
  <c r="H894" i="2"/>
  <c r="F894" i="2"/>
  <c r="D894" i="2"/>
  <c r="E894" i="2" s="1"/>
  <c r="I893" i="2"/>
  <c r="H893" i="2"/>
  <c r="F893" i="2"/>
  <c r="D893" i="2"/>
  <c r="E893" i="2" s="1"/>
  <c r="I892" i="2"/>
  <c r="H892" i="2"/>
  <c r="F892" i="2"/>
  <c r="D892" i="2"/>
  <c r="E892" i="2" s="1"/>
  <c r="I891" i="2"/>
  <c r="H891" i="2"/>
  <c r="F891" i="2"/>
  <c r="D891" i="2"/>
  <c r="E891" i="2" s="1"/>
  <c r="I890" i="2"/>
  <c r="H890" i="2"/>
  <c r="F890" i="2"/>
  <c r="D890" i="2"/>
  <c r="E890" i="2" s="1"/>
  <c r="I889" i="2"/>
  <c r="H889" i="2"/>
  <c r="F889" i="2"/>
  <c r="D889" i="2"/>
  <c r="E889" i="2" s="1"/>
  <c r="I888" i="2"/>
  <c r="H888" i="2"/>
  <c r="F888" i="2"/>
  <c r="D888" i="2"/>
  <c r="E888" i="2" s="1"/>
  <c r="I887" i="2"/>
  <c r="H887" i="2"/>
  <c r="F887" i="2"/>
  <c r="D887" i="2"/>
  <c r="E887" i="2" s="1"/>
  <c r="I886" i="2"/>
  <c r="H886" i="2"/>
  <c r="F886" i="2"/>
  <c r="D886" i="2"/>
  <c r="E886" i="2" s="1"/>
  <c r="I885" i="2"/>
  <c r="H885" i="2"/>
  <c r="F885" i="2"/>
  <c r="D885" i="2"/>
  <c r="E885" i="2" s="1"/>
  <c r="I884" i="2"/>
  <c r="H884" i="2"/>
  <c r="F884" i="2"/>
  <c r="D884" i="2"/>
  <c r="E884" i="2" s="1"/>
  <c r="I883" i="2"/>
  <c r="H883" i="2"/>
  <c r="F883" i="2"/>
  <c r="D883" i="2"/>
  <c r="E883" i="2" s="1"/>
  <c r="I882" i="2"/>
  <c r="H882" i="2"/>
  <c r="F882" i="2"/>
  <c r="D882" i="2"/>
  <c r="E882" i="2" s="1"/>
  <c r="I881" i="2"/>
  <c r="H881" i="2"/>
  <c r="F881" i="2"/>
  <c r="D881" i="2"/>
  <c r="E881" i="2" s="1"/>
  <c r="I880" i="2"/>
  <c r="H880" i="2"/>
  <c r="F880" i="2"/>
  <c r="D880" i="2"/>
  <c r="E880" i="2" s="1"/>
  <c r="I879" i="2"/>
  <c r="H879" i="2"/>
  <c r="F879" i="2"/>
  <c r="D879" i="2"/>
  <c r="E879" i="2" s="1"/>
  <c r="I878" i="2"/>
  <c r="H878" i="2"/>
  <c r="F878" i="2"/>
  <c r="D878" i="2"/>
  <c r="E878" i="2" s="1"/>
  <c r="I877" i="2"/>
  <c r="H877" i="2"/>
  <c r="F877" i="2"/>
  <c r="D877" i="2"/>
  <c r="E877" i="2" s="1"/>
  <c r="I876" i="2"/>
  <c r="H876" i="2"/>
  <c r="F876" i="2"/>
  <c r="D876" i="2"/>
  <c r="E876" i="2" s="1"/>
  <c r="I875" i="2"/>
  <c r="H875" i="2"/>
  <c r="F875" i="2"/>
  <c r="D875" i="2"/>
  <c r="E875" i="2" s="1"/>
  <c r="I874" i="2"/>
  <c r="H874" i="2"/>
  <c r="F874" i="2"/>
  <c r="D874" i="2"/>
  <c r="E874" i="2" s="1"/>
  <c r="I873" i="2"/>
  <c r="H873" i="2"/>
  <c r="F873" i="2"/>
  <c r="D873" i="2"/>
  <c r="E873" i="2" s="1"/>
  <c r="I872" i="2"/>
  <c r="H872" i="2"/>
  <c r="F872" i="2"/>
  <c r="D872" i="2"/>
  <c r="E872" i="2" s="1"/>
  <c r="I871" i="2"/>
  <c r="H871" i="2"/>
  <c r="F871" i="2"/>
  <c r="D871" i="2"/>
  <c r="E871" i="2" s="1"/>
  <c r="I870" i="2"/>
  <c r="H870" i="2"/>
  <c r="F870" i="2"/>
  <c r="D870" i="2"/>
  <c r="E870" i="2" s="1"/>
  <c r="I869" i="2"/>
  <c r="H869" i="2"/>
  <c r="F869" i="2"/>
  <c r="D869" i="2"/>
  <c r="E869" i="2" s="1"/>
  <c r="I868" i="2"/>
  <c r="H868" i="2"/>
  <c r="F868" i="2"/>
  <c r="D868" i="2"/>
  <c r="E868" i="2" s="1"/>
  <c r="I867" i="2"/>
  <c r="H867" i="2"/>
  <c r="F867" i="2"/>
  <c r="D867" i="2"/>
  <c r="E867" i="2" s="1"/>
  <c r="I866" i="2"/>
  <c r="H866" i="2"/>
  <c r="F866" i="2"/>
  <c r="D866" i="2"/>
  <c r="E866" i="2" s="1"/>
  <c r="I865" i="2"/>
  <c r="H865" i="2"/>
  <c r="F865" i="2"/>
  <c r="D865" i="2"/>
  <c r="E865" i="2" s="1"/>
  <c r="I864" i="2"/>
  <c r="H864" i="2"/>
  <c r="F864" i="2"/>
  <c r="D864" i="2"/>
  <c r="E864" i="2" s="1"/>
  <c r="I863" i="2"/>
  <c r="H863" i="2"/>
  <c r="F863" i="2"/>
  <c r="D863" i="2"/>
  <c r="E863" i="2" s="1"/>
  <c r="I862" i="2"/>
  <c r="H862" i="2"/>
  <c r="F862" i="2"/>
  <c r="D862" i="2"/>
  <c r="E862" i="2" s="1"/>
  <c r="I861" i="2"/>
  <c r="H861" i="2"/>
  <c r="F861" i="2"/>
  <c r="D861" i="2"/>
  <c r="E861" i="2" s="1"/>
  <c r="I860" i="2"/>
  <c r="H860" i="2"/>
  <c r="F860" i="2"/>
  <c r="D860" i="2"/>
  <c r="E860" i="2" s="1"/>
  <c r="I859" i="2"/>
  <c r="H859" i="2"/>
  <c r="F859" i="2"/>
  <c r="D859" i="2"/>
  <c r="E859" i="2" s="1"/>
  <c r="I858" i="2"/>
  <c r="H858" i="2"/>
  <c r="F858" i="2"/>
  <c r="D858" i="2"/>
  <c r="E858" i="2" s="1"/>
  <c r="I857" i="2"/>
  <c r="H857" i="2"/>
  <c r="F857" i="2"/>
  <c r="D857" i="2"/>
  <c r="E857" i="2" s="1"/>
  <c r="I856" i="2"/>
  <c r="H856" i="2"/>
  <c r="F856" i="2"/>
  <c r="D856" i="2"/>
  <c r="E856" i="2" s="1"/>
  <c r="I855" i="2"/>
  <c r="H855" i="2"/>
  <c r="F855" i="2"/>
  <c r="D855" i="2"/>
  <c r="E855" i="2" s="1"/>
  <c r="I854" i="2"/>
  <c r="H854" i="2"/>
  <c r="F854" i="2"/>
  <c r="D854" i="2"/>
  <c r="E854" i="2" s="1"/>
  <c r="I853" i="2"/>
  <c r="H853" i="2"/>
  <c r="F853" i="2"/>
  <c r="D853" i="2"/>
  <c r="E853" i="2" s="1"/>
  <c r="I852" i="2"/>
  <c r="H852" i="2"/>
  <c r="F852" i="2"/>
  <c r="D852" i="2"/>
  <c r="E852" i="2" s="1"/>
  <c r="I851" i="2"/>
  <c r="H851" i="2"/>
  <c r="F851" i="2"/>
  <c r="D851" i="2"/>
  <c r="E851" i="2" s="1"/>
  <c r="I850" i="2"/>
  <c r="H850" i="2"/>
  <c r="F850" i="2"/>
  <c r="D850" i="2"/>
  <c r="E850" i="2" s="1"/>
  <c r="I849" i="2"/>
  <c r="H849" i="2"/>
  <c r="F849" i="2"/>
  <c r="D849" i="2"/>
  <c r="E849" i="2" s="1"/>
  <c r="I848" i="2"/>
  <c r="H848" i="2"/>
  <c r="F848" i="2"/>
  <c r="D848" i="2"/>
  <c r="E848" i="2" s="1"/>
  <c r="I847" i="2"/>
  <c r="H847" i="2"/>
  <c r="F847" i="2"/>
  <c r="D847" i="2"/>
  <c r="E847" i="2" s="1"/>
  <c r="I846" i="2"/>
  <c r="H846" i="2"/>
  <c r="F846" i="2"/>
  <c r="D846" i="2"/>
  <c r="E846" i="2" s="1"/>
  <c r="I845" i="2"/>
  <c r="H845" i="2"/>
  <c r="F845" i="2"/>
  <c r="D845" i="2"/>
  <c r="E845" i="2" s="1"/>
  <c r="I844" i="2"/>
  <c r="H844" i="2"/>
  <c r="F844" i="2"/>
  <c r="D844" i="2"/>
  <c r="E844" i="2" s="1"/>
  <c r="I843" i="2"/>
  <c r="H843" i="2"/>
  <c r="F843" i="2"/>
  <c r="D843" i="2"/>
  <c r="E843" i="2" s="1"/>
  <c r="I842" i="2"/>
  <c r="H842" i="2"/>
  <c r="F842" i="2"/>
  <c r="D842" i="2"/>
  <c r="E842" i="2" s="1"/>
  <c r="I841" i="2"/>
  <c r="H841" i="2"/>
  <c r="F841" i="2"/>
  <c r="D841" i="2"/>
  <c r="E841" i="2" s="1"/>
  <c r="I840" i="2"/>
  <c r="H840" i="2"/>
  <c r="F840" i="2"/>
  <c r="D840" i="2"/>
  <c r="E840" i="2" s="1"/>
  <c r="I839" i="2"/>
  <c r="H839" i="2"/>
  <c r="F839" i="2"/>
  <c r="D839" i="2"/>
  <c r="E839" i="2" s="1"/>
  <c r="I838" i="2"/>
  <c r="H838" i="2"/>
  <c r="F838" i="2"/>
  <c r="D838" i="2"/>
  <c r="E838" i="2" s="1"/>
  <c r="I837" i="2"/>
  <c r="H837" i="2"/>
  <c r="F837" i="2"/>
  <c r="D837" i="2"/>
  <c r="E837" i="2" s="1"/>
  <c r="I836" i="2"/>
  <c r="H836" i="2"/>
  <c r="F836" i="2"/>
  <c r="D836" i="2"/>
  <c r="E836" i="2" s="1"/>
  <c r="I835" i="2"/>
  <c r="H835" i="2"/>
  <c r="F835" i="2"/>
  <c r="D835" i="2"/>
  <c r="E835" i="2" s="1"/>
  <c r="I834" i="2"/>
  <c r="H834" i="2"/>
  <c r="F834" i="2"/>
  <c r="D834" i="2"/>
  <c r="E834" i="2" s="1"/>
  <c r="I833" i="2"/>
  <c r="H833" i="2"/>
  <c r="F833" i="2"/>
  <c r="D833" i="2"/>
  <c r="E833" i="2" s="1"/>
  <c r="I832" i="2"/>
  <c r="H832" i="2"/>
  <c r="F832" i="2"/>
  <c r="D832" i="2"/>
  <c r="E832" i="2" s="1"/>
  <c r="I831" i="2"/>
  <c r="H831" i="2"/>
  <c r="F831" i="2"/>
  <c r="D831" i="2"/>
  <c r="E831" i="2" s="1"/>
  <c r="I830" i="2"/>
  <c r="H830" i="2"/>
  <c r="F830" i="2"/>
  <c r="D830" i="2"/>
  <c r="E830" i="2" s="1"/>
  <c r="I829" i="2"/>
  <c r="H829" i="2"/>
  <c r="F829" i="2"/>
  <c r="D829" i="2"/>
  <c r="E829" i="2" s="1"/>
  <c r="I828" i="2"/>
  <c r="H828" i="2"/>
  <c r="F828" i="2"/>
  <c r="D828" i="2"/>
  <c r="E828" i="2" s="1"/>
  <c r="I827" i="2"/>
  <c r="H827" i="2"/>
  <c r="F827" i="2"/>
  <c r="D827" i="2"/>
  <c r="E827" i="2" s="1"/>
  <c r="I826" i="2"/>
  <c r="H826" i="2"/>
  <c r="F826" i="2"/>
  <c r="D826" i="2"/>
  <c r="E826" i="2" s="1"/>
  <c r="I825" i="2"/>
  <c r="H825" i="2"/>
  <c r="F825" i="2"/>
  <c r="D825" i="2"/>
  <c r="E825" i="2" s="1"/>
  <c r="I824" i="2"/>
  <c r="H824" i="2"/>
  <c r="F824" i="2"/>
  <c r="D824" i="2"/>
  <c r="E824" i="2" s="1"/>
  <c r="I823" i="2"/>
  <c r="H823" i="2"/>
  <c r="F823" i="2"/>
  <c r="D823" i="2"/>
  <c r="E823" i="2" s="1"/>
  <c r="I822" i="2"/>
  <c r="H822" i="2"/>
  <c r="F822" i="2"/>
  <c r="D822" i="2"/>
  <c r="E822" i="2" s="1"/>
  <c r="I821" i="2"/>
  <c r="H821" i="2"/>
  <c r="F821" i="2"/>
  <c r="D821" i="2"/>
  <c r="E821" i="2" s="1"/>
  <c r="I820" i="2"/>
  <c r="H820" i="2"/>
  <c r="F820" i="2"/>
  <c r="D820" i="2"/>
  <c r="E820" i="2" s="1"/>
  <c r="I819" i="2"/>
  <c r="H819" i="2"/>
  <c r="F819" i="2"/>
  <c r="D819" i="2"/>
  <c r="E819" i="2" s="1"/>
  <c r="I818" i="2"/>
  <c r="H818" i="2"/>
  <c r="F818" i="2"/>
  <c r="D818" i="2"/>
  <c r="E818" i="2" s="1"/>
  <c r="I817" i="2"/>
  <c r="H817" i="2"/>
  <c r="F817" i="2"/>
  <c r="D817" i="2"/>
  <c r="E817" i="2" s="1"/>
  <c r="I816" i="2"/>
  <c r="H816" i="2"/>
  <c r="F816" i="2"/>
  <c r="D816" i="2"/>
  <c r="E816" i="2" s="1"/>
  <c r="I815" i="2"/>
  <c r="H815" i="2"/>
  <c r="F815" i="2"/>
  <c r="D815" i="2"/>
  <c r="E815" i="2" s="1"/>
  <c r="I814" i="2"/>
  <c r="H814" i="2"/>
  <c r="F814" i="2"/>
  <c r="D814" i="2"/>
  <c r="E814" i="2" s="1"/>
  <c r="I813" i="2"/>
  <c r="H813" i="2"/>
  <c r="F813" i="2"/>
  <c r="D813" i="2"/>
  <c r="E813" i="2" s="1"/>
  <c r="I812" i="2"/>
  <c r="H812" i="2"/>
  <c r="F812" i="2"/>
  <c r="D812" i="2"/>
  <c r="E812" i="2" s="1"/>
  <c r="I811" i="2"/>
  <c r="H811" i="2"/>
  <c r="F811" i="2"/>
  <c r="D811" i="2"/>
  <c r="E811" i="2" s="1"/>
  <c r="I810" i="2"/>
  <c r="H810" i="2"/>
  <c r="F810" i="2"/>
  <c r="D810" i="2"/>
  <c r="E810" i="2" s="1"/>
  <c r="I809" i="2"/>
  <c r="H809" i="2"/>
  <c r="F809" i="2"/>
  <c r="D809" i="2"/>
  <c r="E809" i="2" s="1"/>
  <c r="I808" i="2"/>
  <c r="H808" i="2"/>
  <c r="F808" i="2"/>
  <c r="D808" i="2"/>
  <c r="E808" i="2" s="1"/>
  <c r="I807" i="2"/>
  <c r="H807" i="2"/>
  <c r="F807" i="2"/>
  <c r="D807" i="2"/>
  <c r="E807" i="2" s="1"/>
  <c r="I806" i="2"/>
  <c r="H806" i="2"/>
  <c r="F806" i="2"/>
  <c r="D806" i="2"/>
  <c r="E806" i="2" s="1"/>
  <c r="I805" i="2"/>
  <c r="H805" i="2"/>
  <c r="F805" i="2"/>
  <c r="D805" i="2"/>
  <c r="E805" i="2" s="1"/>
  <c r="I804" i="2"/>
  <c r="H804" i="2"/>
  <c r="F804" i="2"/>
  <c r="D804" i="2"/>
  <c r="E804" i="2" s="1"/>
  <c r="I803" i="2"/>
  <c r="H803" i="2"/>
  <c r="F803" i="2"/>
  <c r="D803" i="2"/>
  <c r="E803" i="2" s="1"/>
  <c r="I802" i="2"/>
  <c r="H802" i="2"/>
  <c r="F802" i="2"/>
  <c r="D802" i="2"/>
  <c r="E802" i="2" s="1"/>
  <c r="I801" i="2"/>
  <c r="H801" i="2"/>
  <c r="F801" i="2"/>
  <c r="D801" i="2"/>
  <c r="E801" i="2" s="1"/>
  <c r="I800" i="2"/>
  <c r="H800" i="2"/>
  <c r="F800" i="2"/>
  <c r="D800" i="2"/>
  <c r="E800" i="2" s="1"/>
  <c r="I799" i="2"/>
  <c r="H799" i="2"/>
  <c r="F799" i="2"/>
  <c r="D799" i="2"/>
  <c r="E799" i="2" s="1"/>
  <c r="I798" i="2"/>
  <c r="H798" i="2"/>
  <c r="F798" i="2"/>
  <c r="D798" i="2"/>
  <c r="E798" i="2" s="1"/>
  <c r="I797" i="2"/>
  <c r="H797" i="2"/>
  <c r="F797" i="2"/>
  <c r="D797" i="2"/>
  <c r="E797" i="2" s="1"/>
  <c r="I796" i="2"/>
  <c r="H796" i="2"/>
  <c r="F796" i="2"/>
  <c r="D796" i="2"/>
  <c r="E796" i="2" s="1"/>
  <c r="I795" i="2"/>
  <c r="H795" i="2"/>
  <c r="F795" i="2"/>
  <c r="D795" i="2"/>
  <c r="E795" i="2" s="1"/>
  <c r="I794" i="2"/>
  <c r="H794" i="2"/>
  <c r="F794" i="2"/>
  <c r="D794" i="2"/>
  <c r="E794" i="2" s="1"/>
  <c r="I793" i="2"/>
  <c r="H793" i="2"/>
  <c r="F793" i="2"/>
  <c r="D793" i="2"/>
  <c r="E793" i="2" s="1"/>
  <c r="I792" i="2"/>
  <c r="H792" i="2"/>
  <c r="F792" i="2"/>
  <c r="D792" i="2"/>
  <c r="E792" i="2" s="1"/>
  <c r="I791" i="2"/>
  <c r="H791" i="2"/>
  <c r="F791" i="2"/>
  <c r="D791" i="2"/>
  <c r="E791" i="2" s="1"/>
  <c r="I790" i="2"/>
  <c r="H790" i="2"/>
  <c r="F790" i="2"/>
  <c r="D790" i="2"/>
  <c r="E790" i="2" s="1"/>
  <c r="I789" i="2"/>
  <c r="H789" i="2"/>
  <c r="F789" i="2"/>
  <c r="D789" i="2"/>
  <c r="E789" i="2" s="1"/>
  <c r="I788" i="2"/>
  <c r="H788" i="2"/>
  <c r="F788" i="2"/>
  <c r="D788" i="2"/>
  <c r="E788" i="2" s="1"/>
  <c r="I787" i="2"/>
  <c r="H787" i="2"/>
  <c r="F787" i="2"/>
  <c r="D787" i="2"/>
  <c r="E787" i="2" s="1"/>
  <c r="I786" i="2"/>
  <c r="H786" i="2"/>
  <c r="F786" i="2"/>
  <c r="D786" i="2"/>
  <c r="E786" i="2" s="1"/>
  <c r="I785" i="2"/>
  <c r="H785" i="2"/>
  <c r="F785" i="2"/>
  <c r="D785" i="2"/>
  <c r="E785" i="2" s="1"/>
  <c r="I784" i="2"/>
  <c r="H784" i="2"/>
  <c r="F784" i="2"/>
  <c r="D784" i="2"/>
  <c r="E784" i="2" s="1"/>
  <c r="I783" i="2"/>
  <c r="H783" i="2"/>
  <c r="F783" i="2"/>
  <c r="D783" i="2"/>
  <c r="E783" i="2" s="1"/>
  <c r="I782" i="2"/>
  <c r="H782" i="2"/>
  <c r="F782" i="2"/>
  <c r="D782" i="2"/>
  <c r="E782" i="2" s="1"/>
  <c r="I781" i="2"/>
  <c r="H781" i="2"/>
  <c r="F781" i="2"/>
  <c r="D781" i="2"/>
  <c r="E781" i="2" s="1"/>
  <c r="I780" i="2"/>
  <c r="H780" i="2"/>
  <c r="F780" i="2"/>
  <c r="D780" i="2"/>
  <c r="E780" i="2" s="1"/>
  <c r="I779" i="2"/>
  <c r="H779" i="2"/>
  <c r="F779" i="2"/>
  <c r="D779" i="2"/>
  <c r="E779" i="2" s="1"/>
  <c r="I778" i="2"/>
  <c r="H778" i="2"/>
  <c r="F778" i="2"/>
  <c r="D778" i="2"/>
  <c r="E778" i="2" s="1"/>
  <c r="I777" i="2"/>
  <c r="H777" i="2"/>
  <c r="F777" i="2"/>
  <c r="D777" i="2"/>
  <c r="E777" i="2" s="1"/>
  <c r="I776" i="2"/>
  <c r="H776" i="2"/>
  <c r="F776" i="2"/>
  <c r="D776" i="2"/>
  <c r="E776" i="2" s="1"/>
  <c r="I775" i="2"/>
  <c r="H775" i="2"/>
  <c r="F775" i="2"/>
  <c r="D775" i="2"/>
  <c r="E775" i="2" s="1"/>
  <c r="I774" i="2"/>
  <c r="H774" i="2"/>
  <c r="F774" i="2"/>
  <c r="D774" i="2"/>
  <c r="E774" i="2" s="1"/>
  <c r="I773" i="2"/>
  <c r="H773" i="2"/>
  <c r="F773" i="2"/>
  <c r="D773" i="2"/>
  <c r="E773" i="2" s="1"/>
  <c r="I772" i="2"/>
  <c r="H772" i="2"/>
  <c r="F772" i="2"/>
  <c r="D772" i="2"/>
  <c r="E772" i="2" s="1"/>
  <c r="I771" i="2"/>
  <c r="H771" i="2"/>
  <c r="F771" i="2"/>
  <c r="D771" i="2"/>
  <c r="E771" i="2" s="1"/>
  <c r="I770" i="2"/>
  <c r="H770" i="2"/>
  <c r="F770" i="2"/>
  <c r="D770" i="2"/>
  <c r="E770" i="2" s="1"/>
  <c r="I769" i="2"/>
  <c r="H769" i="2"/>
  <c r="F769" i="2"/>
  <c r="D769" i="2"/>
  <c r="E769" i="2" s="1"/>
  <c r="I768" i="2"/>
  <c r="H768" i="2"/>
  <c r="F768" i="2"/>
  <c r="D768" i="2"/>
  <c r="E768" i="2" s="1"/>
  <c r="J768" i="2" s="1"/>
  <c r="K768" i="2" s="1"/>
  <c r="I767" i="2"/>
  <c r="H767" i="2"/>
  <c r="F767" i="2"/>
  <c r="D767" i="2"/>
  <c r="E767" i="2" s="1"/>
  <c r="J767" i="2" s="1"/>
  <c r="K767" i="2" s="1"/>
  <c r="I766" i="2"/>
  <c r="H766" i="2"/>
  <c r="F766" i="2"/>
  <c r="D766" i="2"/>
  <c r="E766" i="2" s="1"/>
  <c r="I765" i="2"/>
  <c r="H765" i="2"/>
  <c r="F765" i="2"/>
  <c r="D765" i="2"/>
  <c r="E765" i="2" s="1"/>
  <c r="I764" i="2"/>
  <c r="H764" i="2"/>
  <c r="F764" i="2"/>
  <c r="D764" i="2"/>
  <c r="E764" i="2" s="1"/>
  <c r="J764" i="2" s="1"/>
  <c r="K764" i="2" s="1"/>
  <c r="I763" i="2"/>
  <c r="H763" i="2"/>
  <c r="F763" i="2"/>
  <c r="D763" i="2"/>
  <c r="E763" i="2" s="1"/>
  <c r="I762" i="2"/>
  <c r="H762" i="2"/>
  <c r="F762" i="2"/>
  <c r="D762" i="2"/>
  <c r="E762" i="2" s="1"/>
  <c r="I761" i="2"/>
  <c r="H761" i="2"/>
  <c r="F761" i="2"/>
  <c r="D761" i="2"/>
  <c r="E761" i="2" s="1"/>
  <c r="I760" i="2"/>
  <c r="H760" i="2"/>
  <c r="F760" i="2"/>
  <c r="D760" i="2"/>
  <c r="E760" i="2" s="1"/>
  <c r="I759" i="2"/>
  <c r="H759" i="2"/>
  <c r="F759" i="2"/>
  <c r="D759" i="2"/>
  <c r="E759" i="2" s="1"/>
  <c r="J759" i="2" s="1"/>
  <c r="K759" i="2" s="1"/>
  <c r="I758" i="2"/>
  <c r="H758" i="2"/>
  <c r="F758" i="2"/>
  <c r="D758" i="2"/>
  <c r="E758" i="2" s="1"/>
  <c r="I757" i="2"/>
  <c r="H757" i="2"/>
  <c r="F757" i="2"/>
  <c r="D757" i="2"/>
  <c r="E757" i="2" s="1"/>
  <c r="I756" i="2"/>
  <c r="H756" i="2"/>
  <c r="F756" i="2"/>
  <c r="D756" i="2"/>
  <c r="E756" i="2" s="1"/>
  <c r="J756" i="2" s="1"/>
  <c r="K756" i="2" s="1"/>
  <c r="I755" i="2"/>
  <c r="H755" i="2"/>
  <c r="F755" i="2"/>
  <c r="E755" i="2"/>
  <c r="D755" i="2"/>
  <c r="I754" i="2"/>
  <c r="H754" i="2"/>
  <c r="F754" i="2"/>
  <c r="D754" i="2"/>
  <c r="E754" i="2" s="1"/>
  <c r="I753" i="2"/>
  <c r="H753" i="2"/>
  <c r="F753" i="2"/>
  <c r="D753" i="2"/>
  <c r="E753" i="2" s="1"/>
  <c r="I752" i="2"/>
  <c r="H752" i="2"/>
  <c r="F752" i="2"/>
  <c r="D752" i="2"/>
  <c r="E752" i="2" s="1"/>
  <c r="I751" i="2"/>
  <c r="H751" i="2"/>
  <c r="F751" i="2"/>
  <c r="D751" i="2"/>
  <c r="E751" i="2" s="1"/>
  <c r="I750" i="2"/>
  <c r="H750" i="2"/>
  <c r="F750" i="2"/>
  <c r="D750" i="2"/>
  <c r="E750" i="2" s="1"/>
  <c r="I749" i="2"/>
  <c r="H749" i="2"/>
  <c r="F749" i="2"/>
  <c r="D749" i="2"/>
  <c r="E749" i="2" s="1"/>
  <c r="I748" i="2"/>
  <c r="H748" i="2"/>
  <c r="F748" i="2"/>
  <c r="D748" i="2"/>
  <c r="E748" i="2" s="1"/>
  <c r="I747" i="2"/>
  <c r="H747" i="2"/>
  <c r="F747" i="2"/>
  <c r="D747" i="2"/>
  <c r="E747" i="2" s="1"/>
  <c r="I746" i="2"/>
  <c r="H746" i="2"/>
  <c r="F746" i="2"/>
  <c r="D746" i="2"/>
  <c r="E746" i="2" s="1"/>
  <c r="I745" i="2"/>
  <c r="H745" i="2"/>
  <c r="F745" i="2"/>
  <c r="D745" i="2"/>
  <c r="E745" i="2" s="1"/>
  <c r="I744" i="2"/>
  <c r="H744" i="2"/>
  <c r="F744" i="2"/>
  <c r="D744" i="2"/>
  <c r="E744" i="2" s="1"/>
  <c r="I743" i="2"/>
  <c r="H743" i="2"/>
  <c r="F743" i="2"/>
  <c r="D743" i="2"/>
  <c r="E743" i="2" s="1"/>
  <c r="I742" i="2"/>
  <c r="H742" i="2"/>
  <c r="F742" i="2"/>
  <c r="D742" i="2"/>
  <c r="E742" i="2" s="1"/>
  <c r="I741" i="2"/>
  <c r="H741" i="2"/>
  <c r="F741" i="2"/>
  <c r="D741" i="2"/>
  <c r="E741" i="2" s="1"/>
  <c r="I740" i="2"/>
  <c r="H740" i="2"/>
  <c r="F740" i="2"/>
  <c r="D740" i="2"/>
  <c r="E740" i="2" s="1"/>
  <c r="I739" i="2"/>
  <c r="H739" i="2"/>
  <c r="F739" i="2"/>
  <c r="D739" i="2"/>
  <c r="E739" i="2" s="1"/>
  <c r="I738" i="2"/>
  <c r="H738" i="2"/>
  <c r="F738" i="2"/>
  <c r="D738" i="2"/>
  <c r="E738" i="2" s="1"/>
  <c r="I737" i="2"/>
  <c r="H737" i="2"/>
  <c r="F737" i="2"/>
  <c r="D737" i="2"/>
  <c r="E737" i="2" s="1"/>
  <c r="I736" i="2"/>
  <c r="H736" i="2"/>
  <c r="F736" i="2"/>
  <c r="D736" i="2"/>
  <c r="E736" i="2" s="1"/>
  <c r="I735" i="2"/>
  <c r="H735" i="2"/>
  <c r="F735" i="2"/>
  <c r="D735" i="2"/>
  <c r="E735" i="2" s="1"/>
  <c r="I734" i="2"/>
  <c r="H734" i="2"/>
  <c r="F734" i="2"/>
  <c r="D734" i="2"/>
  <c r="E734" i="2" s="1"/>
  <c r="I733" i="2"/>
  <c r="H733" i="2"/>
  <c r="F733" i="2"/>
  <c r="D733" i="2"/>
  <c r="E733" i="2" s="1"/>
  <c r="I732" i="2"/>
  <c r="H732" i="2"/>
  <c r="F732" i="2"/>
  <c r="D732" i="2"/>
  <c r="E732" i="2" s="1"/>
  <c r="I731" i="2"/>
  <c r="H731" i="2"/>
  <c r="F731" i="2"/>
  <c r="D731" i="2"/>
  <c r="E731" i="2" s="1"/>
  <c r="I730" i="2"/>
  <c r="H730" i="2"/>
  <c r="F730" i="2"/>
  <c r="D730" i="2"/>
  <c r="E730" i="2" s="1"/>
  <c r="I729" i="2"/>
  <c r="H729" i="2"/>
  <c r="F729" i="2"/>
  <c r="D729" i="2"/>
  <c r="E729" i="2" s="1"/>
  <c r="I728" i="2"/>
  <c r="H728" i="2"/>
  <c r="F728" i="2"/>
  <c r="D728" i="2"/>
  <c r="E728" i="2" s="1"/>
  <c r="I727" i="2"/>
  <c r="H727" i="2"/>
  <c r="F727" i="2"/>
  <c r="D727" i="2"/>
  <c r="E727" i="2" s="1"/>
  <c r="I726" i="2"/>
  <c r="H726" i="2"/>
  <c r="F726" i="2"/>
  <c r="D726" i="2"/>
  <c r="E726" i="2" s="1"/>
  <c r="I725" i="2"/>
  <c r="H725" i="2"/>
  <c r="F725" i="2"/>
  <c r="D725" i="2"/>
  <c r="E725" i="2" s="1"/>
  <c r="I724" i="2"/>
  <c r="H724" i="2"/>
  <c r="F724" i="2"/>
  <c r="D724" i="2"/>
  <c r="E724" i="2" s="1"/>
  <c r="I723" i="2"/>
  <c r="H723" i="2"/>
  <c r="F723" i="2"/>
  <c r="D723" i="2"/>
  <c r="E723" i="2" s="1"/>
  <c r="I722" i="2"/>
  <c r="H722" i="2"/>
  <c r="F722" i="2"/>
  <c r="D722" i="2"/>
  <c r="E722" i="2" s="1"/>
  <c r="I721" i="2"/>
  <c r="H721" i="2"/>
  <c r="F721" i="2"/>
  <c r="D721" i="2"/>
  <c r="E721" i="2" s="1"/>
  <c r="I720" i="2"/>
  <c r="H720" i="2"/>
  <c r="F720" i="2"/>
  <c r="D720" i="2"/>
  <c r="E720" i="2" s="1"/>
  <c r="I719" i="2"/>
  <c r="H719" i="2"/>
  <c r="F719" i="2"/>
  <c r="D719" i="2"/>
  <c r="E719" i="2" s="1"/>
  <c r="I718" i="2"/>
  <c r="H718" i="2"/>
  <c r="F718" i="2"/>
  <c r="D718" i="2"/>
  <c r="E718" i="2" s="1"/>
  <c r="I717" i="2"/>
  <c r="H717" i="2"/>
  <c r="F717" i="2"/>
  <c r="D717" i="2"/>
  <c r="E717" i="2" s="1"/>
  <c r="I716" i="2"/>
  <c r="H716" i="2"/>
  <c r="F716" i="2"/>
  <c r="D716" i="2"/>
  <c r="E716" i="2" s="1"/>
  <c r="J716" i="2" s="1"/>
  <c r="K716" i="2" s="1"/>
  <c r="I715" i="2"/>
  <c r="H715" i="2"/>
  <c r="F715" i="2"/>
  <c r="D715" i="2"/>
  <c r="E715" i="2" s="1"/>
  <c r="I714" i="2"/>
  <c r="H714" i="2"/>
  <c r="F714" i="2"/>
  <c r="D714" i="2"/>
  <c r="E714" i="2" s="1"/>
  <c r="I713" i="2"/>
  <c r="H713" i="2"/>
  <c r="F713" i="2"/>
  <c r="D713" i="2"/>
  <c r="E713" i="2" s="1"/>
  <c r="I712" i="2"/>
  <c r="H712" i="2"/>
  <c r="F712" i="2"/>
  <c r="D712" i="2"/>
  <c r="E712" i="2" s="1"/>
  <c r="I711" i="2"/>
  <c r="H711" i="2"/>
  <c r="F711" i="2"/>
  <c r="D711" i="2"/>
  <c r="E711" i="2" s="1"/>
  <c r="I710" i="2"/>
  <c r="H710" i="2"/>
  <c r="F710" i="2"/>
  <c r="D710" i="2"/>
  <c r="E710" i="2" s="1"/>
  <c r="I709" i="2"/>
  <c r="H709" i="2"/>
  <c r="F709" i="2"/>
  <c r="D709" i="2"/>
  <c r="E709" i="2" s="1"/>
  <c r="I708" i="2"/>
  <c r="H708" i="2"/>
  <c r="F708" i="2"/>
  <c r="D708" i="2"/>
  <c r="E708" i="2" s="1"/>
  <c r="I707" i="2"/>
  <c r="H707" i="2"/>
  <c r="F707" i="2"/>
  <c r="D707" i="2"/>
  <c r="E707" i="2" s="1"/>
  <c r="I706" i="2"/>
  <c r="H706" i="2"/>
  <c r="F706" i="2"/>
  <c r="D706" i="2"/>
  <c r="E706" i="2" s="1"/>
  <c r="I705" i="2"/>
  <c r="H705" i="2"/>
  <c r="F705" i="2"/>
  <c r="D705" i="2"/>
  <c r="E705" i="2" s="1"/>
  <c r="I704" i="2"/>
  <c r="H704" i="2"/>
  <c r="F704" i="2"/>
  <c r="D704" i="2"/>
  <c r="E704" i="2" s="1"/>
  <c r="I703" i="2"/>
  <c r="H703" i="2"/>
  <c r="F703" i="2"/>
  <c r="D703" i="2"/>
  <c r="E703" i="2" s="1"/>
  <c r="I702" i="2"/>
  <c r="H702" i="2"/>
  <c r="F702" i="2"/>
  <c r="D702" i="2"/>
  <c r="E702" i="2" s="1"/>
  <c r="I701" i="2"/>
  <c r="H701" i="2"/>
  <c r="F701" i="2"/>
  <c r="D701" i="2"/>
  <c r="E701" i="2" s="1"/>
  <c r="I700" i="2"/>
  <c r="H700" i="2"/>
  <c r="F700" i="2"/>
  <c r="D700" i="2"/>
  <c r="E700" i="2" s="1"/>
  <c r="I699" i="2"/>
  <c r="H699" i="2"/>
  <c r="F699" i="2"/>
  <c r="D699" i="2"/>
  <c r="E699" i="2" s="1"/>
  <c r="I698" i="2"/>
  <c r="H698" i="2"/>
  <c r="F698" i="2"/>
  <c r="D698" i="2"/>
  <c r="E698" i="2" s="1"/>
  <c r="I697" i="2"/>
  <c r="J697" i="2" s="1"/>
  <c r="K697" i="2" s="1"/>
  <c r="H697" i="2"/>
  <c r="F697" i="2"/>
  <c r="D697" i="2"/>
  <c r="E697" i="2" s="1"/>
  <c r="I696" i="2"/>
  <c r="H696" i="2"/>
  <c r="F696" i="2"/>
  <c r="D696" i="2"/>
  <c r="E696" i="2" s="1"/>
  <c r="I695" i="2"/>
  <c r="H695" i="2"/>
  <c r="F695" i="2"/>
  <c r="D695" i="2"/>
  <c r="E695" i="2" s="1"/>
  <c r="I694" i="2"/>
  <c r="H694" i="2"/>
  <c r="F694" i="2"/>
  <c r="D694" i="2"/>
  <c r="E694" i="2" s="1"/>
  <c r="I693" i="2"/>
  <c r="H693" i="2"/>
  <c r="F693" i="2"/>
  <c r="D693" i="2"/>
  <c r="E693" i="2" s="1"/>
  <c r="I692" i="2"/>
  <c r="H692" i="2"/>
  <c r="F692" i="2"/>
  <c r="D692" i="2"/>
  <c r="E692" i="2" s="1"/>
  <c r="I691" i="2"/>
  <c r="H691" i="2"/>
  <c r="F691" i="2"/>
  <c r="D691" i="2"/>
  <c r="E691" i="2" s="1"/>
  <c r="I690" i="2"/>
  <c r="H690" i="2"/>
  <c r="F690" i="2"/>
  <c r="D690" i="2"/>
  <c r="E690" i="2" s="1"/>
  <c r="I689" i="2"/>
  <c r="H689" i="2"/>
  <c r="F689" i="2"/>
  <c r="D689" i="2"/>
  <c r="E689" i="2" s="1"/>
  <c r="I688" i="2"/>
  <c r="H688" i="2"/>
  <c r="F688" i="2"/>
  <c r="D688" i="2"/>
  <c r="E688" i="2" s="1"/>
  <c r="J688" i="2" s="1"/>
  <c r="K688" i="2" s="1"/>
  <c r="I687" i="2"/>
  <c r="H687" i="2"/>
  <c r="F687" i="2"/>
  <c r="D687" i="2"/>
  <c r="E687" i="2" s="1"/>
  <c r="I686" i="2"/>
  <c r="H686" i="2"/>
  <c r="F686" i="2"/>
  <c r="D686" i="2"/>
  <c r="E686" i="2" s="1"/>
  <c r="I685" i="2"/>
  <c r="H685" i="2"/>
  <c r="F685" i="2"/>
  <c r="D685" i="2"/>
  <c r="E685" i="2" s="1"/>
  <c r="I684" i="2"/>
  <c r="H684" i="2"/>
  <c r="F684" i="2"/>
  <c r="D684" i="2"/>
  <c r="E684" i="2" s="1"/>
  <c r="J684" i="2" s="1"/>
  <c r="K684" i="2" s="1"/>
  <c r="I683" i="2"/>
  <c r="H683" i="2"/>
  <c r="F683" i="2"/>
  <c r="D683" i="2"/>
  <c r="E683" i="2" s="1"/>
  <c r="I682" i="2"/>
  <c r="H682" i="2"/>
  <c r="F682" i="2"/>
  <c r="D682" i="2"/>
  <c r="E682" i="2" s="1"/>
  <c r="I681" i="2"/>
  <c r="H681" i="2"/>
  <c r="F681" i="2"/>
  <c r="D681" i="2"/>
  <c r="E681" i="2" s="1"/>
  <c r="I680" i="2"/>
  <c r="H680" i="2"/>
  <c r="F680" i="2"/>
  <c r="E680" i="2"/>
  <c r="D680" i="2"/>
  <c r="I679" i="2"/>
  <c r="H679" i="2"/>
  <c r="F679" i="2"/>
  <c r="D679" i="2"/>
  <c r="E679" i="2" s="1"/>
  <c r="I678" i="2"/>
  <c r="H678" i="2"/>
  <c r="F678" i="2"/>
  <c r="D678" i="2"/>
  <c r="E678" i="2" s="1"/>
  <c r="I677" i="2"/>
  <c r="H677" i="2"/>
  <c r="F677" i="2"/>
  <c r="D677" i="2"/>
  <c r="E677" i="2" s="1"/>
  <c r="I676" i="2"/>
  <c r="H676" i="2"/>
  <c r="F676" i="2"/>
  <c r="D676" i="2"/>
  <c r="E676" i="2" s="1"/>
  <c r="I675" i="2"/>
  <c r="H675" i="2"/>
  <c r="F675" i="2"/>
  <c r="D675" i="2"/>
  <c r="E675" i="2" s="1"/>
  <c r="I674" i="2"/>
  <c r="H674" i="2"/>
  <c r="F674" i="2"/>
  <c r="D674" i="2"/>
  <c r="E674" i="2" s="1"/>
  <c r="I673" i="2"/>
  <c r="H673" i="2"/>
  <c r="F673" i="2"/>
  <c r="D673" i="2"/>
  <c r="E673" i="2" s="1"/>
  <c r="I672" i="2"/>
  <c r="H672" i="2"/>
  <c r="F672" i="2"/>
  <c r="D672" i="2"/>
  <c r="E672" i="2" s="1"/>
  <c r="I671" i="2"/>
  <c r="H671" i="2"/>
  <c r="F671" i="2"/>
  <c r="D671" i="2"/>
  <c r="E671" i="2" s="1"/>
  <c r="I670" i="2"/>
  <c r="H670" i="2"/>
  <c r="F670" i="2"/>
  <c r="D670" i="2"/>
  <c r="E670" i="2" s="1"/>
  <c r="I669" i="2"/>
  <c r="H669" i="2"/>
  <c r="F669" i="2"/>
  <c r="D669" i="2"/>
  <c r="E669" i="2" s="1"/>
  <c r="I668" i="2"/>
  <c r="H668" i="2"/>
  <c r="F668" i="2"/>
  <c r="D668" i="2"/>
  <c r="E668" i="2" s="1"/>
  <c r="I667" i="2"/>
  <c r="H667" i="2"/>
  <c r="F667" i="2"/>
  <c r="D667" i="2"/>
  <c r="E667" i="2" s="1"/>
  <c r="I666" i="2"/>
  <c r="H666" i="2"/>
  <c r="F666" i="2"/>
  <c r="D666" i="2"/>
  <c r="E666" i="2" s="1"/>
  <c r="I665" i="2"/>
  <c r="H665" i="2"/>
  <c r="F665" i="2"/>
  <c r="D665" i="2"/>
  <c r="E665" i="2" s="1"/>
  <c r="I664" i="2"/>
  <c r="H664" i="2"/>
  <c r="F664" i="2"/>
  <c r="D664" i="2"/>
  <c r="E664" i="2" s="1"/>
  <c r="I663" i="2"/>
  <c r="H663" i="2"/>
  <c r="F663" i="2"/>
  <c r="D663" i="2"/>
  <c r="E663" i="2" s="1"/>
  <c r="I662" i="2"/>
  <c r="H662" i="2"/>
  <c r="F662" i="2"/>
  <c r="D662" i="2"/>
  <c r="E662" i="2" s="1"/>
  <c r="I661" i="2"/>
  <c r="H661" i="2"/>
  <c r="F661" i="2"/>
  <c r="D661" i="2"/>
  <c r="E661" i="2" s="1"/>
  <c r="I660" i="2"/>
  <c r="H660" i="2"/>
  <c r="F660" i="2"/>
  <c r="D660" i="2"/>
  <c r="E660" i="2" s="1"/>
  <c r="I659" i="2"/>
  <c r="H659" i="2"/>
  <c r="F659" i="2"/>
  <c r="D659" i="2"/>
  <c r="E659" i="2" s="1"/>
  <c r="I658" i="2"/>
  <c r="H658" i="2"/>
  <c r="F658" i="2"/>
  <c r="D658" i="2"/>
  <c r="E658" i="2" s="1"/>
  <c r="I657" i="2"/>
  <c r="H657" i="2"/>
  <c r="F657" i="2"/>
  <c r="D657" i="2"/>
  <c r="E657" i="2" s="1"/>
  <c r="I656" i="2"/>
  <c r="H656" i="2"/>
  <c r="F656" i="2"/>
  <c r="D656" i="2"/>
  <c r="E656" i="2" s="1"/>
  <c r="I655" i="2"/>
  <c r="H655" i="2"/>
  <c r="F655" i="2"/>
  <c r="D655" i="2"/>
  <c r="E655" i="2" s="1"/>
  <c r="I654" i="2"/>
  <c r="H654" i="2"/>
  <c r="F654" i="2"/>
  <c r="D654" i="2"/>
  <c r="E654" i="2" s="1"/>
  <c r="I653" i="2"/>
  <c r="H653" i="2"/>
  <c r="F653" i="2"/>
  <c r="D653" i="2"/>
  <c r="E653" i="2" s="1"/>
  <c r="I652" i="2"/>
  <c r="H652" i="2"/>
  <c r="F652" i="2"/>
  <c r="D652" i="2"/>
  <c r="E652" i="2" s="1"/>
  <c r="I651" i="2"/>
  <c r="H651" i="2"/>
  <c r="F651" i="2"/>
  <c r="D651" i="2"/>
  <c r="E651" i="2" s="1"/>
  <c r="I650" i="2"/>
  <c r="H650" i="2"/>
  <c r="F650" i="2"/>
  <c r="D650" i="2"/>
  <c r="E650" i="2" s="1"/>
  <c r="I649" i="2"/>
  <c r="H649" i="2"/>
  <c r="F649" i="2"/>
  <c r="D649" i="2"/>
  <c r="E649" i="2" s="1"/>
  <c r="I648" i="2"/>
  <c r="H648" i="2"/>
  <c r="F648" i="2"/>
  <c r="D648" i="2"/>
  <c r="E648" i="2" s="1"/>
  <c r="J648" i="2" s="1"/>
  <c r="K648" i="2" s="1"/>
  <c r="I647" i="2"/>
  <c r="H647" i="2"/>
  <c r="F647" i="2"/>
  <c r="D647" i="2"/>
  <c r="E647" i="2" s="1"/>
  <c r="I646" i="2"/>
  <c r="H646" i="2"/>
  <c r="F646" i="2"/>
  <c r="D646" i="2"/>
  <c r="E646" i="2" s="1"/>
  <c r="I645" i="2"/>
  <c r="H645" i="2"/>
  <c r="F645" i="2"/>
  <c r="D645" i="2"/>
  <c r="E645" i="2" s="1"/>
  <c r="I644" i="2"/>
  <c r="H644" i="2"/>
  <c r="F644" i="2"/>
  <c r="E644" i="2"/>
  <c r="D644" i="2"/>
  <c r="I643" i="2"/>
  <c r="H643" i="2"/>
  <c r="F643" i="2"/>
  <c r="D643" i="2"/>
  <c r="E643" i="2" s="1"/>
  <c r="I642" i="2"/>
  <c r="H642" i="2"/>
  <c r="F642" i="2"/>
  <c r="D642" i="2"/>
  <c r="E642" i="2" s="1"/>
  <c r="I641" i="2"/>
  <c r="H641" i="2"/>
  <c r="F641" i="2"/>
  <c r="D641" i="2"/>
  <c r="E641" i="2" s="1"/>
  <c r="I640" i="2"/>
  <c r="H640" i="2"/>
  <c r="F640" i="2"/>
  <c r="D640" i="2"/>
  <c r="E640" i="2" s="1"/>
  <c r="I639" i="2"/>
  <c r="H639" i="2"/>
  <c r="F639" i="2"/>
  <c r="D639" i="2"/>
  <c r="E639" i="2" s="1"/>
  <c r="I638" i="2"/>
  <c r="H638" i="2"/>
  <c r="F638" i="2"/>
  <c r="D638" i="2"/>
  <c r="E638" i="2" s="1"/>
  <c r="I637" i="2"/>
  <c r="H637" i="2"/>
  <c r="F637" i="2"/>
  <c r="D637" i="2"/>
  <c r="E637" i="2" s="1"/>
  <c r="I636" i="2"/>
  <c r="H636" i="2"/>
  <c r="F636" i="2"/>
  <c r="D636" i="2"/>
  <c r="E636" i="2" s="1"/>
  <c r="I635" i="2"/>
  <c r="H635" i="2"/>
  <c r="F635" i="2"/>
  <c r="D635" i="2"/>
  <c r="E635" i="2" s="1"/>
  <c r="I634" i="2"/>
  <c r="H634" i="2"/>
  <c r="F634" i="2"/>
  <c r="D634" i="2"/>
  <c r="E634" i="2" s="1"/>
  <c r="I633" i="2"/>
  <c r="H633" i="2"/>
  <c r="F633" i="2"/>
  <c r="D633" i="2"/>
  <c r="E633" i="2" s="1"/>
  <c r="I632" i="2"/>
  <c r="H632" i="2"/>
  <c r="F632" i="2"/>
  <c r="D632" i="2"/>
  <c r="E632" i="2" s="1"/>
  <c r="I631" i="2"/>
  <c r="H631" i="2"/>
  <c r="F631" i="2"/>
  <c r="D631" i="2"/>
  <c r="E631" i="2" s="1"/>
  <c r="I630" i="2"/>
  <c r="H630" i="2"/>
  <c r="F630" i="2"/>
  <c r="D630" i="2"/>
  <c r="E630" i="2" s="1"/>
  <c r="I629" i="2"/>
  <c r="H629" i="2"/>
  <c r="F629" i="2"/>
  <c r="D629" i="2"/>
  <c r="E629" i="2" s="1"/>
  <c r="I628" i="2"/>
  <c r="H628" i="2"/>
  <c r="F628" i="2"/>
  <c r="D628" i="2"/>
  <c r="E628" i="2" s="1"/>
  <c r="I627" i="2"/>
  <c r="H627" i="2"/>
  <c r="F627" i="2"/>
  <c r="D627" i="2"/>
  <c r="E627" i="2" s="1"/>
  <c r="I626" i="2"/>
  <c r="H626" i="2"/>
  <c r="F626" i="2"/>
  <c r="D626" i="2"/>
  <c r="E626" i="2" s="1"/>
  <c r="I625" i="2"/>
  <c r="H625" i="2"/>
  <c r="F625" i="2"/>
  <c r="D625" i="2"/>
  <c r="E625" i="2" s="1"/>
  <c r="I624" i="2"/>
  <c r="H624" i="2"/>
  <c r="F624" i="2"/>
  <c r="D624" i="2"/>
  <c r="E624" i="2" s="1"/>
  <c r="I623" i="2"/>
  <c r="H623" i="2"/>
  <c r="F623" i="2"/>
  <c r="D623" i="2"/>
  <c r="E623" i="2" s="1"/>
  <c r="I622" i="2"/>
  <c r="H622" i="2"/>
  <c r="F622" i="2"/>
  <c r="D622" i="2"/>
  <c r="E622" i="2" s="1"/>
  <c r="I621" i="2"/>
  <c r="H621" i="2"/>
  <c r="F621" i="2"/>
  <c r="D621" i="2"/>
  <c r="E621" i="2" s="1"/>
  <c r="I620" i="2"/>
  <c r="H620" i="2"/>
  <c r="F620" i="2"/>
  <c r="D620" i="2"/>
  <c r="E620" i="2" s="1"/>
  <c r="I619" i="2"/>
  <c r="H619" i="2"/>
  <c r="F619" i="2"/>
  <c r="D619" i="2"/>
  <c r="E619" i="2" s="1"/>
  <c r="I618" i="2"/>
  <c r="H618" i="2"/>
  <c r="F618" i="2"/>
  <c r="D618" i="2"/>
  <c r="E618" i="2" s="1"/>
  <c r="I617" i="2"/>
  <c r="H617" i="2"/>
  <c r="F617" i="2"/>
  <c r="D617" i="2"/>
  <c r="E617" i="2" s="1"/>
  <c r="I616" i="2"/>
  <c r="H616" i="2"/>
  <c r="F616" i="2"/>
  <c r="D616" i="2"/>
  <c r="E616" i="2" s="1"/>
  <c r="I615" i="2"/>
  <c r="H615" i="2"/>
  <c r="F615" i="2"/>
  <c r="D615" i="2"/>
  <c r="E615" i="2" s="1"/>
  <c r="I614" i="2"/>
  <c r="H614" i="2"/>
  <c r="F614" i="2"/>
  <c r="D614" i="2"/>
  <c r="E614" i="2" s="1"/>
  <c r="I613" i="2"/>
  <c r="H613" i="2"/>
  <c r="F613" i="2"/>
  <c r="D613" i="2"/>
  <c r="E613" i="2" s="1"/>
  <c r="I612" i="2"/>
  <c r="H612" i="2"/>
  <c r="F612" i="2"/>
  <c r="D612" i="2"/>
  <c r="E612" i="2" s="1"/>
  <c r="I611" i="2"/>
  <c r="H611" i="2"/>
  <c r="F611" i="2"/>
  <c r="D611" i="2"/>
  <c r="E611" i="2" s="1"/>
  <c r="I610" i="2"/>
  <c r="H610" i="2"/>
  <c r="F610" i="2"/>
  <c r="D610" i="2"/>
  <c r="E610" i="2" s="1"/>
  <c r="I609" i="2"/>
  <c r="H609" i="2"/>
  <c r="F609" i="2"/>
  <c r="D609" i="2"/>
  <c r="E609" i="2" s="1"/>
  <c r="I608" i="2"/>
  <c r="H608" i="2"/>
  <c r="F608" i="2"/>
  <c r="D608" i="2"/>
  <c r="E608" i="2" s="1"/>
  <c r="I607" i="2"/>
  <c r="H607" i="2"/>
  <c r="F607" i="2"/>
  <c r="D607" i="2"/>
  <c r="E607" i="2" s="1"/>
  <c r="I606" i="2"/>
  <c r="H606" i="2"/>
  <c r="F606" i="2"/>
  <c r="D606" i="2"/>
  <c r="E606" i="2" s="1"/>
  <c r="I605" i="2"/>
  <c r="H605" i="2"/>
  <c r="F605" i="2"/>
  <c r="D605" i="2"/>
  <c r="E605" i="2" s="1"/>
  <c r="I604" i="2"/>
  <c r="H604" i="2"/>
  <c r="F604" i="2"/>
  <c r="D604" i="2"/>
  <c r="E604" i="2" s="1"/>
  <c r="I603" i="2"/>
  <c r="H603" i="2"/>
  <c r="F603" i="2"/>
  <c r="D603" i="2"/>
  <c r="E603" i="2" s="1"/>
  <c r="I602" i="2"/>
  <c r="H602" i="2"/>
  <c r="F602" i="2"/>
  <c r="D602" i="2"/>
  <c r="E602" i="2" s="1"/>
  <c r="I601" i="2"/>
  <c r="H601" i="2"/>
  <c r="F601" i="2"/>
  <c r="D601" i="2"/>
  <c r="E601" i="2" s="1"/>
  <c r="I600" i="2"/>
  <c r="H600" i="2"/>
  <c r="F600" i="2"/>
  <c r="E600" i="2"/>
  <c r="D600" i="2"/>
  <c r="I599" i="2"/>
  <c r="H599" i="2"/>
  <c r="F599" i="2"/>
  <c r="D599" i="2"/>
  <c r="E599" i="2" s="1"/>
  <c r="I598" i="2"/>
  <c r="J598" i="2" s="1"/>
  <c r="K598" i="2" s="1"/>
  <c r="H598" i="2"/>
  <c r="F598" i="2"/>
  <c r="D598" i="2"/>
  <c r="E598" i="2" s="1"/>
  <c r="I597" i="2"/>
  <c r="H597" i="2"/>
  <c r="F597" i="2"/>
  <c r="D597" i="2"/>
  <c r="E597" i="2" s="1"/>
  <c r="I596" i="2"/>
  <c r="H596" i="2"/>
  <c r="F596" i="2"/>
  <c r="D596" i="2"/>
  <c r="E596" i="2" s="1"/>
  <c r="I595" i="2"/>
  <c r="H595" i="2"/>
  <c r="F595" i="2"/>
  <c r="D595" i="2"/>
  <c r="E595" i="2" s="1"/>
  <c r="I594" i="2"/>
  <c r="H594" i="2"/>
  <c r="F594" i="2"/>
  <c r="D594" i="2"/>
  <c r="E594" i="2" s="1"/>
  <c r="I593" i="2"/>
  <c r="H593" i="2"/>
  <c r="F593" i="2"/>
  <c r="D593" i="2"/>
  <c r="E593" i="2" s="1"/>
  <c r="I592" i="2"/>
  <c r="H592" i="2"/>
  <c r="F592" i="2"/>
  <c r="D592" i="2"/>
  <c r="E592" i="2" s="1"/>
  <c r="I591" i="2"/>
  <c r="H591" i="2"/>
  <c r="F591" i="2"/>
  <c r="D591" i="2"/>
  <c r="E591" i="2" s="1"/>
  <c r="I590" i="2"/>
  <c r="H590" i="2"/>
  <c r="F590" i="2"/>
  <c r="D590" i="2"/>
  <c r="E590" i="2" s="1"/>
  <c r="I589" i="2"/>
  <c r="H589" i="2"/>
  <c r="F589" i="2"/>
  <c r="D589" i="2"/>
  <c r="E589" i="2" s="1"/>
  <c r="I588" i="2"/>
  <c r="H588" i="2"/>
  <c r="F588" i="2"/>
  <c r="D588" i="2"/>
  <c r="E588" i="2" s="1"/>
  <c r="I587" i="2"/>
  <c r="H587" i="2"/>
  <c r="F587" i="2"/>
  <c r="D587" i="2"/>
  <c r="E587" i="2" s="1"/>
  <c r="I586" i="2"/>
  <c r="H586" i="2"/>
  <c r="F586" i="2"/>
  <c r="D586" i="2"/>
  <c r="E586" i="2" s="1"/>
  <c r="I585" i="2"/>
  <c r="H585" i="2"/>
  <c r="F585" i="2"/>
  <c r="D585" i="2"/>
  <c r="E585" i="2" s="1"/>
  <c r="I584" i="2"/>
  <c r="H584" i="2"/>
  <c r="F584" i="2"/>
  <c r="D584" i="2"/>
  <c r="E584" i="2" s="1"/>
  <c r="I583" i="2"/>
  <c r="H583" i="2"/>
  <c r="F583" i="2"/>
  <c r="D583" i="2"/>
  <c r="E583" i="2" s="1"/>
  <c r="I582" i="2"/>
  <c r="H582" i="2"/>
  <c r="F582" i="2"/>
  <c r="D582" i="2"/>
  <c r="E582" i="2" s="1"/>
  <c r="I581" i="2"/>
  <c r="H581" i="2"/>
  <c r="F581" i="2"/>
  <c r="D581" i="2"/>
  <c r="E581" i="2" s="1"/>
  <c r="I580" i="2"/>
  <c r="H580" i="2"/>
  <c r="F580" i="2"/>
  <c r="D580" i="2"/>
  <c r="E580" i="2" s="1"/>
  <c r="I579" i="2"/>
  <c r="H579" i="2"/>
  <c r="F579" i="2"/>
  <c r="D579" i="2"/>
  <c r="E579" i="2" s="1"/>
  <c r="I578" i="2"/>
  <c r="H578" i="2"/>
  <c r="F578" i="2"/>
  <c r="D578" i="2"/>
  <c r="E578" i="2" s="1"/>
  <c r="I577" i="2"/>
  <c r="H577" i="2"/>
  <c r="F577" i="2"/>
  <c r="D577" i="2"/>
  <c r="E577" i="2" s="1"/>
  <c r="I576" i="2"/>
  <c r="H576" i="2"/>
  <c r="F576" i="2"/>
  <c r="D576" i="2"/>
  <c r="E576" i="2" s="1"/>
  <c r="I575" i="2"/>
  <c r="H575" i="2"/>
  <c r="F575" i="2"/>
  <c r="D575" i="2"/>
  <c r="E575" i="2" s="1"/>
  <c r="I574" i="2"/>
  <c r="H574" i="2"/>
  <c r="F574" i="2"/>
  <c r="D574" i="2"/>
  <c r="E574" i="2" s="1"/>
  <c r="I573" i="2"/>
  <c r="H573" i="2"/>
  <c r="F573" i="2"/>
  <c r="D573" i="2"/>
  <c r="E573" i="2" s="1"/>
  <c r="I572" i="2"/>
  <c r="H572" i="2"/>
  <c r="F572" i="2"/>
  <c r="D572" i="2"/>
  <c r="E572" i="2" s="1"/>
  <c r="I571" i="2"/>
  <c r="H571" i="2"/>
  <c r="F571" i="2"/>
  <c r="D571" i="2"/>
  <c r="E571" i="2" s="1"/>
  <c r="I570" i="2"/>
  <c r="H570" i="2"/>
  <c r="F570" i="2"/>
  <c r="D570" i="2"/>
  <c r="E570" i="2" s="1"/>
  <c r="I569" i="2"/>
  <c r="H569" i="2"/>
  <c r="F569" i="2"/>
  <c r="D569" i="2"/>
  <c r="E569" i="2" s="1"/>
  <c r="I568" i="2"/>
  <c r="H568" i="2"/>
  <c r="F568" i="2"/>
  <c r="D568" i="2"/>
  <c r="E568" i="2" s="1"/>
  <c r="I567" i="2"/>
  <c r="H567" i="2"/>
  <c r="F567" i="2"/>
  <c r="D567" i="2"/>
  <c r="E567" i="2" s="1"/>
  <c r="I566" i="2"/>
  <c r="H566" i="2"/>
  <c r="F566" i="2"/>
  <c r="D566" i="2"/>
  <c r="E566" i="2" s="1"/>
  <c r="I565" i="2"/>
  <c r="H565" i="2"/>
  <c r="F565" i="2"/>
  <c r="D565" i="2"/>
  <c r="E565" i="2" s="1"/>
  <c r="I564" i="2"/>
  <c r="H564" i="2"/>
  <c r="F564" i="2"/>
  <c r="D564" i="2"/>
  <c r="E564" i="2" s="1"/>
  <c r="I563" i="2"/>
  <c r="H563" i="2"/>
  <c r="F563" i="2"/>
  <c r="D563" i="2"/>
  <c r="E563" i="2" s="1"/>
  <c r="I562" i="2"/>
  <c r="H562" i="2"/>
  <c r="F562" i="2"/>
  <c r="D562" i="2"/>
  <c r="E562" i="2" s="1"/>
  <c r="I561" i="2"/>
  <c r="H561" i="2"/>
  <c r="F561" i="2"/>
  <c r="D561" i="2"/>
  <c r="E561" i="2" s="1"/>
  <c r="I560" i="2"/>
  <c r="H560" i="2"/>
  <c r="F560" i="2"/>
  <c r="D560" i="2"/>
  <c r="E560" i="2" s="1"/>
  <c r="I559" i="2"/>
  <c r="H559" i="2"/>
  <c r="F559" i="2"/>
  <c r="D559" i="2"/>
  <c r="E559" i="2" s="1"/>
  <c r="I558" i="2"/>
  <c r="H558" i="2"/>
  <c r="F558" i="2"/>
  <c r="D558" i="2"/>
  <c r="E558" i="2" s="1"/>
  <c r="I557" i="2"/>
  <c r="H557" i="2"/>
  <c r="F557" i="2"/>
  <c r="D557" i="2"/>
  <c r="E557" i="2" s="1"/>
  <c r="I556" i="2"/>
  <c r="H556" i="2"/>
  <c r="F556" i="2"/>
  <c r="D556" i="2"/>
  <c r="E556" i="2" s="1"/>
  <c r="I555" i="2"/>
  <c r="H555" i="2"/>
  <c r="F555" i="2"/>
  <c r="D555" i="2"/>
  <c r="E555" i="2" s="1"/>
  <c r="I554" i="2"/>
  <c r="H554" i="2"/>
  <c r="F554" i="2"/>
  <c r="D554" i="2"/>
  <c r="E554" i="2" s="1"/>
  <c r="I553" i="2"/>
  <c r="H553" i="2"/>
  <c r="F553" i="2"/>
  <c r="D553" i="2"/>
  <c r="E553" i="2" s="1"/>
  <c r="I552" i="2"/>
  <c r="H552" i="2"/>
  <c r="F552" i="2"/>
  <c r="D552" i="2"/>
  <c r="E552" i="2" s="1"/>
  <c r="I551" i="2"/>
  <c r="H551" i="2"/>
  <c r="F551" i="2"/>
  <c r="D551" i="2"/>
  <c r="E551" i="2" s="1"/>
  <c r="I550" i="2"/>
  <c r="H550" i="2"/>
  <c r="F550" i="2"/>
  <c r="D550" i="2"/>
  <c r="E550" i="2" s="1"/>
  <c r="I549" i="2"/>
  <c r="H549" i="2"/>
  <c r="F549" i="2"/>
  <c r="D549" i="2"/>
  <c r="E549" i="2" s="1"/>
  <c r="I548" i="2"/>
  <c r="H548" i="2"/>
  <c r="F548" i="2"/>
  <c r="D548" i="2"/>
  <c r="E548" i="2" s="1"/>
  <c r="I547" i="2"/>
  <c r="H547" i="2"/>
  <c r="F547" i="2"/>
  <c r="D547" i="2"/>
  <c r="E547" i="2" s="1"/>
  <c r="I546" i="2"/>
  <c r="H546" i="2"/>
  <c r="F546" i="2"/>
  <c r="D546" i="2"/>
  <c r="E546" i="2" s="1"/>
  <c r="I545" i="2"/>
  <c r="H545" i="2"/>
  <c r="F545" i="2"/>
  <c r="D545" i="2"/>
  <c r="E545" i="2" s="1"/>
  <c r="I544" i="2"/>
  <c r="H544" i="2"/>
  <c r="F544" i="2"/>
  <c r="D544" i="2"/>
  <c r="E544" i="2" s="1"/>
  <c r="I543" i="2"/>
  <c r="H543" i="2"/>
  <c r="F543" i="2"/>
  <c r="D543" i="2"/>
  <c r="E543" i="2" s="1"/>
  <c r="I542" i="2"/>
  <c r="H542" i="2"/>
  <c r="F542" i="2"/>
  <c r="D542" i="2"/>
  <c r="E542" i="2" s="1"/>
  <c r="I541" i="2"/>
  <c r="H541" i="2"/>
  <c r="F541" i="2"/>
  <c r="D541" i="2"/>
  <c r="E541" i="2" s="1"/>
  <c r="I540" i="2"/>
  <c r="H540" i="2"/>
  <c r="F540" i="2"/>
  <c r="D540" i="2"/>
  <c r="E540" i="2" s="1"/>
  <c r="I539" i="2"/>
  <c r="H539" i="2"/>
  <c r="F539" i="2"/>
  <c r="D539" i="2"/>
  <c r="E539" i="2" s="1"/>
  <c r="I538" i="2"/>
  <c r="H538" i="2"/>
  <c r="F538" i="2"/>
  <c r="D538" i="2"/>
  <c r="E538" i="2" s="1"/>
  <c r="I537" i="2"/>
  <c r="H537" i="2"/>
  <c r="F537" i="2"/>
  <c r="D537" i="2"/>
  <c r="E537" i="2" s="1"/>
  <c r="I536" i="2"/>
  <c r="H536" i="2"/>
  <c r="F536" i="2"/>
  <c r="D536" i="2"/>
  <c r="E536" i="2" s="1"/>
  <c r="I535" i="2"/>
  <c r="H535" i="2"/>
  <c r="F535" i="2"/>
  <c r="D535" i="2"/>
  <c r="E535" i="2" s="1"/>
  <c r="I534" i="2"/>
  <c r="H534" i="2"/>
  <c r="F534" i="2"/>
  <c r="D534" i="2"/>
  <c r="E534" i="2" s="1"/>
  <c r="I533" i="2"/>
  <c r="H533" i="2"/>
  <c r="F533" i="2"/>
  <c r="D533" i="2"/>
  <c r="E533" i="2" s="1"/>
  <c r="I532" i="2"/>
  <c r="H532" i="2"/>
  <c r="F532" i="2"/>
  <c r="D532" i="2"/>
  <c r="E532" i="2" s="1"/>
  <c r="I531" i="2"/>
  <c r="H531" i="2"/>
  <c r="F531" i="2"/>
  <c r="D531" i="2"/>
  <c r="E531" i="2" s="1"/>
  <c r="I530" i="2"/>
  <c r="H530" i="2"/>
  <c r="F530" i="2"/>
  <c r="D530" i="2"/>
  <c r="E530" i="2" s="1"/>
  <c r="I529" i="2"/>
  <c r="H529" i="2"/>
  <c r="F529" i="2"/>
  <c r="D529" i="2"/>
  <c r="E529" i="2" s="1"/>
  <c r="I528" i="2"/>
  <c r="H528" i="2"/>
  <c r="F528" i="2"/>
  <c r="D528" i="2"/>
  <c r="E528" i="2" s="1"/>
  <c r="I527" i="2"/>
  <c r="H527" i="2"/>
  <c r="F527" i="2"/>
  <c r="D527" i="2"/>
  <c r="E527" i="2" s="1"/>
  <c r="I526" i="2"/>
  <c r="H526" i="2"/>
  <c r="F526" i="2"/>
  <c r="D526" i="2"/>
  <c r="E526" i="2" s="1"/>
  <c r="I525" i="2"/>
  <c r="H525" i="2"/>
  <c r="F525" i="2"/>
  <c r="D525" i="2"/>
  <c r="E525" i="2" s="1"/>
  <c r="I524" i="2"/>
  <c r="H524" i="2"/>
  <c r="F524" i="2"/>
  <c r="D524" i="2"/>
  <c r="E524" i="2" s="1"/>
  <c r="I523" i="2"/>
  <c r="H523" i="2"/>
  <c r="F523" i="2"/>
  <c r="D523" i="2"/>
  <c r="E523" i="2" s="1"/>
  <c r="I522" i="2"/>
  <c r="H522" i="2"/>
  <c r="F522" i="2"/>
  <c r="D522" i="2"/>
  <c r="E522" i="2" s="1"/>
  <c r="I521" i="2"/>
  <c r="H521" i="2"/>
  <c r="F521" i="2"/>
  <c r="D521" i="2"/>
  <c r="E521" i="2" s="1"/>
  <c r="I520" i="2"/>
  <c r="H520" i="2"/>
  <c r="F520" i="2"/>
  <c r="D520" i="2"/>
  <c r="E520" i="2" s="1"/>
  <c r="I519" i="2"/>
  <c r="H519" i="2"/>
  <c r="F519" i="2"/>
  <c r="D519" i="2"/>
  <c r="E519" i="2" s="1"/>
  <c r="I518" i="2"/>
  <c r="H518" i="2"/>
  <c r="F518" i="2"/>
  <c r="D518" i="2"/>
  <c r="E518" i="2" s="1"/>
  <c r="I517" i="2"/>
  <c r="H517" i="2"/>
  <c r="F517" i="2"/>
  <c r="D517" i="2"/>
  <c r="E517" i="2" s="1"/>
  <c r="I516" i="2"/>
  <c r="H516" i="2"/>
  <c r="F516" i="2"/>
  <c r="D516" i="2"/>
  <c r="E516" i="2" s="1"/>
  <c r="I515" i="2"/>
  <c r="H515" i="2"/>
  <c r="F515" i="2"/>
  <c r="D515" i="2"/>
  <c r="E515" i="2" s="1"/>
  <c r="I514" i="2"/>
  <c r="H514" i="2"/>
  <c r="F514" i="2"/>
  <c r="D514" i="2"/>
  <c r="E514" i="2" s="1"/>
  <c r="I513" i="2"/>
  <c r="H513" i="2"/>
  <c r="F513" i="2"/>
  <c r="D513" i="2"/>
  <c r="E513" i="2" s="1"/>
  <c r="I512" i="2"/>
  <c r="H512" i="2"/>
  <c r="F512" i="2"/>
  <c r="D512" i="2"/>
  <c r="E512" i="2" s="1"/>
  <c r="I511" i="2"/>
  <c r="H511" i="2"/>
  <c r="F511" i="2"/>
  <c r="D511" i="2"/>
  <c r="E511" i="2" s="1"/>
  <c r="I510" i="2"/>
  <c r="H510" i="2"/>
  <c r="F510" i="2"/>
  <c r="D510" i="2"/>
  <c r="E510" i="2" s="1"/>
  <c r="I509" i="2"/>
  <c r="H509" i="2"/>
  <c r="F509" i="2"/>
  <c r="D509" i="2"/>
  <c r="E509" i="2" s="1"/>
  <c r="I508" i="2"/>
  <c r="H508" i="2"/>
  <c r="F508" i="2"/>
  <c r="D508" i="2"/>
  <c r="E508" i="2" s="1"/>
  <c r="I507" i="2"/>
  <c r="H507" i="2"/>
  <c r="F507" i="2"/>
  <c r="D507" i="2"/>
  <c r="E507" i="2" s="1"/>
  <c r="I506" i="2"/>
  <c r="H506" i="2"/>
  <c r="F506" i="2"/>
  <c r="D506" i="2"/>
  <c r="E506" i="2" s="1"/>
  <c r="I505" i="2"/>
  <c r="H505" i="2"/>
  <c r="F505" i="2"/>
  <c r="D505" i="2"/>
  <c r="E505" i="2" s="1"/>
  <c r="I504" i="2"/>
  <c r="H504" i="2"/>
  <c r="F504" i="2"/>
  <c r="D504" i="2"/>
  <c r="E504" i="2" s="1"/>
  <c r="I503" i="2"/>
  <c r="H503" i="2"/>
  <c r="F503" i="2"/>
  <c r="D503" i="2"/>
  <c r="E503" i="2" s="1"/>
  <c r="I502" i="2"/>
  <c r="H502" i="2"/>
  <c r="F502" i="2"/>
  <c r="D502" i="2"/>
  <c r="E502" i="2" s="1"/>
  <c r="I501" i="2"/>
  <c r="H501" i="2"/>
  <c r="F501" i="2"/>
  <c r="D501" i="2"/>
  <c r="E501" i="2" s="1"/>
  <c r="I500" i="2"/>
  <c r="H500" i="2"/>
  <c r="F500" i="2"/>
  <c r="D500" i="2"/>
  <c r="E500" i="2" s="1"/>
  <c r="I499" i="2"/>
  <c r="H499" i="2"/>
  <c r="F499" i="2"/>
  <c r="D499" i="2"/>
  <c r="E499" i="2" s="1"/>
  <c r="I498" i="2"/>
  <c r="H498" i="2"/>
  <c r="F498" i="2"/>
  <c r="D498" i="2"/>
  <c r="E498" i="2" s="1"/>
  <c r="I497" i="2"/>
  <c r="H497" i="2"/>
  <c r="F497" i="2"/>
  <c r="D497" i="2"/>
  <c r="E497" i="2" s="1"/>
  <c r="I496" i="2"/>
  <c r="H496" i="2"/>
  <c r="F496" i="2"/>
  <c r="D496" i="2"/>
  <c r="E496" i="2" s="1"/>
  <c r="I495" i="2"/>
  <c r="H495" i="2"/>
  <c r="F495" i="2"/>
  <c r="D495" i="2"/>
  <c r="E495" i="2" s="1"/>
  <c r="I494" i="2"/>
  <c r="H494" i="2"/>
  <c r="F494" i="2"/>
  <c r="D494" i="2"/>
  <c r="E494" i="2" s="1"/>
  <c r="I493" i="2"/>
  <c r="H493" i="2"/>
  <c r="F493" i="2"/>
  <c r="D493" i="2"/>
  <c r="E493" i="2" s="1"/>
  <c r="I492" i="2"/>
  <c r="H492" i="2"/>
  <c r="F492" i="2"/>
  <c r="D492" i="2"/>
  <c r="E492" i="2" s="1"/>
  <c r="I491" i="2"/>
  <c r="H491" i="2"/>
  <c r="F491" i="2"/>
  <c r="D491" i="2"/>
  <c r="E491" i="2" s="1"/>
  <c r="I490" i="2"/>
  <c r="H490" i="2"/>
  <c r="F490" i="2"/>
  <c r="D490" i="2"/>
  <c r="E490" i="2" s="1"/>
  <c r="I489" i="2"/>
  <c r="H489" i="2"/>
  <c r="F489" i="2"/>
  <c r="D489" i="2"/>
  <c r="E489" i="2" s="1"/>
  <c r="I488" i="2"/>
  <c r="H488" i="2"/>
  <c r="F488" i="2"/>
  <c r="D488" i="2"/>
  <c r="E488" i="2" s="1"/>
  <c r="I487" i="2"/>
  <c r="H487" i="2"/>
  <c r="F487" i="2"/>
  <c r="D487" i="2"/>
  <c r="E487" i="2" s="1"/>
  <c r="I486" i="2"/>
  <c r="H486" i="2"/>
  <c r="F486" i="2"/>
  <c r="D486" i="2"/>
  <c r="E486" i="2" s="1"/>
  <c r="I485" i="2"/>
  <c r="H485" i="2"/>
  <c r="F485" i="2"/>
  <c r="D485" i="2"/>
  <c r="E485" i="2" s="1"/>
  <c r="I484" i="2"/>
  <c r="H484" i="2"/>
  <c r="F484" i="2"/>
  <c r="D484" i="2"/>
  <c r="E484" i="2" s="1"/>
  <c r="I483" i="2"/>
  <c r="H483" i="2"/>
  <c r="F483" i="2"/>
  <c r="D483" i="2"/>
  <c r="E483" i="2" s="1"/>
  <c r="I482" i="2"/>
  <c r="H482" i="2"/>
  <c r="F482" i="2"/>
  <c r="D482" i="2"/>
  <c r="E482" i="2" s="1"/>
  <c r="I481" i="2"/>
  <c r="H481" i="2"/>
  <c r="F481" i="2"/>
  <c r="D481" i="2"/>
  <c r="E481" i="2" s="1"/>
  <c r="I480" i="2"/>
  <c r="H480" i="2"/>
  <c r="F480" i="2"/>
  <c r="D480" i="2"/>
  <c r="E480" i="2" s="1"/>
  <c r="I479" i="2"/>
  <c r="H479" i="2"/>
  <c r="F479" i="2"/>
  <c r="D479" i="2"/>
  <c r="E479" i="2" s="1"/>
  <c r="I478" i="2"/>
  <c r="H478" i="2"/>
  <c r="F478" i="2"/>
  <c r="D478" i="2"/>
  <c r="E478" i="2" s="1"/>
  <c r="I477" i="2"/>
  <c r="H477" i="2"/>
  <c r="F477" i="2"/>
  <c r="D477" i="2"/>
  <c r="E477" i="2" s="1"/>
  <c r="I476" i="2"/>
  <c r="H476" i="2"/>
  <c r="F476" i="2"/>
  <c r="D476" i="2"/>
  <c r="E476" i="2" s="1"/>
  <c r="I475" i="2"/>
  <c r="H475" i="2"/>
  <c r="F475" i="2"/>
  <c r="D475" i="2"/>
  <c r="E475" i="2" s="1"/>
  <c r="I474" i="2"/>
  <c r="H474" i="2"/>
  <c r="F474" i="2"/>
  <c r="D474" i="2"/>
  <c r="E474" i="2" s="1"/>
  <c r="I473" i="2"/>
  <c r="H473" i="2"/>
  <c r="F473" i="2"/>
  <c r="D473" i="2"/>
  <c r="E473" i="2" s="1"/>
  <c r="I472" i="2"/>
  <c r="H472" i="2"/>
  <c r="F472" i="2"/>
  <c r="D472" i="2"/>
  <c r="E472" i="2" s="1"/>
  <c r="I471" i="2"/>
  <c r="H471" i="2"/>
  <c r="F471" i="2"/>
  <c r="D471" i="2"/>
  <c r="E471" i="2" s="1"/>
  <c r="I470" i="2"/>
  <c r="H470" i="2"/>
  <c r="F470" i="2"/>
  <c r="D470" i="2"/>
  <c r="E470" i="2" s="1"/>
  <c r="I469" i="2"/>
  <c r="H469" i="2"/>
  <c r="F469" i="2"/>
  <c r="D469" i="2"/>
  <c r="E469" i="2" s="1"/>
  <c r="I468" i="2"/>
  <c r="H468" i="2"/>
  <c r="F468" i="2"/>
  <c r="D468" i="2"/>
  <c r="E468" i="2" s="1"/>
  <c r="I467" i="2"/>
  <c r="H467" i="2"/>
  <c r="F467" i="2"/>
  <c r="D467" i="2"/>
  <c r="E467" i="2" s="1"/>
  <c r="I466" i="2"/>
  <c r="H466" i="2"/>
  <c r="F466" i="2"/>
  <c r="D466" i="2"/>
  <c r="E466" i="2" s="1"/>
  <c r="I465" i="2"/>
  <c r="H465" i="2"/>
  <c r="F465" i="2"/>
  <c r="D465" i="2"/>
  <c r="E465" i="2" s="1"/>
  <c r="I464" i="2"/>
  <c r="H464" i="2"/>
  <c r="F464" i="2"/>
  <c r="D464" i="2"/>
  <c r="E464" i="2" s="1"/>
  <c r="I463" i="2"/>
  <c r="H463" i="2"/>
  <c r="F463" i="2"/>
  <c r="D463" i="2"/>
  <c r="E463" i="2" s="1"/>
  <c r="I462" i="2"/>
  <c r="H462" i="2"/>
  <c r="F462" i="2"/>
  <c r="D462" i="2"/>
  <c r="E462" i="2" s="1"/>
  <c r="I461" i="2"/>
  <c r="H461" i="2"/>
  <c r="F461" i="2"/>
  <c r="D461" i="2"/>
  <c r="E461" i="2" s="1"/>
  <c r="I460" i="2"/>
  <c r="H460" i="2"/>
  <c r="F460" i="2"/>
  <c r="D460" i="2"/>
  <c r="E460" i="2" s="1"/>
  <c r="I459" i="2"/>
  <c r="H459" i="2"/>
  <c r="F459" i="2"/>
  <c r="D459" i="2"/>
  <c r="E459" i="2" s="1"/>
  <c r="I458" i="2"/>
  <c r="H458" i="2"/>
  <c r="F458" i="2"/>
  <c r="D458" i="2"/>
  <c r="E458" i="2" s="1"/>
  <c r="I457" i="2"/>
  <c r="H457" i="2"/>
  <c r="F457" i="2"/>
  <c r="D457" i="2"/>
  <c r="E457" i="2" s="1"/>
  <c r="I456" i="2"/>
  <c r="H456" i="2"/>
  <c r="F456" i="2"/>
  <c r="D456" i="2"/>
  <c r="E456" i="2" s="1"/>
  <c r="I455" i="2"/>
  <c r="H455" i="2"/>
  <c r="F455" i="2"/>
  <c r="D455" i="2"/>
  <c r="E455" i="2" s="1"/>
  <c r="I454" i="2"/>
  <c r="H454" i="2"/>
  <c r="F454" i="2"/>
  <c r="D454" i="2"/>
  <c r="E454" i="2" s="1"/>
  <c r="I453" i="2"/>
  <c r="H453" i="2"/>
  <c r="F453" i="2"/>
  <c r="D453" i="2"/>
  <c r="E453" i="2" s="1"/>
  <c r="I452" i="2"/>
  <c r="H452" i="2"/>
  <c r="F452" i="2"/>
  <c r="D452" i="2"/>
  <c r="E452" i="2" s="1"/>
  <c r="I451" i="2"/>
  <c r="H451" i="2"/>
  <c r="F451" i="2"/>
  <c r="D451" i="2"/>
  <c r="E451" i="2" s="1"/>
  <c r="I450" i="2"/>
  <c r="H450" i="2"/>
  <c r="F450" i="2"/>
  <c r="D450" i="2"/>
  <c r="E450" i="2" s="1"/>
  <c r="I449" i="2"/>
  <c r="H449" i="2"/>
  <c r="F449" i="2"/>
  <c r="D449" i="2"/>
  <c r="E449" i="2" s="1"/>
  <c r="I448" i="2"/>
  <c r="H448" i="2"/>
  <c r="F448" i="2"/>
  <c r="D448" i="2"/>
  <c r="E448" i="2" s="1"/>
  <c r="I447" i="2"/>
  <c r="H447" i="2"/>
  <c r="F447" i="2"/>
  <c r="D447" i="2"/>
  <c r="E447" i="2" s="1"/>
  <c r="I446" i="2"/>
  <c r="H446" i="2"/>
  <c r="F446" i="2"/>
  <c r="D446" i="2"/>
  <c r="E446" i="2" s="1"/>
  <c r="I445" i="2"/>
  <c r="H445" i="2"/>
  <c r="F445" i="2"/>
  <c r="D445" i="2"/>
  <c r="E445" i="2" s="1"/>
  <c r="I444" i="2"/>
  <c r="H444" i="2"/>
  <c r="F444" i="2"/>
  <c r="D444" i="2"/>
  <c r="E444" i="2" s="1"/>
  <c r="I443" i="2"/>
  <c r="H443" i="2"/>
  <c r="F443" i="2"/>
  <c r="D443" i="2"/>
  <c r="E443" i="2" s="1"/>
  <c r="I442" i="2"/>
  <c r="H442" i="2"/>
  <c r="F442" i="2"/>
  <c r="D442" i="2"/>
  <c r="E442" i="2" s="1"/>
  <c r="I441" i="2"/>
  <c r="H441" i="2"/>
  <c r="F441" i="2"/>
  <c r="D441" i="2"/>
  <c r="E441" i="2" s="1"/>
  <c r="I440" i="2"/>
  <c r="H440" i="2"/>
  <c r="F440" i="2"/>
  <c r="D440" i="2"/>
  <c r="E440" i="2" s="1"/>
  <c r="I439" i="2"/>
  <c r="H439" i="2"/>
  <c r="F439" i="2"/>
  <c r="D439" i="2"/>
  <c r="E439" i="2" s="1"/>
  <c r="I438" i="2"/>
  <c r="H438" i="2"/>
  <c r="F438" i="2"/>
  <c r="D438" i="2"/>
  <c r="E438" i="2" s="1"/>
  <c r="I437" i="2"/>
  <c r="H437" i="2"/>
  <c r="F437" i="2"/>
  <c r="D437" i="2"/>
  <c r="E437" i="2" s="1"/>
  <c r="I436" i="2"/>
  <c r="H436" i="2"/>
  <c r="F436" i="2"/>
  <c r="D436" i="2"/>
  <c r="E436" i="2" s="1"/>
  <c r="I435" i="2"/>
  <c r="H435" i="2"/>
  <c r="F435" i="2"/>
  <c r="D435" i="2"/>
  <c r="E435" i="2" s="1"/>
  <c r="I434" i="2"/>
  <c r="H434" i="2"/>
  <c r="F434" i="2"/>
  <c r="D434" i="2"/>
  <c r="E434" i="2" s="1"/>
  <c r="I433" i="2"/>
  <c r="H433" i="2"/>
  <c r="F433" i="2"/>
  <c r="D433" i="2"/>
  <c r="E433" i="2" s="1"/>
  <c r="I432" i="2"/>
  <c r="J432" i="2" s="1"/>
  <c r="K432" i="2" s="1"/>
  <c r="H432" i="2"/>
  <c r="F432" i="2"/>
  <c r="D432" i="2"/>
  <c r="E432" i="2" s="1"/>
  <c r="I431" i="2"/>
  <c r="H431" i="2"/>
  <c r="F431" i="2"/>
  <c r="D431" i="2"/>
  <c r="E431" i="2" s="1"/>
  <c r="I430" i="2"/>
  <c r="H430" i="2"/>
  <c r="F430" i="2"/>
  <c r="D430" i="2"/>
  <c r="E430" i="2" s="1"/>
  <c r="I429" i="2"/>
  <c r="H429" i="2"/>
  <c r="F429" i="2"/>
  <c r="D429" i="2"/>
  <c r="E429" i="2" s="1"/>
  <c r="I428" i="2"/>
  <c r="H428" i="2"/>
  <c r="F428" i="2"/>
  <c r="D428" i="2"/>
  <c r="E428" i="2" s="1"/>
  <c r="I427" i="2"/>
  <c r="H427" i="2"/>
  <c r="F427" i="2"/>
  <c r="D427" i="2"/>
  <c r="E427" i="2" s="1"/>
  <c r="I426" i="2"/>
  <c r="H426" i="2"/>
  <c r="F426" i="2"/>
  <c r="D426" i="2"/>
  <c r="E426" i="2" s="1"/>
  <c r="I425" i="2"/>
  <c r="H425" i="2"/>
  <c r="F425" i="2"/>
  <c r="D425" i="2"/>
  <c r="E425" i="2" s="1"/>
  <c r="I424" i="2"/>
  <c r="H424" i="2"/>
  <c r="F424" i="2"/>
  <c r="D424" i="2"/>
  <c r="E424" i="2" s="1"/>
  <c r="I423" i="2"/>
  <c r="H423" i="2"/>
  <c r="F423" i="2"/>
  <c r="D423" i="2"/>
  <c r="E423" i="2" s="1"/>
  <c r="I422" i="2"/>
  <c r="H422" i="2"/>
  <c r="F422" i="2"/>
  <c r="D422" i="2"/>
  <c r="E422" i="2" s="1"/>
  <c r="I421" i="2"/>
  <c r="H421" i="2"/>
  <c r="F421" i="2"/>
  <c r="D421" i="2"/>
  <c r="E421" i="2" s="1"/>
  <c r="I420" i="2"/>
  <c r="H420" i="2"/>
  <c r="F420" i="2"/>
  <c r="D420" i="2"/>
  <c r="E420" i="2" s="1"/>
  <c r="I419" i="2"/>
  <c r="H419" i="2"/>
  <c r="F419" i="2"/>
  <c r="D419" i="2"/>
  <c r="E419" i="2" s="1"/>
  <c r="I418" i="2"/>
  <c r="H418" i="2"/>
  <c r="F418" i="2"/>
  <c r="D418" i="2"/>
  <c r="E418" i="2" s="1"/>
  <c r="I417" i="2"/>
  <c r="H417" i="2"/>
  <c r="F417" i="2"/>
  <c r="D417" i="2"/>
  <c r="E417" i="2" s="1"/>
  <c r="I416" i="2"/>
  <c r="H416" i="2"/>
  <c r="F416" i="2"/>
  <c r="D416" i="2"/>
  <c r="E416" i="2" s="1"/>
  <c r="I415" i="2"/>
  <c r="H415" i="2"/>
  <c r="F415" i="2"/>
  <c r="D415" i="2"/>
  <c r="E415" i="2" s="1"/>
  <c r="I414" i="2"/>
  <c r="H414" i="2"/>
  <c r="F414" i="2"/>
  <c r="D414" i="2"/>
  <c r="E414" i="2" s="1"/>
  <c r="I413" i="2"/>
  <c r="H413" i="2"/>
  <c r="F413" i="2"/>
  <c r="D413" i="2"/>
  <c r="E413" i="2" s="1"/>
  <c r="I412" i="2"/>
  <c r="H412" i="2"/>
  <c r="F412" i="2"/>
  <c r="D412" i="2"/>
  <c r="E412" i="2" s="1"/>
  <c r="I411" i="2"/>
  <c r="H411" i="2"/>
  <c r="F411" i="2"/>
  <c r="D411" i="2"/>
  <c r="E411" i="2" s="1"/>
  <c r="I410" i="2"/>
  <c r="H410" i="2"/>
  <c r="F410" i="2"/>
  <c r="D410" i="2"/>
  <c r="E410" i="2" s="1"/>
  <c r="I409" i="2"/>
  <c r="H409" i="2"/>
  <c r="F409" i="2"/>
  <c r="D409" i="2"/>
  <c r="E409" i="2" s="1"/>
  <c r="I408" i="2"/>
  <c r="H408" i="2"/>
  <c r="F408" i="2"/>
  <c r="D408" i="2"/>
  <c r="E408" i="2" s="1"/>
  <c r="I407" i="2"/>
  <c r="H407" i="2"/>
  <c r="F407" i="2"/>
  <c r="D407" i="2"/>
  <c r="E407" i="2" s="1"/>
  <c r="I406" i="2"/>
  <c r="H406" i="2"/>
  <c r="F406" i="2"/>
  <c r="D406" i="2"/>
  <c r="E406" i="2" s="1"/>
  <c r="I405" i="2"/>
  <c r="H405" i="2"/>
  <c r="F405" i="2"/>
  <c r="D405" i="2"/>
  <c r="E405" i="2" s="1"/>
  <c r="I404" i="2"/>
  <c r="H404" i="2"/>
  <c r="F404" i="2"/>
  <c r="D404" i="2"/>
  <c r="E404" i="2" s="1"/>
  <c r="I403" i="2"/>
  <c r="H403" i="2"/>
  <c r="F403" i="2"/>
  <c r="D403" i="2"/>
  <c r="E403" i="2" s="1"/>
  <c r="I402" i="2"/>
  <c r="H402" i="2"/>
  <c r="F402" i="2"/>
  <c r="D402" i="2"/>
  <c r="E402" i="2" s="1"/>
  <c r="I401" i="2"/>
  <c r="H401" i="2"/>
  <c r="F401" i="2"/>
  <c r="D401" i="2"/>
  <c r="E401" i="2" s="1"/>
  <c r="I400" i="2"/>
  <c r="H400" i="2"/>
  <c r="F400" i="2"/>
  <c r="D400" i="2"/>
  <c r="E400" i="2" s="1"/>
  <c r="I399" i="2"/>
  <c r="H399" i="2"/>
  <c r="F399" i="2"/>
  <c r="D399" i="2"/>
  <c r="E399" i="2" s="1"/>
  <c r="I398" i="2"/>
  <c r="H398" i="2"/>
  <c r="F398" i="2"/>
  <c r="D398" i="2"/>
  <c r="E398" i="2" s="1"/>
  <c r="I397" i="2"/>
  <c r="H397" i="2"/>
  <c r="F397" i="2"/>
  <c r="D397" i="2"/>
  <c r="E397" i="2" s="1"/>
  <c r="I396" i="2"/>
  <c r="H396" i="2"/>
  <c r="F396" i="2"/>
  <c r="D396" i="2"/>
  <c r="E396" i="2" s="1"/>
  <c r="I395" i="2"/>
  <c r="H395" i="2"/>
  <c r="F395" i="2"/>
  <c r="D395" i="2"/>
  <c r="E395" i="2" s="1"/>
  <c r="I394" i="2"/>
  <c r="H394" i="2"/>
  <c r="F394" i="2"/>
  <c r="D394" i="2"/>
  <c r="E394" i="2" s="1"/>
  <c r="I393" i="2"/>
  <c r="H393" i="2"/>
  <c r="F393" i="2"/>
  <c r="D393" i="2"/>
  <c r="E393" i="2" s="1"/>
  <c r="I392" i="2"/>
  <c r="H392" i="2"/>
  <c r="F392" i="2"/>
  <c r="D392" i="2"/>
  <c r="E392" i="2" s="1"/>
  <c r="I391" i="2"/>
  <c r="H391" i="2"/>
  <c r="F391" i="2"/>
  <c r="D391" i="2"/>
  <c r="E391" i="2" s="1"/>
  <c r="I390" i="2"/>
  <c r="H390" i="2"/>
  <c r="F390" i="2"/>
  <c r="D390" i="2"/>
  <c r="E390" i="2" s="1"/>
  <c r="I389" i="2"/>
  <c r="H389" i="2"/>
  <c r="F389" i="2"/>
  <c r="D389" i="2"/>
  <c r="E389" i="2" s="1"/>
  <c r="I388" i="2"/>
  <c r="H388" i="2"/>
  <c r="F388" i="2"/>
  <c r="D388" i="2"/>
  <c r="E388" i="2" s="1"/>
  <c r="I387" i="2"/>
  <c r="H387" i="2"/>
  <c r="F387" i="2"/>
  <c r="D387" i="2"/>
  <c r="E387" i="2" s="1"/>
  <c r="I386" i="2"/>
  <c r="H386" i="2"/>
  <c r="F386" i="2"/>
  <c r="D386" i="2"/>
  <c r="E386" i="2" s="1"/>
  <c r="I385" i="2"/>
  <c r="H385" i="2"/>
  <c r="F385" i="2"/>
  <c r="D385" i="2"/>
  <c r="E385" i="2" s="1"/>
  <c r="I384" i="2"/>
  <c r="H384" i="2"/>
  <c r="F384" i="2"/>
  <c r="D384" i="2"/>
  <c r="E384" i="2" s="1"/>
  <c r="I383" i="2"/>
  <c r="H383" i="2"/>
  <c r="F383" i="2"/>
  <c r="D383" i="2"/>
  <c r="E383" i="2" s="1"/>
  <c r="I382" i="2"/>
  <c r="H382" i="2"/>
  <c r="F382" i="2"/>
  <c r="D382" i="2"/>
  <c r="E382" i="2" s="1"/>
  <c r="I381" i="2"/>
  <c r="H381" i="2"/>
  <c r="F381" i="2"/>
  <c r="D381" i="2"/>
  <c r="E381" i="2" s="1"/>
  <c r="I380" i="2"/>
  <c r="H380" i="2"/>
  <c r="F380" i="2"/>
  <c r="D380" i="2"/>
  <c r="E380" i="2" s="1"/>
  <c r="I379" i="2"/>
  <c r="H379" i="2"/>
  <c r="F379" i="2"/>
  <c r="D379" i="2"/>
  <c r="E379" i="2" s="1"/>
  <c r="I378" i="2"/>
  <c r="H378" i="2"/>
  <c r="F378" i="2"/>
  <c r="D378" i="2"/>
  <c r="E378" i="2" s="1"/>
  <c r="I377" i="2"/>
  <c r="H377" i="2"/>
  <c r="F377" i="2"/>
  <c r="D377" i="2"/>
  <c r="E377" i="2" s="1"/>
  <c r="I376" i="2"/>
  <c r="H376" i="2"/>
  <c r="F376" i="2"/>
  <c r="D376" i="2"/>
  <c r="E376" i="2" s="1"/>
  <c r="I375" i="2"/>
  <c r="H375" i="2"/>
  <c r="F375" i="2"/>
  <c r="D375" i="2"/>
  <c r="E375" i="2" s="1"/>
  <c r="I374" i="2"/>
  <c r="H374" i="2"/>
  <c r="F374" i="2"/>
  <c r="D374" i="2"/>
  <c r="E374" i="2" s="1"/>
  <c r="I373" i="2"/>
  <c r="H373" i="2"/>
  <c r="F373" i="2"/>
  <c r="D373" i="2"/>
  <c r="E373" i="2" s="1"/>
  <c r="I372" i="2"/>
  <c r="H372" i="2"/>
  <c r="F372" i="2"/>
  <c r="D372" i="2"/>
  <c r="E372" i="2" s="1"/>
  <c r="I371" i="2"/>
  <c r="H371" i="2"/>
  <c r="F371" i="2"/>
  <c r="D371" i="2"/>
  <c r="E371" i="2" s="1"/>
  <c r="I370" i="2"/>
  <c r="H370" i="2"/>
  <c r="F370" i="2"/>
  <c r="D370" i="2"/>
  <c r="E370" i="2" s="1"/>
  <c r="I369" i="2"/>
  <c r="H369" i="2"/>
  <c r="F369" i="2"/>
  <c r="D369" i="2"/>
  <c r="E369" i="2" s="1"/>
  <c r="I368" i="2"/>
  <c r="H368" i="2"/>
  <c r="F368" i="2"/>
  <c r="D368" i="2"/>
  <c r="E368" i="2" s="1"/>
  <c r="I367" i="2"/>
  <c r="H367" i="2"/>
  <c r="F367" i="2"/>
  <c r="D367" i="2"/>
  <c r="E367" i="2" s="1"/>
  <c r="I366" i="2"/>
  <c r="H366" i="2"/>
  <c r="F366" i="2"/>
  <c r="D366" i="2"/>
  <c r="E366" i="2" s="1"/>
  <c r="I365" i="2"/>
  <c r="H365" i="2"/>
  <c r="F365" i="2"/>
  <c r="D365" i="2"/>
  <c r="E365" i="2" s="1"/>
  <c r="I364" i="2"/>
  <c r="H364" i="2"/>
  <c r="F364" i="2"/>
  <c r="D364" i="2"/>
  <c r="E364" i="2" s="1"/>
  <c r="I363" i="2"/>
  <c r="H363" i="2"/>
  <c r="F363" i="2"/>
  <c r="D363" i="2"/>
  <c r="E363" i="2" s="1"/>
  <c r="I362" i="2"/>
  <c r="H362" i="2"/>
  <c r="F362" i="2"/>
  <c r="D362" i="2"/>
  <c r="E362" i="2" s="1"/>
  <c r="I361" i="2"/>
  <c r="H361" i="2"/>
  <c r="F361" i="2"/>
  <c r="D361" i="2"/>
  <c r="E361" i="2" s="1"/>
  <c r="I360" i="2"/>
  <c r="H360" i="2"/>
  <c r="F360" i="2"/>
  <c r="D360" i="2"/>
  <c r="E360" i="2" s="1"/>
  <c r="I359" i="2"/>
  <c r="H359" i="2"/>
  <c r="F359" i="2"/>
  <c r="D359" i="2"/>
  <c r="E359" i="2" s="1"/>
  <c r="I358" i="2"/>
  <c r="H358" i="2"/>
  <c r="F358" i="2"/>
  <c r="D358" i="2"/>
  <c r="E358" i="2" s="1"/>
  <c r="I357" i="2"/>
  <c r="H357" i="2"/>
  <c r="F357" i="2"/>
  <c r="D357" i="2"/>
  <c r="E357" i="2" s="1"/>
  <c r="I356" i="2"/>
  <c r="H356" i="2"/>
  <c r="F356" i="2"/>
  <c r="D356" i="2"/>
  <c r="E356" i="2" s="1"/>
  <c r="I355" i="2"/>
  <c r="H355" i="2"/>
  <c r="F355" i="2"/>
  <c r="D355" i="2"/>
  <c r="E355" i="2" s="1"/>
  <c r="I354" i="2"/>
  <c r="H354" i="2"/>
  <c r="F354" i="2"/>
  <c r="D354" i="2"/>
  <c r="E354" i="2" s="1"/>
  <c r="I353" i="2"/>
  <c r="H353" i="2"/>
  <c r="F353" i="2"/>
  <c r="D353" i="2"/>
  <c r="E353" i="2" s="1"/>
  <c r="I352" i="2"/>
  <c r="H352" i="2"/>
  <c r="F352" i="2"/>
  <c r="D352" i="2"/>
  <c r="E352" i="2" s="1"/>
  <c r="I351" i="2"/>
  <c r="H351" i="2"/>
  <c r="F351" i="2"/>
  <c r="D351" i="2"/>
  <c r="E351" i="2" s="1"/>
  <c r="I350" i="2"/>
  <c r="H350" i="2"/>
  <c r="F350" i="2"/>
  <c r="D350" i="2"/>
  <c r="E350" i="2" s="1"/>
  <c r="I349" i="2"/>
  <c r="H349" i="2"/>
  <c r="F349" i="2"/>
  <c r="D349" i="2"/>
  <c r="E349" i="2" s="1"/>
  <c r="I348" i="2"/>
  <c r="H348" i="2"/>
  <c r="F348" i="2"/>
  <c r="D348" i="2"/>
  <c r="E348" i="2" s="1"/>
  <c r="I347" i="2"/>
  <c r="H347" i="2"/>
  <c r="F347" i="2"/>
  <c r="D347" i="2"/>
  <c r="E347" i="2" s="1"/>
  <c r="I346" i="2"/>
  <c r="H346" i="2"/>
  <c r="F346" i="2"/>
  <c r="D346" i="2"/>
  <c r="E346" i="2" s="1"/>
  <c r="I345" i="2"/>
  <c r="H345" i="2"/>
  <c r="F345" i="2"/>
  <c r="D345" i="2"/>
  <c r="E345" i="2" s="1"/>
  <c r="I344" i="2"/>
  <c r="H344" i="2"/>
  <c r="F344" i="2"/>
  <c r="D344" i="2"/>
  <c r="E344" i="2" s="1"/>
  <c r="I343" i="2"/>
  <c r="H343" i="2"/>
  <c r="F343" i="2"/>
  <c r="D343" i="2"/>
  <c r="E343" i="2" s="1"/>
  <c r="I342" i="2"/>
  <c r="H342" i="2"/>
  <c r="F342" i="2"/>
  <c r="D342" i="2"/>
  <c r="E342" i="2" s="1"/>
  <c r="I341" i="2"/>
  <c r="H341" i="2"/>
  <c r="F341" i="2"/>
  <c r="D341" i="2"/>
  <c r="E341" i="2" s="1"/>
  <c r="I340" i="2"/>
  <c r="H340" i="2"/>
  <c r="F340" i="2"/>
  <c r="D340" i="2"/>
  <c r="E340" i="2" s="1"/>
  <c r="I339" i="2"/>
  <c r="H339" i="2"/>
  <c r="F339" i="2"/>
  <c r="D339" i="2"/>
  <c r="E339" i="2" s="1"/>
  <c r="I338" i="2"/>
  <c r="H338" i="2"/>
  <c r="F338" i="2"/>
  <c r="D338" i="2"/>
  <c r="E338" i="2" s="1"/>
  <c r="I337" i="2"/>
  <c r="H337" i="2"/>
  <c r="F337" i="2"/>
  <c r="D337" i="2"/>
  <c r="E337" i="2" s="1"/>
  <c r="J337" i="2" s="1"/>
  <c r="K337" i="2" s="1"/>
  <c r="I336" i="2"/>
  <c r="H336" i="2"/>
  <c r="F336" i="2"/>
  <c r="D336" i="2"/>
  <c r="E336" i="2" s="1"/>
  <c r="I335" i="2"/>
  <c r="H335" i="2"/>
  <c r="F335" i="2"/>
  <c r="D335" i="2"/>
  <c r="E335" i="2" s="1"/>
  <c r="I334" i="2"/>
  <c r="H334" i="2"/>
  <c r="F334" i="2"/>
  <c r="D334" i="2"/>
  <c r="E334" i="2" s="1"/>
  <c r="I333" i="2"/>
  <c r="H333" i="2"/>
  <c r="F333" i="2"/>
  <c r="D333" i="2"/>
  <c r="E333" i="2" s="1"/>
  <c r="I332" i="2"/>
  <c r="H332" i="2"/>
  <c r="F332" i="2"/>
  <c r="D332" i="2"/>
  <c r="E332" i="2" s="1"/>
  <c r="I331" i="2"/>
  <c r="H331" i="2"/>
  <c r="F331" i="2"/>
  <c r="D331" i="2"/>
  <c r="E331" i="2" s="1"/>
  <c r="I330" i="2"/>
  <c r="H330" i="2"/>
  <c r="F330" i="2"/>
  <c r="D330" i="2"/>
  <c r="E330" i="2" s="1"/>
  <c r="I329" i="2"/>
  <c r="H329" i="2"/>
  <c r="F329" i="2"/>
  <c r="D329" i="2"/>
  <c r="E329" i="2" s="1"/>
  <c r="I328" i="2"/>
  <c r="H328" i="2"/>
  <c r="F328" i="2"/>
  <c r="D328" i="2"/>
  <c r="E328" i="2" s="1"/>
  <c r="I327" i="2"/>
  <c r="H327" i="2"/>
  <c r="F327" i="2"/>
  <c r="D327" i="2"/>
  <c r="E327" i="2" s="1"/>
  <c r="I326" i="2"/>
  <c r="H326" i="2"/>
  <c r="F326" i="2"/>
  <c r="D326" i="2"/>
  <c r="E326" i="2" s="1"/>
  <c r="I325" i="2"/>
  <c r="H325" i="2"/>
  <c r="F325" i="2"/>
  <c r="D325" i="2"/>
  <c r="E325" i="2" s="1"/>
  <c r="I324" i="2"/>
  <c r="H324" i="2"/>
  <c r="F324" i="2"/>
  <c r="D324" i="2"/>
  <c r="E324" i="2" s="1"/>
  <c r="I323" i="2"/>
  <c r="H323" i="2"/>
  <c r="F323" i="2"/>
  <c r="D323" i="2"/>
  <c r="E323" i="2" s="1"/>
  <c r="I322" i="2"/>
  <c r="H322" i="2"/>
  <c r="F322" i="2"/>
  <c r="D322" i="2"/>
  <c r="E322" i="2" s="1"/>
  <c r="I321" i="2"/>
  <c r="H321" i="2"/>
  <c r="F321" i="2"/>
  <c r="D321" i="2"/>
  <c r="E321" i="2" s="1"/>
  <c r="I320" i="2"/>
  <c r="H320" i="2"/>
  <c r="F320" i="2"/>
  <c r="D320" i="2"/>
  <c r="E320" i="2" s="1"/>
  <c r="I319" i="2"/>
  <c r="H319" i="2"/>
  <c r="F319" i="2"/>
  <c r="D319" i="2"/>
  <c r="E319" i="2" s="1"/>
  <c r="I318" i="2"/>
  <c r="H318" i="2"/>
  <c r="F318" i="2"/>
  <c r="D318" i="2"/>
  <c r="E318" i="2" s="1"/>
  <c r="I317" i="2"/>
  <c r="H317" i="2"/>
  <c r="F317" i="2"/>
  <c r="D317" i="2"/>
  <c r="E317" i="2" s="1"/>
  <c r="I316" i="2"/>
  <c r="H316" i="2"/>
  <c r="F316" i="2"/>
  <c r="D316" i="2"/>
  <c r="E316" i="2" s="1"/>
  <c r="J316" i="2" s="1"/>
  <c r="K316" i="2" s="1"/>
  <c r="I315" i="2"/>
  <c r="H315" i="2"/>
  <c r="F315" i="2"/>
  <c r="D315" i="2"/>
  <c r="E315" i="2" s="1"/>
  <c r="I314" i="2"/>
  <c r="H314" i="2"/>
  <c r="F314" i="2"/>
  <c r="D314" i="2"/>
  <c r="E314" i="2" s="1"/>
  <c r="I313" i="2"/>
  <c r="H313" i="2"/>
  <c r="F313" i="2"/>
  <c r="D313" i="2"/>
  <c r="E313" i="2" s="1"/>
  <c r="I312" i="2"/>
  <c r="H312" i="2"/>
  <c r="F312" i="2"/>
  <c r="D312" i="2"/>
  <c r="E312" i="2" s="1"/>
  <c r="I311" i="2"/>
  <c r="H311" i="2"/>
  <c r="F311" i="2"/>
  <c r="D311" i="2"/>
  <c r="E311" i="2" s="1"/>
  <c r="I310" i="2"/>
  <c r="H310" i="2"/>
  <c r="F310" i="2"/>
  <c r="D310" i="2"/>
  <c r="E310" i="2" s="1"/>
  <c r="I309" i="2"/>
  <c r="H309" i="2"/>
  <c r="F309" i="2"/>
  <c r="D309" i="2"/>
  <c r="E309" i="2" s="1"/>
  <c r="I308" i="2"/>
  <c r="H308" i="2"/>
  <c r="F308" i="2"/>
  <c r="D308" i="2"/>
  <c r="E308" i="2" s="1"/>
  <c r="I307" i="2"/>
  <c r="H307" i="2"/>
  <c r="F307" i="2"/>
  <c r="D307" i="2"/>
  <c r="E307" i="2" s="1"/>
  <c r="I306" i="2"/>
  <c r="H306" i="2"/>
  <c r="F306" i="2"/>
  <c r="D306" i="2"/>
  <c r="E306" i="2" s="1"/>
  <c r="I305" i="2"/>
  <c r="H305" i="2"/>
  <c r="F305" i="2"/>
  <c r="D305" i="2"/>
  <c r="E305" i="2" s="1"/>
  <c r="J305" i="2" s="1"/>
  <c r="K305" i="2" s="1"/>
  <c r="I304" i="2"/>
  <c r="H304" i="2"/>
  <c r="F304" i="2"/>
  <c r="D304" i="2"/>
  <c r="E304" i="2" s="1"/>
  <c r="I303" i="2"/>
  <c r="H303" i="2"/>
  <c r="F303" i="2"/>
  <c r="D303" i="2"/>
  <c r="E303" i="2" s="1"/>
  <c r="I302" i="2"/>
  <c r="H302" i="2"/>
  <c r="F302" i="2"/>
  <c r="D302" i="2"/>
  <c r="E302" i="2" s="1"/>
  <c r="I301" i="2"/>
  <c r="H301" i="2"/>
  <c r="F301" i="2"/>
  <c r="D301" i="2"/>
  <c r="E301" i="2" s="1"/>
  <c r="I300" i="2"/>
  <c r="H300" i="2"/>
  <c r="F300" i="2"/>
  <c r="D300" i="2"/>
  <c r="E300" i="2" s="1"/>
  <c r="I299" i="2"/>
  <c r="H299" i="2"/>
  <c r="F299" i="2"/>
  <c r="D299" i="2"/>
  <c r="E299" i="2" s="1"/>
  <c r="I298" i="2"/>
  <c r="H298" i="2"/>
  <c r="F298" i="2"/>
  <c r="D298" i="2"/>
  <c r="E298" i="2" s="1"/>
  <c r="I297" i="2"/>
  <c r="H297" i="2"/>
  <c r="F297" i="2"/>
  <c r="D297" i="2"/>
  <c r="E297" i="2" s="1"/>
  <c r="I296" i="2"/>
  <c r="H296" i="2"/>
  <c r="F296" i="2"/>
  <c r="D296" i="2"/>
  <c r="E296" i="2" s="1"/>
  <c r="I295" i="2"/>
  <c r="H295" i="2"/>
  <c r="F295" i="2"/>
  <c r="D295" i="2"/>
  <c r="E295" i="2" s="1"/>
  <c r="I294" i="2"/>
  <c r="H294" i="2"/>
  <c r="F294" i="2"/>
  <c r="D294" i="2"/>
  <c r="E294" i="2" s="1"/>
  <c r="I293" i="2"/>
  <c r="H293" i="2"/>
  <c r="F293" i="2"/>
  <c r="D293" i="2"/>
  <c r="E293" i="2" s="1"/>
  <c r="I292" i="2"/>
  <c r="H292" i="2"/>
  <c r="F292" i="2"/>
  <c r="D292" i="2"/>
  <c r="E292" i="2" s="1"/>
  <c r="I291" i="2"/>
  <c r="H291" i="2"/>
  <c r="F291" i="2"/>
  <c r="D291" i="2"/>
  <c r="E291" i="2" s="1"/>
  <c r="I290" i="2"/>
  <c r="H290" i="2"/>
  <c r="F290" i="2"/>
  <c r="D290" i="2"/>
  <c r="E290" i="2" s="1"/>
  <c r="I289" i="2"/>
  <c r="H289" i="2"/>
  <c r="F289" i="2"/>
  <c r="D289" i="2"/>
  <c r="E289" i="2" s="1"/>
  <c r="I288" i="2"/>
  <c r="H288" i="2"/>
  <c r="F288" i="2"/>
  <c r="D288" i="2"/>
  <c r="E288" i="2" s="1"/>
  <c r="I287" i="2"/>
  <c r="H287" i="2"/>
  <c r="F287" i="2"/>
  <c r="D287" i="2"/>
  <c r="E287" i="2" s="1"/>
  <c r="I286" i="2"/>
  <c r="H286" i="2"/>
  <c r="F286" i="2"/>
  <c r="D286" i="2"/>
  <c r="E286" i="2" s="1"/>
  <c r="I285" i="2"/>
  <c r="H285" i="2"/>
  <c r="F285" i="2"/>
  <c r="D285" i="2"/>
  <c r="E285" i="2" s="1"/>
  <c r="I284" i="2"/>
  <c r="H284" i="2"/>
  <c r="F284" i="2"/>
  <c r="D284" i="2"/>
  <c r="E284" i="2" s="1"/>
  <c r="I283" i="2"/>
  <c r="H283" i="2"/>
  <c r="F283" i="2"/>
  <c r="D283" i="2"/>
  <c r="E283" i="2" s="1"/>
  <c r="I282" i="2"/>
  <c r="H282" i="2"/>
  <c r="F282" i="2"/>
  <c r="D282" i="2"/>
  <c r="E282" i="2" s="1"/>
  <c r="I281" i="2"/>
  <c r="H281" i="2"/>
  <c r="F281" i="2"/>
  <c r="D281" i="2"/>
  <c r="E281" i="2" s="1"/>
  <c r="I280" i="2"/>
  <c r="H280" i="2"/>
  <c r="F280" i="2"/>
  <c r="D280" i="2"/>
  <c r="E280" i="2" s="1"/>
  <c r="I279" i="2"/>
  <c r="H279" i="2"/>
  <c r="F279" i="2"/>
  <c r="D279" i="2"/>
  <c r="E279" i="2" s="1"/>
  <c r="I278" i="2"/>
  <c r="H278" i="2"/>
  <c r="F278" i="2"/>
  <c r="D278" i="2"/>
  <c r="E278" i="2" s="1"/>
  <c r="I277" i="2"/>
  <c r="H277" i="2"/>
  <c r="F277" i="2"/>
  <c r="D277" i="2"/>
  <c r="E277" i="2" s="1"/>
  <c r="I276" i="2"/>
  <c r="H276" i="2"/>
  <c r="F276" i="2"/>
  <c r="D276" i="2"/>
  <c r="E276" i="2" s="1"/>
  <c r="I275" i="2"/>
  <c r="H275" i="2"/>
  <c r="F275" i="2"/>
  <c r="D275" i="2"/>
  <c r="E275" i="2" s="1"/>
  <c r="I274" i="2"/>
  <c r="H274" i="2"/>
  <c r="F274" i="2"/>
  <c r="D274" i="2"/>
  <c r="E274" i="2" s="1"/>
  <c r="I273" i="2"/>
  <c r="H273" i="2"/>
  <c r="F273" i="2"/>
  <c r="D273" i="2"/>
  <c r="E273" i="2" s="1"/>
  <c r="I272" i="2"/>
  <c r="H272" i="2"/>
  <c r="F272" i="2"/>
  <c r="D272" i="2"/>
  <c r="E272" i="2" s="1"/>
  <c r="I271" i="2"/>
  <c r="H271" i="2"/>
  <c r="F271" i="2"/>
  <c r="D271" i="2"/>
  <c r="E271" i="2" s="1"/>
  <c r="I270" i="2"/>
  <c r="H270" i="2"/>
  <c r="F270" i="2"/>
  <c r="D270" i="2"/>
  <c r="E270" i="2" s="1"/>
  <c r="I269" i="2"/>
  <c r="H269" i="2"/>
  <c r="F269" i="2"/>
  <c r="D269" i="2"/>
  <c r="E269" i="2" s="1"/>
  <c r="I268" i="2"/>
  <c r="H268" i="2"/>
  <c r="F268" i="2"/>
  <c r="D268" i="2"/>
  <c r="E268" i="2" s="1"/>
  <c r="I267" i="2"/>
  <c r="H267" i="2"/>
  <c r="F267" i="2"/>
  <c r="D267" i="2"/>
  <c r="E267" i="2" s="1"/>
  <c r="I266" i="2"/>
  <c r="H266" i="2"/>
  <c r="F266" i="2"/>
  <c r="D266" i="2"/>
  <c r="E266" i="2" s="1"/>
  <c r="I265" i="2"/>
  <c r="H265" i="2"/>
  <c r="F265" i="2"/>
  <c r="D265" i="2"/>
  <c r="E265" i="2" s="1"/>
  <c r="I264" i="2"/>
  <c r="H264" i="2"/>
  <c r="F264" i="2"/>
  <c r="D264" i="2"/>
  <c r="E264" i="2" s="1"/>
  <c r="I263" i="2"/>
  <c r="H263" i="2"/>
  <c r="F263" i="2"/>
  <c r="D263" i="2"/>
  <c r="E263" i="2" s="1"/>
  <c r="I262" i="2"/>
  <c r="H262" i="2"/>
  <c r="F262" i="2"/>
  <c r="D262" i="2"/>
  <c r="E262" i="2" s="1"/>
  <c r="I261" i="2"/>
  <c r="H261" i="2"/>
  <c r="F261" i="2"/>
  <c r="D261" i="2"/>
  <c r="E261" i="2" s="1"/>
  <c r="I260" i="2"/>
  <c r="H260" i="2"/>
  <c r="F260" i="2"/>
  <c r="D260" i="2"/>
  <c r="E260" i="2" s="1"/>
  <c r="I259" i="2"/>
  <c r="H259" i="2"/>
  <c r="F259" i="2"/>
  <c r="D259" i="2"/>
  <c r="E259" i="2" s="1"/>
  <c r="I258" i="2"/>
  <c r="H258" i="2"/>
  <c r="F258" i="2"/>
  <c r="D258" i="2"/>
  <c r="E258" i="2" s="1"/>
  <c r="I257" i="2"/>
  <c r="H257" i="2"/>
  <c r="F257" i="2"/>
  <c r="D257" i="2"/>
  <c r="E257" i="2" s="1"/>
  <c r="I256" i="2"/>
  <c r="H256" i="2"/>
  <c r="F256" i="2"/>
  <c r="D256" i="2"/>
  <c r="E256" i="2" s="1"/>
  <c r="I255" i="2"/>
  <c r="H255" i="2"/>
  <c r="F255" i="2"/>
  <c r="D255" i="2"/>
  <c r="E255" i="2" s="1"/>
  <c r="I254" i="2"/>
  <c r="H254" i="2"/>
  <c r="F254" i="2"/>
  <c r="D254" i="2"/>
  <c r="E254" i="2" s="1"/>
  <c r="I253" i="2"/>
  <c r="H253" i="2"/>
  <c r="F253" i="2"/>
  <c r="D253" i="2"/>
  <c r="E253" i="2" s="1"/>
  <c r="I252" i="2"/>
  <c r="H252" i="2"/>
  <c r="F252" i="2"/>
  <c r="D252" i="2"/>
  <c r="E252" i="2" s="1"/>
  <c r="I251" i="2"/>
  <c r="H251" i="2"/>
  <c r="F251" i="2"/>
  <c r="D251" i="2"/>
  <c r="E251" i="2" s="1"/>
  <c r="I250" i="2"/>
  <c r="H250" i="2"/>
  <c r="F250" i="2"/>
  <c r="D250" i="2"/>
  <c r="E250" i="2" s="1"/>
  <c r="I249" i="2"/>
  <c r="H249" i="2"/>
  <c r="F249" i="2"/>
  <c r="D249" i="2"/>
  <c r="E249" i="2" s="1"/>
  <c r="I248" i="2"/>
  <c r="H248" i="2"/>
  <c r="F248" i="2"/>
  <c r="D248" i="2"/>
  <c r="E248" i="2" s="1"/>
  <c r="I247" i="2"/>
  <c r="H247" i="2"/>
  <c r="F247" i="2"/>
  <c r="D247" i="2"/>
  <c r="E247" i="2" s="1"/>
  <c r="I246" i="2"/>
  <c r="H246" i="2"/>
  <c r="F246" i="2"/>
  <c r="D246" i="2"/>
  <c r="E246" i="2" s="1"/>
  <c r="I245" i="2"/>
  <c r="H245" i="2"/>
  <c r="F245" i="2"/>
  <c r="D245" i="2"/>
  <c r="E245" i="2" s="1"/>
  <c r="I244" i="2"/>
  <c r="H244" i="2"/>
  <c r="F244" i="2"/>
  <c r="D244" i="2"/>
  <c r="E244" i="2" s="1"/>
  <c r="I243" i="2"/>
  <c r="H243" i="2"/>
  <c r="F243" i="2"/>
  <c r="D243" i="2"/>
  <c r="E243" i="2" s="1"/>
  <c r="I242" i="2"/>
  <c r="H242" i="2"/>
  <c r="F242" i="2"/>
  <c r="D242" i="2"/>
  <c r="E242" i="2" s="1"/>
  <c r="I241" i="2"/>
  <c r="H241" i="2"/>
  <c r="F241" i="2"/>
  <c r="D241" i="2"/>
  <c r="E241" i="2" s="1"/>
  <c r="I240" i="2"/>
  <c r="H240" i="2"/>
  <c r="F240" i="2"/>
  <c r="D240" i="2"/>
  <c r="E240" i="2" s="1"/>
  <c r="I239" i="2"/>
  <c r="H239" i="2"/>
  <c r="F239" i="2"/>
  <c r="D239" i="2"/>
  <c r="E239" i="2" s="1"/>
  <c r="I238" i="2"/>
  <c r="H238" i="2"/>
  <c r="F238" i="2"/>
  <c r="D238" i="2"/>
  <c r="E238" i="2" s="1"/>
  <c r="I237" i="2"/>
  <c r="H237" i="2"/>
  <c r="F237" i="2"/>
  <c r="D237" i="2"/>
  <c r="E237" i="2" s="1"/>
  <c r="I236" i="2"/>
  <c r="H236" i="2"/>
  <c r="F236" i="2"/>
  <c r="D236" i="2"/>
  <c r="E236" i="2" s="1"/>
  <c r="I235" i="2"/>
  <c r="H235" i="2"/>
  <c r="F235" i="2"/>
  <c r="D235" i="2"/>
  <c r="E235" i="2" s="1"/>
  <c r="I234" i="2"/>
  <c r="H234" i="2"/>
  <c r="F234" i="2"/>
  <c r="D234" i="2"/>
  <c r="E234" i="2" s="1"/>
  <c r="I233" i="2"/>
  <c r="H233" i="2"/>
  <c r="F233" i="2"/>
  <c r="D233" i="2"/>
  <c r="E233" i="2" s="1"/>
  <c r="I232" i="2"/>
  <c r="H232" i="2"/>
  <c r="F232" i="2"/>
  <c r="D232" i="2"/>
  <c r="E232" i="2" s="1"/>
  <c r="I231" i="2"/>
  <c r="H231" i="2"/>
  <c r="F231" i="2"/>
  <c r="D231" i="2"/>
  <c r="E231" i="2" s="1"/>
  <c r="I230" i="2"/>
  <c r="H230" i="2"/>
  <c r="F230" i="2"/>
  <c r="D230" i="2"/>
  <c r="E230" i="2" s="1"/>
  <c r="I229" i="2"/>
  <c r="H229" i="2"/>
  <c r="F229" i="2"/>
  <c r="D229" i="2"/>
  <c r="E229" i="2" s="1"/>
  <c r="I228" i="2"/>
  <c r="H228" i="2"/>
  <c r="F228" i="2"/>
  <c r="D228" i="2"/>
  <c r="E228" i="2" s="1"/>
  <c r="I227" i="2"/>
  <c r="H227" i="2"/>
  <c r="F227" i="2"/>
  <c r="D227" i="2"/>
  <c r="E227" i="2" s="1"/>
  <c r="I226" i="2"/>
  <c r="H226" i="2"/>
  <c r="F226" i="2"/>
  <c r="D226" i="2"/>
  <c r="E226" i="2" s="1"/>
  <c r="I225" i="2"/>
  <c r="H225" i="2"/>
  <c r="F225" i="2"/>
  <c r="D225" i="2"/>
  <c r="E225" i="2" s="1"/>
  <c r="I224" i="2"/>
  <c r="H224" i="2"/>
  <c r="F224" i="2"/>
  <c r="D224" i="2"/>
  <c r="E224" i="2" s="1"/>
  <c r="I223" i="2"/>
  <c r="H223" i="2"/>
  <c r="F223" i="2"/>
  <c r="D223" i="2"/>
  <c r="E223" i="2" s="1"/>
  <c r="I222" i="2"/>
  <c r="H222" i="2"/>
  <c r="F222" i="2"/>
  <c r="D222" i="2"/>
  <c r="E222" i="2" s="1"/>
  <c r="I221" i="2"/>
  <c r="H221" i="2"/>
  <c r="F221" i="2"/>
  <c r="D221" i="2"/>
  <c r="E221" i="2" s="1"/>
  <c r="I220" i="2"/>
  <c r="H220" i="2"/>
  <c r="F220" i="2"/>
  <c r="D220" i="2"/>
  <c r="E220" i="2" s="1"/>
  <c r="I219" i="2"/>
  <c r="H219" i="2"/>
  <c r="F219" i="2"/>
  <c r="D219" i="2"/>
  <c r="E219" i="2" s="1"/>
  <c r="I218" i="2"/>
  <c r="H218" i="2"/>
  <c r="F218" i="2"/>
  <c r="D218" i="2"/>
  <c r="E218" i="2" s="1"/>
  <c r="I217" i="2"/>
  <c r="H217" i="2"/>
  <c r="F217" i="2"/>
  <c r="D217" i="2"/>
  <c r="E217" i="2" s="1"/>
  <c r="I216" i="2"/>
  <c r="H216" i="2"/>
  <c r="F216" i="2"/>
  <c r="D216" i="2"/>
  <c r="E216" i="2" s="1"/>
  <c r="I215" i="2"/>
  <c r="H215" i="2"/>
  <c r="F215" i="2"/>
  <c r="D215" i="2"/>
  <c r="E215" i="2" s="1"/>
  <c r="I214" i="2"/>
  <c r="H214" i="2"/>
  <c r="F214" i="2"/>
  <c r="D214" i="2"/>
  <c r="E214" i="2" s="1"/>
  <c r="I213" i="2"/>
  <c r="H213" i="2"/>
  <c r="F213" i="2"/>
  <c r="D213" i="2"/>
  <c r="E213" i="2" s="1"/>
  <c r="I212" i="2"/>
  <c r="H212" i="2"/>
  <c r="F212" i="2"/>
  <c r="D212" i="2"/>
  <c r="E212" i="2" s="1"/>
  <c r="I211" i="2"/>
  <c r="H211" i="2"/>
  <c r="F211" i="2"/>
  <c r="D211" i="2"/>
  <c r="E211" i="2" s="1"/>
  <c r="I210" i="2"/>
  <c r="H210" i="2"/>
  <c r="F210" i="2"/>
  <c r="D210" i="2"/>
  <c r="E210" i="2" s="1"/>
  <c r="I209" i="2"/>
  <c r="H209" i="2"/>
  <c r="F209" i="2"/>
  <c r="D209" i="2"/>
  <c r="E209" i="2" s="1"/>
  <c r="I208" i="2"/>
  <c r="H208" i="2"/>
  <c r="F208" i="2"/>
  <c r="D208" i="2"/>
  <c r="E208" i="2" s="1"/>
  <c r="I207" i="2"/>
  <c r="H207" i="2"/>
  <c r="F207" i="2"/>
  <c r="D207" i="2"/>
  <c r="E207" i="2" s="1"/>
  <c r="I206" i="2"/>
  <c r="H206" i="2"/>
  <c r="F206" i="2"/>
  <c r="D206" i="2"/>
  <c r="E206" i="2" s="1"/>
  <c r="I205" i="2"/>
  <c r="H205" i="2"/>
  <c r="F205" i="2"/>
  <c r="D205" i="2"/>
  <c r="E205" i="2" s="1"/>
  <c r="I204" i="2"/>
  <c r="H204" i="2"/>
  <c r="F204" i="2"/>
  <c r="D204" i="2"/>
  <c r="E204" i="2" s="1"/>
  <c r="I203" i="2"/>
  <c r="H203" i="2"/>
  <c r="F203" i="2"/>
  <c r="D203" i="2"/>
  <c r="E203" i="2" s="1"/>
  <c r="I202" i="2"/>
  <c r="H202" i="2"/>
  <c r="F202" i="2"/>
  <c r="D202" i="2"/>
  <c r="E202" i="2" s="1"/>
  <c r="I201" i="2"/>
  <c r="H201" i="2"/>
  <c r="F201" i="2"/>
  <c r="D201" i="2"/>
  <c r="E201" i="2" s="1"/>
  <c r="I200" i="2"/>
  <c r="H200" i="2"/>
  <c r="F200" i="2"/>
  <c r="D200" i="2"/>
  <c r="E200" i="2" s="1"/>
  <c r="I199" i="2"/>
  <c r="H199" i="2"/>
  <c r="F199" i="2"/>
  <c r="D199" i="2"/>
  <c r="E199" i="2" s="1"/>
  <c r="I198" i="2"/>
  <c r="H198" i="2"/>
  <c r="F198" i="2"/>
  <c r="D198" i="2"/>
  <c r="E198" i="2" s="1"/>
  <c r="I197" i="2"/>
  <c r="H197" i="2"/>
  <c r="F197" i="2"/>
  <c r="D197" i="2"/>
  <c r="E197" i="2" s="1"/>
  <c r="I196" i="2"/>
  <c r="H196" i="2"/>
  <c r="F196" i="2"/>
  <c r="D196" i="2"/>
  <c r="E196" i="2" s="1"/>
  <c r="I195" i="2"/>
  <c r="H195" i="2"/>
  <c r="F195" i="2"/>
  <c r="D195" i="2"/>
  <c r="E195" i="2" s="1"/>
  <c r="I194" i="2"/>
  <c r="H194" i="2"/>
  <c r="F194" i="2"/>
  <c r="D194" i="2"/>
  <c r="E194" i="2" s="1"/>
  <c r="I193" i="2"/>
  <c r="H193" i="2"/>
  <c r="F193" i="2"/>
  <c r="D193" i="2"/>
  <c r="E193" i="2" s="1"/>
  <c r="I192" i="2"/>
  <c r="J192" i="2" s="1"/>
  <c r="K192" i="2" s="1"/>
  <c r="H192" i="2"/>
  <c r="F192" i="2"/>
  <c r="D192" i="2"/>
  <c r="E192" i="2" s="1"/>
  <c r="I191" i="2"/>
  <c r="H191" i="2"/>
  <c r="F191" i="2"/>
  <c r="D191" i="2"/>
  <c r="E191" i="2" s="1"/>
  <c r="I190" i="2"/>
  <c r="H190" i="2"/>
  <c r="F190" i="2"/>
  <c r="D190" i="2"/>
  <c r="E190" i="2" s="1"/>
  <c r="I189" i="2"/>
  <c r="H189" i="2"/>
  <c r="F189" i="2"/>
  <c r="D189" i="2"/>
  <c r="E189" i="2" s="1"/>
  <c r="I188" i="2"/>
  <c r="H188" i="2"/>
  <c r="F188" i="2"/>
  <c r="D188" i="2"/>
  <c r="E188" i="2" s="1"/>
  <c r="I187" i="2"/>
  <c r="H187" i="2"/>
  <c r="F187" i="2"/>
  <c r="D187" i="2"/>
  <c r="E187" i="2" s="1"/>
  <c r="I186" i="2"/>
  <c r="H186" i="2"/>
  <c r="F186" i="2"/>
  <c r="D186" i="2"/>
  <c r="E186" i="2" s="1"/>
  <c r="I185" i="2"/>
  <c r="H185" i="2"/>
  <c r="F185" i="2"/>
  <c r="D185" i="2"/>
  <c r="E185" i="2" s="1"/>
  <c r="I184" i="2"/>
  <c r="H184" i="2"/>
  <c r="F184" i="2"/>
  <c r="D184" i="2"/>
  <c r="E184" i="2" s="1"/>
  <c r="I183" i="2"/>
  <c r="H183" i="2"/>
  <c r="F183" i="2"/>
  <c r="D183" i="2"/>
  <c r="E183" i="2" s="1"/>
  <c r="I182" i="2"/>
  <c r="H182" i="2"/>
  <c r="F182" i="2"/>
  <c r="D182" i="2"/>
  <c r="E182" i="2" s="1"/>
  <c r="I181" i="2"/>
  <c r="H181" i="2"/>
  <c r="F181" i="2"/>
  <c r="D181" i="2"/>
  <c r="E181" i="2" s="1"/>
  <c r="I180" i="2"/>
  <c r="H180" i="2"/>
  <c r="F180" i="2"/>
  <c r="D180" i="2"/>
  <c r="E180" i="2" s="1"/>
  <c r="I179" i="2"/>
  <c r="H179" i="2"/>
  <c r="F179" i="2"/>
  <c r="D179" i="2"/>
  <c r="E179" i="2" s="1"/>
  <c r="I178" i="2"/>
  <c r="H178" i="2"/>
  <c r="F178" i="2"/>
  <c r="D178" i="2"/>
  <c r="E178" i="2" s="1"/>
  <c r="I177" i="2"/>
  <c r="H177" i="2"/>
  <c r="F177" i="2"/>
  <c r="D177" i="2"/>
  <c r="E177" i="2" s="1"/>
  <c r="I176" i="2"/>
  <c r="H176" i="2"/>
  <c r="F176" i="2"/>
  <c r="D176" i="2"/>
  <c r="E176" i="2" s="1"/>
  <c r="I175" i="2"/>
  <c r="H175" i="2"/>
  <c r="F175" i="2"/>
  <c r="D175" i="2"/>
  <c r="E175" i="2" s="1"/>
  <c r="I174" i="2"/>
  <c r="H174" i="2"/>
  <c r="F174" i="2"/>
  <c r="D174" i="2"/>
  <c r="E174" i="2" s="1"/>
  <c r="I173" i="2"/>
  <c r="H173" i="2"/>
  <c r="F173" i="2"/>
  <c r="D173" i="2"/>
  <c r="E173" i="2" s="1"/>
  <c r="I172" i="2"/>
  <c r="H172" i="2"/>
  <c r="F172" i="2"/>
  <c r="D172" i="2"/>
  <c r="E172" i="2" s="1"/>
  <c r="I171" i="2"/>
  <c r="H171" i="2"/>
  <c r="F171" i="2"/>
  <c r="D171" i="2"/>
  <c r="E171" i="2" s="1"/>
  <c r="I170" i="2"/>
  <c r="H170" i="2"/>
  <c r="F170" i="2"/>
  <c r="D170" i="2"/>
  <c r="E170" i="2" s="1"/>
  <c r="I169" i="2"/>
  <c r="H169" i="2"/>
  <c r="F169" i="2"/>
  <c r="D169" i="2"/>
  <c r="E169" i="2" s="1"/>
  <c r="I168" i="2"/>
  <c r="H168" i="2"/>
  <c r="F168" i="2"/>
  <c r="D168" i="2"/>
  <c r="E168" i="2" s="1"/>
  <c r="J168" i="2" s="1"/>
  <c r="K168" i="2" s="1"/>
  <c r="I167" i="2"/>
  <c r="H167" i="2"/>
  <c r="F167" i="2"/>
  <c r="D167" i="2"/>
  <c r="E167" i="2" s="1"/>
  <c r="I166" i="2"/>
  <c r="H166" i="2"/>
  <c r="F166" i="2"/>
  <c r="D166" i="2"/>
  <c r="E166" i="2" s="1"/>
  <c r="I165" i="2"/>
  <c r="H165" i="2"/>
  <c r="F165" i="2"/>
  <c r="D165" i="2"/>
  <c r="E165" i="2" s="1"/>
  <c r="I164" i="2"/>
  <c r="H164" i="2"/>
  <c r="F164" i="2"/>
  <c r="D164" i="2"/>
  <c r="E164" i="2" s="1"/>
  <c r="I163" i="2"/>
  <c r="H163" i="2"/>
  <c r="F163" i="2"/>
  <c r="D163" i="2"/>
  <c r="E163" i="2" s="1"/>
  <c r="I162" i="2"/>
  <c r="H162" i="2"/>
  <c r="F162" i="2"/>
  <c r="D162" i="2"/>
  <c r="E162" i="2" s="1"/>
  <c r="I161" i="2"/>
  <c r="H161" i="2"/>
  <c r="F161" i="2"/>
  <c r="D161" i="2"/>
  <c r="E161" i="2" s="1"/>
  <c r="I160" i="2"/>
  <c r="H160" i="2"/>
  <c r="F160" i="2"/>
  <c r="D160" i="2"/>
  <c r="E160" i="2" s="1"/>
  <c r="J160" i="2" s="1"/>
  <c r="K160" i="2" s="1"/>
  <c r="I159" i="2"/>
  <c r="H159" i="2"/>
  <c r="F159" i="2"/>
  <c r="D159" i="2"/>
  <c r="E159" i="2" s="1"/>
  <c r="I158" i="2"/>
  <c r="H158" i="2"/>
  <c r="F158" i="2"/>
  <c r="D158" i="2"/>
  <c r="E158" i="2" s="1"/>
  <c r="I157" i="2"/>
  <c r="H157" i="2"/>
  <c r="F157" i="2"/>
  <c r="D157" i="2"/>
  <c r="E157" i="2" s="1"/>
  <c r="I156" i="2"/>
  <c r="H156" i="2"/>
  <c r="F156" i="2"/>
  <c r="D156" i="2"/>
  <c r="E156" i="2" s="1"/>
  <c r="I155" i="2"/>
  <c r="H155" i="2"/>
  <c r="F155" i="2"/>
  <c r="D155" i="2"/>
  <c r="E155" i="2" s="1"/>
  <c r="I154" i="2"/>
  <c r="H154" i="2"/>
  <c r="F154" i="2"/>
  <c r="D154" i="2"/>
  <c r="E154" i="2" s="1"/>
  <c r="I153" i="2"/>
  <c r="H153" i="2"/>
  <c r="F153" i="2"/>
  <c r="D153" i="2"/>
  <c r="E153" i="2" s="1"/>
  <c r="I152" i="2"/>
  <c r="H152" i="2"/>
  <c r="F152" i="2"/>
  <c r="D152" i="2"/>
  <c r="E152" i="2" s="1"/>
  <c r="J152" i="2" s="1"/>
  <c r="K152" i="2" s="1"/>
  <c r="I151" i="2"/>
  <c r="H151" i="2"/>
  <c r="F151" i="2"/>
  <c r="D151" i="2"/>
  <c r="E151" i="2" s="1"/>
  <c r="I150" i="2"/>
  <c r="H150" i="2"/>
  <c r="F150" i="2"/>
  <c r="D150" i="2"/>
  <c r="E150" i="2" s="1"/>
  <c r="I149" i="2"/>
  <c r="H149" i="2"/>
  <c r="F149" i="2"/>
  <c r="D149" i="2"/>
  <c r="E149" i="2" s="1"/>
  <c r="I148" i="2"/>
  <c r="H148" i="2"/>
  <c r="F148" i="2"/>
  <c r="D148" i="2"/>
  <c r="E148" i="2" s="1"/>
  <c r="I147" i="2"/>
  <c r="H147" i="2"/>
  <c r="F147" i="2"/>
  <c r="E147" i="2"/>
  <c r="D147" i="2"/>
  <c r="I146" i="2"/>
  <c r="H146" i="2"/>
  <c r="F146" i="2"/>
  <c r="D146" i="2"/>
  <c r="E146" i="2" s="1"/>
  <c r="I145" i="2"/>
  <c r="H145" i="2"/>
  <c r="F145" i="2"/>
  <c r="D145" i="2"/>
  <c r="E145" i="2" s="1"/>
  <c r="I144" i="2"/>
  <c r="H144" i="2"/>
  <c r="F144" i="2"/>
  <c r="D144" i="2"/>
  <c r="E144" i="2" s="1"/>
  <c r="I143" i="2"/>
  <c r="H143" i="2"/>
  <c r="F143" i="2"/>
  <c r="D143" i="2"/>
  <c r="E143" i="2" s="1"/>
  <c r="I142" i="2"/>
  <c r="H142" i="2"/>
  <c r="F142" i="2"/>
  <c r="D142" i="2"/>
  <c r="E142" i="2" s="1"/>
  <c r="I141" i="2"/>
  <c r="H141" i="2"/>
  <c r="F141" i="2"/>
  <c r="D141" i="2"/>
  <c r="E141" i="2" s="1"/>
  <c r="I140" i="2"/>
  <c r="H140" i="2"/>
  <c r="F140" i="2"/>
  <c r="D140" i="2"/>
  <c r="E140" i="2" s="1"/>
  <c r="I139" i="2"/>
  <c r="H139" i="2"/>
  <c r="F139" i="2"/>
  <c r="D139" i="2"/>
  <c r="E139" i="2" s="1"/>
  <c r="I138" i="2"/>
  <c r="H138" i="2"/>
  <c r="F138" i="2"/>
  <c r="D138" i="2"/>
  <c r="E138" i="2" s="1"/>
  <c r="I137" i="2"/>
  <c r="H137" i="2"/>
  <c r="F137" i="2"/>
  <c r="D137" i="2"/>
  <c r="E137" i="2" s="1"/>
  <c r="I136" i="2"/>
  <c r="H136" i="2"/>
  <c r="F136" i="2"/>
  <c r="D136" i="2"/>
  <c r="E136" i="2" s="1"/>
  <c r="I135" i="2"/>
  <c r="H135" i="2"/>
  <c r="F135" i="2"/>
  <c r="D135" i="2"/>
  <c r="E135" i="2" s="1"/>
  <c r="I134" i="2"/>
  <c r="H134" i="2"/>
  <c r="F134" i="2"/>
  <c r="D134" i="2"/>
  <c r="E134" i="2" s="1"/>
  <c r="I133" i="2"/>
  <c r="H133" i="2"/>
  <c r="F133" i="2"/>
  <c r="D133" i="2"/>
  <c r="E133" i="2" s="1"/>
  <c r="I132" i="2"/>
  <c r="H132" i="2"/>
  <c r="F132" i="2"/>
  <c r="D132" i="2"/>
  <c r="E132" i="2" s="1"/>
  <c r="I131" i="2"/>
  <c r="H131" i="2"/>
  <c r="F131" i="2"/>
  <c r="D131" i="2"/>
  <c r="E131" i="2" s="1"/>
  <c r="I130" i="2"/>
  <c r="H130" i="2"/>
  <c r="F130" i="2"/>
  <c r="D130" i="2"/>
  <c r="E130" i="2" s="1"/>
  <c r="I129" i="2"/>
  <c r="H129" i="2"/>
  <c r="F129" i="2"/>
  <c r="D129" i="2"/>
  <c r="E129" i="2" s="1"/>
  <c r="I128" i="2"/>
  <c r="H128" i="2"/>
  <c r="F128" i="2"/>
  <c r="D128" i="2"/>
  <c r="E128" i="2" s="1"/>
  <c r="I127" i="2"/>
  <c r="H127" i="2"/>
  <c r="F127" i="2"/>
  <c r="D127" i="2"/>
  <c r="E127" i="2" s="1"/>
  <c r="I126" i="2"/>
  <c r="H126" i="2"/>
  <c r="F126" i="2"/>
  <c r="D126" i="2"/>
  <c r="E126" i="2" s="1"/>
  <c r="I125" i="2"/>
  <c r="H125" i="2"/>
  <c r="F125" i="2"/>
  <c r="D125" i="2"/>
  <c r="E125" i="2" s="1"/>
  <c r="I124" i="2"/>
  <c r="H124" i="2"/>
  <c r="F124" i="2"/>
  <c r="D124" i="2"/>
  <c r="E124" i="2" s="1"/>
  <c r="I123" i="2"/>
  <c r="H123" i="2"/>
  <c r="F123" i="2"/>
  <c r="D123" i="2"/>
  <c r="E123" i="2" s="1"/>
  <c r="I122" i="2"/>
  <c r="H122" i="2"/>
  <c r="F122" i="2"/>
  <c r="D122" i="2"/>
  <c r="E122" i="2" s="1"/>
  <c r="I121" i="2"/>
  <c r="H121" i="2"/>
  <c r="F121" i="2"/>
  <c r="D121" i="2"/>
  <c r="E121" i="2" s="1"/>
  <c r="I120" i="2"/>
  <c r="H120" i="2"/>
  <c r="F120" i="2"/>
  <c r="D120" i="2"/>
  <c r="E120" i="2" s="1"/>
  <c r="I119" i="2"/>
  <c r="H119" i="2"/>
  <c r="F119" i="2"/>
  <c r="D119" i="2"/>
  <c r="E119" i="2" s="1"/>
  <c r="I118" i="2"/>
  <c r="H118" i="2"/>
  <c r="F118" i="2"/>
  <c r="D118" i="2"/>
  <c r="E118" i="2" s="1"/>
  <c r="I117" i="2"/>
  <c r="H117" i="2"/>
  <c r="F117" i="2"/>
  <c r="D117" i="2"/>
  <c r="E117" i="2" s="1"/>
  <c r="I116" i="2"/>
  <c r="H116" i="2"/>
  <c r="F116" i="2"/>
  <c r="D116" i="2"/>
  <c r="E116" i="2" s="1"/>
  <c r="I115" i="2"/>
  <c r="H115" i="2"/>
  <c r="F115" i="2"/>
  <c r="D115" i="2"/>
  <c r="E115" i="2" s="1"/>
  <c r="I114" i="2"/>
  <c r="H114" i="2"/>
  <c r="F114" i="2"/>
  <c r="D114" i="2"/>
  <c r="E114" i="2" s="1"/>
  <c r="I113" i="2"/>
  <c r="H113" i="2"/>
  <c r="F113" i="2"/>
  <c r="D113" i="2"/>
  <c r="E113" i="2" s="1"/>
  <c r="I112" i="2"/>
  <c r="H112" i="2"/>
  <c r="F112" i="2"/>
  <c r="D112" i="2"/>
  <c r="E112" i="2" s="1"/>
  <c r="I111" i="2"/>
  <c r="H111" i="2"/>
  <c r="F111" i="2"/>
  <c r="D111" i="2"/>
  <c r="E111" i="2" s="1"/>
  <c r="I110" i="2"/>
  <c r="H110" i="2"/>
  <c r="F110" i="2"/>
  <c r="D110" i="2"/>
  <c r="E110" i="2" s="1"/>
  <c r="I109" i="2"/>
  <c r="H109" i="2"/>
  <c r="F109" i="2"/>
  <c r="D109" i="2"/>
  <c r="E109" i="2" s="1"/>
  <c r="I108" i="2"/>
  <c r="H108" i="2"/>
  <c r="F108" i="2"/>
  <c r="D108" i="2"/>
  <c r="E108" i="2" s="1"/>
  <c r="I107" i="2"/>
  <c r="H107" i="2"/>
  <c r="F107" i="2"/>
  <c r="D107" i="2"/>
  <c r="E107" i="2" s="1"/>
  <c r="I106" i="2"/>
  <c r="H106" i="2"/>
  <c r="F106" i="2"/>
  <c r="D106" i="2"/>
  <c r="E106" i="2" s="1"/>
  <c r="I105" i="2"/>
  <c r="H105" i="2"/>
  <c r="F105" i="2"/>
  <c r="D105" i="2"/>
  <c r="E105" i="2" s="1"/>
  <c r="I104" i="2"/>
  <c r="H104" i="2"/>
  <c r="F104" i="2"/>
  <c r="D104" i="2"/>
  <c r="E104" i="2" s="1"/>
  <c r="I103" i="2"/>
  <c r="H103" i="2"/>
  <c r="F103" i="2"/>
  <c r="D103" i="2"/>
  <c r="E103" i="2" s="1"/>
  <c r="I102" i="2"/>
  <c r="H102" i="2"/>
  <c r="F102" i="2"/>
  <c r="D102" i="2"/>
  <c r="E102" i="2" s="1"/>
  <c r="I101" i="2"/>
  <c r="H101" i="2"/>
  <c r="F101" i="2"/>
  <c r="D101" i="2"/>
  <c r="E101" i="2" s="1"/>
  <c r="I100" i="2"/>
  <c r="H100" i="2"/>
  <c r="F100" i="2"/>
  <c r="D100" i="2"/>
  <c r="E100" i="2" s="1"/>
  <c r="I99" i="2"/>
  <c r="H99" i="2"/>
  <c r="F99" i="2"/>
  <c r="D99" i="2"/>
  <c r="E99" i="2" s="1"/>
  <c r="I98" i="2"/>
  <c r="H98" i="2"/>
  <c r="F98" i="2"/>
  <c r="D98" i="2"/>
  <c r="E98" i="2" s="1"/>
  <c r="I97" i="2"/>
  <c r="H97" i="2"/>
  <c r="F97" i="2"/>
  <c r="D97" i="2"/>
  <c r="E97" i="2" s="1"/>
  <c r="I96" i="2"/>
  <c r="H96" i="2"/>
  <c r="F96" i="2"/>
  <c r="D96" i="2"/>
  <c r="E96" i="2" s="1"/>
  <c r="I95" i="2"/>
  <c r="H95" i="2"/>
  <c r="F95" i="2"/>
  <c r="D95" i="2"/>
  <c r="E95" i="2" s="1"/>
  <c r="I94" i="2"/>
  <c r="H94" i="2"/>
  <c r="F94" i="2"/>
  <c r="D94" i="2"/>
  <c r="E94" i="2" s="1"/>
  <c r="I93" i="2"/>
  <c r="H93" i="2"/>
  <c r="F93" i="2"/>
  <c r="D93" i="2"/>
  <c r="E93" i="2" s="1"/>
  <c r="I92" i="2"/>
  <c r="H92" i="2"/>
  <c r="F92" i="2"/>
  <c r="D92" i="2"/>
  <c r="E92" i="2" s="1"/>
  <c r="I91" i="2"/>
  <c r="H91" i="2"/>
  <c r="F91" i="2"/>
  <c r="D91" i="2"/>
  <c r="E91" i="2" s="1"/>
  <c r="I90" i="2"/>
  <c r="H90" i="2"/>
  <c r="F90" i="2"/>
  <c r="D90" i="2"/>
  <c r="E90" i="2" s="1"/>
  <c r="I89" i="2"/>
  <c r="H89" i="2"/>
  <c r="F89" i="2"/>
  <c r="D89" i="2"/>
  <c r="E89" i="2" s="1"/>
  <c r="I88" i="2"/>
  <c r="H88" i="2"/>
  <c r="F88" i="2"/>
  <c r="D88" i="2"/>
  <c r="E88" i="2" s="1"/>
  <c r="I87" i="2"/>
  <c r="H87" i="2"/>
  <c r="F87" i="2"/>
  <c r="D87" i="2"/>
  <c r="E87" i="2" s="1"/>
  <c r="I86" i="2"/>
  <c r="H86" i="2"/>
  <c r="F86" i="2"/>
  <c r="D86" i="2"/>
  <c r="E86" i="2" s="1"/>
  <c r="I85" i="2"/>
  <c r="H85" i="2"/>
  <c r="F85" i="2"/>
  <c r="D85" i="2"/>
  <c r="E85" i="2" s="1"/>
  <c r="I84" i="2"/>
  <c r="H84" i="2"/>
  <c r="F84" i="2"/>
  <c r="D84" i="2"/>
  <c r="E84" i="2" s="1"/>
  <c r="I83" i="2"/>
  <c r="H83" i="2"/>
  <c r="F83" i="2"/>
  <c r="D83" i="2"/>
  <c r="E83" i="2" s="1"/>
  <c r="I82" i="2"/>
  <c r="H82" i="2"/>
  <c r="F82" i="2"/>
  <c r="D82" i="2"/>
  <c r="E82" i="2" s="1"/>
  <c r="I81" i="2"/>
  <c r="H81" i="2"/>
  <c r="F81" i="2"/>
  <c r="D81" i="2"/>
  <c r="E81" i="2" s="1"/>
  <c r="I80" i="2"/>
  <c r="H80" i="2"/>
  <c r="F80" i="2"/>
  <c r="D80" i="2"/>
  <c r="E80" i="2" s="1"/>
  <c r="I79" i="2"/>
  <c r="H79" i="2"/>
  <c r="F79" i="2"/>
  <c r="D79" i="2"/>
  <c r="E79" i="2" s="1"/>
  <c r="I78" i="2"/>
  <c r="H78" i="2"/>
  <c r="F78" i="2"/>
  <c r="D78" i="2"/>
  <c r="E78" i="2" s="1"/>
  <c r="I77" i="2"/>
  <c r="H77" i="2"/>
  <c r="F77" i="2"/>
  <c r="D77" i="2"/>
  <c r="E77" i="2" s="1"/>
  <c r="I76" i="2"/>
  <c r="H76" i="2"/>
  <c r="F76" i="2"/>
  <c r="D76" i="2"/>
  <c r="E76" i="2" s="1"/>
  <c r="I75" i="2"/>
  <c r="H75" i="2"/>
  <c r="F75" i="2"/>
  <c r="D75" i="2"/>
  <c r="E75" i="2" s="1"/>
  <c r="I74" i="2"/>
  <c r="H74" i="2"/>
  <c r="F74" i="2"/>
  <c r="D74" i="2"/>
  <c r="E74" i="2" s="1"/>
  <c r="I73" i="2"/>
  <c r="J73" i="2" s="1"/>
  <c r="K73" i="2" s="1"/>
  <c r="H73" i="2"/>
  <c r="F73" i="2"/>
  <c r="D73" i="2"/>
  <c r="E73" i="2" s="1"/>
  <c r="I72" i="2"/>
  <c r="H72" i="2"/>
  <c r="F72" i="2"/>
  <c r="D72" i="2"/>
  <c r="E72" i="2" s="1"/>
  <c r="I71" i="2"/>
  <c r="H71" i="2"/>
  <c r="F71" i="2"/>
  <c r="D71" i="2"/>
  <c r="E71" i="2" s="1"/>
  <c r="I70" i="2"/>
  <c r="H70" i="2"/>
  <c r="F70" i="2"/>
  <c r="D70" i="2"/>
  <c r="E70" i="2" s="1"/>
  <c r="I69" i="2"/>
  <c r="H69" i="2"/>
  <c r="F69" i="2"/>
  <c r="D69" i="2"/>
  <c r="E69" i="2" s="1"/>
  <c r="I68" i="2"/>
  <c r="H68" i="2"/>
  <c r="F68" i="2"/>
  <c r="D68" i="2"/>
  <c r="E68" i="2" s="1"/>
  <c r="I67" i="2"/>
  <c r="H67" i="2"/>
  <c r="F67" i="2"/>
  <c r="D67" i="2"/>
  <c r="E67" i="2" s="1"/>
  <c r="I66" i="2"/>
  <c r="H66" i="2"/>
  <c r="F66" i="2"/>
  <c r="D66" i="2"/>
  <c r="E66" i="2" s="1"/>
  <c r="I65" i="2"/>
  <c r="H65" i="2"/>
  <c r="F65" i="2"/>
  <c r="D65" i="2"/>
  <c r="E65" i="2" s="1"/>
  <c r="I64" i="2"/>
  <c r="H64" i="2"/>
  <c r="F64" i="2"/>
  <c r="D64" i="2"/>
  <c r="E64" i="2" s="1"/>
  <c r="I63" i="2"/>
  <c r="H63" i="2"/>
  <c r="F63" i="2"/>
  <c r="D63" i="2"/>
  <c r="E63" i="2" s="1"/>
  <c r="I62" i="2"/>
  <c r="H62" i="2"/>
  <c r="F62" i="2"/>
  <c r="D62" i="2"/>
  <c r="E62" i="2" s="1"/>
  <c r="I61" i="2"/>
  <c r="H61" i="2"/>
  <c r="F61" i="2"/>
  <c r="D61" i="2"/>
  <c r="E61" i="2" s="1"/>
  <c r="I60" i="2"/>
  <c r="H60" i="2"/>
  <c r="F60" i="2"/>
  <c r="D60" i="2"/>
  <c r="E60" i="2" s="1"/>
  <c r="I59" i="2"/>
  <c r="H59" i="2"/>
  <c r="F59" i="2"/>
  <c r="D59" i="2"/>
  <c r="E59" i="2" s="1"/>
  <c r="I58" i="2"/>
  <c r="H58" i="2"/>
  <c r="F58" i="2"/>
  <c r="D58" i="2"/>
  <c r="E58" i="2" s="1"/>
  <c r="I57" i="2"/>
  <c r="H57" i="2"/>
  <c r="F57" i="2"/>
  <c r="D57" i="2"/>
  <c r="E57" i="2" s="1"/>
  <c r="I56" i="2"/>
  <c r="H56" i="2"/>
  <c r="F56" i="2"/>
  <c r="D56" i="2"/>
  <c r="E56" i="2" s="1"/>
  <c r="I55" i="2"/>
  <c r="H55" i="2"/>
  <c r="F55" i="2"/>
  <c r="D55" i="2"/>
  <c r="E55" i="2" s="1"/>
  <c r="I54" i="2"/>
  <c r="H54" i="2"/>
  <c r="F54" i="2"/>
  <c r="D54" i="2"/>
  <c r="E54" i="2" s="1"/>
  <c r="I53" i="2"/>
  <c r="J53" i="2" s="1"/>
  <c r="K53" i="2" s="1"/>
  <c r="H53" i="2"/>
  <c r="F53" i="2"/>
  <c r="D53" i="2"/>
  <c r="E53" i="2" s="1"/>
  <c r="I52" i="2"/>
  <c r="H52" i="2"/>
  <c r="F52" i="2"/>
  <c r="D52" i="2"/>
  <c r="E52" i="2" s="1"/>
  <c r="I51" i="2"/>
  <c r="H51" i="2"/>
  <c r="F51" i="2"/>
  <c r="D51" i="2"/>
  <c r="E51" i="2" s="1"/>
  <c r="I50" i="2"/>
  <c r="H50" i="2"/>
  <c r="F50" i="2"/>
  <c r="D50" i="2"/>
  <c r="E50" i="2" s="1"/>
  <c r="I49" i="2"/>
  <c r="H49" i="2"/>
  <c r="F49" i="2"/>
  <c r="D49" i="2"/>
  <c r="E49" i="2" s="1"/>
  <c r="I48" i="2"/>
  <c r="H48" i="2"/>
  <c r="F48" i="2"/>
  <c r="D48" i="2"/>
  <c r="E48" i="2" s="1"/>
  <c r="I47" i="2"/>
  <c r="H47" i="2"/>
  <c r="F47" i="2"/>
  <c r="D47" i="2"/>
  <c r="E47" i="2" s="1"/>
  <c r="I46" i="2"/>
  <c r="H46" i="2"/>
  <c r="F46" i="2"/>
  <c r="D46" i="2"/>
  <c r="E46" i="2" s="1"/>
  <c r="I45" i="2"/>
  <c r="H45" i="2"/>
  <c r="F45" i="2"/>
  <c r="D45" i="2"/>
  <c r="E45" i="2" s="1"/>
  <c r="I44" i="2"/>
  <c r="H44" i="2"/>
  <c r="F44" i="2"/>
  <c r="D44" i="2"/>
  <c r="E44" i="2" s="1"/>
  <c r="I43" i="2"/>
  <c r="H43" i="2"/>
  <c r="F43" i="2"/>
  <c r="D43" i="2"/>
  <c r="E43" i="2" s="1"/>
  <c r="I42" i="2"/>
  <c r="H42" i="2"/>
  <c r="F42" i="2"/>
  <c r="D42" i="2"/>
  <c r="E42" i="2" s="1"/>
  <c r="I41" i="2"/>
  <c r="H41" i="2"/>
  <c r="F41" i="2"/>
  <c r="D41" i="2"/>
  <c r="E41" i="2" s="1"/>
  <c r="I40" i="2"/>
  <c r="H40" i="2"/>
  <c r="F40" i="2"/>
  <c r="D40" i="2"/>
  <c r="E40" i="2" s="1"/>
  <c r="I39" i="2"/>
  <c r="H39" i="2"/>
  <c r="F39" i="2"/>
  <c r="D39" i="2"/>
  <c r="E39" i="2" s="1"/>
  <c r="I38" i="2"/>
  <c r="H38" i="2"/>
  <c r="F38" i="2"/>
  <c r="D38" i="2"/>
  <c r="E38" i="2" s="1"/>
  <c r="I37" i="2"/>
  <c r="H37" i="2"/>
  <c r="F37" i="2"/>
  <c r="D37" i="2"/>
  <c r="E37" i="2" s="1"/>
  <c r="I36" i="2"/>
  <c r="H36" i="2"/>
  <c r="F36" i="2"/>
  <c r="D36" i="2"/>
  <c r="E36" i="2" s="1"/>
  <c r="I35" i="2"/>
  <c r="H35" i="2"/>
  <c r="F35" i="2"/>
  <c r="D35" i="2"/>
  <c r="E35" i="2" s="1"/>
  <c r="I34" i="2"/>
  <c r="H34" i="2"/>
  <c r="F34" i="2"/>
  <c r="D34" i="2"/>
  <c r="E34" i="2" s="1"/>
  <c r="I33" i="2"/>
  <c r="H33" i="2"/>
  <c r="F33" i="2"/>
  <c r="D33" i="2"/>
  <c r="E33" i="2" s="1"/>
  <c r="I32" i="2"/>
  <c r="H32" i="2"/>
  <c r="F32" i="2"/>
  <c r="D32" i="2"/>
  <c r="E32" i="2" s="1"/>
  <c r="I31" i="2"/>
  <c r="H31" i="2"/>
  <c r="F31" i="2"/>
  <c r="D31" i="2"/>
  <c r="E31" i="2" s="1"/>
  <c r="I30" i="2"/>
  <c r="H30" i="2"/>
  <c r="F30" i="2"/>
  <c r="D30" i="2"/>
  <c r="E30" i="2" s="1"/>
  <c r="I29" i="2"/>
  <c r="H29" i="2"/>
  <c r="F29" i="2"/>
  <c r="D29" i="2"/>
  <c r="E29" i="2" s="1"/>
  <c r="I28" i="2"/>
  <c r="H28" i="2"/>
  <c r="F28" i="2"/>
  <c r="D28" i="2"/>
  <c r="E28" i="2" s="1"/>
  <c r="I27" i="2"/>
  <c r="H27" i="2"/>
  <c r="F27" i="2"/>
  <c r="D27" i="2"/>
  <c r="E27" i="2" s="1"/>
  <c r="I26" i="2"/>
  <c r="H26" i="2"/>
  <c r="F26" i="2"/>
  <c r="D26" i="2"/>
  <c r="E26" i="2" s="1"/>
  <c r="I25" i="2"/>
  <c r="H25" i="2"/>
  <c r="F25" i="2"/>
  <c r="D25" i="2"/>
  <c r="E25" i="2" s="1"/>
  <c r="I24" i="2"/>
  <c r="H24" i="2"/>
  <c r="F24" i="2"/>
  <c r="D24" i="2"/>
  <c r="E24" i="2" s="1"/>
  <c r="I23" i="2"/>
  <c r="H23" i="2"/>
  <c r="F23" i="2"/>
  <c r="D23" i="2"/>
  <c r="E23" i="2" s="1"/>
  <c r="I22" i="2"/>
  <c r="H22" i="2"/>
  <c r="F22" i="2"/>
  <c r="D22" i="2"/>
  <c r="E22" i="2" s="1"/>
  <c r="I21" i="2"/>
  <c r="H21" i="2"/>
  <c r="F21" i="2"/>
  <c r="D21" i="2"/>
  <c r="E21" i="2" s="1"/>
  <c r="I20" i="2"/>
  <c r="H20" i="2"/>
  <c r="F20" i="2"/>
  <c r="D20" i="2"/>
  <c r="E20" i="2" s="1"/>
  <c r="I19" i="2"/>
  <c r="H19" i="2"/>
  <c r="F19" i="2"/>
  <c r="D19" i="2"/>
  <c r="E19" i="2" s="1"/>
  <c r="I18" i="2"/>
  <c r="H18" i="2"/>
  <c r="F18" i="2"/>
  <c r="D18" i="2"/>
  <c r="E18" i="2" s="1"/>
  <c r="I17" i="2"/>
  <c r="H17" i="2"/>
  <c r="F17" i="2"/>
  <c r="D17" i="2"/>
  <c r="E17" i="2" s="1"/>
  <c r="I16" i="2"/>
  <c r="H16" i="2"/>
  <c r="F16" i="2"/>
  <c r="D16" i="2"/>
  <c r="E16" i="2" s="1"/>
  <c r="I15" i="2"/>
  <c r="H15" i="2"/>
  <c r="F15" i="2"/>
  <c r="D15" i="2"/>
  <c r="E15" i="2" s="1"/>
  <c r="I14" i="2"/>
  <c r="H14" i="2"/>
  <c r="F14" i="2"/>
  <c r="D14" i="2"/>
  <c r="E14" i="2" s="1"/>
  <c r="I13" i="2"/>
  <c r="H13" i="2"/>
  <c r="F13" i="2"/>
  <c r="D13" i="2"/>
  <c r="E13" i="2" s="1"/>
  <c r="I12" i="2"/>
  <c r="H12" i="2"/>
  <c r="F12" i="2"/>
  <c r="D12" i="2"/>
  <c r="E12" i="2" s="1"/>
  <c r="I11" i="2"/>
  <c r="H11" i="2"/>
  <c r="F11" i="2"/>
  <c r="D11" i="2"/>
  <c r="E11" i="2" s="1"/>
  <c r="I10" i="2"/>
  <c r="H10" i="2"/>
  <c r="F10" i="2"/>
  <c r="D10" i="2"/>
  <c r="E10" i="2" s="1"/>
  <c r="I9" i="2"/>
  <c r="H9" i="2"/>
  <c r="F9" i="2"/>
  <c r="D9" i="2"/>
  <c r="E9" i="2" s="1"/>
  <c r="I8" i="2"/>
  <c r="H8" i="2"/>
  <c r="F8" i="2"/>
  <c r="D8" i="2"/>
  <c r="E8" i="2" s="1"/>
  <c r="I7" i="2"/>
  <c r="H7" i="2"/>
  <c r="F7" i="2"/>
  <c r="D7" i="2"/>
  <c r="E7" i="2" s="1"/>
  <c r="I6" i="2"/>
  <c r="H6" i="2"/>
  <c r="F6" i="2"/>
  <c r="D6" i="2"/>
  <c r="E6" i="2" s="1"/>
  <c r="I5" i="2"/>
  <c r="H5" i="2"/>
  <c r="F5" i="2"/>
  <c r="D5" i="2"/>
  <c r="E5" i="2" s="1"/>
  <c r="I4" i="2"/>
  <c r="H4" i="2"/>
  <c r="F4" i="2"/>
  <c r="D4" i="2"/>
  <c r="E4" i="2" s="1"/>
  <c r="I3" i="2"/>
  <c r="H3" i="2"/>
  <c r="F3" i="2"/>
  <c r="D3" i="2"/>
  <c r="E3" i="2" s="1"/>
  <c r="I2" i="2"/>
  <c r="H2" i="2"/>
  <c r="D2" i="2"/>
  <c r="E2" i="2" s="1"/>
  <c r="J203" i="2" l="1"/>
  <c r="K203" i="2" s="1"/>
  <c r="J259" i="2"/>
  <c r="K259" i="2" s="1"/>
  <c r="J2505" i="2"/>
  <c r="K2505" i="2" s="1"/>
  <c r="J2507" i="2"/>
  <c r="K2507" i="2" s="1"/>
  <c r="J3127" i="2"/>
  <c r="K3127" i="2" s="1"/>
  <c r="J213" i="2"/>
  <c r="K213" i="2" s="1"/>
  <c r="J172" i="2"/>
  <c r="K172" i="2" s="1"/>
  <c r="J174" i="2"/>
  <c r="K174" i="2" s="1"/>
  <c r="M174" i="2" s="1"/>
  <c r="N174" i="2" s="1"/>
  <c r="O174" i="2" s="1"/>
  <c r="J260" i="2"/>
  <c r="K260" i="2" s="1"/>
  <c r="J262" i="2"/>
  <c r="K262" i="2" s="1"/>
  <c r="J268" i="2"/>
  <c r="K268" i="2" s="1"/>
  <c r="M268" i="2" s="1"/>
  <c r="N268" i="2" s="1"/>
  <c r="O268" i="2" s="1"/>
  <c r="J276" i="2"/>
  <c r="K276" i="2" s="1"/>
  <c r="J491" i="2"/>
  <c r="K491" i="2" s="1"/>
  <c r="J505" i="2"/>
  <c r="K505" i="2" s="1"/>
  <c r="J545" i="2"/>
  <c r="K545" i="2" s="1"/>
  <c r="J644" i="2"/>
  <c r="K644" i="2" s="1"/>
  <c r="J891" i="2"/>
  <c r="K891" i="2" s="1"/>
  <c r="J1026" i="2"/>
  <c r="K1026" i="2" s="1"/>
  <c r="J1034" i="2"/>
  <c r="K1034" i="2" s="1"/>
  <c r="J1042" i="2"/>
  <c r="K1042" i="2" s="1"/>
  <c r="J1050" i="2"/>
  <c r="K1050" i="2" s="1"/>
  <c r="J1271" i="2"/>
  <c r="K1271" i="2" s="1"/>
  <c r="J1401" i="2"/>
  <c r="K1401" i="2" s="1"/>
  <c r="J1405" i="2"/>
  <c r="K1405" i="2" s="1"/>
  <c r="M1405" i="2" s="1"/>
  <c r="N1405" i="2" s="1"/>
  <c r="O1405" i="2" s="1"/>
  <c r="J1516" i="2"/>
  <c r="K1516" i="2" s="1"/>
  <c r="J1518" i="2"/>
  <c r="K1518" i="2" s="1"/>
  <c r="J1702" i="2"/>
  <c r="K1702" i="2" s="1"/>
  <c r="J1757" i="2"/>
  <c r="K1757" i="2" s="1"/>
  <c r="J1765" i="2"/>
  <c r="K1765" i="2" s="1"/>
  <c r="J1777" i="2"/>
  <c r="K1777" i="2" s="1"/>
  <c r="J1869" i="2"/>
  <c r="K1869" i="2" s="1"/>
  <c r="M1869" i="2" s="1"/>
  <c r="N1869" i="2" s="1"/>
  <c r="O1869" i="2" s="1"/>
  <c r="J1871" i="2"/>
  <c r="K1871" i="2" s="1"/>
  <c r="J1992" i="2"/>
  <c r="K1992" i="2" s="1"/>
  <c r="J1994" i="2"/>
  <c r="K1994" i="2" s="1"/>
  <c r="J2057" i="2"/>
  <c r="K2057" i="2" s="1"/>
  <c r="J2203" i="2"/>
  <c r="K2203" i="2" s="1"/>
  <c r="J2533" i="2"/>
  <c r="K2533" i="2" s="1"/>
  <c r="J2658" i="2"/>
  <c r="K2658" i="2" s="1"/>
  <c r="J2660" i="2"/>
  <c r="K2660" i="2" s="1"/>
  <c r="J2707" i="2"/>
  <c r="K2707" i="2" s="1"/>
  <c r="J2709" i="2"/>
  <c r="K2709" i="2" s="1"/>
  <c r="J2825" i="2"/>
  <c r="K2825" i="2" s="1"/>
  <c r="J2851" i="2"/>
  <c r="K2851" i="2" s="1"/>
  <c r="J2857" i="2"/>
  <c r="K2857" i="2" s="1"/>
  <c r="J2875" i="2"/>
  <c r="K2875" i="2" s="1"/>
  <c r="J2881" i="2"/>
  <c r="K2881" i="2" s="1"/>
  <c r="J585" i="2"/>
  <c r="K585" i="2" s="1"/>
  <c r="J1371" i="2"/>
  <c r="K1371" i="2" s="1"/>
  <c r="J1676" i="2"/>
  <c r="K1676" i="2" s="1"/>
  <c r="J2924" i="2"/>
  <c r="K2924" i="2" s="1"/>
  <c r="J3019" i="2"/>
  <c r="K3019" i="2" s="1"/>
  <c r="J3094" i="2"/>
  <c r="K3094" i="2" s="1"/>
  <c r="J52" i="2"/>
  <c r="K52" i="2" s="1"/>
  <c r="J60" i="2"/>
  <c r="K60" i="2" s="1"/>
  <c r="J140" i="2"/>
  <c r="K140" i="2" s="1"/>
  <c r="M140" i="2" s="1"/>
  <c r="N140" i="2" s="1"/>
  <c r="O140" i="2" s="1"/>
  <c r="J142" i="2"/>
  <c r="K142" i="2" s="1"/>
  <c r="J376" i="2"/>
  <c r="K376" i="2" s="1"/>
  <c r="J388" i="2"/>
  <c r="K388" i="2" s="1"/>
  <c r="J392" i="2"/>
  <c r="K392" i="2" s="1"/>
  <c r="J400" i="2"/>
  <c r="K400" i="2" s="1"/>
  <c r="J406" i="2"/>
  <c r="K406" i="2" s="1"/>
  <c r="J448" i="2"/>
  <c r="K448" i="2" s="1"/>
  <c r="J452" i="2"/>
  <c r="K452" i="2" s="1"/>
  <c r="J484" i="2"/>
  <c r="K484" i="2" s="1"/>
  <c r="J13" i="2"/>
  <c r="K13" i="2" s="1"/>
  <c r="J17" i="2"/>
  <c r="K17" i="2" s="1"/>
  <c r="J723" i="2"/>
  <c r="K723" i="2" s="1"/>
  <c r="J725" i="2"/>
  <c r="K725" i="2" s="1"/>
  <c r="J1159" i="2"/>
  <c r="K1159" i="2" s="1"/>
  <c r="J1429" i="2"/>
  <c r="K1429" i="2" s="1"/>
  <c r="J1433" i="2"/>
  <c r="K1433" i="2" s="1"/>
  <c r="J1667" i="2"/>
  <c r="K1667" i="2" s="1"/>
  <c r="J1851" i="2"/>
  <c r="K1851" i="2" s="1"/>
  <c r="J2185" i="2"/>
  <c r="K2185" i="2" s="1"/>
  <c r="J2436" i="2"/>
  <c r="K2436" i="2" s="1"/>
  <c r="J298" i="2"/>
  <c r="K298" i="2" s="1"/>
  <c r="J302" i="2"/>
  <c r="K302" i="2" s="1"/>
  <c r="J812" i="2"/>
  <c r="K812" i="2" s="1"/>
  <c r="J820" i="2"/>
  <c r="K820" i="2" s="1"/>
  <c r="M820" i="2" s="1"/>
  <c r="N820" i="2" s="1"/>
  <c r="O820" i="2" s="1"/>
  <c r="J828" i="2"/>
  <c r="K828" i="2" s="1"/>
  <c r="J1015" i="2"/>
  <c r="K1015" i="2" s="1"/>
  <c r="J1112" i="2"/>
  <c r="K1112" i="2" s="1"/>
  <c r="J1465" i="2"/>
  <c r="K1465" i="2" s="1"/>
  <c r="J1473" i="2"/>
  <c r="K1473" i="2" s="1"/>
  <c r="J1477" i="2"/>
  <c r="K1477" i="2" s="1"/>
  <c r="J1485" i="2"/>
  <c r="K1485" i="2" s="1"/>
  <c r="J1683" i="2"/>
  <c r="K1683" i="2" s="1"/>
  <c r="J1800" i="2"/>
  <c r="K1800" i="2" s="1"/>
  <c r="J2766" i="2"/>
  <c r="K2766" i="2" s="1"/>
  <c r="J2927" i="2"/>
  <c r="K2927" i="2" s="1"/>
  <c r="J2929" i="2"/>
  <c r="K2929" i="2" s="1"/>
  <c r="J2937" i="2"/>
  <c r="K2937" i="2" s="1"/>
  <c r="J3044" i="2"/>
  <c r="K3044" i="2" s="1"/>
  <c r="J510" i="2"/>
  <c r="K510" i="2" s="1"/>
  <c r="J516" i="2"/>
  <c r="K516" i="2" s="1"/>
  <c r="M516" i="2" s="1"/>
  <c r="N516" i="2" s="1"/>
  <c r="O516" i="2" s="1"/>
  <c r="J624" i="2"/>
  <c r="K624" i="2" s="1"/>
  <c r="J647" i="2"/>
  <c r="K647" i="2" s="1"/>
  <c r="J667" i="2"/>
  <c r="K667" i="2" s="1"/>
  <c r="J790" i="2"/>
  <c r="K790" i="2" s="1"/>
  <c r="J894" i="2"/>
  <c r="K894" i="2" s="1"/>
  <c r="J898" i="2"/>
  <c r="K898" i="2" s="1"/>
  <c r="J926" i="2"/>
  <c r="K926" i="2" s="1"/>
  <c r="J1023" i="2"/>
  <c r="K1023" i="2" s="1"/>
  <c r="J1031" i="2"/>
  <c r="K1031" i="2" s="1"/>
  <c r="J1638" i="2"/>
  <c r="K1638" i="2" s="1"/>
  <c r="J1758" i="2"/>
  <c r="K1758" i="2" s="1"/>
  <c r="J1762" i="2"/>
  <c r="K1762" i="2" s="1"/>
  <c r="J1872" i="2"/>
  <c r="K1872" i="2" s="1"/>
  <c r="J1917" i="2"/>
  <c r="K1917" i="2" s="1"/>
  <c r="J1973" i="2"/>
  <c r="K1973" i="2" s="1"/>
  <c r="J2551" i="2"/>
  <c r="K2551" i="2" s="1"/>
  <c r="J3215" i="2"/>
  <c r="K3215" i="2" s="1"/>
  <c r="J2613" i="2"/>
  <c r="K2613" i="2" s="1"/>
  <c r="J2619" i="2"/>
  <c r="K2619" i="2" s="1"/>
  <c r="J312" i="2"/>
  <c r="K312" i="2" s="1"/>
  <c r="J315" i="2"/>
  <c r="K315" i="2" s="1"/>
  <c r="M452" i="2"/>
  <c r="N452" i="2" s="1"/>
  <c r="O452" i="2" s="1"/>
  <c r="J537" i="2"/>
  <c r="K537" i="2" s="1"/>
  <c r="J115" i="2"/>
  <c r="K115" i="2" s="1"/>
  <c r="M369" i="2"/>
  <c r="N369" i="2" s="1"/>
  <c r="O369" i="2" s="1"/>
  <c r="M99" i="2"/>
  <c r="N99" i="2" s="1"/>
  <c r="O99" i="2" s="1"/>
  <c r="J131" i="2"/>
  <c r="K131" i="2" s="1"/>
  <c r="M192" i="2"/>
  <c r="N192" i="2" s="1"/>
  <c r="O192" i="2" s="1"/>
  <c r="M202" i="2"/>
  <c r="N202" i="2" s="1"/>
  <c r="O202" i="2" s="1"/>
  <c r="M395" i="2"/>
  <c r="N395" i="2" s="1"/>
  <c r="O395" i="2" s="1"/>
  <c r="J490" i="2"/>
  <c r="K490" i="2" s="1"/>
  <c r="J492" i="2"/>
  <c r="K492" i="2" s="1"/>
  <c r="J520" i="2"/>
  <c r="K520" i="2" s="1"/>
  <c r="M520" i="2" s="1"/>
  <c r="N520" i="2" s="1"/>
  <c r="O520" i="2" s="1"/>
  <c r="J401" i="2"/>
  <c r="K401" i="2" s="1"/>
  <c r="J403" i="2"/>
  <c r="K403" i="2" s="1"/>
  <c r="J92" i="2"/>
  <c r="K92" i="2" s="1"/>
  <c r="J108" i="2"/>
  <c r="K108" i="2" s="1"/>
  <c r="J120" i="2"/>
  <c r="K120" i="2" s="1"/>
  <c r="J145" i="2"/>
  <c r="K145" i="2" s="1"/>
  <c r="M260" i="2"/>
  <c r="N260" i="2" s="1"/>
  <c r="O260" i="2" s="1"/>
  <c r="J2" i="2"/>
  <c r="K2" i="2" s="1"/>
  <c r="M26" i="2"/>
  <c r="N26" i="2" s="1"/>
  <c r="O26" i="2" s="1"/>
  <c r="J161" i="2"/>
  <c r="K161" i="2" s="1"/>
  <c r="M161" i="2" s="1"/>
  <c r="N161" i="2" s="1"/>
  <c r="O161" i="2" s="1"/>
  <c r="M195" i="2"/>
  <c r="N195" i="2" s="1"/>
  <c r="O195" i="2" s="1"/>
  <c r="J424" i="2"/>
  <c r="K424" i="2" s="1"/>
  <c r="J568" i="2"/>
  <c r="K568" i="2" s="1"/>
  <c r="J570" i="2"/>
  <c r="K570" i="2" s="1"/>
  <c r="M570" i="2" s="1"/>
  <c r="N570" i="2" s="1"/>
  <c r="O570" i="2" s="1"/>
  <c r="J576" i="2"/>
  <c r="K576" i="2" s="1"/>
  <c r="J578" i="2"/>
  <c r="K578" i="2" s="1"/>
  <c r="J346" i="2"/>
  <c r="K346" i="2" s="1"/>
  <c r="J366" i="2"/>
  <c r="K366" i="2" s="1"/>
  <c r="J368" i="2"/>
  <c r="K368" i="2" s="1"/>
  <c r="M388" i="2"/>
  <c r="N388" i="2" s="1"/>
  <c r="O388" i="2" s="1"/>
  <c r="J660" i="2"/>
  <c r="K660" i="2" s="1"/>
  <c r="M660" i="2" s="1"/>
  <c r="N660" i="2" s="1"/>
  <c r="O660" i="2" s="1"/>
  <c r="J1093" i="2"/>
  <c r="K1093" i="2" s="1"/>
  <c r="M1140" i="2"/>
  <c r="N1140" i="2" s="1"/>
  <c r="O1140" i="2" s="1"/>
  <c r="J1153" i="2"/>
  <c r="K1153" i="2" s="1"/>
  <c r="J1472" i="2"/>
  <c r="K1472" i="2" s="1"/>
  <c r="J1628" i="2"/>
  <c r="K1628" i="2" s="1"/>
  <c r="J617" i="2"/>
  <c r="K617" i="2" s="1"/>
  <c r="M684" i="2"/>
  <c r="N684" i="2" s="1"/>
  <c r="O684" i="2" s="1"/>
  <c r="J772" i="2"/>
  <c r="K772" i="2" s="1"/>
  <c r="J776" i="2"/>
  <c r="K776" i="2" s="1"/>
  <c r="J870" i="2"/>
  <c r="K870" i="2" s="1"/>
  <c r="J914" i="2"/>
  <c r="K914" i="2" s="1"/>
  <c r="J922" i="2"/>
  <c r="K922" i="2" s="1"/>
  <c r="M1223" i="2"/>
  <c r="N1223" i="2" s="1"/>
  <c r="O1223" i="2" s="1"/>
  <c r="J1246" i="2"/>
  <c r="K1246" i="2" s="1"/>
  <c r="J1295" i="2"/>
  <c r="K1295" i="2" s="1"/>
  <c r="J1300" i="2"/>
  <c r="K1300" i="2" s="1"/>
  <c r="J1383" i="2"/>
  <c r="K1383" i="2" s="1"/>
  <c r="J1387" i="2"/>
  <c r="K1387" i="2" s="1"/>
  <c r="J1484" i="2"/>
  <c r="K1484" i="2" s="1"/>
  <c r="J497" i="2"/>
  <c r="K497" i="2" s="1"/>
  <c r="J556" i="2"/>
  <c r="K556" i="2" s="1"/>
  <c r="M556" i="2" s="1"/>
  <c r="N556" i="2" s="1"/>
  <c r="O556" i="2" s="1"/>
  <c r="J588" i="2"/>
  <c r="K588" i="2" s="1"/>
  <c r="J592" i="2"/>
  <c r="K592" i="2" s="1"/>
  <c r="J596" i="2"/>
  <c r="K596" i="2" s="1"/>
  <c r="J696" i="2"/>
  <c r="K696" i="2" s="1"/>
  <c r="J751" i="2"/>
  <c r="K751" i="2" s="1"/>
  <c r="M924" i="2"/>
  <c r="N924" i="2" s="1"/>
  <c r="O924" i="2" s="1"/>
  <c r="J1094" i="2"/>
  <c r="K1094" i="2" s="1"/>
  <c r="J1098" i="2"/>
  <c r="K1098" i="2" s="1"/>
  <c r="M1123" i="2"/>
  <c r="N1123" i="2" s="1"/>
  <c r="O1123" i="2" s="1"/>
  <c r="J1369" i="2"/>
  <c r="K1369" i="2" s="1"/>
  <c r="J1386" i="2"/>
  <c r="K1386" i="2" s="1"/>
  <c r="J1538" i="2"/>
  <c r="K1538" i="2" s="1"/>
  <c r="M1557" i="2"/>
  <c r="N1557" i="2" s="1"/>
  <c r="O1557" i="2" s="1"/>
  <c r="M489" i="2"/>
  <c r="N489" i="2" s="1"/>
  <c r="O489" i="2" s="1"/>
  <c r="M497" i="2"/>
  <c r="N497" i="2" s="1"/>
  <c r="O497" i="2" s="1"/>
  <c r="M598" i="2"/>
  <c r="N598" i="2" s="1"/>
  <c r="O598" i="2" s="1"/>
  <c r="J704" i="2"/>
  <c r="K704" i="2" s="1"/>
  <c r="J760" i="2"/>
  <c r="K760" i="2" s="1"/>
  <c r="M760" i="2" s="1"/>
  <c r="N760" i="2" s="1"/>
  <c r="O760" i="2" s="1"/>
  <c r="J937" i="2"/>
  <c r="K937" i="2" s="1"/>
  <c r="J1002" i="2"/>
  <c r="K1002" i="2" s="1"/>
  <c r="J1170" i="2"/>
  <c r="K1170" i="2" s="1"/>
  <c r="J1171" i="2"/>
  <c r="K1171" i="2" s="1"/>
  <c r="J1233" i="2"/>
  <c r="K1233" i="2" s="1"/>
  <c r="J1263" i="2"/>
  <c r="K1263" i="2" s="1"/>
  <c r="J1282" i="2"/>
  <c r="K1282" i="2" s="1"/>
  <c r="J1455" i="2"/>
  <c r="K1455" i="2" s="1"/>
  <c r="J625" i="2"/>
  <c r="K625" i="2" s="1"/>
  <c r="M716" i="2"/>
  <c r="N716" i="2" s="1"/>
  <c r="O716" i="2" s="1"/>
  <c r="M932" i="2"/>
  <c r="N932" i="2" s="1"/>
  <c r="O932" i="2" s="1"/>
  <c r="J1088" i="2"/>
  <c r="K1088" i="2" s="1"/>
  <c r="M1110" i="2"/>
  <c r="N1110" i="2" s="1"/>
  <c r="O1110" i="2" s="1"/>
  <c r="M1133" i="2"/>
  <c r="N1133" i="2" s="1"/>
  <c r="O1133" i="2" s="1"/>
  <c r="J1152" i="2"/>
  <c r="K1152" i="2" s="1"/>
  <c r="J1448" i="2"/>
  <c r="K1448" i="2" s="1"/>
  <c r="M1493" i="2"/>
  <c r="N1493" i="2" s="1"/>
  <c r="O1493" i="2" s="1"/>
  <c r="M767" i="2"/>
  <c r="N767" i="2" s="1"/>
  <c r="O767" i="2" s="1"/>
  <c r="J1204" i="2"/>
  <c r="K1204" i="2" s="1"/>
  <c r="M1402" i="2"/>
  <c r="N1402" i="2" s="1"/>
  <c r="O1402" i="2" s="1"/>
  <c r="J436" i="2"/>
  <c r="K436" i="2" s="1"/>
  <c r="J544" i="2"/>
  <c r="K544" i="2" s="1"/>
  <c r="J546" i="2"/>
  <c r="K546" i="2" s="1"/>
  <c r="J548" i="2"/>
  <c r="K548" i="2" s="1"/>
  <c r="M583" i="2"/>
  <c r="N583" i="2" s="1"/>
  <c r="O583" i="2" s="1"/>
  <c r="J628" i="2"/>
  <c r="K628" i="2" s="1"/>
  <c r="J732" i="2"/>
  <c r="K732" i="2" s="1"/>
  <c r="J736" i="2"/>
  <c r="K736" i="2" s="1"/>
  <c r="J740" i="2"/>
  <c r="K740" i="2" s="1"/>
  <c r="J752" i="2"/>
  <c r="K752" i="2" s="1"/>
  <c r="M759" i="2"/>
  <c r="N759" i="2" s="1"/>
  <c r="O759" i="2" s="1"/>
  <c r="J844" i="2"/>
  <c r="K844" i="2" s="1"/>
  <c r="J852" i="2"/>
  <c r="K852" i="2" s="1"/>
  <c r="M548" i="2"/>
  <c r="N548" i="2" s="1"/>
  <c r="O548" i="2" s="1"/>
  <c r="M587" i="2"/>
  <c r="N587" i="2" s="1"/>
  <c r="O587" i="2" s="1"/>
  <c r="J664" i="2"/>
  <c r="K664" i="2" s="1"/>
  <c r="J672" i="2"/>
  <c r="K672" i="2" s="1"/>
  <c r="M697" i="2"/>
  <c r="N697" i="2" s="1"/>
  <c r="O697" i="2" s="1"/>
  <c r="J728" i="2"/>
  <c r="K728" i="2" s="1"/>
  <c r="M736" i="2"/>
  <c r="N736" i="2" s="1"/>
  <c r="O736" i="2" s="1"/>
  <c r="M997" i="2"/>
  <c r="N997" i="2" s="1"/>
  <c r="O997" i="2" s="1"/>
  <c r="J999" i="2"/>
  <c r="K999" i="2" s="1"/>
  <c r="J1045" i="2"/>
  <c r="K1045" i="2" s="1"/>
  <c r="M1045" i="2" s="1"/>
  <c r="N1045" i="2" s="1"/>
  <c r="O1045" i="2" s="1"/>
  <c r="J1132" i="2"/>
  <c r="K1132" i="2" s="1"/>
  <c r="J1172" i="2"/>
  <c r="K1172" i="2" s="1"/>
  <c r="J1266" i="2"/>
  <c r="K1266" i="2" s="1"/>
  <c r="J1284" i="2"/>
  <c r="K1284" i="2" s="1"/>
  <c r="J1317" i="2"/>
  <c r="K1317" i="2" s="1"/>
  <c r="M1317" i="2" s="1"/>
  <c r="N1317" i="2" s="1"/>
  <c r="O1317" i="2" s="1"/>
  <c r="J1343" i="2"/>
  <c r="K1343" i="2" s="1"/>
  <c r="J1397" i="2"/>
  <c r="K1397" i="2" s="1"/>
  <c r="J1494" i="2"/>
  <c r="K1494" i="2" s="1"/>
  <c r="J1695" i="2"/>
  <c r="K1695" i="2" s="1"/>
  <c r="J1701" i="2"/>
  <c r="K1701" i="2" s="1"/>
  <c r="J2293" i="2"/>
  <c r="K2293" i="2" s="1"/>
  <c r="J2319" i="2"/>
  <c r="K2319" i="2" s="1"/>
  <c r="J2513" i="2"/>
  <c r="K2513" i="2" s="1"/>
  <c r="J2517" i="2"/>
  <c r="K2517" i="2" s="1"/>
  <c r="M2175" i="2"/>
  <c r="N2175" i="2" s="1"/>
  <c r="O2175" i="2" s="1"/>
  <c r="J2204" i="2"/>
  <c r="K2204" i="2" s="1"/>
  <c r="J2206" i="2"/>
  <c r="K2206" i="2" s="1"/>
  <c r="J2253" i="2"/>
  <c r="K2253" i="2" s="1"/>
  <c r="J1706" i="2"/>
  <c r="K1706" i="2" s="1"/>
  <c r="M1800" i="2"/>
  <c r="N1800" i="2" s="1"/>
  <c r="O1800" i="2" s="1"/>
  <c r="J1927" i="2"/>
  <c r="K1927" i="2" s="1"/>
  <c r="J2276" i="2"/>
  <c r="K2276" i="2" s="1"/>
  <c r="J1615" i="2"/>
  <c r="K1615" i="2" s="1"/>
  <c r="J1635" i="2"/>
  <c r="K1635" i="2" s="1"/>
  <c r="J1714" i="2"/>
  <c r="K1714" i="2" s="1"/>
  <c r="J1898" i="2"/>
  <c r="K1898" i="2" s="1"/>
  <c r="J2125" i="2"/>
  <c r="K2125" i="2" s="1"/>
  <c r="J2215" i="2"/>
  <c r="K2215" i="2" s="1"/>
  <c r="J2246" i="2"/>
  <c r="K2246" i="2" s="1"/>
  <c r="M1656" i="2"/>
  <c r="N1656" i="2" s="1"/>
  <c r="O1656" i="2" s="1"/>
  <c r="J1726" i="2"/>
  <c r="K1726" i="2" s="1"/>
  <c r="J1806" i="2"/>
  <c r="K1806" i="2" s="1"/>
  <c r="J1982" i="2"/>
  <c r="K1982" i="2" s="1"/>
  <c r="J2135" i="2"/>
  <c r="K2135" i="2" s="1"/>
  <c r="J2137" i="2"/>
  <c r="K2137" i="2" s="1"/>
  <c r="J2195" i="2"/>
  <c r="K2195" i="2" s="1"/>
  <c r="J1965" i="2"/>
  <c r="K1965" i="2" s="1"/>
  <c r="J1975" i="2"/>
  <c r="K1975" i="2" s="1"/>
  <c r="J1977" i="2"/>
  <c r="K1977" i="2" s="1"/>
  <c r="J2111" i="2"/>
  <c r="K2111" i="2" s="1"/>
  <c r="J2250" i="2"/>
  <c r="K2250" i="2" s="1"/>
  <c r="M1691" i="2"/>
  <c r="N1691" i="2" s="1"/>
  <c r="O1691" i="2" s="1"/>
  <c r="J1752" i="2"/>
  <c r="K1752" i="2" s="1"/>
  <c r="M1793" i="2"/>
  <c r="N1793" i="2" s="1"/>
  <c r="O1793" i="2" s="1"/>
  <c r="J1825" i="2"/>
  <c r="K1825" i="2" s="1"/>
  <c r="M1595" i="2"/>
  <c r="N1595" i="2" s="1"/>
  <c r="O1595" i="2" s="1"/>
  <c r="J1674" i="2"/>
  <c r="K1674" i="2" s="1"/>
  <c r="M1744" i="2"/>
  <c r="N1744" i="2" s="1"/>
  <c r="O1744" i="2" s="1"/>
  <c r="J1837" i="2"/>
  <c r="K1837" i="2" s="1"/>
  <c r="J1911" i="2"/>
  <c r="K1911" i="2" s="1"/>
  <c r="J1914" i="2"/>
  <c r="K1914" i="2" s="1"/>
  <c r="J2218" i="2"/>
  <c r="K2218" i="2" s="1"/>
  <c r="J2245" i="2"/>
  <c r="K2245" i="2" s="1"/>
  <c r="J2398" i="2"/>
  <c r="K2398" i="2" s="1"/>
  <c r="J2383" i="2"/>
  <c r="K2383" i="2" s="1"/>
  <c r="J2529" i="2"/>
  <c r="K2529" i="2" s="1"/>
  <c r="J2703" i="2"/>
  <c r="K2703" i="2" s="1"/>
  <c r="J3050" i="2"/>
  <c r="K3050" i="2" s="1"/>
  <c r="J3073" i="2"/>
  <c r="K3073" i="2" s="1"/>
  <c r="J3075" i="2"/>
  <c r="K3075" i="2" s="1"/>
  <c r="J3083" i="2"/>
  <c r="K3083" i="2" s="1"/>
  <c r="J3165" i="2"/>
  <c r="K3165" i="2" s="1"/>
  <c r="J3259" i="2"/>
  <c r="K3259" i="2" s="1"/>
  <c r="J2311" i="2"/>
  <c r="K2311" i="2" s="1"/>
  <c r="M2343" i="2"/>
  <c r="N2343" i="2" s="1"/>
  <c r="O2343" i="2" s="1"/>
  <c r="J2493" i="2"/>
  <c r="K2493" i="2" s="1"/>
  <c r="J2577" i="2"/>
  <c r="K2577" i="2" s="1"/>
  <c r="J2581" i="2"/>
  <c r="K2581" i="2" s="1"/>
  <c r="J2585" i="2"/>
  <c r="K2585" i="2" s="1"/>
  <c r="J2683" i="2"/>
  <c r="K2683" i="2" s="1"/>
  <c r="J2791" i="2"/>
  <c r="K2791" i="2" s="1"/>
  <c r="J2796" i="2"/>
  <c r="K2796" i="2" s="1"/>
  <c r="J3207" i="2"/>
  <c r="K3207" i="2" s="1"/>
  <c r="J2602" i="2"/>
  <c r="K2602" i="2" s="1"/>
  <c r="J2771" i="2"/>
  <c r="K2771" i="2" s="1"/>
  <c r="J2773" i="2"/>
  <c r="K2773" i="2" s="1"/>
  <c r="J2802" i="2"/>
  <c r="K2802" i="2" s="1"/>
  <c r="M3099" i="2"/>
  <c r="N3099" i="2" s="1"/>
  <c r="O3099" i="2" s="1"/>
  <c r="J3214" i="2"/>
  <c r="K3214" i="2" s="1"/>
  <c r="J2334" i="2"/>
  <c r="K2334" i="2" s="1"/>
  <c r="J2338" i="2"/>
  <c r="K2338" i="2" s="1"/>
  <c r="J2461" i="2"/>
  <c r="K2461" i="2" s="1"/>
  <c r="M2461" i="2" s="1"/>
  <c r="N2461" i="2" s="1"/>
  <c r="O2461" i="2" s="1"/>
  <c r="J2520" i="2"/>
  <c r="K2520" i="2" s="1"/>
  <c r="J2528" i="2"/>
  <c r="K2528" i="2" s="1"/>
  <c r="J2698" i="2"/>
  <c r="K2698" i="2" s="1"/>
  <c r="J2905" i="2"/>
  <c r="K2905" i="2" s="1"/>
  <c r="J3043" i="2"/>
  <c r="K3043" i="2" s="1"/>
  <c r="J3084" i="2"/>
  <c r="K3084" i="2" s="1"/>
  <c r="J3141" i="2"/>
  <c r="K3141" i="2" s="1"/>
  <c r="J3162" i="2"/>
  <c r="K3162" i="2" s="1"/>
  <c r="J2490" i="2"/>
  <c r="K2490" i="2" s="1"/>
  <c r="J2576" i="2"/>
  <c r="K2576" i="2" s="1"/>
  <c r="M2747" i="2"/>
  <c r="N2747" i="2" s="1"/>
  <c r="O2747" i="2" s="1"/>
  <c r="J2831" i="2"/>
  <c r="K2831" i="2" s="1"/>
  <c r="J2841" i="2"/>
  <c r="K2841" i="2" s="1"/>
  <c r="J3204" i="2"/>
  <c r="K3204" i="2" s="1"/>
  <c r="J2940" i="2"/>
  <c r="K2940" i="2" s="1"/>
  <c r="M2940" i="2" s="1"/>
  <c r="N2940" i="2" s="1"/>
  <c r="O2940" i="2" s="1"/>
  <c r="M3157" i="2"/>
  <c r="N3157" i="2" s="1"/>
  <c r="O3157" i="2" s="1"/>
  <c r="J169" i="2"/>
  <c r="K169" i="2" s="1"/>
  <c r="J198" i="2"/>
  <c r="K198" i="2" s="1"/>
  <c r="M198" i="2" s="1"/>
  <c r="N198" i="2" s="1"/>
  <c r="O198" i="2" s="1"/>
  <c r="J352" i="2"/>
  <c r="K352" i="2" s="1"/>
  <c r="J1302" i="2"/>
  <c r="K1302" i="2" s="1"/>
  <c r="J1784" i="2"/>
  <c r="K1784" i="2" s="1"/>
  <c r="J86" i="2"/>
  <c r="K86" i="2" s="1"/>
  <c r="J121" i="2"/>
  <c r="K121" i="2" s="1"/>
  <c r="J217" i="2"/>
  <c r="K217" i="2" s="1"/>
  <c r="J308" i="2"/>
  <c r="K308" i="2" s="1"/>
  <c r="J372" i="2"/>
  <c r="K372" i="2" s="1"/>
  <c r="M372" i="2" s="1"/>
  <c r="N372" i="2" s="1"/>
  <c r="O372" i="2" s="1"/>
  <c r="J651" i="2"/>
  <c r="K651" i="2" s="1"/>
  <c r="J689" i="2"/>
  <c r="K689" i="2" s="1"/>
  <c r="M689" i="2" s="1"/>
  <c r="N689" i="2" s="1"/>
  <c r="O689" i="2" s="1"/>
  <c r="J719" i="2"/>
  <c r="K719" i="2" s="1"/>
  <c r="J721" i="2"/>
  <c r="K721" i="2" s="1"/>
  <c r="J800" i="2"/>
  <c r="K800" i="2" s="1"/>
  <c r="J861" i="2"/>
  <c r="K861" i="2" s="1"/>
  <c r="J888" i="2"/>
  <c r="K888" i="2" s="1"/>
  <c r="J936" i="2"/>
  <c r="K936" i="2" s="1"/>
  <c r="M936" i="2" s="1"/>
  <c r="N936" i="2" s="1"/>
  <c r="O936" i="2" s="1"/>
  <c r="J938" i="2"/>
  <c r="K938" i="2" s="1"/>
  <c r="J985" i="2"/>
  <c r="K985" i="2" s="1"/>
  <c r="J998" i="2"/>
  <c r="K998" i="2" s="1"/>
  <c r="J1000" i="2"/>
  <c r="K1000" i="2" s="1"/>
  <c r="J1022" i="2"/>
  <c r="K1022" i="2" s="1"/>
  <c r="J1054" i="2"/>
  <c r="K1054" i="2" s="1"/>
  <c r="J1119" i="2"/>
  <c r="K1119" i="2" s="1"/>
  <c r="J1303" i="2"/>
  <c r="K1303" i="2" s="1"/>
  <c r="J1324" i="2"/>
  <c r="K1324" i="2" s="1"/>
  <c r="J1450" i="2"/>
  <c r="K1450" i="2" s="1"/>
  <c r="M1450" i="2" s="1"/>
  <c r="N1450" i="2" s="1"/>
  <c r="O1450" i="2" s="1"/>
  <c r="J1525" i="2"/>
  <c r="K1525" i="2" s="1"/>
  <c r="J2527" i="2"/>
  <c r="K2527" i="2" s="1"/>
  <c r="J652" i="2"/>
  <c r="K652" i="2" s="1"/>
  <c r="J950" i="2"/>
  <c r="K950" i="2" s="1"/>
  <c r="J10" i="2"/>
  <c r="K10" i="2" s="1"/>
  <c r="J20" i="2"/>
  <c r="K20" i="2" s="1"/>
  <c r="J88" i="2"/>
  <c r="K88" i="2" s="1"/>
  <c r="J158" i="2"/>
  <c r="K158" i="2" s="1"/>
  <c r="J287" i="2"/>
  <c r="K287" i="2" s="1"/>
  <c r="M287" i="2" s="1"/>
  <c r="N287" i="2" s="1"/>
  <c r="O287" i="2" s="1"/>
  <c r="J289" i="2"/>
  <c r="K289" i="2" s="1"/>
  <c r="J323" i="2"/>
  <c r="K323" i="2" s="1"/>
  <c r="J325" i="2"/>
  <c r="K325" i="2" s="1"/>
  <c r="J329" i="2"/>
  <c r="K329" i="2" s="1"/>
  <c r="J331" i="2"/>
  <c r="K331" i="2" s="1"/>
  <c r="J390" i="2"/>
  <c r="K390" i="2" s="1"/>
  <c r="J414" i="2"/>
  <c r="K414" i="2" s="1"/>
  <c r="J542" i="2"/>
  <c r="K542" i="2" s="1"/>
  <c r="J789" i="2"/>
  <c r="K789" i="2" s="1"/>
  <c r="J869" i="2"/>
  <c r="K869" i="2" s="1"/>
  <c r="J896" i="2"/>
  <c r="K896" i="2" s="1"/>
  <c r="J1096" i="2"/>
  <c r="K1096" i="2" s="1"/>
  <c r="J1104" i="2"/>
  <c r="K1104" i="2" s="1"/>
  <c r="J1113" i="2"/>
  <c r="K1113" i="2" s="1"/>
  <c r="J1164" i="2"/>
  <c r="K1164" i="2" s="1"/>
  <c r="J1205" i="2"/>
  <c r="K1205" i="2" s="1"/>
  <c r="J1207" i="2"/>
  <c r="K1207" i="2" s="1"/>
  <c r="J1350" i="2"/>
  <c r="K1350" i="2" s="1"/>
  <c r="J1469" i="2"/>
  <c r="K1469" i="2" s="1"/>
  <c r="J1643" i="2"/>
  <c r="K1643" i="2" s="1"/>
  <c r="M1643" i="2" s="1"/>
  <c r="N1643" i="2" s="1"/>
  <c r="O1643" i="2" s="1"/>
  <c r="J636" i="2"/>
  <c r="K636" i="2" s="1"/>
  <c r="M636" i="2" s="1"/>
  <c r="N636" i="2" s="1"/>
  <c r="O636" i="2" s="1"/>
  <c r="J5" i="2"/>
  <c r="K5" i="2" s="1"/>
  <c r="J9" i="2"/>
  <c r="K9" i="2" s="1"/>
  <c r="J76" i="2"/>
  <c r="K76" i="2" s="1"/>
  <c r="J109" i="2"/>
  <c r="K109" i="2" s="1"/>
  <c r="M109" i="2" s="1"/>
  <c r="N109" i="2" s="1"/>
  <c r="O109" i="2" s="1"/>
  <c r="J156" i="2"/>
  <c r="K156" i="2" s="1"/>
  <c r="J40" i="2"/>
  <c r="K40" i="2" s="1"/>
  <c r="J128" i="2"/>
  <c r="K128" i="2" s="1"/>
  <c r="J183" i="2"/>
  <c r="K183" i="2" s="1"/>
  <c r="M183" i="2" s="1"/>
  <c r="N183" i="2" s="1"/>
  <c r="O183" i="2" s="1"/>
  <c r="J187" i="2"/>
  <c r="K187" i="2" s="1"/>
  <c r="J189" i="2"/>
  <c r="K189" i="2" s="1"/>
  <c r="J254" i="2"/>
  <c r="K254" i="2" s="1"/>
  <c r="J284" i="2"/>
  <c r="K284" i="2" s="1"/>
  <c r="J288" i="2"/>
  <c r="K288" i="2" s="1"/>
  <c r="J291" i="2"/>
  <c r="K291" i="2" s="1"/>
  <c r="J320" i="2"/>
  <c r="K320" i="2" s="1"/>
  <c r="J324" i="2"/>
  <c r="K324" i="2" s="1"/>
  <c r="M324" i="2" s="1"/>
  <c r="N324" i="2" s="1"/>
  <c r="O324" i="2" s="1"/>
  <c r="J342" i="2"/>
  <c r="K342" i="2" s="1"/>
  <c r="J416" i="2"/>
  <c r="K416" i="2" s="1"/>
  <c r="M416" i="2" s="1"/>
  <c r="N416" i="2" s="1"/>
  <c r="O416" i="2" s="1"/>
  <c r="J433" i="2"/>
  <c r="K433" i="2" s="1"/>
  <c r="J524" i="2"/>
  <c r="K524" i="2" s="1"/>
  <c r="J582" i="2"/>
  <c r="K582" i="2" s="1"/>
  <c r="J601" i="2"/>
  <c r="K601" i="2" s="1"/>
  <c r="M601" i="2" s="1"/>
  <c r="N601" i="2" s="1"/>
  <c r="O601" i="2" s="1"/>
  <c r="J641" i="2"/>
  <c r="K641" i="2" s="1"/>
  <c r="J668" i="2"/>
  <c r="K668" i="2" s="1"/>
  <c r="M668" i="2" s="1"/>
  <c r="N668" i="2" s="1"/>
  <c r="O668" i="2" s="1"/>
  <c r="J724" i="2"/>
  <c r="K724" i="2" s="1"/>
  <c r="J739" i="2"/>
  <c r="K739" i="2" s="1"/>
  <c r="M739" i="2" s="1"/>
  <c r="N739" i="2" s="1"/>
  <c r="O739" i="2" s="1"/>
  <c r="J750" i="2"/>
  <c r="K750" i="2" s="1"/>
  <c r="J934" i="2"/>
  <c r="K934" i="2" s="1"/>
  <c r="J955" i="2"/>
  <c r="K955" i="2" s="1"/>
  <c r="J957" i="2"/>
  <c r="K957" i="2" s="1"/>
  <c r="J1081" i="2"/>
  <c r="K1081" i="2" s="1"/>
  <c r="J1114" i="2"/>
  <c r="K1114" i="2" s="1"/>
  <c r="J1115" i="2"/>
  <c r="K1115" i="2" s="1"/>
  <c r="M1115" i="2" s="1"/>
  <c r="N1115" i="2" s="1"/>
  <c r="O1115" i="2" s="1"/>
  <c r="J1127" i="2"/>
  <c r="K1127" i="2" s="1"/>
  <c r="J1177" i="2"/>
  <c r="K1177" i="2" s="1"/>
  <c r="J1236" i="2"/>
  <c r="K1236" i="2" s="1"/>
  <c r="J1281" i="2"/>
  <c r="K1281" i="2" s="1"/>
  <c r="J1294" i="2"/>
  <c r="K1294" i="2" s="1"/>
  <c r="J1366" i="2"/>
  <c r="K1366" i="2" s="1"/>
  <c r="J1377" i="2"/>
  <c r="K1377" i="2" s="1"/>
  <c r="M1377" i="2" s="1"/>
  <c r="N1377" i="2" s="1"/>
  <c r="O1377" i="2" s="1"/>
  <c r="J1381" i="2"/>
  <c r="K1381" i="2" s="1"/>
  <c r="J1384" i="2"/>
  <c r="K1384" i="2" s="1"/>
  <c r="J1443" i="2"/>
  <c r="K1443" i="2" s="1"/>
  <c r="J1542" i="2"/>
  <c r="K1542" i="2" s="1"/>
  <c r="J1833" i="2"/>
  <c r="K1833" i="2" s="1"/>
  <c r="J180" i="2"/>
  <c r="K180" i="2" s="1"/>
  <c r="J132" i="2"/>
  <c r="K132" i="2" s="1"/>
  <c r="J163" i="2"/>
  <c r="K163" i="2" s="1"/>
  <c r="J184" i="2"/>
  <c r="K184" i="2" s="1"/>
  <c r="J188" i="2"/>
  <c r="K188" i="2" s="1"/>
  <c r="J196" i="2"/>
  <c r="K196" i="2" s="1"/>
  <c r="J249" i="2"/>
  <c r="K249" i="2" s="1"/>
  <c r="J293" i="2"/>
  <c r="K293" i="2" s="1"/>
  <c r="J295" i="2"/>
  <c r="K295" i="2" s="1"/>
  <c r="J353" i="2"/>
  <c r="K353" i="2" s="1"/>
  <c r="J355" i="2"/>
  <c r="K355" i="2" s="1"/>
  <c r="M355" i="2" s="1"/>
  <c r="N355" i="2" s="1"/>
  <c r="O355" i="2" s="1"/>
  <c r="J441" i="2"/>
  <c r="K441" i="2" s="1"/>
  <c r="M441" i="2" s="1"/>
  <c r="N441" i="2" s="1"/>
  <c r="O441" i="2" s="1"/>
  <c r="J467" i="2"/>
  <c r="K467" i="2" s="1"/>
  <c r="J536" i="2"/>
  <c r="K536" i="2" s="1"/>
  <c r="J609" i="2"/>
  <c r="K609" i="2" s="1"/>
  <c r="J640" i="2"/>
  <c r="K640" i="2" s="1"/>
  <c r="J703" i="2"/>
  <c r="K703" i="2" s="1"/>
  <c r="J780" i="2"/>
  <c r="K780" i="2" s="1"/>
  <c r="J792" i="2"/>
  <c r="K792" i="2" s="1"/>
  <c r="J954" i="2"/>
  <c r="K954" i="2" s="1"/>
  <c r="J994" i="2"/>
  <c r="K994" i="2" s="1"/>
  <c r="J1018" i="2"/>
  <c r="K1018" i="2" s="1"/>
  <c r="J1182" i="2"/>
  <c r="K1182" i="2" s="1"/>
  <c r="J1210" i="2"/>
  <c r="K1210" i="2" s="1"/>
  <c r="J1255" i="2"/>
  <c r="K1255" i="2" s="1"/>
  <c r="J1278" i="2"/>
  <c r="K1278" i="2" s="1"/>
  <c r="J1319" i="2"/>
  <c r="K1319" i="2" s="1"/>
  <c r="M1319" i="2" s="1"/>
  <c r="N1319" i="2" s="1"/>
  <c r="O1319" i="2" s="1"/>
  <c r="J1338" i="2"/>
  <c r="K1338" i="2" s="1"/>
  <c r="J1342" i="2"/>
  <c r="K1342" i="2" s="1"/>
  <c r="J1370" i="2"/>
  <c r="K1370" i="2" s="1"/>
  <c r="J1442" i="2"/>
  <c r="K1442" i="2" s="1"/>
  <c r="J1509" i="2"/>
  <c r="K1509" i="2" s="1"/>
  <c r="J2971" i="2"/>
  <c r="K2971" i="2" s="1"/>
  <c r="J23" i="2"/>
  <c r="K23" i="2" s="1"/>
  <c r="J29" i="2"/>
  <c r="K29" i="2" s="1"/>
  <c r="J31" i="2"/>
  <c r="K31" i="2" s="1"/>
  <c r="J33" i="2"/>
  <c r="K33" i="2" s="1"/>
  <c r="M33" i="2" s="1"/>
  <c r="N33" i="2" s="1"/>
  <c r="O33" i="2" s="1"/>
  <c r="J45" i="2"/>
  <c r="K45" i="2" s="1"/>
  <c r="J182" i="2"/>
  <c r="K182" i="2" s="1"/>
  <c r="J57" i="2"/>
  <c r="K57" i="2" s="1"/>
  <c r="J63" i="2"/>
  <c r="K63" i="2" s="1"/>
  <c r="J65" i="2"/>
  <c r="K65" i="2" s="1"/>
  <c r="M65" i="2" s="1"/>
  <c r="N65" i="2" s="1"/>
  <c r="O65" i="2" s="1"/>
  <c r="J124" i="2"/>
  <c r="K124" i="2" s="1"/>
  <c r="M124" i="2" s="1"/>
  <c r="N124" i="2" s="1"/>
  <c r="O124" i="2" s="1"/>
  <c r="J126" i="2"/>
  <c r="K126" i="2" s="1"/>
  <c r="J144" i="2"/>
  <c r="K144" i="2" s="1"/>
  <c r="J178" i="2"/>
  <c r="K178" i="2" s="1"/>
  <c r="J200" i="2"/>
  <c r="K200" i="2" s="1"/>
  <c r="J208" i="2"/>
  <c r="K208" i="2" s="1"/>
  <c r="M208" i="2" s="1"/>
  <c r="N208" i="2" s="1"/>
  <c r="O208" i="2" s="1"/>
  <c r="J212" i="2"/>
  <c r="K212" i="2" s="1"/>
  <c r="J214" i="2"/>
  <c r="K214" i="2" s="1"/>
  <c r="J216" i="2"/>
  <c r="K216" i="2" s="1"/>
  <c r="M216" i="2" s="1"/>
  <c r="N216" i="2" s="1"/>
  <c r="O216" i="2" s="1"/>
  <c r="J236" i="2"/>
  <c r="K236" i="2" s="1"/>
  <c r="J239" i="2"/>
  <c r="K239" i="2" s="1"/>
  <c r="M239" i="2" s="1"/>
  <c r="N239" i="2" s="1"/>
  <c r="O239" i="2" s="1"/>
  <c r="J272" i="2"/>
  <c r="K272" i="2" s="1"/>
  <c r="J296" i="2"/>
  <c r="K296" i="2" s="1"/>
  <c r="J358" i="2"/>
  <c r="K358" i="2" s="1"/>
  <c r="J360" i="2"/>
  <c r="K360" i="2" s="1"/>
  <c r="J375" i="2"/>
  <c r="K375" i="2" s="1"/>
  <c r="J440" i="2"/>
  <c r="K440" i="2" s="1"/>
  <c r="J444" i="2"/>
  <c r="K444" i="2" s="1"/>
  <c r="J466" i="2"/>
  <c r="K466" i="2" s="1"/>
  <c r="J508" i="2"/>
  <c r="K508" i="2" s="1"/>
  <c r="J538" i="2"/>
  <c r="K538" i="2" s="1"/>
  <c r="M538" i="2" s="1"/>
  <c r="N538" i="2" s="1"/>
  <c r="O538" i="2" s="1"/>
  <c r="J540" i="2"/>
  <c r="K540" i="2" s="1"/>
  <c r="J604" i="2"/>
  <c r="K604" i="2" s="1"/>
  <c r="J608" i="2"/>
  <c r="K608" i="2" s="1"/>
  <c r="J610" i="2"/>
  <c r="K610" i="2" s="1"/>
  <c r="J612" i="2"/>
  <c r="K612" i="2" s="1"/>
  <c r="J765" i="2"/>
  <c r="K765" i="2" s="1"/>
  <c r="J786" i="2"/>
  <c r="K786" i="2" s="1"/>
  <c r="J805" i="2"/>
  <c r="K805" i="2" s="1"/>
  <c r="J813" i="2"/>
  <c r="K813" i="2" s="1"/>
  <c r="J855" i="2"/>
  <c r="K855" i="2" s="1"/>
  <c r="J862" i="2"/>
  <c r="K862" i="2" s="1"/>
  <c r="J882" i="2"/>
  <c r="K882" i="2" s="1"/>
  <c r="J927" i="2"/>
  <c r="K927" i="2" s="1"/>
  <c r="J984" i="2"/>
  <c r="K984" i="2" s="1"/>
  <c r="J1001" i="2"/>
  <c r="K1001" i="2" s="1"/>
  <c r="J1055" i="2"/>
  <c r="K1055" i="2" s="1"/>
  <c r="J1064" i="2"/>
  <c r="K1064" i="2" s="1"/>
  <c r="J1111" i="2"/>
  <c r="K1111" i="2" s="1"/>
  <c r="J1120" i="2"/>
  <c r="K1120" i="2" s="1"/>
  <c r="J1139" i="2"/>
  <c r="K1139" i="2" s="1"/>
  <c r="J1148" i="2"/>
  <c r="K1148" i="2" s="1"/>
  <c r="J1187" i="2"/>
  <c r="K1187" i="2" s="1"/>
  <c r="J1189" i="2"/>
  <c r="K1189" i="2" s="1"/>
  <c r="J1242" i="2"/>
  <c r="K1242" i="2" s="1"/>
  <c r="J1250" i="2"/>
  <c r="K1250" i="2" s="1"/>
  <c r="J1486" i="2"/>
  <c r="K1486" i="2" s="1"/>
  <c r="M1486" i="2" s="1"/>
  <c r="N1486" i="2" s="1"/>
  <c r="O1486" i="2" s="1"/>
  <c r="J1522" i="2"/>
  <c r="K1522" i="2" s="1"/>
  <c r="J1544" i="2"/>
  <c r="K1544" i="2" s="1"/>
  <c r="J1549" i="2"/>
  <c r="K1549" i="2" s="1"/>
  <c r="J1565" i="2"/>
  <c r="K1565" i="2" s="1"/>
  <c r="J1664" i="2"/>
  <c r="K1664" i="2" s="1"/>
  <c r="J1673" i="2"/>
  <c r="K1673" i="2" s="1"/>
  <c r="J1728" i="2"/>
  <c r="K1728" i="2" s="1"/>
  <c r="J1738" i="2"/>
  <c r="K1738" i="2" s="1"/>
  <c r="J1769" i="2"/>
  <c r="K1769" i="2" s="1"/>
  <c r="J1844" i="2"/>
  <c r="K1844" i="2" s="1"/>
  <c r="M1844" i="2" s="1"/>
  <c r="N1844" i="2" s="1"/>
  <c r="O1844" i="2" s="1"/>
  <c r="J1864" i="2"/>
  <c r="K1864" i="2" s="1"/>
  <c r="J1881" i="2"/>
  <c r="K1881" i="2" s="1"/>
  <c r="J1940" i="2"/>
  <c r="K1940" i="2" s="1"/>
  <c r="J1944" i="2"/>
  <c r="K1944" i="2" s="1"/>
  <c r="M1944" i="2" s="1"/>
  <c r="N1944" i="2" s="1"/>
  <c r="O1944" i="2" s="1"/>
  <c r="J1946" i="2"/>
  <c r="K1946" i="2" s="1"/>
  <c r="J2030" i="2"/>
  <c r="K2030" i="2" s="1"/>
  <c r="J2058" i="2"/>
  <c r="K2058" i="2" s="1"/>
  <c r="J2115" i="2"/>
  <c r="K2115" i="2" s="1"/>
  <c r="J2117" i="2"/>
  <c r="K2117" i="2" s="1"/>
  <c r="J2119" i="2"/>
  <c r="K2119" i="2" s="1"/>
  <c r="J2159" i="2"/>
  <c r="K2159" i="2" s="1"/>
  <c r="J2161" i="2"/>
  <c r="K2161" i="2" s="1"/>
  <c r="J2268" i="2"/>
  <c r="K2268" i="2" s="1"/>
  <c r="J2349" i="2"/>
  <c r="K2349" i="2" s="1"/>
  <c r="J2364" i="2"/>
  <c r="K2364" i="2" s="1"/>
  <c r="J2366" i="2"/>
  <c r="K2366" i="2" s="1"/>
  <c r="J2395" i="2"/>
  <c r="K2395" i="2" s="1"/>
  <c r="J2479" i="2"/>
  <c r="K2479" i="2" s="1"/>
  <c r="J2499" i="2"/>
  <c r="K2499" i="2" s="1"/>
  <c r="J2537" i="2"/>
  <c r="K2537" i="2" s="1"/>
  <c r="J2561" i="2"/>
  <c r="K2561" i="2" s="1"/>
  <c r="J2563" i="2"/>
  <c r="K2563" i="2" s="1"/>
  <c r="J2567" i="2"/>
  <c r="K2567" i="2" s="1"/>
  <c r="J2584" i="2"/>
  <c r="K2584" i="2" s="1"/>
  <c r="J2586" i="2"/>
  <c r="K2586" i="2" s="1"/>
  <c r="J2684" i="2"/>
  <c r="K2684" i="2" s="1"/>
  <c r="J2751" i="2"/>
  <c r="K2751" i="2" s="1"/>
  <c r="J2845" i="2"/>
  <c r="K2845" i="2" s="1"/>
  <c r="J2856" i="2"/>
  <c r="K2856" i="2" s="1"/>
  <c r="J2864" i="2"/>
  <c r="K2864" i="2" s="1"/>
  <c r="J2913" i="2"/>
  <c r="K2913" i="2" s="1"/>
  <c r="J2915" i="2"/>
  <c r="K2915" i="2" s="1"/>
  <c r="J2979" i="2"/>
  <c r="K2979" i="2" s="1"/>
  <c r="J3000" i="2"/>
  <c r="K3000" i="2" s="1"/>
  <c r="J3013" i="2"/>
  <c r="K3013" i="2" s="1"/>
  <c r="J3021" i="2"/>
  <c r="K3021" i="2" s="1"/>
  <c r="J3149" i="2"/>
  <c r="K3149" i="2" s="1"/>
  <c r="J3223" i="2"/>
  <c r="K3223" i="2" s="1"/>
  <c r="J2931" i="2"/>
  <c r="K2931" i="2" s="1"/>
  <c r="J3017" i="2"/>
  <c r="K3017" i="2" s="1"/>
  <c r="M3017" i="2" s="1"/>
  <c r="N3017" i="2" s="1"/>
  <c r="O3017" i="2" s="1"/>
  <c r="J1596" i="2"/>
  <c r="K1596" i="2" s="1"/>
  <c r="J1614" i="2"/>
  <c r="K1614" i="2" s="1"/>
  <c r="J1659" i="2"/>
  <c r="K1659" i="2" s="1"/>
  <c r="J1713" i="2"/>
  <c r="K1713" i="2" s="1"/>
  <c r="J1821" i="2"/>
  <c r="K1821" i="2" s="1"/>
  <c r="J1829" i="2"/>
  <c r="K1829" i="2" s="1"/>
  <c r="J1895" i="2"/>
  <c r="K1895" i="2" s="1"/>
  <c r="J1957" i="2"/>
  <c r="K1957" i="2" s="1"/>
  <c r="J1997" i="2"/>
  <c r="K1997" i="2" s="1"/>
  <c r="J2033" i="2"/>
  <c r="K2033" i="2" s="1"/>
  <c r="J2039" i="2"/>
  <c r="K2039" i="2" s="1"/>
  <c r="J2041" i="2"/>
  <c r="K2041" i="2" s="1"/>
  <c r="J2048" i="2"/>
  <c r="K2048" i="2" s="1"/>
  <c r="J2099" i="2"/>
  <c r="K2099" i="2" s="1"/>
  <c r="J2173" i="2"/>
  <c r="K2173" i="2" s="1"/>
  <c r="J2179" i="2"/>
  <c r="K2179" i="2" s="1"/>
  <c r="M2179" i="2" s="1"/>
  <c r="N2179" i="2" s="1"/>
  <c r="O2179" i="2" s="1"/>
  <c r="J2181" i="2"/>
  <c r="K2181" i="2" s="1"/>
  <c r="J2187" i="2"/>
  <c r="K2187" i="2" s="1"/>
  <c r="J2189" i="2"/>
  <c r="K2189" i="2" s="1"/>
  <c r="J2234" i="2"/>
  <c r="K2234" i="2" s="1"/>
  <c r="J2316" i="2"/>
  <c r="K2316" i="2" s="1"/>
  <c r="J2326" i="2"/>
  <c r="K2326" i="2" s="1"/>
  <c r="J2374" i="2"/>
  <c r="K2374" i="2" s="1"/>
  <c r="J2378" i="2"/>
  <c r="K2378" i="2" s="1"/>
  <c r="J2382" i="2"/>
  <c r="K2382" i="2" s="1"/>
  <c r="J2405" i="2"/>
  <c r="K2405" i="2" s="1"/>
  <c r="J2454" i="2"/>
  <c r="K2454" i="2" s="1"/>
  <c r="M2454" i="2" s="1"/>
  <c r="N2454" i="2" s="1"/>
  <c r="O2454" i="2" s="1"/>
  <c r="J2552" i="2"/>
  <c r="K2552" i="2" s="1"/>
  <c r="J2557" i="2"/>
  <c r="K2557" i="2" s="1"/>
  <c r="J2612" i="2"/>
  <c r="K2612" i="2" s="1"/>
  <c r="J2650" i="2"/>
  <c r="K2650" i="2" s="1"/>
  <c r="J2652" i="2"/>
  <c r="K2652" i="2" s="1"/>
  <c r="J2691" i="2"/>
  <c r="K2691" i="2" s="1"/>
  <c r="J2699" i="2"/>
  <c r="K2699" i="2" s="1"/>
  <c r="J2701" i="2"/>
  <c r="K2701" i="2" s="1"/>
  <c r="J2723" i="2"/>
  <c r="K2723" i="2" s="1"/>
  <c r="J2724" i="2"/>
  <c r="K2724" i="2" s="1"/>
  <c r="J2762" i="2"/>
  <c r="K2762" i="2" s="1"/>
  <c r="J2787" i="2"/>
  <c r="K2787" i="2" s="1"/>
  <c r="J2800" i="2"/>
  <c r="K2800" i="2" s="1"/>
  <c r="J2911" i="2"/>
  <c r="K2911" i="2" s="1"/>
  <c r="J2919" i="2"/>
  <c r="K2919" i="2" s="1"/>
  <c r="J2923" i="2"/>
  <c r="K2923" i="2" s="1"/>
  <c r="J2959" i="2"/>
  <c r="K2959" i="2" s="1"/>
  <c r="J2994" i="2"/>
  <c r="K2994" i="2" s="1"/>
  <c r="J3029" i="2"/>
  <c r="K3029" i="2" s="1"/>
  <c r="J3089" i="2"/>
  <c r="K3089" i="2" s="1"/>
  <c r="J3091" i="2"/>
  <c r="K3091" i="2" s="1"/>
  <c r="J3107" i="2"/>
  <c r="K3107" i="2" s="1"/>
  <c r="J3180" i="2"/>
  <c r="K3180" i="2" s="1"/>
  <c r="J3189" i="2"/>
  <c r="K3189" i="2" s="1"/>
  <c r="J3239" i="2"/>
  <c r="K3239" i="2" s="1"/>
  <c r="J3247" i="2"/>
  <c r="K3247" i="2" s="1"/>
  <c r="J2242" i="2"/>
  <c r="K2242" i="2" s="1"/>
  <c r="J2535" i="2"/>
  <c r="K2535" i="2" s="1"/>
  <c r="J2617" i="2"/>
  <c r="K2617" i="2" s="1"/>
  <c r="J3151" i="2"/>
  <c r="K3151" i="2" s="1"/>
  <c r="J1574" i="2"/>
  <c r="K1574" i="2" s="1"/>
  <c r="J1603" i="2"/>
  <c r="K1603" i="2" s="1"/>
  <c r="J1626" i="2"/>
  <c r="K1626" i="2" s="1"/>
  <c r="J1637" i="2"/>
  <c r="K1637" i="2" s="1"/>
  <c r="J1687" i="2"/>
  <c r="K1687" i="2" s="1"/>
  <c r="J1689" i="2"/>
  <c r="K1689" i="2" s="1"/>
  <c r="J1735" i="2"/>
  <c r="K1735" i="2" s="1"/>
  <c r="J1771" i="2"/>
  <c r="K1771" i="2" s="1"/>
  <c r="M1771" i="2" s="1"/>
  <c r="N1771" i="2" s="1"/>
  <c r="O1771" i="2" s="1"/>
  <c r="J1794" i="2"/>
  <c r="K1794" i="2" s="1"/>
  <c r="J1863" i="2"/>
  <c r="K1863" i="2" s="1"/>
  <c r="J1931" i="2"/>
  <c r="K1931" i="2" s="1"/>
  <c r="J1933" i="2"/>
  <c r="K1933" i="2" s="1"/>
  <c r="J1949" i="2"/>
  <c r="K1949" i="2" s="1"/>
  <c r="J2014" i="2"/>
  <c r="K2014" i="2" s="1"/>
  <c r="J2055" i="2"/>
  <c r="K2055" i="2" s="1"/>
  <c r="J2120" i="2"/>
  <c r="K2120" i="2" s="1"/>
  <c r="J2127" i="2"/>
  <c r="K2127" i="2" s="1"/>
  <c r="J2199" i="2"/>
  <c r="K2199" i="2" s="1"/>
  <c r="J2226" i="2"/>
  <c r="K2226" i="2" s="1"/>
  <c r="J2244" i="2"/>
  <c r="K2244" i="2" s="1"/>
  <c r="J2299" i="2"/>
  <c r="K2299" i="2" s="1"/>
  <c r="J2350" i="2"/>
  <c r="K2350" i="2" s="1"/>
  <c r="J2396" i="2"/>
  <c r="K2396" i="2" s="1"/>
  <c r="J2468" i="2"/>
  <c r="K2468" i="2" s="1"/>
  <c r="J2497" i="2"/>
  <c r="K2497" i="2" s="1"/>
  <c r="J2506" i="2"/>
  <c r="K2506" i="2" s="1"/>
  <c r="J2519" i="2"/>
  <c r="K2519" i="2" s="1"/>
  <c r="J2547" i="2"/>
  <c r="K2547" i="2" s="1"/>
  <c r="J2548" i="2"/>
  <c r="K2548" i="2" s="1"/>
  <c r="M2548" i="2" s="1"/>
  <c r="N2548" i="2" s="1"/>
  <c r="O2548" i="2" s="1"/>
  <c r="J2599" i="2"/>
  <c r="K2599" i="2" s="1"/>
  <c r="J2618" i="2"/>
  <c r="K2618" i="2" s="1"/>
  <c r="J2620" i="2"/>
  <c r="K2620" i="2" s="1"/>
  <c r="J2688" i="2"/>
  <c r="K2688" i="2" s="1"/>
  <c r="J2708" i="2"/>
  <c r="K2708" i="2" s="1"/>
  <c r="J2730" i="2"/>
  <c r="K2730" i="2" s="1"/>
  <c r="J2757" i="2"/>
  <c r="K2757" i="2" s="1"/>
  <c r="J2776" i="2"/>
  <c r="K2776" i="2" s="1"/>
  <c r="J2803" i="2"/>
  <c r="K2803" i="2" s="1"/>
  <c r="J2810" i="2"/>
  <c r="K2810" i="2" s="1"/>
  <c r="J2812" i="2"/>
  <c r="K2812" i="2" s="1"/>
  <c r="J2853" i="2"/>
  <c r="K2853" i="2" s="1"/>
  <c r="J2861" i="2"/>
  <c r="K2861" i="2" s="1"/>
  <c r="J2871" i="2"/>
  <c r="K2871" i="2" s="1"/>
  <c r="J2879" i="2"/>
  <c r="K2879" i="2" s="1"/>
  <c r="J2907" i="2"/>
  <c r="K2907" i="2" s="1"/>
  <c r="J2928" i="2"/>
  <c r="K2928" i="2" s="1"/>
  <c r="J2984" i="2"/>
  <c r="K2984" i="2" s="1"/>
  <c r="M2984" i="2" s="1"/>
  <c r="N2984" i="2" s="1"/>
  <c r="O2984" i="2" s="1"/>
  <c r="J2988" i="2"/>
  <c r="K2988" i="2" s="1"/>
  <c r="J3002" i="2"/>
  <c r="K3002" i="2" s="1"/>
  <c r="J3010" i="2"/>
  <c r="K3010" i="2" s="1"/>
  <c r="J3100" i="2"/>
  <c r="K3100" i="2" s="1"/>
  <c r="J3115" i="2"/>
  <c r="K3115" i="2" s="1"/>
  <c r="J1581" i="2"/>
  <c r="K1581" i="2" s="1"/>
  <c r="J2501" i="2"/>
  <c r="K2501" i="2" s="1"/>
  <c r="J2606" i="2"/>
  <c r="K2606" i="2" s="1"/>
  <c r="M2606" i="2" s="1"/>
  <c r="N2606" i="2" s="1"/>
  <c r="O2606" i="2" s="1"/>
  <c r="J1535" i="2"/>
  <c r="K1535" i="2" s="1"/>
  <c r="J1589" i="2"/>
  <c r="K1589" i="2" s="1"/>
  <c r="J1669" i="2"/>
  <c r="K1669" i="2" s="1"/>
  <c r="J1679" i="2"/>
  <c r="K1679" i="2" s="1"/>
  <c r="J1776" i="2"/>
  <c r="K1776" i="2" s="1"/>
  <c r="J1781" i="2"/>
  <c r="K1781" i="2" s="1"/>
  <c r="J1814" i="2"/>
  <c r="K1814" i="2" s="1"/>
  <c r="J1818" i="2"/>
  <c r="K1818" i="2" s="1"/>
  <c r="M1818" i="2" s="1"/>
  <c r="N1818" i="2" s="1"/>
  <c r="O1818" i="2" s="1"/>
  <c r="J2006" i="2"/>
  <c r="K2006" i="2" s="1"/>
  <c r="J2049" i="2"/>
  <c r="K2049" i="2" s="1"/>
  <c r="J2063" i="2"/>
  <c r="K2063" i="2" s="1"/>
  <c r="J2073" i="2"/>
  <c r="K2073" i="2" s="1"/>
  <c r="J2075" i="2"/>
  <c r="K2075" i="2" s="1"/>
  <c r="J2152" i="2"/>
  <c r="K2152" i="2" s="1"/>
  <c r="J2210" i="2"/>
  <c r="K2210" i="2" s="1"/>
  <c r="J2237" i="2"/>
  <c r="K2237" i="2" s="1"/>
  <c r="J2274" i="2"/>
  <c r="K2274" i="2" s="1"/>
  <c r="J2310" i="2"/>
  <c r="K2310" i="2" s="1"/>
  <c r="J2341" i="2"/>
  <c r="K2341" i="2" s="1"/>
  <c r="J2553" i="2"/>
  <c r="K2553" i="2" s="1"/>
  <c r="J2589" i="2"/>
  <c r="K2589" i="2" s="1"/>
  <c r="J2725" i="2"/>
  <c r="K2725" i="2" s="1"/>
  <c r="J2784" i="2"/>
  <c r="K2784" i="2" s="1"/>
  <c r="J2821" i="2"/>
  <c r="K2821" i="2" s="1"/>
  <c r="J2842" i="2"/>
  <c r="K2842" i="2" s="1"/>
  <c r="M2842" i="2" s="1"/>
  <c r="N2842" i="2" s="1"/>
  <c r="O2842" i="2" s="1"/>
  <c r="J3074" i="2"/>
  <c r="K3074" i="2" s="1"/>
  <c r="J3078" i="2"/>
  <c r="K3078" i="2" s="1"/>
  <c r="J3106" i="2"/>
  <c r="K3106" i="2" s="1"/>
  <c r="J3139" i="2"/>
  <c r="K3139" i="2" s="1"/>
  <c r="M3139" i="2" s="1"/>
  <c r="N3139" i="2" s="1"/>
  <c r="O3139" i="2" s="1"/>
  <c r="J3159" i="2"/>
  <c r="K3159" i="2" s="1"/>
  <c r="J3246" i="2"/>
  <c r="K3246" i="2" s="1"/>
  <c r="J3248" i="2"/>
  <c r="K3248" i="2" s="1"/>
  <c r="J49" i="2"/>
  <c r="K49" i="2" s="1"/>
  <c r="M49" i="2" s="1"/>
  <c r="N49" i="2" s="1"/>
  <c r="O49" i="2" s="1"/>
  <c r="J67" i="2"/>
  <c r="K67" i="2" s="1"/>
  <c r="J100" i="2"/>
  <c r="K100" i="2" s="1"/>
  <c r="J102" i="2"/>
  <c r="K102" i="2" s="1"/>
  <c r="J104" i="2"/>
  <c r="K104" i="2" s="1"/>
  <c r="J147" i="2"/>
  <c r="K147" i="2" s="1"/>
  <c r="M158" i="2"/>
  <c r="N158" i="2" s="1"/>
  <c r="O158" i="2" s="1"/>
  <c r="J205" i="2"/>
  <c r="K205" i="2" s="1"/>
  <c r="M205" i="2" s="1"/>
  <c r="N205" i="2" s="1"/>
  <c r="O205" i="2" s="1"/>
  <c r="J241" i="2"/>
  <c r="K241" i="2" s="1"/>
  <c r="J256" i="2"/>
  <c r="K256" i="2" s="1"/>
  <c r="J711" i="2"/>
  <c r="K711" i="2" s="1"/>
  <c r="M711" i="2" s="1"/>
  <c r="N711" i="2" s="1"/>
  <c r="O711" i="2" s="1"/>
  <c r="J55" i="2"/>
  <c r="K55" i="2" s="1"/>
  <c r="M55" i="2" s="1"/>
  <c r="N55" i="2" s="1"/>
  <c r="O55" i="2" s="1"/>
  <c r="J69" i="2"/>
  <c r="K69" i="2" s="1"/>
  <c r="M69" i="2" s="1"/>
  <c r="N69" i="2" s="1"/>
  <c r="O69" i="2" s="1"/>
  <c r="J112" i="2"/>
  <c r="K112" i="2" s="1"/>
  <c r="M112" i="2" s="1"/>
  <c r="N112" i="2" s="1"/>
  <c r="O112" i="2" s="1"/>
  <c r="M121" i="2"/>
  <c r="N121" i="2" s="1"/>
  <c r="O121" i="2" s="1"/>
  <c r="J123" i="2"/>
  <c r="K123" i="2" s="1"/>
  <c r="J136" i="2"/>
  <c r="K136" i="2" s="1"/>
  <c r="M273" i="2"/>
  <c r="N273" i="2" s="1"/>
  <c r="O273" i="2" s="1"/>
  <c r="J299" i="2"/>
  <c r="K299" i="2" s="1"/>
  <c r="J385" i="2"/>
  <c r="K385" i="2" s="1"/>
  <c r="M385" i="2" s="1"/>
  <c r="N385" i="2" s="1"/>
  <c r="O385" i="2" s="1"/>
  <c r="M403" i="2"/>
  <c r="N403" i="2" s="1"/>
  <c r="O403" i="2" s="1"/>
  <c r="M249" i="2"/>
  <c r="N249" i="2" s="1"/>
  <c r="O249" i="2" s="1"/>
  <c r="J380" i="2"/>
  <c r="K380" i="2" s="1"/>
  <c r="J37" i="2"/>
  <c r="K37" i="2" s="1"/>
  <c r="J83" i="2"/>
  <c r="K83" i="2" s="1"/>
  <c r="J85" i="2"/>
  <c r="K85" i="2" s="1"/>
  <c r="J91" i="2"/>
  <c r="K91" i="2" s="1"/>
  <c r="M91" i="2" s="1"/>
  <c r="N91" i="2" s="1"/>
  <c r="O91" i="2" s="1"/>
  <c r="J153" i="2"/>
  <c r="K153" i="2" s="1"/>
  <c r="M153" i="2" s="1"/>
  <c r="N153" i="2" s="1"/>
  <c r="O153" i="2" s="1"/>
  <c r="J166" i="2"/>
  <c r="K166" i="2" s="1"/>
  <c r="J171" i="2"/>
  <c r="K171" i="2" s="1"/>
  <c r="M171" i="2" s="1"/>
  <c r="N171" i="2" s="1"/>
  <c r="O171" i="2" s="1"/>
  <c r="J215" i="2"/>
  <c r="K215" i="2" s="1"/>
  <c r="J270" i="2"/>
  <c r="K270" i="2" s="1"/>
  <c r="J280" i="2"/>
  <c r="K280" i="2" s="1"/>
  <c r="M280" i="2" s="1"/>
  <c r="N280" i="2" s="1"/>
  <c r="O280" i="2" s="1"/>
  <c r="M293" i="2"/>
  <c r="N293" i="2" s="1"/>
  <c r="O293" i="2" s="1"/>
  <c r="M436" i="2"/>
  <c r="N436" i="2" s="1"/>
  <c r="O436" i="2" s="1"/>
  <c r="J630" i="2"/>
  <c r="K630" i="2" s="1"/>
  <c r="M630" i="2" s="1"/>
  <c r="N630" i="2" s="1"/>
  <c r="O630" i="2" s="1"/>
  <c r="J99" i="2"/>
  <c r="K99" i="2" s="1"/>
  <c r="J129" i="2"/>
  <c r="K129" i="2" s="1"/>
  <c r="J170" i="2"/>
  <c r="K170" i="2" s="1"/>
  <c r="J177" i="2"/>
  <c r="K177" i="2" s="1"/>
  <c r="M177" i="2" s="1"/>
  <c r="N177" i="2" s="1"/>
  <c r="O177" i="2" s="1"/>
  <c r="J186" i="2"/>
  <c r="K186" i="2" s="1"/>
  <c r="M186" i="2" s="1"/>
  <c r="N186" i="2" s="1"/>
  <c r="O186" i="2" s="1"/>
  <c r="J225" i="2"/>
  <c r="K225" i="2" s="1"/>
  <c r="J233" i="2"/>
  <c r="K233" i="2" s="1"/>
  <c r="J248" i="2"/>
  <c r="K248" i="2" s="1"/>
  <c r="M248" i="2" s="1"/>
  <c r="N248" i="2" s="1"/>
  <c r="O248" i="2" s="1"/>
  <c r="M276" i="2"/>
  <c r="N276" i="2" s="1"/>
  <c r="O276" i="2" s="1"/>
  <c r="J396" i="2"/>
  <c r="K396" i="2" s="1"/>
  <c r="M648" i="2"/>
  <c r="N648" i="2" s="1"/>
  <c r="O648" i="2" s="1"/>
  <c r="J735" i="2"/>
  <c r="K735" i="2" s="1"/>
  <c r="M735" i="2" s="1"/>
  <c r="N735" i="2" s="1"/>
  <c r="O735" i="2" s="1"/>
  <c r="J3" i="2"/>
  <c r="K3" i="2" s="1"/>
  <c r="M3" i="2" s="1"/>
  <c r="N3" i="2" s="1"/>
  <c r="O3" i="2" s="1"/>
  <c r="J25" i="2"/>
  <c r="K25" i="2" s="1"/>
  <c r="J72" i="2"/>
  <c r="K72" i="2" s="1"/>
  <c r="J94" i="2"/>
  <c r="K94" i="2" s="1"/>
  <c r="J96" i="2"/>
  <c r="K96" i="2" s="1"/>
  <c r="J101" i="2"/>
  <c r="K101" i="2" s="1"/>
  <c r="J107" i="2"/>
  <c r="K107" i="2" s="1"/>
  <c r="M107" i="2" s="1"/>
  <c r="N107" i="2" s="1"/>
  <c r="O107" i="2" s="1"/>
  <c r="J150" i="2"/>
  <c r="K150" i="2" s="1"/>
  <c r="J176" i="2"/>
  <c r="K176" i="2" s="1"/>
  <c r="J185" i="2"/>
  <c r="K185" i="2" s="1"/>
  <c r="J195" i="2"/>
  <c r="K195" i="2" s="1"/>
  <c r="J206" i="2"/>
  <c r="K206" i="2" s="1"/>
  <c r="J218" i="2"/>
  <c r="K218" i="2" s="1"/>
  <c r="J220" i="2"/>
  <c r="K220" i="2" s="1"/>
  <c r="M220" i="2" s="1"/>
  <c r="N220" i="2" s="1"/>
  <c r="O220" i="2" s="1"/>
  <c r="J274" i="2"/>
  <c r="K274" i="2" s="1"/>
  <c r="M765" i="2"/>
  <c r="N765" i="2" s="1"/>
  <c r="O765" i="2" s="1"/>
  <c r="M842" i="2"/>
  <c r="N842" i="2" s="1"/>
  <c r="O842" i="2" s="1"/>
  <c r="J339" i="2"/>
  <c r="K339" i="2" s="1"/>
  <c r="J374" i="2"/>
  <c r="K374" i="2" s="1"/>
  <c r="M433" i="2"/>
  <c r="N433" i="2" s="1"/>
  <c r="O433" i="2" s="1"/>
  <c r="J453" i="2"/>
  <c r="K453" i="2" s="1"/>
  <c r="J462" i="2"/>
  <c r="K462" i="2" s="1"/>
  <c r="J500" i="2"/>
  <c r="K500" i="2" s="1"/>
  <c r="M500" i="2" s="1"/>
  <c r="N500" i="2" s="1"/>
  <c r="O500" i="2" s="1"/>
  <c r="J523" i="2"/>
  <c r="K523" i="2" s="1"/>
  <c r="M529" i="2"/>
  <c r="N529" i="2" s="1"/>
  <c r="O529" i="2" s="1"/>
  <c r="M732" i="2"/>
  <c r="N732" i="2" s="1"/>
  <c r="O732" i="2" s="1"/>
  <c r="J773" i="2"/>
  <c r="K773" i="2" s="1"/>
  <c r="M773" i="2" s="1"/>
  <c r="N773" i="2" s="1"/>
  <c r="O773" i="2" s="1"/>
  <c r="J775" i="2"/>
  <c r="K775" i="2" s="1"/>
  <c r="M775" i="2" s="1"/>
  <c r="N775" i="2" s="1"/>
  <c r="O775" i="2" s="1"/>
  <c r="J781" i="2"/>
  <c r="K781" i="2" s="1"/>
  <c r="M781" i="2" s="1"/>
  <c r="N781" i="2" s="1"/>
  <c r="O781" i="2" s="1"/>
  <c r="J795" i="2"/>
  <c r="K795" i="2" s="1"/>
  <c r="J802" i="2"/>
  <c r="K802" i="2" s="1"/>
  <c r="J821" i="2"/>
  <c r="K821" i="2" s="1"/>
  <c r="J842" i="2"/>
  <c r="K842" i="2" s="1"/>
  <c r="J848" i="2"/>
  <c r="K848" i="2" s="1"/>
  <c r="M848" i="2" s="1"/>
  <c r="N848" i="2" s="1"/>
  <c r="O848" i="2" s="1"/>
  <c r="J1128" i="2"/>
  <c r="K1128" i="2" s="1"/>
  <c r="M255" i="2"/>
  <c r="N255" i="2" s="1"/>
  <c r="O255" i="2" s="1"/>
  <c r="J273" i="2"/>
  <c r="K273" i="2" s="1"/>
  <c r="J275" i="2"/>
  <c r="K275" i="2" s="1"/>
  <c r="J300" i="2"/>
  <c r="K300" i="2" s="1"/>
  <c r="J310" i="2"/>
  <c r="K310" i="2" s="1"/>
  <c r="J336" i="2"/>
  <c r="K336" i="2" s="1"/>
  <c r="J387" i="2"/>
  <c r="K387" i="2" s="1"/>
  <c r="M387" i="2" s="1"/>
  <c r="N387" i="2" s="1"/>
  <c r="O387" i="2" s="1"/>
  <c r="J473" i="2"/>
  <c r="K473" i="2" s="1"/>
  <c r="J513" i="2"/>
  <c r="K513" i="2" s="1"/>
  <c r="M513" i="2" s="1"/>
  <c r="N513" i="2" s="1"/>
  <c r="O513" i="2" s="1"/>
  <c r="J525" i="2"/>
  <c r="K525" i="2" s="1"/>
  <c r="J553" i="2"/>
  <c r="K553" i="2" s="1"/>
  <c r="M553" i="2" s="1"/>
  <c r="N553" i="2" s="1"/>
  <c r="O553" i="2" s="1"/>
  <c r="J583" i="2"/>
  <c r="K583" i="2" s="1"/>
  <c r="J599" i="2"/>
  <c r="K599" i="2" s="1"/>
  <c r="M599" i="2" s="1"/>
  <c r="N599" i="2" s="1"/>
  <c r="O599" i="2" s="1"/>
  <c r="J635" i="2"/>
  <c r="K635" i="2" s="1"/>
  <c r="J638" i="2"/>
  <c r="K638" i="2" s="1"/>
  <c r="J690" i="2"/>
  <c r="K690" i="2" s="1"/>
  <c r="J727" i="2"/>
  <c r="K727" i="2" s="1"/>
  <c r="J743" i="2"/>
  <c r="K743" i="2" s="1"/>
  <c r="J762" i="2"/>
  <c r="K762" i="2" s="1"/>
  <c r="J829" i="2"/>
  <c r="K829" i="2" s="1"/>
  <c r="J858" i="2"/>
  <c r="K858" i="2" s="1"/>
  <c r="J997" i="2"/>
  <c r="K997" i="2" s="1"/>
  <c r="J292" i="2"/>
  <c r="K292" i="2" s="1"/>
  <c r="M292" i="2" s="1"/>
  <c r="N292" i="2" s="1"/>
  <c r="O292" i="2" s="1"/>
  <c r="J294" i="2"/>
  <c r="K294" i="2" s="1"/>
  <c r="J304" i="2"/>
  <c r="K304" i="2" s="1"/>
  <c r="J326" i="2"/>
  <c r="K326" i="2" s="1"/>
  <c r="J345" i="2"/>
  <c r="K345" i="2" s="1"/>
  <c r="J369" i="2"/>
  <c r="K369" i="2" s="1"/>
  <c r="J371" i="2"/>
  <c r="K371" i="2" s="1"/>
  <c r="J409" i="2"/>
  <c r="K409" i="2" s="1"/>
  <c r="J420" i="2"/>
  <c r="K420" i="2" s="1"/>
  <c r="J422" i="2"/>
  <c r="K422" i="2" s="1"/>
  <c r="J438" i="2"/>
  <c r="K438" i="2" s="1"/>
  <c r="J458" i="2"/>
  <c r="K458" i="2" s="1"/>
  <c r="J460" i="2"/>
  <c r="K460" i="2" s="1"/>
  <c r="J468" i="2"/>
  <c r="K468" i="2" s="1"/>
  <c r="J474" i="2"/>
  <c r="K474" i="2" s="1"/>
  <c r="J479" i="2"/>
  <c r="K479" i="2" s="1"/>
  <c r="J495" i="2"/>
  <c r="K495" i="2" s="1"/>
  <c r="J512" i="2"/>
  <c r="K512" i="2" s="1"/>
  <c r="J514" i="2"/>
  <c r="K514" i="2" s="1"/>
  <c r="J529" i="2"/>
  <c r="K529" i="2" s="1"/>
  <c r="J552" i="2"/>
  <c r="K552" i="2" s="1"/>
  <c r="J632" i="2"/>
  <c r="K632" i="2" s="1"/>
  <c r="J634" i="2"/>
  <c r="K634" i="2" s="1"/>
  <c r="M690" i="2"/>
  <c r="N690" i="2" s="1"/>
  <c r="O690" i="2" s="1"/>
  <c r="J692" i="2"/>
  <c r="K692" i="2" s="1"/>
  <c r="J705" i="2"/>
  <c r="K705" i="2" s="1"/>
  <c r="J757" i="2"/>
  <c r="K757" i="2" s="1"/>
  <c r="J771" i="2"/>
  <c r="K771" i="2" s="1"/>
  <c r="J796" i="2"/>
  <c r="K796" i="2" s="1"/>
  <c r="J808" i="2"/>
  <c r="K808" i="2" s="1"/>
  <c r="J810" i="2"/>
  <c r="K810" i="2" s="1"/>
  <c r="J1014" i="2"/>
  <c r="K1014" i="2" s="1"/>
  <c r="M1014" i="2" s="1"/>
  <c r="N1014" i="2" s="1"/>
  <c r="O1014" i="2" s="1"/>
  <c r="J1082" i="2"/>
  <c r="K1082" i="2" s="1"/>
  <c r="J222" i="2"/>
  <c r="K222" i="2" s="1"/>
  <c r="J224" i="2"/>
  <c r="K224" i="2" s="1"/>
  <c r="J226" i="2"/>
  <c r="K226" i="2" s="1"/>
  <c r="M226" i="2" s="1"/>
  <c r="N226" i="2" s="1"/>
  <c r="O226" i="2" s="1"/>
  <c r="J228" i="2"/>
  <c r="K228" i="2" s="1"/>
  <c r="J232" i="2"/>
  <c r="K232" i="2" s="1"/>
  <c r="M232" i="2" s="1"/>
  <c r="N232" i="2" s="1"/>
  <c r="O232" i="2" s="1"/>
  <c r="J240" i="2"/>
  <c r="K240" i="2" s="1"/>
  <c r="M240" i="2" s="1"/>
  <c r="N240" i="2" s="1"/>
  <c r="O240" i="2" s="1"/>
  <c r="J244" i="2"/>
  <c r="K244" i="2" s="1"/>
  <c r="J252" i="2"/>
  <c r="K252" i="2" s="1"/>
  <c r="J253" i="2"/>
  <c r="K253" i="2" s="1"/>
  <c r="J255" i="2"/>
  <c r="K255" i="2" s="1"/>
  <c r="J283" i="2"/>
  <c r="K283" i="2" s="1"/>
  <c r="M291" i="2"/>
  <c r="N291" i="2" s="1"/>
  <c r="O291" i="2" s="1"/>
  <c r="J307" i="2"/>
  <c r="K307" i="2" s="1"/>
  <c r="J321" i="2"/>
  <c r="K321" i="2" s="1"/>
  <c r="J347" i="2"/>
  <c r="K347" i="2" s="1"/>
  <c r="J435" i="2"/>
  <c r="K435" i="2" s="1"/>
  <c r="J489" i="2"/>
  <c r="K489" i="2" s="1"/>
  <c r="J528" i="2"/>
  <c r="K528" i="2" s="1"/>
  <c r="M528" i="2" s="1"/>
  <c r="N528" i="2" s="1"/>
  <c r="O528" i="2" s="1"/>
  <c r="M552" i="2"/>
  <c r="N552" i="2" s="1"/>
  <c r="O552" i="2" s="1"/>
  <c r="J569" i="2"/>
  <c r="K569" i="2" s="1"/>
  <c r="J584" i="2"/>
  <c r="K584" i="2" s="1"/>
  <c r="J600" i="2"/>
  <c r="K600" i="2" s="1"/>
  <c r="J616" i="2"/>
  <c r="K616" i="2" s="1"/>
  <c r="J656" i="2"/>
  <c r="K656" i="2" s="1"/>
  <c r="J658" i="2"/>
  <c r="K658" i="2" s="1"/>
  <c r="M676" i="2"/>
  <c r="N676" i="2" s="1"/>
  <c r="O676" i="2" s="1"/>
  <c r="J720" i="2"/>
  <c r="K720" i="2" s="1"/>
  <c r="J722" i="2"/>
  <c r="K722" i="2" s="1"/>
  <c r="J744" i="2"/>
  <c r="K744" i="2" s="1"/>
  <c r="J788" i="2"/>
  <c r="K788" i="2" s="1"/>
  <c r="M828" i="2"/>
  <c r="N828" i="2" s="1"/>
  <c r="O828" i="2" s="1"/>
  <c r="J837" i="2"/>
  <c r="K837" i="2" s="1"/>
  <c r="M843" i="2"/>
  <c r="N843" i="2" s="1"/>
  <c r="O843" i="2" s="1"/>
  <c r="J974" i="2"/>
  <c r="K974" i="2" s="1"/>
  <c r="J1090" i="2"/>
  <c r="K1090" i="2" s="1"/>
  <c r="M1535" i="2"/>
  <c r="N1535" i="2" s="1"/>
  <c r="O1535" i="2" s="1"/>
  <c r="J332" i="2"/>
  <c r="K332" i="2" s="1"/>
  <c r="J340" i="2"/>
  <c r="K340" i="2" s="1"/>
  <c r="J348" i="2"/>
  <c r="K348" i="2" s="1"/>
  <c r="J364" i="2"/>
  <c r="K364" i="2" s="1"/>
  <c r="M364" i="2" s="1"/>
  <c r="N364" i="2" s="1"/>
  <c r="O364" i="2" s="1"/>
  <c r="J379" i="2"/>
  <c r="K379" i="2" s="1"/>
  <c r="J393" i="2"/>
  <c r="K393" i="2" s="1"/>
  <c r="J417" i="2"/>
  <c r="K417" i="2" s="1"/>
  <c r="J428" i="2"/>
  <c r="K428" i="2" s="1"/>
  <c r="J446" i="2"/>
  <c r="K446" i="2" s="1"/>
  <c r="J480" i="2"/>
  <c r="K480" i="2" s="1"/>
  <c r="J482" i="2"/>
  <c r="K482" i="2" s="1"/>
  <c r="J485" i="2"/>
  <c r="K485" i="2" s="1"/>
  <c r="J496" i="2"/>
  <c r="K496" i="2" s="1"/>
  <c r="J503" i="2"/>
  <c r="K503" i="2" s="1"/>
  <c r="M503" i="2" s="1"/>
  <c r="N503" i="2" s="1"/>
  <c r="O503" i="2" s="1"/>
  <c r="J532" i="2"/>
  <c r="K532" i="2" s="1"/>
  <c r="M532" i="2" s="1"/>
  <c r="N532" i="2" s="1"/>
  <c r="O532" i="2" s="1"/>
  <c r="J560" i="2"/>
  <c r="K560" i="2" s="1"/>
  <c r="J562" i="2"/>
  <c r="K562" i="2" s="1"/>
  <c r="M562" i="2" s="1"/>
  <c r="N562" i="2" s="1"/>
  <c r="O562" i="2" s="1"/>
  <c r="J586" i="2"/>
  <c r="K586" i="2" s="1"/>
  <c r="M609" i="2"/>
  <c r="N609" i="2" s="1"/>
  <c r="O609" i="2" s="1"/>
  <c r="J620" i="2"/>
  <c r="K620" i="2" s="1"/>
  <c r="M620" i="2" s="1"/>
  <c r="N620" i="2" s="1"/>
  <c r="O620" i="2" s="1"/>
  <c r="M658" i="2"/>
  <c r="N658" i="2" s="1"/>
  <c r="O658" i="2" s="1"/>
  <c r="J665" i="2"/>
  <c r="K665" i="2" s="1"/>
  <c r="J709" i="2"/>
  <c r="K709" i="2" s="1"/>
  <c r="J712" i="2"/>
  <c r="K712" i="2" s="1"/>
  <c r="M712" i="2" s="1"/>
  <c r="N712" i="2" s="1"/>
  <c r="O712" i="2" s="1"/>
  <c r="M728" i="2"/>
  <c r="N728" i="2" s="1"/>
  <c r="O728" i="2" s="1"/>
  <c r="J734" i="2"/>
  <c r="K734" i="2" s="1"/>
  <c r="M805" i="2"/>
  <c r="N805" i="2" s="1"/>
  <c r="O805" i="2" s="1"/>
  <c r="J824" i="2"/>
  <c r="K824" i="2" s="1"/>
  <c r="J826" i="2"/>
  <c r="K826" i="2" s="1"/>
  <c r="J836" i="2"/>
  <c r="K836" i="2" s="1"/>
  <c r="M836" i="2" s="1"/>
  <c r="N836" i="2" s="1"/>
  <c r="O836" i="2" s="1"/>
  <c r="J845" i="2"/>
  <c r="K845" i="2" s="1"/>
  <c r="J895" i="2"/>
  <c r="K895" i="2" s="1"/>
  <c r="M915" i="2"/>
  <c r="N915" i="2" s="1"/>
  <c r="O915" i="2" s="1"/>
  <c r="M921" i="2"/>
  <c r="N921" i="2" s="1"/>
  <c r="O921" i="2" s="1"/>
  <c r="J943" i="2"/>
  <c r="K943" i="2" s="1"/>
  <c r="J1005" i="2"/>
  <c r="K1005" i="2" s="1"/>
  <c r="J1024" i="2"/>
  <c r="K1024" i="2" s="1"/>
  <c r="J1051" i="2"/>
  <c r="K1051" i="2" s="1"/>
  <c r="J1069" i="2"/>
  <c r="K1069" i="2" s="1"/>
  <c r="M1079" i="2"/>
  <c r="N1079" i="2" s="1"/>
  <c r="O1079" i="2" s="1"/>
  <c r="J1117" i="2"/>
  <c r="K1117" i="2" s="1"/>
  <c r="J1126" i="2"/>
  <c r="K1126" i="2" s="1"/>
  <c r="J1136" i="2"/>
  <c r="K1136" i="2" s="1"/>
  <c r="J1142" i="2"/>
  <c r="K1142" i="2" s="1"/>
  <c r="J1151" i="2"/>
  <c r="K1151" i="2" s="1"/>
  <c r="J1253" i="2"/>
  <c r="K1253" i="2" s="1"/>
  <c r="J1364" i="2"/>
  <c r="K1364" i="2" s="1"/>
  <c r="J1482" i="2"/>
  <c r="K1482" i="2" s="1"/>
  <c r="J1493" i="2"/>
  <c r="K1493" i="2" s="1"/>
  <c r="J1835" i="2"/>
  <c r="K1835" i="2" s="1"/>
  <c r="J854" i="2"/>
  <c r="K854" i="2" s="1"/>
  <c r="M854" i="2" s="1"/>
  <c r="N854" i="2" s="1"/>
  <c r="O854" i="2" s="1"/>
  <c r="M858" i="2"/>
  <c r="N858" i="2" s="1"/>
  <c r="O858" i="2" s="1"/>
  <c r="J872" i="2"/>
  <c r="K872" i="2" s="1"/>
  <c r="J890" i="2"/>
  <c r="K890" i="2" s="1"/>
  <c r="J913" i="2"/>
  <c r="K913" i="2" s="1"/>
  <c r="J915" i="2"/>
  <c r="K915" i="2" s="1"/>
  <c r="J919" i="2"/>
  <c r="K919" i="2" s="1"/>
  <c r="J921" i="2"/>
  <c r="K921" i="2" s="1"/>
  <c r="J923" i="2"/>
  <c r="K923" i="2" s="1"/>
  <c r="J928" i="2"/>
  <c r="K928" i="2" s="1"/>
  <c r="J930" i="2"/>
  <c r="K930" i="2" s="1"/>
  <c r="J931" i="2"/>
  <c r="K931" i="2" s="1"/>
  <c r="J960" i="2"/>
  <c r="K960" i="2" s="1"/>
  <c r="M994" i="2"/>
  <c r="N994" i="2" s="1"/>
  <c r="O994" i="2" s="1"/>
  <c r="J1021" i="2"/>
  <c r="K1021" i="2" s="1"/>
  <c r="J1030" i="2"/>
  <c r="K1030" i="2" s="1"/>
  <c r="J1046" i="2"/>
  <c r="K1046" i="2" s="1"/>
  <c r="M1046" i="2" s="1"/>
  <c r="N1046" i="2" s="1"/>
  <c r="O1046" i="2" s="1"/>
  <c r="J1048" i="2"/>
  <c r="K1048" i="2" s="1"/>
  <c r="J1053" i="2"/>
  <c r="K1053" i="2" s="1"/>
  <c r="J1074" i="2"/>
  <c r="K1074" i="2" s="1"/>
  <c r="M1074" i="2" s="1"/>
  <c r="N1074" i="2" s="1"/>
  <c r="O1074" i="2" s="1"/>
  <c r="J1146" i="2"/>
  <c r="K1146" i="2" s="1"/>
  <c r="J1167" i="2"/>
  <c r="K1167" i="2" s="1"/>
  <c r="M1167" i="2" s="1"/>
  <c r="N1167" i="2" s="1"/>
  <c r="O1167" i="2" s="1"/>
  <c r="J1175" i="2"/>
  <c r="K1175" i="2" s="1"/>
  <c r="M1250" i="2"/>
  <c r="N1250" i="2" s="1"/>
  <c r="O1250" i="2" s="1"/>
  <c r="J1258" i="2"/>
  <c r="K1258" i="2" s="1"/>
  <c r="J1286" i="2"/>
  <c r="K1286" i="2" s="1"/>
  <c r="J1288" i="2"/>
  <c r="K1288" i="2" s="1"/>
  <c r="J1299" i="2"/>
  <c r="K1299" i="2" s="1"/>
  <c r="M1299" i="2" s="1"/>
  <c r="N1299" i="2" s="1"/>
  <c r="O1299" i="2" s="1"/>
  <c r="J1475" i="2"/>
  <c r="K1475" i="2" s="1"/>
  <c r="J1546" i="2"/>
  <c r="K1546" i="2" s="1"/>
  <c r="J1661" i="2"/>
  <c r="K1661" i="2" s="1"/>
  <c r="J876" i="2"/>
  <c r="K876" i="2" s="1"/>
  <c r="M955" i="2"/>
  <c r="N955" i="2" s="1"/>
  <c r="O955" i="2" s="1"/>
  <c r="J1037" i="2"/>
  <c r="K1037" i="2" s="1"/>
  <c r="M1037" i="2" s="1"/>
  <c r="N1037" i="2" s="1"/>
  <c r="O1037" i="2" s="1"/>
  <c r="J1068" i="2"/>
  <c r="K1068" i="2" s="1"/>
  <c r="M1068" i="2" s="1"/>
  <c r="N1068" i="2" s="1"/>
  <c r="O1068" i="2" s="1"/>
  <c r="J1084" i="2"/>
  <c r="K1084" i="2" s="1"/>
  <c r="M1084" i="2" s="1"/>
  <c r="N1084" i="2" s="1"/>
  <c r="O1084" i="2" s="1"/>
  <c r="J1398" i="2"/>
  <c r="K1398" i="2" s="1"/>
  <c r="J1402" i="2"/>
  <c r="K1402" i="2" s="1"/>
  <c r="J1458" i="2"/>
  <c r="K1458" i="2" s="1"/>
  <c r="J1548" i="2"/>
  <c r="K1548" i="2" s="1"/>
  <c r="J1671" i="2"/>
  <c r="K1671" i="2" s="1"/>
  <c r="J942" i="2"/>
  <c r="K942" i="2" s="1"/>
  <c r="J948" i="2"/>
  <c r="K948" i="2" s="1"/>
  <c r="J1006" i="2"/>
  <c r="K1006" i="2" s="1"/>
  <c r="J1013" i="2"/>
  <c r="K1013" i="2" s="1"/>
  <c r="M1013" i="2" s="1"/>
  <c r="N1013" i="2" s="1"/>
  <c r="O1013" i="2" s="1"/>
  <c r="J1058" i="2"/>
  <c r="K1058" i="2" s="1"/>
  <c r="J1080" i="2"/>
  <c r="K1080" i="2" s="1"/>
  <c r="J1108" i="2"/>
  <c r="K1108" i="2" s="1"/>
  <c r="J1124" i="2"/>
  <c r="K1124" i="2" s="1"/>
  <c r="J1137" i="2"/>
  <c r="K1137" i="2" s="1"/>
  <c r="J1138" i="2"/>
  <c r="K1138" i="2" s="1"/>
  <c r="M1138" i="2" s="1"/>
  <c r="N1138" i="2" s="1"/>
  <c r="O1138" i="2" s="1"/>
  <c r="J1162" i="2"/>
  <c r="K1162" i="2" s="1"/>
  <c r="M1162" i="2" s="1"/>
  <c r="N1162" i="2" s="1"/>
  <c r="O1162" i="2" s="1"/>
  <c r="J1202" i="2"/>
  <c r="K1202" i="2" s="1"/>
  <c r="J1214" i="2"/>
  <c r="K1214" i="2" s="1"/>
  <c r="J1240" i="2"/>
  <c r="K1240" i="2" s="1"/>
  <c r="J1254" i="2"/>
  <c r="K1254" i="2" s="1"/>
  <c r="M1384" i="2"/>
  <c r="N1384" i="2" s="1"/>
  <c r="O1384" i="2" s="1"/>
  <c r="J1457" i="2"/>
  <c r="K1457" i="2" s="1"/>
  <c r="J1613" i="2"/>
  <c r="K1613" i="2" s="1"/>
  <c r="M1627" i="2"/>
  <c r="N1627" i="2" s="1"/>
  <c r="O1627" i="2" s="1"/>
  <c r="J1029" i="2"/>
  <c r="K1029" i="2" s="1"/>
  <c r="J1143" i="2"/>
  <c r="K1143" i="2" s="1"/>
  <c r="M1143" i="2" s="1"/>
  <c r="N1143" i="2" s="1"/>
  <c r="O1143" i="2" s="1"/>
  <c r="M894" i="2"/>
  <c r="N894" i="2" s="1"/>
  <c r="O894" i="2" s="1"/>
  <c r="J918" i="2"/>
  <c r="K918" i="2" s="1"/>
  <c r="J961" i="2"/>
  <c r="K961" i="2" s="1"/>
  <c r="J978" i="2"/>
  <c r="K978" i="2" s="1"/>
  <c r="J989" i="2"/>
  <c r="K989" i="2" s="1"/>
  <c r="J1056" i="2"/>
  <c r="K1056" i="2" s="1"/>
  <c r="J1065" i="2"/>
  <c r="K1065" i="2" s="1"/>
  <c r="J1087" i="2"/>
  <c r="K1087" i="2" s="1"/>
  <c r="J1130" i="2"/>
  <c r="K1130" i="2" s="1"/>
  <c r="J1224" i="2"/>
  <c r="K1224" i="2" s="1"/>
  <c r="J1339" i="2"/>
  <c r="K1339" i="2" s="1"/>
  <c r="J1517" i="2"/>
  <c r="K1517" i="2" s="1"/>
  <c r="M1517" i="2" s="1"/>
  <c r="N1517" i="2" s="1"/>
  <c r="O1517" i="2" s="1"/>
  <c r="M1589" i="2"/>
  <c r="N1589" i="2" s="1"/>
  <c r="O1589" i="2" s="1"/>
  <c r="J1608" i="2"/>
  <c r="K1608" i="2" s="1"/>
  <c r="M1769" i="2"/>
  <c r="N1769" i="2" s="1"/>
  <c r="O1769" i="2" s="1"/>
  <c r="J1154" i="2"/>
  <c r="K1154" i="2" s="1"/>
  <c r="J1156" i="2"/>
  <c r="K1156" i="2" s="1"/>
  <c r="J1174" i="2"/>
  <c r="K1174" i="2" s="1"/>
  <c r="M1174" i="2" s="1"/>
  <c r="N1174" i="2" s="1"/>
  <c r="O1174" i="2" s="1"/>
  <c r="J1186" i="2"/>
  <c r="K1186" i="2" s="1"/>
  <c r="J1198" i="2"/>
  <c r="K1198" i="2" s="1"/>
  <c r="J1209" i="2"/>
  <c r="K1209" i="2" s="1"/>
  <c r="J1220" i="2"/>
  <c r="K1220" i="2" s="1"/>
  <c r="M1240" i="2"/>
  <c r="N1240" i="2" s="1"/>
  <c r="O1240" i="2" s="1"/>
  <c r="J1305" i="2"/>
  <c r="K1305" i="2" s="1"/>
  <c r="J1348" i="2"/>
  <c r="K1348" i="2" s="1"/>
  <c r="J1360" i="2"/>
  <c r="K1360" i="2" s="1"/>
  <c r="M1360" i="2" s="1"/>
  <c r="N1360" i="2" s="1"/>
  <c r="O1360" i="2" s="1"/>
  <c r="J1382" i="2"/>
  <c r="K1382" i="2" s="1"/>
  <c r="M1398" i="2"/>
  <c r="N1398" i="2" s="1"/>
  <c r="O1398" i="2" s="1"/>
  <c r="J1403" i="2"/>
  <c r="K1403" i="2" s="1"/>
  <c r="J1416" i="2"/>
  <c r="K1416" i="2" s="1"/>
  <c r="J1437" i="2"/>
  <c r="K1437" i="2" s="1"/>
  <c r="J1461" i="2"/>
  <c r="K1461" i="2" s="1"/>
  <c r="J1510" i="2"/>
  <c r="K1510" i="2" s="1"/>
  <c r="M1533" i="2"/>
  <c r="N1533" i="2" s="1"/>
  <c r="O1533" i="2" s="1"/>
  <c r="J1578" i="2"/>
  <c r="K1578" i="2" s="1"/>
  <c r="J1599" i="2"/>
  <c r="K1599" i="2" s="1"/>
  <c r="J1622" i="2"/>
  <c r="K1622" i="2" s="1"/>
  <c r="J1629" i="2"/>
  <c r="K1629" i="2" s="1"/>
  <c r="J1682" i="2"/>
  <c r="K1682" i="2" s="1"/>
  <c r="J1753" i="2"/>
  <c r="K1753" i="2" s="1"/>
  <c r="J2062" i="2"/>
  <c r="K2062" i="2" s="1"/>
  <c r="M2062" i="2" s="1"/>
  <c r="N2062" i="2" s="1"/>
  <c r="O2062" i="2" s="1"/>
  <c r="J2070" i="2"/>
  <c r="K2070" i="2" s="1"/>
  <c r="J1501" i="2"/>
  <c r="K1501" i="2" s="1"/>
  <c r="J1519" i="2"/>
  <c r="K1519" i="2" s="1"/>
  <c r="J1524" i="2"/>
  <c r="K1524" i="2" s="1"/>
  <c r="J1627" i="2"/>
  <c r="K1627" i="2" s="1"/>
  <c r="J1150" i="2"/>
  <c r="K1150" i="2" s="1"/>
  <c r="J1179" i="2"/>
  <c r="K1179" i="2" s="1"/>
  <c r="J1180" i="2"/>
  <c r="K1180" i="2" s="1"/>
  <c r="M1187" i="2"/>
  <c r="N1187" i="2" s="1"/>
  <c r="O1187" i="2" s="1"/>
  <c r="J1196" i="2"/>
  <c r="K1196" i="2" s="1"/>
  <c r="J1218" i="2"/>
  <c r="K1218" i="2" s="1"/>
  <c r="J1221" i="2"/>
  <c r="K1221" i="2" s="1"/>
  <c r="J1237" i="2"/>
  <c r="K1237" i="2" s="1"/>
  <c r="J1260" i="2"/>
  <c r="K1260" i="2" s="1"/>
  <c r="J1268" i="2"/>
  <c r="K1268" i="2" s="1"/>
  <c r="J1292" i="2"/>
  <c r="K1292" i="2" s="1"/>
  <c r="J1358" i="2"/>
  <c r="K1358" i="2" s="1"/>
  <c r="M1358" i="2" s="1"/>
  <c r="N1358" i="2" s="1"/>
  <c r="O1358" i="2" s="1"/>
  <c r="M1401" i="2"/>
  <c r="N1401" i="2" s="1"/>
  <c r="O1401" i="2" s="1"/>
  <c r="J1419" i="2"/>
  <c r="K1419" i="2" s="1"/>
  <c r="J1426" i="2"/>
  <c r="K1426" i="2" s="1"/>
  <c r="J1528" i="2"/>
  <c r="K1528" i="2" s="1"/>
  <c r="J1536" i="2"/>
  <c r="K1536" i="2" s="1"/>
  <c r="J1550" i="2"/>
  <c r="K1550" i="2" s="1"/>
  <c r="M1550" i="2" s="1"/>
  <c r="N1550" i="2" s="1"/>
  <c r="O1550" i="2" s="1"/>
  <c r="J1558" i="2"/>
  <c r="K1558" i="2" s="1"/>
  <c r="J1570" i="2"/>
  <c r="K1570" i="2" s="1"/>
  <c r="J1579" i="2"/>
  <c r="K1579" i="2" s="1"/>
  <c r="M1579" i="2" s="1"/>
  <c r="N1579" i="2" s="1"/>
  <c r="O1579" i="2" s="1"/>
  <c r="J1586" i="2"/>
  <c r="K1586" i="2" s="1"/>
  <c r="M1586" i="2" s="1"/>
  <c r="N1586" i="2" s="1"/>
  <c r="O1586" i="2" s="1"/>
  <c r="J1591" i="2"/>
  <c r="K1591" i="2" s="1"/>
  <c r="J1595" i="2"/>
  <c r="K1595" i="2" s="1"/>
  <c r="J1597" i="2"/>
  <c r="K1597" i="2" s="1"/>
  <c r="J1624" i="2"/>
  <c r="K1624" i="2" s="1"/>
  <c r="J1630" i="2"/>
  <c r="K1630" i="2" s="1"/>
  <c r="J1645" i="2"/>
  <c r="K1645" i="2" s="1"/>
  <c r="J1857" i="2"/>
  <c r="K1857" i="2" s="1"/>
  <c r="J1953" i="2"/>
  <c r="K1953" i="2" s="1"/>
  <c r="J1960" i="2"/>
  <c r="K1960" i="2" s="1"/>
  <c r="J1201" i="2"/>
  <c r="K1201" i="2" s="1"/>
  <c r="J1223" i="2"/>
  <c r="K1223" i="2" s="1"/>
  <c r="J1230" i="2"/>
  <c r="K1230" i="2" s="1"/>
  <c r="J1239" i="2"/>
  <c r="K1239" i="2" s="1"/>
  <c r="J1270" i="2"/>
  <c r="K1270" i="2" s="1"/>
  <c r="J1273" i="2"/>
  <c r="K1273" i="2" s="1"/>
  <c r="J1285" i="2"/>
  <c r="K1285" i="2" s="1"/>
  <c r="J1388" i="2"/>
  <c r="K1388" i="2" s="1"/>
  <c r="J1390" i="2"/>
  <c r="K1390" i="2" s="1"/>
  <c r="J1421" i="2"/>
  <c r="K1421" i="2" s="1"/>
  <c r="J1490" i="2"/>
  <c r="K1490" i="2" s="1"/>
  <c r="J1514" i="2"/>
  <c r="K1514" i="2" s="1"/>
  <c r="J1530" i="2"/>
  <c r="K1530" i="2" s="1"/>
  <c r="J1532" i="2"/>
  <c r="K1532" i="2" s="1"/>
  <c r="J1612" i="2"/>
  <c r="K1612" i="2" s="1"/>
  <c r="J1640" i="2"/>
  <c r="K1640" i="2" s="1"/>
  <c r="M1640" i="2" s="1"/>
  <c r="N1640" i="2" s="1"/>
  <c r="O1640" i="2" s="1"/>
  <c r="J1663" i="2"/>
  <c r="K1663" i="2" s="1"/>
  <c r="J1756" i="2"/>
  <c r="K1756" i="2" s="1"/>
  <c r="M1756" i="2" s="1"/>
  <c r="N1756" i="2" s="1"/>
  <c r="O1756" i="2" s="1"/>
  <c r="J1877" i="2"/>
  <c r="K1877" i="2" s="1"/>
  <c r="J1225" i="2"/>
  <c r="K1225" i="2" s="1"/>
  <c r="J1241" i="2"/>
  <c r="K1241" i="2" s="1"/>
  <c r="M1241" i="2" s="1"/>
  <c r="N1241" i="2" s="1"/>
  <c r="O1241" i="2" s="1"/>
  <c r="J1252" i="2"/>
  <c r="K1252" i="2" s="1"/>
  <c r="J1257" i="2"/>
  <c r="K1257" i="2" s="1"/>
  <c r="M1257" i="2" s="1"/>
  <c r="N1257" i="2" s="1"/>
  <c r="O1257" i="2" s="1"/>
  <c r="J1275" i="2"/>
  <c r="K1275" i="2" s="1"/>
  <c r="J1287" i="2"/>
  <c r="K1287" i="2" s="1"/>
  <c r="M1287" i="2" s="1"/>
  <c r="N1287" i="2" s="1"/>
  <c r="O1287" i="2" s="1"/>
  <c r="J1289" i="2"/>
  <c r="K1289" i="2" s="1"/>
  <c r="J1337" i="2"/>
  <c r="K1337" i="2" s="1"/>
  <c r="J1351" i="2"/>
  <c r="K1351" i="2" s="1"/>
  <c r="J1356" i="2"/>
  <c r="K1356" i="2" s="1"/>
  <c r="J1361" i="2"/>
  <c r="K1361" i="2" s="1"/>
  <c r="J1378" i="2"/>
  <c r="K1378" i="2" s="1"/>
  <c r="M1378" i="2" s="1"/>
  <c r="N1378" i="2" s="1"/>
  <c r="O1378" i="2" s="1"/>
  <c r="J1389" i="2"/>
  <c r="K1389" i="2" s="1"/>
  <c r="J1393" i="2"/>
  <c r="K1393" i="2" s="1"/>
  <c r="J1394" i="2"/>
  <c r="K1394" i="2" s="1"/>
  <c r="M1394" i="2" s="1"/>
  <c r="N1394" i="2" s="1"/>
  <c r="O1394" i="2" s="1"/>
  <c r="J1396" i="2"/>
  <c r="K1396" i="2" s="1"/>
  <c r="J1399" i="2"/>
  <c r="K1399" i="2" s="1"/>
  <c r="J1441" i="2"/>
  <c r="K1441" i="2" s="1"/>
  <c r="M1441" i="2" s="1"/>
  <c r="N1441" i="2" s="1"/>
  <c r="O1441" i="2" s="1"/>
  <c r="J1467" i="2"/>
  <c r="K1467" i="2" s="1"/>
  <c r="J1474" i="2"/>
  <c r="K1474" i="2" s="1"/>
  <c r="M1474" i="2" s="1"/>
  <c r="N1474" i="2" s="1"/>
  <c r="O1474" i="2" s="1"/>
  <c r="J1507" i="2"/>
  <c r="K1507" i="2" s="1"/>
  <c r="J1533" i="2"/>
  <c r="K1533" i="2" s="1"/>
  <c r="J1534" i="2"/>
  <c r="K1534" i="2" s="1"/>
  <c r="J1543" i="2"/>
  <c r="K1543" i="2" s="1"/>
  <c r="J1555" i="2"/>
  <c r="K1555" i="2" s="1"/>
  <c r="J1563" i="2"/>
  <c r="K1563" i="2" s="1"/>
  <c r="M1565" i="2"/>
  <c r="N1565" i="2" s="1"/>
  <c r="O1565" i="2" s="1"/>
  <c r="J1602" i="2"/>
  <c r="K1602" i="2" s="1"/>
  <c r="J1606" i="2"/>
  <c r="K1606" i="2" s="1"/>
  <c r="M1606" i="2" s="1"/>
  <c r="N1606" i="2" s="1"/>
  <c r="O1606" i="2" s="1"/>
  <c r="J1646" i="2"/>
  <c r="K1646" i="2" s="1"/>
  <c r="J1649" i="2"/>
  <c r="K1649" i="2" s="1"/>
  <c r="J1660" i="2"/>
  <c r="K1660" i="2" s="1"/>
  <c r="J1817" i="2"/>
  <c r="K1817" i="2" s="1"/>
  <c r="J1885" i="2"/>
  <c r="K1885" i="2" s="1"/>
  <c r="M1885" i="2" s="1"/>
  <c r="N1885" i="2" s="1"/>
  <c r="O1885" i="2" s="1"/>
  <c r="J1651" i="2"/>
  <c r="K1651" i="2" s="1"/>
  <c r="M1682" i="2"/>
  <c r="N1682" i="2" s="1"/>
  <c r="O1682" i="2" s="1"/>
  <c r="J1751" i="2"/>
  <c r="K1751" i="2" s="1"/>
  <c r="J1760" i="2"/>
  <c r="K1760" i="2" s="1"/>
  <c r="M1794" i="2"/>
  <c r="N1794" i="2" s="1"/>
  <c r="O1794" i="2" s="1"/>
  <c r="J1797" i="2"/>
  <c r="K1797" i="2" s="1"/>
  <c r="J1807" i="2"/>
  <c r="K1807" i="2" s="1"/>
  <c r="J1847" i="2"/>
  <c r="K1847" i="2" s="1"/>
  <c r="J1849" i="2"/>
  <c r="K1849" i="2" s="1"/>
  <c r="J1873" i="2"/>
  <c r="K1873" i="2" s="1"/>
  <c r="J1913" i="2"/>
  <c r="K1913" i="2" s="1"/>
  <c r="J1934" i="2"/>
  <c r="K1934" i="2" s="1"/>
  <c r="J1936" i="2"/>
  <c r="K1936" i="2" s="1"/>
  <c r="J1969" i="2"/>
  <c r="K1969" i="2" s="1"/>
  <c r="J1974" i="2"/>
  <c r="K1974" i="2" s="1"/>
  <c r="J1999" i="2"/>
  <c r="K1999" i="2" s="1"/>
  <c r="M2014" i="2"/>
  <c r="N2014" i="2" s="1"/>
  <c r="O2014" i="2" s="1"/>
  <c r="M2059" i="2"/>
  <c r="N2059" i="2" s="1"/>
  <c r="O2059" i="2" s="1"/>
  <c r="J2066" i="2"/>
  <c r="K2066" i="2" s="1"/>
  <c r="J2104" i="2"/>
  <c r="K2104" i="2" s="1"/>
  <c r="J2130" i="2"/>
  <c r="K2130" i="2" s="1"/>
  <c r="J2155" i="2"/>
  <c r="K2155" i="2" s="1"/>
  <c r="J2351" i="2"/>
  <c r="K2351" i="2" s="1"/>
  <c r="J1704" i="2"/>
  <c r="K1704" i="2" s="1"/>
  <c r="M1704" i="2" s="1"/>
  <c r="N1704" i="2" s="1"/>
  <c r="O1704" i="2" s="1"/>
  <c r="J1736" i="2"/>
  <c r="K1736" i="2" s="1"/>
  <c r="M1762" i="2"/>
  <c r="N1762" i="2" s="1"/>
  <c r="O1762" i="2" s="1"/>
  <c r="J1803" i="2"/>
  <c r="K1803" i="2" s="1"/>
  <c r="J1854" i="2"/>
  <c r="K1854" i="2" s="1"/>
  <c r="J1890" i="2"/>
  <c r="K1890" i="2" s="1"/>
  <c r="M1898" i="2"/>
  <c r="N1898" i="2" s="1"/>
  <c r="O1898" i="2" s="1"/>
  <c r="J1909" i="2"/>
  <c r="K1909" i="2" s="1"/>
  <c r="M1909" i="2" s="1"/>
  <c r="N1909" i="2" s="1"/>
  <c r="O1909" i="2" s="1"/>
  <c r="J1919" i="2"/>
  <c r="K1919" i="2" s="1"/>
  <c r="J1920" i="2"/>
  <c r="K1920" i="2" s="1"/>
  <c r="J1943" i="2"/>
  <c r="K1943" i="2" s="1"/>
  <c r="J1945" i="2"/>
  <c r="K1945" i="2" s="1"/>
  <c r="M2007" i="2"/>
  <c r="N2007" i="2" s="1"/>
  <c r="O2007" i="2" s="1"/>
  <c r="M2022" i="2"/>
  <c r="N2022" i="2" s="1"/>
  <c r="O2022" i="2" s="1"/>
  <c r="M2031" i="2"/>
  <c r="N2031" i="2" s="1"/>
  <c r="O2031" i="2" s="1"/>
  <c r="J2093" i="2"/>
  <c r="K2093" i="2" s="1"/>
  <c r="J2105" i="2"/>
  <c r="K2105" i="2" s="1"/>
  <c r="J2107" i="2"/>
  <c r="K2107" i="2" s="1"/>
  <c r="J2110" i="2"/>
  <c r="K2110" i="2" s="1"/>
  <c r="J2131" i="2"/>
  <c r="K2131" i="2" s="1"/>
  <c r="M2429" i="2"/>
  <c r="N2429" i="2" s="1"/>
  <c r="O2429" i="2" s="1"/>
  <c r="J2711" i="2"/>
  <c r="K2711" i="2" s="1"/>
  <c r="J1719" i="2"/>
  <c r="K1719" i="2" s="1"/>
  <c r="J1743" i="2"/>
  <c r="K1743" i="2" s="1"/>
  <c r="J1787" i="2"/>
  <c r="K1787" i="2" s="1"/>
  <c r="J1796" i="2"/>
  <c r="K1796" i="2" s="1"/>
  <c r="J1980" i="2"/>
  <c r="K1980" i="2" s="1"/>
  <c r="J1658" i="2"/>
  <c r="K1658" i="2" s="1"/>
  <c r="J1690" i="2"/>
  <c r="K1690" i="2" s="1"/>
  <c r="J1691" i="2"/>
  <c r="K1691" i="2" s="1"/>
  <c r="J1698" i="2"/>
  <c r="K1698" i="2" s="1"/>
  <c r="J1740" i="2"/>
  <c r="K1740" i="2" s="1"/>
  <c r="J1772" i="2"/>
  <c r="K1772" i="2" s="1"/>
  <c r="J1785" i="2"/>
  <c r="K1785" i="2" s="1"/>
  <c r="M1785" i="2" s="1"/>
  <c r="N1785" i="2" s="1"/>
  <c r="O1785" i="2" s="1"/>
  <c r="J1811" i="2"/>
  <c r="K1811" i="2" s="1"/>
  <c r="J1842" i="2"/>
  <c r="K1842" i="2" s="1"/>
  <c r="J1860" i="2"/>
  <c r="K1860" i="2" s="1"/>
  <c r="M1895" i="2"/>
  <c r="N1895" i="2" s="1"/>
  <c r="O1895" i="2" s="1"/>
  <c r="J1897" i="2"/>
  <c r="K1897" i="2" s="1"/>
  <c r="J1921" i="2"/>
  <c r="K1921" i="2" s="1"/>
  <c r="J1928" i="2"/>
  <c r="K1928" i="2" s="1"/>
  <c r="M1928" i="2" s="1"/>
  <c r="N1928" i="2" s="1"/>
  <c r="O1928" i="2" s="1"/>
  <c r="J1983" i="2"/>
  <c r="K1983" i="2" s="1"/>
  <c r="J1984" i="2"/>
  <c r="K1984" i="2" s="1"/>
  <c r="J1998" i="2"/>
  <c r="K1998" i="2" s="1"/>
  <c r="J2015" i="2"/>
  <c r="K2015" i="2" s="1"/>
  <c r="J2016" i="2"/>
  <c r="K2016" i="2" s="1"/>
  <c r="J2047" i="2"/>
  <c r="K2047" i="2" s="1"/>
  <c r="J2051" i="2"/>
  <c r="K2051" i="2" s="1"/>
  <c r="J2080" i="2"/>
  <c r="K2080" i="2" s="1"/>
  <c r="J2101" i="2"/>
  <c r="K2101" i="2" s="1"/>
  <c r="J2114" i="2"/>
  <c r="K2114" i="2" s="1"/>
  <c r="J2116" i="2"/>
  <c r="K2116" i="2" s="1"/>
  <c r="J2129" i="2"/>
  <c r="K2129" i="2" s="1"/>
  <c r="J2139" i="2"/>
  <c r="K2139" i="2" s="1"/>
  <c r="M2139" i="2" s="1"/>
  <c r="N2139" i="2" s="1"/>
  <c r="O2139" i="2" s="1"/>
  <c r="J2141" i="2"/>
  <c r="K2141" i="2" s="1"/>
  <c r="J2146" i="2"/>
  <c r="K2146" i="2" s="1"/>
  <c r="J2165" i="2"/>
  <c r="K2165" i="2" s="1"/>
  <c r="J2167" i="2"/>
  <c r="K2167" i="2" s="1"/>
  <c r="J2230" i="2"/>
  <c r="K2230" i="2" s="1"/>
  <c r="J2402" i="2"/>
  <c r="K2402" i="2" s="1"/>
  <c r="J2627" i="2"/>
  <c r="K2627" i="2" s="1"/>
  <c r="J1716" i="2"/>
  <c r="K1716" i="2" s="1"/>
  <c r="M1716" i="2" s="1"/>
  <c r="N1716" i="2" s="1"/>
  <c r="O1716" i="2" s="1"/>
  <c r="J1723" i="2"/>
  <c r="K1723" i="2" s="1"/>
  <c r="J1764" i="2"/>
  <c r="K1764" i="2" s="1"/>
  <c r="J1778" i="2"/>
  <c r="K1778" i="2" s="1"/>
  <c r="J1813" i="2"/>
  <c r="K1813" i="2" s="1"/>
  <c r="M1833" i="2"/>
  <c r="N1833" i="2" s="1"/>
  <c r="O1833" i="2" s="1"/>
  <c r="J1966" i="2"/>
  <c r="K1966" i="2" s="1"/>
  <c r="J1988" i="2"/>
  <c r="K1988" i="2" s="1"/>
  <c r="M2015" i="2"/>
  <c r="N2015" i="2" s="1"/>
  <c r="O2015" i="2" s="1"/>
  <c r="J2269" i="2"/>
  <c r="K2269" i="2" s="1"/>
  <c r="J1672" i="2"/>
  <c r="K1672" i="2" s="1"/>
  <c r="M1679" i="2"/>
  <c r="N1679" i="2" s="1"/>
  <c r="O1679" i="2" s="1"/>
  <c r="J1737" i="2"/>
  <c r="K1737" i="2" s="1"/>
  <c r="M1741" i="2"/>
  <c r="N1741" i="2" s="1"/>
  <c r="O1741" i="2" s="1"/>
  <c r="J1747" i="2"/>
  <c r="K1747" i="2" s="1"/>
  <c r="J1767" i="2"/>
  <c r="K1767" i="2" s="1"/>
  <c r="J1792" i="2"/>
  <c r="K1792" i="2" s="1"/>
  <c r="J1822" i="2"/>
  <c r="K1822" i="2" s="1"/>
  <c r="J1832" i="2"/>
  <c r="K1832" i="2" s="1"/>
  <c r="M1832" i="2" s="1"/>
  <c r="N1832" i="2" s="1"/>
  <c r="O1832" i="2" s="1"/>
  <c r="J1868" i="2"/>
  <c r="K1868" i="2" s="1"/>
  <c r="M1868" i="2" s="1"/>
  <c r="N1868" i="2" s="1"/>
  <c r="O1868" i="2" s="1"/>
  <c r="M1899" i="2"/>
  <c r="N1899" i="2" s="1"/>
  <c r="O1899" i="2" s="1"/>
  <c r="J1903" i="2"/>
  <c r="K1903" i="2" s="1"/>
  <c r="J1906" i="2"/>
  <c r="K1906" i="2" s="1"/>
  <c r="J1961" i="2"/>
  <c r="K1961" i="2" s="1"/>
  <c r="J1967" i="2"/>
  <c r="K1967" i="2" s="1"/>
  <c r="J1968" i="2"/>
  <c r="K1968" i="2" s="1"/>
  <c r="J1985" i="2"/>
  <c r="K1985" i="2" s="1"/>
  <c r="J1993" i="2"/>
  <c r="K1993" i="2" s="1"/>
  <c r="M1993" i="2" s="1"/>
  <c r="N1993" i="2" s="1"/>
  <c r="O1993" i="2" s="1"/>
  <c r="J2023" i="2"/>
  <c r="K2023" i="2" s="1"/>
  <c r="J2086" i="2"/>
  <c r="K2086" i="2" s="1"/>
  <c r="M2086" i="2" s="1"/>
  <c r="N2086" i="2" s="1"/>
  <c r="O2086" i="2" s="1"/>
  <c r="J2096" i="2"/>
  <c r="K2096" i="2" s="1"/>
  <c r="M2143" i="2"/>
  <c r="N2143" i="2" s="1"/>
  <c r="O2143" i="2" s="1"/>
  <c r="J2147" i="2"/>
  <c r="K2147" i="2" s="1"/>
  <c r="J2163" i="2"/>
  <c r="K2163" i="2" s="1"/>
  <c r="J2175" i="2"/>
  <c r="K2175" i="2" s="1"/>
  <c r="J2193" i="2"/>
  <c r="K2193" i="2" s="1"/>
  <c r="J2221" i="2"/>
  <c r="K2221" i="2" s="1"/>
  <c r="J2239" i="2"/>
  <c r="K2239" i="2" s="1"/>
  <c r="M2239" i="2" s="1"/>
  <c r="N2239" i="2" s="1"/>
  <c r="O2239" i="2" s="1"/>
  <c r="J2270" i="2"/>
  <c r="K2270" i="2" s="1"/>
  <c r="J2188" i="2"/>
  <c r="K2188" i="2" s="1"/>
  <c r="J2202" i="2"/>
  <c r="K2202" i="2" s="1"/>
  <c r="M2230" i="2"/>
  <c r="N2230" i="2" s="1"/>
  <c r="O2230" i="2" s="1"/>
  <c r="J2262" i="2"/>
  <c r="K2262" i="2" s="1"/>
  <c r="J2324" i="2"/>
  <c r="K2324" i="2" s="1"/>
  <c r="J2340" i="2"/>
  <c r="K2340" i="2" s="1"/>
  <c r="J2345" i="2"/>
  <c r="K2345" i="2" s="1"/>
  <c r="J2466" i="2"/>
  <c r="K2466" i="2" s="1"/>
  <c r="J2512" i="2"/>
  <c r="K2512" i="2" s="1"/>
  <c r="J2661" i="2"/>
  <c r="K2661" i="2" s="1"/>
  <c r="J2797" i="2"/>
  <c r="K2797" i="2" s="1"/>
  <c r="J2900" i="2"/>
  <c r="K2900" i="2" s="1"/>
  <c r="M2302" i="2"/>
  <c r="N2302" i="2" s="1"/>
  <c r="O2302" i="2" s="1"/>
  <c r="J2317" i="2"/>
  <c r="K2317" i="2" s="1"/>
  <c r="J2410" i="2"/>
  <c r="K2410" i="2" s="1"/>
  <c r="J2434" i="2"/>
  <c r="K2434" i="2" s="1"/>
  <c r="J2534" i="2"/>
  <c r="K2534" i="2" s="1"/>
  <c r="J2608" i="2"/>
  <c r="K2608" i="2" s="1"/>
  <c r="J2665" i="2"/>
  <c r="K2665" i="2" s="1"/>
  <c r="J2667" i="2"/>
  <c r="K2667" i="2" s="1"/>
  <c r="J2847" i="2"/>
  <c r="K2847" i="2" s="1"/>
  <c r="J2156" i="2"/>
  <c r="K2156" i="2" s="1"/>
  <c r="J2158" i="2"/>
  <c r="K2158" i="2" s="1"/>
  <c r="J2191" i="2"/>
  <c r="K2191" i="2" s="1"/>
  <c r="J2238" i="2"/>
  <c r="K2238" i="2" s="1"/>
  <c r="J2241" i="2"/>
  <c r="K2241" i="2" s="1"/>
  <c r="J2277" i="2"/>
  <c r="K2277" i="2" s="1"/>
  <c r="J2279" i="2"/>
  <c r="K2279" i="2" s="1"/>
  <c r="J2290" i="2"/>
  <c r="K2290" i="2" s="1"/>
  <c r="J2298" i="2"/>
  <c r="K2298" i="2" s="1"/>
  <c r="M2298" i="2" s="1"/>
  <c r="N2298" i="2" s="1"/>
  <c r="O2298" i="2" s="1"/>
  <c r="J2300" i="2"/>
  <c r="K2300" i="2" s="1"/>
  <c r="M2310" i="2"/>
  <c r="N2310" i="2" s="1"/>
  <c r="O2310" i="2" s="1"/>
  <c r="M2350" i="2"/>
  <c r="N2350" i="2" s="1"/>
  <c r="O2350" i="2" s="1"/>
  <c r="J2418" i="2"/>
  <c r="K2418" i="2" s="1"/>
  <c r="J2428" i="2"/>
  <c r="K2428" i="2" s="1"/>
  <c r="J2431" i="2"/>
  <c r="K2431" i="2" s="1"/>
  <c r="M2431" i="2" s="1"/>
  <c r="N2431" i="2" s="1"/>
  <c r="O2431" i="2" s="1"/>
  <c r="J2437" i="2"/>
  <c r="K2437" i="2" s="1"/>
  <c r="M2437" i="2" s="1"/>
  <c r="N2437" i="2" s="1"/>
  <c r="O2437" i="2" s="1"/>
  <c r="J2463" i="2"/>
  <c r="K2463" i="2" s="1"/>
  <c r="M2528" i="2"/>
  <c r="N2528" i="2" s="1"/>
  <c r="O2528" i="2" s="1"/>
  <c r="J2559" i="2"/>
  <c r="K2559" i="2" s="1"/>
  <c r="J2569" i="2"/>
  <c r="K2569" i="2" s="1"/>
  <c r="J2571" i="2"/>
  <c r="K2571" i="2" s="1"/>
  <c r="J2611" i="2"/>
  <c r="K2611" i="2" s="1"/>
  <c r="M2611" i="2" s="1"/>
  <c r="N2611" i="2" s="1"/>
  <c r="O2611" i="2" s="1"/>
  <c r="J2641" i="2"/>
  <c r="K2641" i="2" s="1"/>
  <c r="M2641" i="2" s="1"/>
  <c r="N2641" i="2" s="1"/>
  <c r="O2641" i="2" s="1"/>
  <c r="J2666" i="2"/>
  <c r="K2666" i="2" s="1"/>
  <c r="J2668" i="2"/>
  <c r="K2668" i="2" s="1"/>
  <c r="J2781" i="2"/>
  <c r="K2781" i="2" s="1"/>
  <c r="M2781" i="2" s="1"/>
  <c r="N2781" i="2" s="1"/>
  <c r="O2781" i="2" s="1"/>
  <c r="J2263" i="2"/>
  <c r="K2263" i="2" s="1"/>
  <c r="J2292" i="2"/>
  <c r="K2292" i="2" s="1"/>
  <c r="J2325" i="2"/>
  <c r="K2325" i="2" s="1"/>
  <c r="J2394" i="2"/>
  <c r="K2394" i="2" s="1"/>
  <c r="J2419" i="2"/>
  <c r="K2419" i="2" s="1"/>
  <c r="J2424" i="2"/>
  <c r="K2424" i="2" s="1"/>
  <c r="J2430" i="2"/>
  <c r="K2430" i="2" s="1"/>
  <c r="J2446" i="2"/>
  <c r="K2446" i="2" s="1"/>
  <c r="M2446" i="2" s="1"/>
  <c r="N2446" i="2" s="1"/>
  <c r="O2446" i="2" s="1"/>
  <c r="J2456" i="2"/>
  <c r="K2456" i="2" s="1"/>
  <c r="M2456" i="2" s="1"/>
  <c r="N2456" i="2" s="1"/>
  <c r="O2456" i="2" s="1"/>
  <c r="J2462" i="2"/>
  <c r="K2462" i="2" s="1"/>
  <c r="J2496" i="2"/>
  <c r="K2496" i="2" s="1"/>
  <c r="J2514" i="2"/>
  <c r="K2514" i="2" s="1"/>
  <c r="J2525" i="2"/>
  <c r="K2525" i="2" s="1"/>
  <c r="J2538" i="2"/>
  <c r="K2538" i="2" s="1"/>
  <c r="J2560" i="2"/>
  <c r="K2560" i="2" s="1"/>
  <c r="M2560" i="2" s="1"/>
  <c r="N2560" i="2" s="1"/>
  <c r="O2560" i="2" s="1"/>
  <c r="J2575" i="2"/>
  <c r="K2575" i="2" s="1"/>
  <c r="J2596" i="2"/>
  <c r="K2596" i="2" s="1"/>
  <c r="J2603" i="2"/>
  <c r="K2603" i="2" s="1"/>
  <c r="J2749" i="2"/>
  <c r="K2749" i="2" s="1"/>
  <c r="M2749" i="2" s="1"/>
  <c r="N2749" i="2" s="1"/>
  <c r="O2749" i="2" s="1"/>
  <c r="J2819" i="2"/>
  <c r="K2819" i="2" s="1"/>
  <c r="J3150" i="2"/>
  <c r="K3150" i="2" s="1"/>
  <c r="J2229" i="2"/>
  <c r="K2229" i="2" s="1"/>
  <c r="J2236" i="2"/>
  <c r="K2236" i="2" s="1"/>
  <c r="J2267" i="2"/>
  <c r="K2267" i="2" s="1"/>
  <c r="J2373" i="2"/>
  <c r="K2373" i="2" s="1"/>
  <c r="J2442" i="2"/>
  <c r="K2442" i="2" s="1"/>
  <c r="J2449" i="2"/>
  <c r="K2449" i="2" s="1"/>
  <c r="J2458" i="2"/>
  <c r="K2458" i="2" s="1"/>
  <c r="J2477" i="2"/>
  <c r="K2477" i="2" s="1"/>
  <c r="J2489" i="2"/>
  <c r="K2489" i="2" s="1"/>
  <c r="J2503" i="2"/>
  <c r="K2503" i="2" s="1"/>
  <c r="J2556" i="2"/>
  <c r="K2556" i="2" s="1"/>
  <c r="J2565" i="2"/>
  <c r="K2565" i="2" s="1"/>
  <c r="J2583" i="2"/>
  <c r="K2583" i="2" s="1"/>
  <c r="J2593" i="2"/>
  <c r="K2593" i="2" s="1"/>
  <c r="J2595" i="2"/>
  <c r="K2595" i="2" s="1"/>
  <c r="J2626" i="2"/>
  <c r="K2626" i="2" s="1"/>
  <c r="J2629" i="2"/>
  <c r="K2629" i="2" s="1"/>
  <c r="J2635" i="2"/>
  <c r="K2635" i="2" s="1"/>
  <c r="J2121" i="2"/>
  <c r="K2121" i="2" s="1"/>
  <c r="M2133" i="2"/>
  <c r="N2133" i="2" s="1"/>
  <c r="O2133" i="2" s="1"/>
  <c r="M2159" i="2"/>
  <c r="N2159" i="2" s="1"/>
  <c r="O2159" i="2" s="1"/>
  <c r="J2183" i="2"/>
  <c r="K2183" i="2" s="1"/>
  <c r="M2222" i="2"/>
  <c r="N2222" i="2" s="1"/>
  <c r="O2222" i="2" s="1"/>
  <c r="M2338" i="2"/>
  <c r="N2338" i="2" s="1"/>
  <c r="O2338" i="2" s="1"/>
  <c r="J2356" i="2"/>
  <c r="K2356" i="2" s="1"/>
  <c r="J2358" i="2"/>
  <c r="K2358" i="2" s="1"/>
  <c r="M2358" i="2" s="1"/>
  <c r="N2358" i="2" s="1"/>
  <c r="O2358" i="2" s="1"/>
  <c r="J2400" i="2"/>
  <c r="K2400" i="2" s="1"/>
  <c r="J2406" i="2"/>
  <c r="K2406" i="2" s="1"/>
  <c r="J2450" i="2"/>
  <c r="K2450" i="2" s="1"/>
  <c r="J2474" i="2"/>
  <c r="K2474" i="2" s="1"/>
  <c r="J2478" i="2"/>
  <c r="K2478" i="2" s="1"/>
  <c r="J2484" i="2"/>
  <c r="K2484" i="2" s="1"/>
  <c r="J2504" i="2"/>
  <c r="K2504" i="2" s="1"/>
  <c r="J2555" i="2"/>
  <c r="K2555" i="2" s="1"/>
  <c r="J2579" i="2"/>
  <c r="K2579" i="2" s="1"/>
  <c r="J2628" i="2"/>
  <c r="K2628" i="2" s="1"/>
  <c r="M2635" i="2"/>
  <c r="N2635" i="2" s="1"/>
  <c r="O2635" i="2" s="1"/>
  <c r="J2640" i="2"/>
  <c r="K2640" i="2" s="1"/>
  <c r="J2687" i="2"/>
  <c r="K2687" i="2" s="1"/>
  <c r="J2706" i="2"/>
  <c r="K2706" i="2" s="1"/>
  <c r="J2755" i="2"/>
  <c r="K2755" i="2" s="1"/>
  <c r="J2774" i="2"/>
  <c r="K2774" i="2" s="1"/>
  <c r="J2783" i="2"/>
  <c r="K2783" i="2" s="1"/>
  <c r="J2837" i="2"/>
  <c r="K2837" i="2" s="1"/>
  <c r="M2900" i="2"/>
  <c r="N2900" i="2" s="1"/>
  <c r="O2900" i="2" s="1"/>
  <c r="J2957" i="2"/>
  <c r="K2957" i="2" s="1"/>
  <c r="J2995" i="2"/>
  <c r="K2995" i="2" s="1"/>
  <c r="M3000" i="2"/>
  <c r="N3000" i="2" s="1"/>
  <c r="O3000" i="2" s="1"/>
  <c r="J3009" i="2"/>
  <c r="K3009" i="2" s="1"/>
  <c r="J3011" i="2"/>
  <c r="K3011" i="2" s="1"/>
  <c r="J3048" i="2"/>
  <c r="K3048" i="2" s="1"/>
  <c r="J3090" i="2"/>
  <c r="K3090" i="2" s="1"/>
  <c r="J3092" i="2"/>
  <c r="K3092" i="2" s="1"/>
  <c r="J3099" i="2"/>
  <c r="K3099" i="2" s="1"/>
  <c r="J3113" i="2"/>
  <c r="K3113" i="2" s="1"/>
  <c r="M3113" i="2" s="1"/>
  <c r="N3113" i="2" s="1"/>
  <c r="O3113" i="2" s="1"/>
  <c r="J3131" i="2"/>
  <c r="K3131" i="2" s="1"/>
  <c r="J3161" i="2"/>
  <c r="K3161" i="2" s="1"/>
  <c r="J3173" i="2"/>
  <c r="K3173" i="2" s="1"/>
  <c r="J3191" i="2"/>
  <c r="K3191" i="2" s="1"/>
  <c r="J3199" i="2"/>
  <c r="K3199" i="2" s="1"/>
  <c r="J3208" i="2"/>
  <c r="K3208" i="2" s="1"/>
  <c r="J3235" i="2"/>
  <c r="K3235" i="2" s="1"/>
  <c r="M3235" i="2" s="1"/>
  <c r="N3235" i="2" s="1"/>
  <c r="O3235" i="2" s="1"/>
  <c r="M2668" i="2"/>
  <c r="N2668" i="2" s="1"/>
  <c r="O2668" i="2" s="1"/>
  <c r="J2674" i="2"/>
  <c r="K2674" i="2" s="1"/>
  <c r="M2698" i="2"/>
  <c r="N2698" i="2" s="1"/>
  <c r="O2698" i="2" s="1"/>
  <c r="J2715" i="2"/>
  <c r="K2715" i="2" s="1"/>
  <c r="J2727" i="2"/>
  <c r="K2727" i="2" s="1"/>
  <c r="J2742" i="2"/>
  <c r="K2742" i="2" s="1"/>
  <c r="J2747" i="2"/>
  <c r="K2747" i="2" s="1"/>
  <c r="J2768" i="2"/>
  <c r="K2768" i="2" s="1"/>
  <c r="J2779" i="2"/>
  <c r="K2779" i="2" s="1"/>
  <c r="J2789" i="2"/>
  <c r="K2789" i="2" s="1"/>
  <c r="J2855" i="2"/>
  <c r="K2855" i="2" s="1"/>
  <c r="J2883" i="2"/>
  <c r="K2883" i="2" s="1"/>
  <c r="J2885" i="2"/>
  <c r="K2885" i="2" s="1"/>
  <c r="J2889" i="2"/>
  <c r="K2889" i="2" s="1"/>
  <c r="J2967" i="2"/>
  <c r="K2967" i="2" s="1"/>
  <c r="J3004" i="2"/>
  <c r="K3004" i="2" s="1"/>
  <c r="M3171" i="2"/>
  <c r="N3171" i="2" s="1"/>
  <c r="O3171" i="2" s="1"/>
  <c r="J3178" i="2"/>
  <c r="K3178" i="2" s="1"/>
  <c r="J3201" i="2"/>
  <c r="K3201" i="2" s="1"/>
  <c r="J3210" i="2"/>
  <c r="K3210" i="2" s="1"/>
  <c r="J2938" i="2"/>
  <c r="K2938" i="2" s="1"/>
  <c r="J3082" i="2"/>
  <c r="K3082" i="2" s="1"/>
  <c r="J3123" i="2"/>
  <c r="K3123" i="2" s="1"/>
  <c r="J3158" i="2"/>
  <c r="K3158" i="2" s="1"/>
  <c r="M3158" i="2" s="1"/>
  <c r="N3158" i="2" s="1"/>
  <c r="O3158" i="2" s="1"/>
  <c r="J3226" i="2"/>
  <c r="K3226" i="2" s="1"/>
  <c r="J2717" i="2"/>
  <c r="K2717" i="2" s="1"/>
  <c r="J2733" i="2"/>
  <c r="K2733" i="2" s="1"/>
  <c r="J2735" i="2"/>
  <c r="K2735" i="2" s="1"/>
  <c r="J2782" i="2"/>
  <c r="K2782" i="2" s="1"/>
  <c r="M2789" i="2"/>
  <c r="N2789" i="2" s="1"/>
  <c r="O2789" i="2" s="1"/>
  <c r="J2798" i="2"/>
  <c r="K2798" i="2" s="1"/>
  <c r="M2855" i="2"/>
  <c r="N2855" i="2" s="1"/>
  <c r="O2855" i="2" s="1"/>
  <c r="J2868" i="2"/>
  <c r="K2868" i="2" s="1"/>
  <c r="M2868" i="2" s="1"/>
  <c r="N2868" i="2" s="1"/>
  <c r="O2868" i="2" s="1"/>
  <c r="J2906" i="2"/>
  <c r="K2906" i="2" s="1"/>
  <c r="J2947" i="2"/>
  <c r="K2947" i="2" s="1"/>
  <c r="J2952" i="2"/>
  <c r="K2952" i="2" s="1"/>
  <c r="J2972" i="2"/>
  <c r="K2972" i="2" s="1"/>
  <c r="J2977" i="2"/>
  <c r="K2977" i="2" s="1"/>
  <c r="M2979" i="2"/>
  <c r="N2979" i="2" s="1"/>
  <c r="O2979" i="2" s="1"/>
  <c r="J3045" i="2"/>
  <c r="K3045" i="2" s="1"/>
  <c r="J3071" i="2"/>
  <c r="K3071" i="2" s="1"/>
  <c r="M3094" i="2"/>
  <c r="N3094" i="2" s="1"/>
  <c r="O3094" i="2" s="1"/>
  <c r="J3238" i="2"/>
  <c r="K3238" i="2" s="1"/>
  <c r="J2694" i="2"/>
  <c r="K2694" i="2" s="1"/>
  <c r="J2719" i="2"/>
  <c r="K2719" i="2" s="1"/>
  <c r="M2719" i="2" s="1"/>
  <c r="N2719" i="2" s="1"/>
  <c r="O2719" i="2" s="1"/>
  <c r="J2739" i="2"/>
  <c r="K2739" i="2" s="1"/>
  <c r="J2813" i="2"/>
  <c r="K2813" i="2" s="1"/>
  <c r="J2823" i="2"/>
  <c r="K2823" i="2" s="1"/>
  <c r="J2833" i="2"/>
  <c r="K2833" i="2" s="1"/>
  <c r="J2835" i="2"/>
  <c r="K2835" i="2" s="1"/>
  <c r="J2863" i="2"/>
  <c r="K2863" i="2" s="1"/>
  <c r="J2865" i="2"/>
  <c r="K2865" i="2" s="1"/>
  <c r="J2869" i="2"/>
  <c r="K2869" i="2" s="1"/>
  <c r="J2951" i="2"/>
  <c r="K2951" i="2" s="1"/>
  <c r="J2953" i="2"/>
  <c r="K2953" i="2" s="1"/>
  <c r="J3014" i="2"/>
  <c r="K3014" i="2" s="1"/>
  <c r="J3096" i="2"/>
  <c r="K3096" i="2" s="1"/>
  <c r="J3114" i="2"/>
  <c r="K3114" i="2" s="1"/>
  <c r="J3116" i="2"/>
  <c r="K3116" i="2" s="1"/>
  <c r="J3155" i="2"/>
  <c r="K3155" i="2" s="1"/>
  <c r="J3170" i="2"/>
  <c r="K3170" i="2" s="1"/>
  <c r="J3200" i="2"/>
  <c r="K3200" i="2" s="1"/>
  <c r="J3206" i="2"/>
  <c r="K3206" i="2" s="1"/>
  <c r="J3231" i="2"/>
  <c r="K3231" i="2" s="1"/>
  <c r="J2642" i="2"/>
  <c r="K2642" i="2" s="1"/>
  <c r="J2644" i="2"/>
  <c r="K2644" i="2" s="1"/>
  <c r="M2644" i="2" s="1"/>
  <c r="N2644" i="2" s="1"/>
  <c r="O2644" i="2" s="1"/>
  <c r="J2741" i="2"/>
  <c r="K2741" i="2" s="1"/>
  <c r="J2743" i="2"/>
  <c r="K2743" i="2" s="1"/>
  <c r="J2765" i="2"/>
  <c r="K2765" i="2" s="1"/>
  <c r="M2773" i="2"/>
  <c r="N2773" i="2" s="1"/>
  <c r="O2773" i="2" s="1"/>
  <c r="J2775" i="2"/>
  <c r="K2775" i="2" s="1"/>
  <c r="J2817" i="2"/>
  <c r="K2817" i="2" s="1"/>
  <c r="J2935" i="2"/>
  <c r="K2935" i="2" s="1"/>
  <c r="J2987" i="2"/>
  <c r="K2987" i="2" s="1"/>
  <c r="J3040" i="2"/>
  <c r="K3040" i="2" s="1"/>
  <c r="M3040" i="2" s="1"/>
  <c r="N3040" i="2" s="1"/>
  <c r="O3040" i="2" s="1"/>
  <c r="J3042" i="2"/>
  <c r="K3042" i="2" s="1"/>
  <c r="J3079" i="2"/>
  <c r="K3079" i="2" s="1"/>
  <c r="J3251" i="2"/>
  <c r="K3251" i="2" s="1"/>
  <c r="M3259" i="2"/>
  <c r="N3259" i="2" s="1"/>
  <c r="O3259" i="2" s="1"/>
  <c r="J2820" i="2"/>
  <c r="K2820" i="2" s="1"/>
  <c r="J2849" i="2"/>
  <c r="K2849" i="2" s="1"/>
  <c r="M2869" i="2"/>
  <c r="N2869" i="2" s="1"/>
  <c r="O2869" i="2" s="1"/>
  <c r="J2895" i="2"/>
  <c r="K2895" i="2" s="1"/>
  <c r="J2897" i="2"/>
  <c r="K2897" i="2" s="1"/>
  <c r="M2937" i="2"/>
  <c r="N2937" i="2" s="1"/>
  <c r="O2937" i="2" s="1"/>
  <c r="J2943" i="2"/>
  <c r="K2943" i="2" s="1"/>
  <c r="M2943" i="2" s="1"/>
  <c r="N2943" i="2" s="1"/>
  <c r="O2943" i="2" s="1"/>
  <c r="J2970" i="2"/>
  <c r="K2970" i="2" s="1"/>
  <c r="J2975" i="2"/>
  <c r="K2975" i="2" s="1"/>
  <c r="J2989" i="2"/>
  <c r="K2989" i="2" s="1"/>
  <c r="J3032" i="2"/>
  <c r="K3032" i="2" s="1"/>
  <c r="J3060" i="2"/>
  <c r="K3060" i="2" s="1"/>
  <c r="M3060" i="2" s="1"/>
  <c r="N3060" i="2" s="1"/>
  <c r="O3060" i="2" s="1"/>
  <c r="M3089" i="2"/>
  <c r="N3089" i="2" s="1"/>
  <c r="O3089" i="2" s="1"/>
  <c r="M3106" i="2"/>
  <c r="N3106" i="2" s="1"/>
  <c r="O3106" i="2" s="1"/>
  <c r="M3136" i="2"/>
  <c r="N3136" i="2" s="1"/>
  <c r="O3136" i="2" s="1"/>
  <c r="J3197" i="2"/>
  <c r="K3197" i="2" s="1"/>
  <c r="J61" i="2"/>
  <c r="K61" i="2" s="1"/>
  <c r="J148" i="2"/>
  <c r="K148" i="2" s="1"/>
  <c r="J204" i="2"/>
  <c r="K204" i="2" s="1"/>
  <c r="M204" i="2" s="1"/>
  <c r="N204" i="2" s="1"/>
  <c r="O204" i="2" s="1"/>
  <c r="J264" i="2"/>
  <c r="K264" i="2" s="1"/>
  <c r="J84" i="2"/>
  <c r="K84" i="2" s="1"/>
  <c r="M84" i="2" s="1"/>
  <c r="N84" i="2" s="1"/>
  <c r="O84" i="2" s="1"/>
  <c r="J201" i="2"/>
  <c r="K201" i="2" s="1"/>
  <c r="J234" i="2"/>
  <c r="K234" i="2" s="1"/>
  <c r="M234" i="2" s="1"/>
  <c r="N234" i="2" s="1"/>
  <c r="O234" i="2" s="1"/>
  <c r="M200" i="2"/>
  <c r="N200" i="2" s="1"/>
  <c r="O200" i="2" s="1"/>
  <c r="J116" i="2"/>
  <c r="K116" i="2" s="1"/>
  <c r="J164" i="2"/>
  <c r="K164" i="2" s="1"/>
  <c r="M164" i="2" s="1"/>
  <c r="N164" i="2" s="1"/>
  <c r="O164" i="2" s="1"/>
  <c r="M233" i="2"/>
  <c r="N233" i="2" s="1"/>
  <c r="O233" i="2" s="1"/>
  <c r="J237" i="2"/>
  <c r="K237" i="2" s="1"/>
  <c r="M237" i="2" s="1"/>
  <c r="N237" i="2" s="1"/>
  <c r="O237" i="2" s="1"/>
  <c r="M844" i="2"/>
  <c r="N844" i="2" s="1"/>
  <c r="O844" i="2" s="1"/>
  <c r="J19" i="2"/>
  <c r="K19" i="2" s="1"/>
  <c r="J11" i="2"/>
  <c r="K11" i="2" s="1"/>
  <c r="J15" i="2"/>
  <c r="K15" i="2" s="1"/>
  <c r="M23" i="2"/>
  <c r="N23" i="2" s="1"/>
  <c r="O23" i="2" s="1"/>
  <c r="M108" i="2"/>
  <c r="N108" i="2" s="1"/>
  <c r="O108" i="2" s="1"/>
  <c r="J117" i="2"/>
  <c r="K117" i="2" s="1"/>
  <c r="J125" i="2"/>
  <c r="K125" i="2" s="1"/>
  <c r="M125" i="2" s="1"/>
  <c r="N125" i="2" s="1"/>
  <c r="O125" i="2" s="1"/>
  <c r="J141" i="2"/>
  <c r="K141" i="2" s="1"/>
  <c r="M141" i="2" s="1"/>
  <c r="N141" i="2" s="1"/>
  <c r="O141" i="2" s="1"/>
  <c r="J149" i="2"/>
  <c r="K149" i="2" s="1"/>
  <c r="J157" i="2"/>
  <c r="K157" i="2" s="1"/>
  <c r="J165" i="2"/>
  <c r="K165" i="2" s="1"/>
  <c r="M165" i="2" s="1"/>
  <c r="N165" i="2" s="1"/>
  <c r="O165" i="2" s="1"/>
  <c r="M184" i="2"/>
  <c r="N184" i="2" s="1"/>
  <c r="O184" i="2" s="1"/>
  <c r="J194" i="2"/>
  <c r="K194" i="2" s="1"/>
  <c r="J197" i="2"/>
  <c r="K197" i="2" s="1"/>
  <c r="M197" i="2" s="1"/>
  <c r="N197" i="2" s="1"/>
  <c r="O197" i="2" s="1"/>
  <c r="M259" i="2"/>
  <c r="N259" i="2" s="1"/>
  <c r="O259" i="2" s="1"/>
  <c r="J263" i="2"/>
  <c r="K263" i="2" s="1"/>
  <c r="M270" i="2"/>
  <c r="N270" i="2" s="1"/>
  <c r="O270" i="2" s="1"/>
  <c r="J277" i="2"/>
  <c r="K277" i="2" s="1"/>
  <c r="M277" i="2" s="1"/>
  <c r="N277" i="2" s="1"/>
  <c r="O277" i="2" s="1"/>
  <c r="J279" i="2"/>
  <c r="K279" i="2" s="1"/>
  <c r="J311" i="2"/>
  <c r="K311" i="2" s="1"/>
  <c r="J504" i="2"/>
  <c r="K504" i="2" s="1"/>
  <c r="J572" i="2"/>
  <c r="K572" i="2" s="1"/>
  <c r="M572" i="2" s="1"/>
  <c r="N572" i="2" s="1"/>
  <c r="O572" i="2" s="1"/>
  <c r="M652" i="2"/>
  <c r="N652" i="2" s="1"/>
  <c r="O652" i="2" s="1"/>
  <c r="J840" i="2"/>
  <c r="K840" i="2" s="1"/>
  <c r="M852" i="2"/>
  <c r="N852" i="2" s="1"/>
  <c r="O852" i="2" s="1"/>
  <c r="J90" i="2"/>
  <c r="K90" i="2" s="1"/>
  <c r="M90" i="2" s="1"/>
  <c r="N90" i="2" s="1"/>
  <c r="O90" i="2" s="1"/>
  <c r="J95" i="2"/>
  <c r="K95" i="2" s="1"/>
  <c r="J98" i="2"/>
  <c r="K98" i="2" s="1"/>
  <c r="J103" i="2"/>
  <c r="K103" i="2" s="1"/>
  <c r="M103" i="2" s="1"/>
  <c r="N103" i="2" s="1"/>
  <c r="O103" i="2" s="1"/>
  <c r="J106" i="2"/>
  <c r="K106" i="2" s="1"/>
  <c r="J111" i="2"/>
  <c r="K111" i="2" s="1"/>
  <c r="M111" i="2" s="1"/>
  <c r="N111" i="2" s="1"/>
  <c r="O111" i="2" s="1"/>
  <c r="J114" i="2"/>
  <c r="K114" i="2" s="1"/>
  <c r="M114" i="2" s="1"/>
  <c r="N114" i="2" s="1"/>
  <c r="O114" i="2" s="1"/>
  <c r="J202" i="2"/>
  <c r="K202" i="2" s="1"/>
  <c r="J328" i="2"/>
  <c r="K328" i="2" s="1"/>
  <c r="M468" i="2"/>
  <c r="N468" i="2" s="1"/>
  <c r="O468" i="2" s="1"/>
  <c r="M764" i="2"/>
  <c r="N764" i="2" s="1"/>
  <c r="O764" i="2" s="1"/>
  <c r="M2027" i="2"/>
  <c r="N2027" i="2" s="1"/>
  <c r="O2027" i="2" s="1"/>
  <c r="J118" i="2"/>
  <c r="K118" i="2" s="1"/>
  <c r="J119" i="2"/>
  <c r="K119" i="2" s="1"/>
  <c r="J122" i="2"/>
  <c r="K122" i="2" s="1"/>
  <c r="J127" i="2"/>
  <c r="K127" i="2" s="1"/>
  <c r="J130" i="2"/>
  <c r="K130" i="2" s="1"/>
  <c r="M130" i="2" s="1"/>
  <c r="N130" i="2" s="1"/>
  <c r="O130" i="2" s="1"/>
  <c r="M132" i="2"/>
  <c r="N132" i="2" s="1"/>
  <c r="O132" i="2" s="1"/>
  <c r="J143" i="2"/>
  <c r="K143" i="2" s="1"/>
  <c r="J151" i="2"/>
  <c r="K151" i="2" s="1"/>
  <c r="M151" i="2" s="1"/>
  <c r="N151" i="2" s="1"/>
  <c r="O151" i="2" s="1"/>
  <c r="J159" i="2"/>
  <c r="K159" i="2" s="1"/>
  <c r="J167" i="2"/>
  <c r="K167" i="2" s="1"/>
  <c r="J223" i="2"/>
  <c r="K223" i="2" s="1"/>
  <c r="M223" i="2" s="1"/>
  <c r="N223" i="2" s="1"/>
  <c r="O223" i="2" s="1"/>
  <c r="J246" i="2"/>
  <c r="K246" i="2" s="1"/>
  <c r="J251" i="2"/>
  <c r="K251" i="2" s="1"/>
  <c r="J281" i="2"/>
  <c r="K281" i="2" s="1"/>
  <c r="J297" i="2"/>
  <c r="K297" i="2" s="1"/>
  <c r="M310" i="2"/>
  <c r="N310" i="2" s="1"/>
  <c r="O310" i="2" s="1"/>
  <c r="J322" i="2"/>
  <c r="K322" i="2" s="1"/>
  <c r="J356" i="2"/>
  <c r="K356" i="2" s="1"/>
  <c r="J464" i="2"/>
  <c r="K464" i="2" s="1"/>
  <c r="J580" i="2"/>
  <c r="K580" i="2" s="1"/>
  <c r="J707" i="2"/>
  <c r="K707" i="2" s="1"/>
  <c r="M707" i="2" s="1"/>
  <c r="N707" i="2" s="1"/>
  <c r="O707" i="2" s="1"/>
  <c r="M724" i="2"/>
  <c r="N724" i="2" s="1"/>
  <c r="O724" i="2" s="1"/>
  <c r="M768" i="2"/>
  <c r="N768" i="2" s="1"/>
  <c r="O768" i="2" s="1"/>
  <c r="M812" i="2"/>
  <c r="N812" i="2" s="1"/>
  <c r="O812" i="2" s="1"/>
  <c r="J38" i="2"/>
  <c r="K38" i="2" s="1"/>
  <c r="J56" i="2"/>
  <c r="K56" i="2" s="1"/>
  <c r="J30" i="2"/>
  <c r="K30" i="2" s="1"/>
  <c r="M30" i="2" s="1"/>
  <c r="N30" i="2" s="1"/>
  <c r="O30" i="2" s="1"/>
  <c r="J43" i="2"/>
  <c r="K43" i="2" s="1"/>
  <c r="J47" i="2"/>
  <c r="K47" i="2" s="1"/>
  <c r="J74" i="2"/>
  <c r="K74" i="2" s="1"/>
  <c r="J78" i="2"/>
  <c r="K78" i="2" s="1"/>
  <c r="M78" i="2" s="1"/>
  <c r="N78" i="2" s="1"/>
  <c r="O78" i="2" s="1"/>
  <c r="M86" i="2"/>
  <c r="N86" i="2" s="1"/>
  <c r="O86" i="2" s="1"/>
  <c r="J135" i="2"/>
  <c r="K135" i="2" s="1"/>
  <c r="J173" i="2"/>
  <c r="K173" i="2" s="1"/>
  <c r="M322" i="2"/>
  <c r="N322" i="2" s="1"/>
  <c r="O322" i="2" s="1"/>
  <c r="J18" i="2"/>
  <c r="K18" i="2" s="1"/>
  <c r="J51" i="2"/>
  <c r="K51" i="2" s="1"/>
  <c r="J82" i="2"/>
  <c r="K82" i="2" s="1"/>
  <c r="M82" i="2" s="1"/>
  <c r="N82" i="2" s="1"/>
  <c r="O82" i="2" s="1"/>
  <c r="J7" i="2"/>
  <c r="K7" i="2" s="1"/>
  <c r="M7" i="2" s="1"/>
  <c r="N7" i="2" s="1"/>
  <c r="O7" i="2" s="1"/>
  <c r="J12" i="2"/>
  <c r="K12" i="2" s="1"/>
  <c r="J32" i="2"/>
  <c r="K32" i="2" s="1"/>
  <c r="J35" i="2"/>
  <c r="K35" i="2" s="1"/>
  <c r="J39" i="2"/>
  <c r="K39" i="2" s="1"/>
  <c r="J66" i="2"/>
  <c r="K66" i="2" s="1"/>
  <c r="M66" i="2" s="1"/>
  <c r="N66" i="2" s="1"/>
  <c r="O66" i="2" s="1"/>
  <c r="J71" i="2"/>
  <c r="K71" i="2" s="1"/>
  <c r="M83" i="2"/>
  <c r="N83" i="2" s="1"/>
  <c r="O83" i="2" s="1"/>
  <c r="J89" i="2"/>
  <c r="K89" i="2" s="1"/>
  <c r="J97" i="2"/>
  <c r="K97" i="2" s="1"/>
  <c r="M97" i="2" s="1"/>
  <c r="N97" i="2" s="1"/>
  <c r="O97" i="2" s="1"/>
  <c r="J105" i="2"/>
  <c r="K105" i="2" s="1"/>
  <c r="J110" i="2"/>
  <c r="K110" i="2" s="1"/>
  <c r="J113" i="2"/>
  <c r="K113" i="2" s="1"/>
  <c r="M123" i="2"/>
  <c r="N123" i="2" s="1"/>
  <c r="O123" i="2" s="1"/>
  <c r="M163" i="2"/>
  <c r="N163" i="2" s="1"/>
  <c r="O163" i="2" s="1"/>
  <c r="J190" i="2"/>
  <c r="K190" i="2" s="1"/>
  <c r="M190" i="2" s="1"/>
  <c r="N190" i="2" s="1"/>
  <c r="O190" i="2" s="1"/>
  <c r="J193" i="2"/>
  <c r="K193" i="2" s="1"/>
  <c r="J221" i="2"/>
  <c r="K221" i="2" s="1"/>
  <c r="M221" i="2" s="1"/>
  <c r="N221" i="2" s="1"/>
  <c r="O221" i="2" s="1"/>
  <c r="M222" i="2"/>
  <c r="N222" i="2" s="1"/>
  <c r="O222" i="2" s="1"/>
  <c r="J265" i="2"/>
  <c r="K265" i="2" s="1"/>
  <c r="J278" i="2"/>
  <c r="K278" i="2" s="1"/>
  <c r="J327" i="2"/>
  <c r="K327" i="2" s="1"/>
  <c r="J377" i="2"/>
  <c r="K377" i="2" s="1"/>
  <c r="J384" i="2"/>
  <c r="K384" i="2" s="1"/>
  <c r="J404" i="2"/>
  <c r="K404" i="2" s="1"/>
  <c r="M536" i="2"/>
  <c r="N536" i="2" s="1"/>
  <c r="O536" i="2" s="1"/>
  <c r="J676" i="2"/>
  <c r="K676" i="2" s="1"/>
  <c r="M744" i="2"/>
  <c r="N744" i="2" s="1"/>
  <c r="O744" i="2" s="1"/>
  <c r="J748" i="2"/>
  <c r="K748" i="2" s="1"/>
  <c r="J784" i="2"/>
  <c r="K784" i="2" s="1"/>
  <c r="M784" i="2" s="1"/>
  <c r="N784" i="2" s="1"/>
  <c r="O784" i="2" s="1"/>
  <c r="M800" i="2"/>
  <c r="N800" i="2" s="1"/>
  <c r="O800" i="2" s="1"/>
  <c r="J816" i="2"/>
  <c r="K816" i="2" s="1"/>
  <c r="J28" i="2"/>
  <c r="K28" i="2" s="1"/>
  <c r="M28" i="2" s="1"/>
  <c r="N28" i="2" s="1"/>
  <c r="O28" i="2" s="1"/>
  <c r="J48" i="2"/>
  <c r="K48" i="2" s="1"/>
  <c r="M48" i="2" s="1"/>
  <c r="N48" i="2" s="1"/>
  <c r="O48" i="2" s="1"/>
  <c r="J59" i="2"/>
  <c r="K59" i="2" s="1"/>
  <c r="M75" i="2"/>
  <c r="N75" i="2" s="1"/>
  <c r="O75" i="2" s="1"/>
  <c r="J80" i="2"/>
  <c r="K80" i="2" s="1"/>
  <c r="J81" i="2"/>
  <c r="K81" i="2" s="1"/>
  <c r="M213" i="2"/>
  <c r="N213" i="2" s="1"/>
  <c r="O213" i="2" s="1"/>
  <c r="J219" i="2"/>
  <c r="K219" i="2" s="1"/>
  <c r="J235" i="2"/>
  <c r="K235" i="2" s="1"/>
  <c r="J318" i="2"/>
  <c r="K318" i="2" s="1"/>
  <c r="M318" i="2" s="1"/>
  <c r="N318" i="2" s="1"/>
  <c r="O318" i="2" s="1"/>
  <c r="J21" i="2"/>
  <c r="K21" i="2" s="1"/>
  <c r="M21" i="2" s="1"/>
  <c r="N21" i="2" s="1"/>
  <c r="O21" i="2" s="1"/>
  <c r="J27" i="2"/>
  <c r="K27" i="2" s="1"/>
  <c r="M27" i="2" s="1"/>
  <c r="N27" i="2" s="1"/>
  <c r="O27" i="2" s="1"/>
  <c r="J41" i="2"/>
  <c r="K41" i="2" s="1"/>
  <c r="M41" i="2" s="1"/>
  <c r="N41" i="2" s="1"/>
  <c r="O41" i="2" s="1"/>
  <c r="J134" i="2"/>
  <c r="K134" i="2" s="1"/>
  <c r="J137" i="2"/>
  <c r="K137" i="2" s="1"/>
  <c r="J139" i="2"/>
  <c r="K139" i="2" s="1"/>
  <c r="M139" i="2" s="1"/>
  <c r="N139" i="2" s="1"/>
  <c r="O139" i="2" s="1"/>
  <c r="J155" i="2"/>
  <c r="K155" i="2" s="1"/>
  <c r="J175" i="2"/>
  <c r="K175" i="2" s="1"/>
  <c r="M175" i="2" s="1"/>
  <c r="N175" i="2" s="1"/>
  <c r="O175" i="2" s="1"/>
  <c r="J230" i="2"/>
  <c r="K230" i="2" s="1"/>
  <c r="M230" i="2" s="1"/>
  <c r="N230" i="2" s="1"/>
  <c r="O230" i="2" s="1"/>
  <c r="J231" i="2"/>
  <c r="K231" i="2" s="1"/>
  <c r="J245" i="2"/>
  <c r="K245" i="2" s="1"/>
  <c r="M245" i="2" s="1"/>
  <c r="N245" i="2" s="1"/>
  <c r="O245" i="2" s="1"/>
  <c r="J247" i="2"/>
  <c r="K247" i="2" s="1"/>
  <c r="M247" i="2" s="1"/>
  <c r="N247" i="2" s="1"/>
  <c r="O247" i="2" s="1"/>
  <c r="J250" i="2"/>
  <c r="K250" i="2" s="1"/>
  <c r="J267" i="2"/>
  <c r="K267" i="2" s="1"/>
  <c r="M267" i="2" s="1"/>
  <c r="N267" i="2" s="1"/>
  <c r="O267" i="2" s="1"/>
  <c r="J271" i="2"/>
  <c r="K271" i="2" s="1"/>
  <c r="J313" i="2"/>
  <c r="K313" i="2" s="1"/>
  <c r="J359" i="2"/>
  <c r="K359" i="2" s="1"/>
  <c r="J412" i="2"/>
  <c r="K412" i="2" s="1"/>
  <c r="J456" i="2"/>
  <c r="K456" i="2" s="1"/>
  <c r="J472" i="2"/>
  <c r="K472" i="2" s="1"/>
  <c r="J476" i="2"/>
  <c r="K476" i="2" s="1"/>
  <c r="M524" i="2"/>
  <c r="N524" i="2" s="1"/>
  <c r="O524" i="2" s="1"/>
  <c r="J564" i="2"/>
  <c r="K564" i="2" s="1"/>
  <c r="M564" i="2" s="1"/>
  <c r="N564" i="2" s="1"/>
  <c r="O564" i="2" s="1"/>
  <c r="J832" i="2"/>
  <c r="K832" i="2" s="1"/>
  <c r="J344" i="2"/>
  <c r="K344" i="2" s="1"/>
  <c r="J354" i="2"/>
  <c r="K354" i="2" s="1"/>
  <c r="J363" i="2"/>
  <c r="K363" i="2" s="1"/>
  <c r="M366" i="2"/>
  <c r="N366" i="2" s="1"/>
  <c r="O366" i="2" s="1"/>
  <c r="J382" i="2"/>
  <c r="K382" i="2" s="1"/>
  <c r="J391" i="2"/>
  <c r="K391" i="2" s="1"/>
  <c r="J408" i="2"/>
  <c r="K408" i="2" s="1"/>
  <c r="J450" i="2"/>
  <c r="K450" i="2" s="1"/>
  <c r="J454" i="2"/>
  <c r="K454" i="2" s="1"/>
  <c r="M485" i="2"/>
  <c r="N485" i="2" s="1"/>
  <c r="O485" i="2" s="1"/>
  <c r="J488" i="2"/>
  <c r="K488" i="2" s="1"/>
  <c r="J526" i="2"/>
  <c r="K526" i="2" s="1"/>
  <c r="M526" i="2" s="1"/>
  <c r="N526" i="2" s="1"/>
  <c r="O526" i="2" s="1"/>
  <c r="J530" i="2"/>
  <c r="K530" i="2" s="1"/>
  <c r="J622" i="2"/>
  <c r="K622" i="2" s="1"/>
  <c r="J654" i="2"/>
  <c r="K654" i="2" s="1"/>
  <c r="J663" i="2"/>
  <c r="K663" i="2" s="1"/>
  <c r="M663" i="2" s="1"/>
  <c r="N663" i="2" s="1"/>
  <c r="O663" i="2" s="1"/>
  <c r="J686" i="2"/>
  <c r="K686" i="2" s="1"/>
  <c r="M705" i="2"/>
  <c r="N705" i="2" s="1"/>
  <c r="O705" i="2" s="1"/>
  <c r="J708" i="2"/>
  <c r="K708" i="2" s="1"/>
  <c r="M727" i="2"/>
  <c r="N727" i="2" s="1"/>
  <c r="O727" i="2" s="1"/>
  <c r="J766" i="2"/>
  <c r="K766" i="2" s="1"/>
  <c r="M789" i="2"/>
  <c r="N789" i="2" s="1"/>
  <c r="O789" i="2" s="1"/>
  <c r="J791" i="2"/>
  <c r="K791" i="2" s="1"/>
  <c r="J470" i="2"/>
  <c r="K470" i="2" s="1"/>
  <c r="J486" i="2"/>
  <c r="K486" i="2" s="1"/>
  <c r="J534" i="2"/>
  <c r="K534" i="2" s="1"/>
  <c r="M534" i="2" s="1"/>
  <c r="N534" i="2" s="1"/>
  <c r="O534" i="2" s="1"/>
  <c r="J566" i="2"/>
  <c r="K566" i="2" s="1"/>
  <c r="J571" i="2"/>
  <c r="K571" i="2" s="1"/>
  <c r="J574" i="2"/>
  <c r="K574" i="2" s="1"/>
  <c r="M771" i="2"/>
  <c r="N771" i="2" s="1"/>
  <c r="O771" i="2" s="1"/>
  <c r="J853" i="2"/>
  <c r="K853" i="2" s="1"/>
  <c r="M862" i="2"/>
  <c r="N862" i="2" s="1"/>
  <c r="O862" i="2" s="1"/>
  <c r="M867" i="2"/>
  <c r="N867" i="2" s="1"/>
  <c r="O867" i="2" s="1"/>
  <c r="J879" i="2"/>
  <c r="K879" i="2" s="1"/>
  <c r="J881" i="2"/>
  <c r="K881" i="2" s="1"/>
  <c r="J910" i="2"/>
  <c r="K910" i="2" s="1"/>
  <c r="J965" i="2"/>
  <c r="K965" i="2" s="1"/>
  <c r="J1060" i="2"/>
  <c r="K1060" i="2" s="1"/>
  <c r="J1102" i="2"/>
  <c r="K1102" i="2" s="1"/>
  <c r="J1160" i="2"/>
  <c r="K1160" i="2" s="1"/>
  <c r="J1262" i="2"/>
  <c r="K1262" i="2" s="1"/>
  <c r="J506" i="2"/>
  <c r="K506" i="2" s="1"/>
  <c r="J547" i="2"/>
  <c r="K547" i="2" s="1"/>
  <c r="J559" i="2"/>
  <c r="K559" i="2" s="1"/>
  <c r="J626" i="2"/>
  <c r="K626" i="2" s="1"/>
  <c r="J642" i="2"/>
  <c r="K642" i="2" s="1"/>
  <c r="J694" i="2"/>
  <c r="K694" i="2" s="1"/>
  <c r="M694" i="2" s="1"/>
  <c r="N694" i="2" s="1"/>
  <c r="O694" i="2" s="1"/>
  <c r="J710" i="2"/>
  <c r="K710" i="2" s="1"/>
  <c r="J715" i="2"/>
  <c r="K715" i="2" s="1"/>
  <c r="J738" i="2"/>
  <c r="K738" i="2" s="1"/>
  <c r="J758" i="2"/>
  <c r="K758" i="2" s="1"/>
  <c r="J799" i="2"/>
  <c r="K799" i="2" s="1"/>
  <c r="J803" i="2"/>
  <c r="K803" i="2" s="1"/>
  <c r="M814" i="2"/>
  <c r="N814" i="2" s="1"/>
  <c r="O814" i="2" s="1"/>
  <c r="M876" i="2"/>
  <c r="N876" i="2" s="1"/>
  <c r="O876" i="2" s="1"/>
  <c r="J892" i="2"/>
  <c r="K892" i="2" s="1"/>
  <c r="J924" i="2"/>
  <c r="K924" i="2" s="1"/>
  <c r="J940" i="2"/>
  <c r="K940" i="2" s="1"/>
  <c r="J1047" i="2"/>
  <c r="K1047" i="2" s="1"/>
  <c r="J1067" i="2"/>
  <c r="K1067" i="2" s="1"/>
  <c r="J1070" i="2"/>
  <c r="K1070" i="2" s="1"/>
  <c r="M1070" i="2" s="1"/>
  <c r="N1070" i="2" s="1"/>
  <c r="O1070" i="2" s="1"/>
  <c r="J1134" i="2"/>
  <c r="K1134" i="2" s="1"/>
  <c r="J1178" i="2"/>
  <c r="K1178" i="2" s="1"/>
  <c r="M1186" i="2"/>
  <c r="N1186" i="2" s="1"/>
  <c r="O1186" i="2" s="1"/>
  <c r="J1274" i="2"/>
  <c r="K1274" i="2" s="1"/>
  <c r="M1274" i="2" s="1"/>
  <c r="N1274" i="2" s="1"/>
  <c r="O1274" i="2" s="1"/>
  <c r="J290" i="2"/>
  <c r="K290" i="2" s="1"/>
  <c r="M290" i="2" s="1"/>
  <c r="N290" i="2" s="1"/>
  <c r="O290" i="2" s="1"/>
  <c r="J306" i="2"/>
  <c r="K306" i="2" s="1"/>
  <c r="M306" i="2" s="1"/>
  <c r="N306" i="2" s="1"/>
  <c r="O306" i="2" s="1"/>
  <c r="M325" i="2"/>
  <c r="N325" i="2" s="1"/>
  <c r="O325" i="2" s="1"/>
  <c r="J395" i="2"/>
  <c r="K395" i="2" s="1"/>
  <c r="J465" i="2"/>
  <c r="K465" i="2" s="1"/>
  <c r="M465" i="2" s="1"/>
  <c r="N465" i="2" s="1"/>
  <c r="O465" i="2" s="1"/>
  <c r="J481" i="2"/>
  <c r="K481" i="2" s="1"/>
  <c r="M512" i="2"/>
  <c r="N512" i="2" s="1"/>
  <c r="O512" i="2" s="1"/>
  <c r="J515" i="2"/>
  <c r="K515" i="2" s="1"/>
  <c r="J587" i="2"/>
  <c r="K587" i="2" s="1"/>
  <c r="J606" i="2"/>
  <c r="K606" i="2" s="1"/>
  <c r="J611" i="2"/>
  <c r="K611" i="2" s="1"/>
  <c r="J623" i="2"/>
  <c r="K623" i="2" s="1"/>
  <c r="M623" i="2" s="1"/>
  <c r="N623" i="2" s="1"/>
  <c r="O623" i="2" s="1"/>
  <c r="M651" i="2"/>
  <c r="N651" i="2" s="1"/>
  <c r="O651" i="2" s="1"/>
  <c r="J662" i="2"/>
  <c r="K662" i="2" s="1"/>
  <c r="J673" i="2"/>
  <c r="K673" i="2" s="1"/>
  <c r="M673" i="2" s="1"/>
  <c r="N673" i="2" s="1"/>
  <c r="O673" i="2" s="1"/>
  <c r="J687" i="2"/>
  <c r="K687" i="2" s="1"/>
  <c r="M719" i="2"/>
  <c r="N719" i="2" s="1"/>
  <c r="O719" i="2" s="1"/>
  <c r="J741" i="2"/>
  <c r="K741" i="2" s="1"/>
  <c r="J747" i="2"/>
  <c r="K747" i="2" s="1"/>
  <c r="M747" i="2" s="1"/>
  <c r="N747" i="2" s="1"/>
  <c r="O747" i="2" s="1"/>
  <c r="J755" i="2"/>
  <c r="K755" i="2" s="1"/>
  <c r="M755" i="2" s="1"/>
  <c r="N755" i="2" s="1"/>
  <c r="O755" i="2" s="1"/>
  <c r="J779" i="2"/>
  <c r="K779" i="2" s="1"/>
  <c r="M779" i="2" s="1"/>
  <c r="N779" i="2" s="1"/>
  <c r="O779" i="2" s="1"/>
  <c r="M785" i="2"/>
  <c r="N785" i="2" s="1"/>
  <c r="O785" i="2" s="1"/>
  <c r="M790" i="2"/>
  <c r="N790" i="2" s="1"/>
  <c r="O790" i="2" s="1"/>
  <c r="J794" i="2"/>
  <c r="K794" i="2" s="1"/>
  <c r="J864" i="2"/>
  <c r="K864" i="2" s="1"/>
  <c r="J971" i="2"/>
  <c r="K971" i="2" s="1"/>
  <c r="J983" i="2"/>
  <c r="K983" i="2" s="1"/>
  <c r="J1078" i="2"/>
  <c r="K1078" i="2" s="1"/>
  <c r="J1086" i="2"/>
  <c r="K1086" i="2" s="1"/>
  <c r="M1086" i="2" s="1"/>
  <c r="N1086" i="2" s="1"/>
  <c r="O1086" i="2" s="1"/>
  <c r="J1118" i="2"/>
  <c r="K1118" i="2" s="1"/>
  <c r="J1183" i="2"/>
  <c r="K1183" i="2" s="1"/>
  <c r="M1183" i="2" s="1"/>
  <c r="N1183" i="2" s="1"/>
  <c r="O1183" i="2" s="1"/>
  <c r="J1188" i="2"/>
  <c r="K1188" i="2" s="1"/>
  <c r="J1222" i="2"/>
  <c r="K1222" i="2" s="1"/>
  <c r="M1563" i="2"/>
  <c r="N1563" i="2" s="1"/>
  <c r="O1563" i="2" s="1"/>
  <c r="J398" i="2"/>
  <c r="K398" i="2" s="1"/>
  <c r="M398" i="2" s="1"/>
  <c r="N398" i="2" s="1"/>
  <c r="O398" i="2" s="1"/>
  <c r="J419" i="2"/>
  <c r="K419" i="2" s="1"/>
  <c r="J425" i="2"/>
  <c r="K425" i="2" s="1"/>
  <c r="M425" i="2" s="1"/>
  <c r="N425" i="2" s="1"/>
  <c r="O425" i="2" s="1"/>
  <c r="J449" i="2"/>
  <c r="K449" i="2" s="1"/>
  <c r="J475" i="2"/>
  <c r="K475" i="2" s="1"/>
  <c r="J487" i="2"/>
  <c r="K487" i="2" s="1"/>
  <c r="J494" i="2"/>
  <c r="K494" i="2" s="1"/>
  <c r="J518" i="2"/>
  <c r="K518" i="2" s="1"/>
  <c r="M518" i="2" s="1"/>
  <c r="N518" i="2" s="1"/>
  <c r="O518" i="2" s="1"/>
  <c r="J535" i="2"/>
  <c r="K535" i="2" s="1"/>
  <c r="J550" i="2"/>
  <c r="K550" i="2" s="1"/>
  <c r="J593" i="2"/>
  <c r="K593" i="2" s="1"/>
  <c r="J602" i="2"/>
  <c r="K602" i="2" s="1"/>
  <c r="J646" i="2"/>
  <c r="K646" i="2" s="1"/>
  <c r="M646" i="2" s="1"/>
  <c r="N646" i="2" s="1"/>
  <c r="O646" i="2" s="1"/>
  <c r="J649" i="2"/>
  <c r="K649" i="2" s="1"/>
  <c r="J675" i="2"/>
  <c r="K675" i="2" s="1"/>
  <c r="J681" i="2"/>
  <c r="K681" i="2" s="1"/>
  <c r="J700" i="2"/>
  <c r="K700" i="2" s="1"/>
  <c r="J706" i="2"/>
  <c r="K706" i="2" s="1"/>
  <c r="J717" i="2"/>
  <c r="K717" i="2" s="1"/>
  <c r="M717" i="2" s="1"/>
  <c r="N717" i="2" s="1"/>
  <c r="O717" i="2" s="1"/>
  <c r="J782" i="2"/>
  <c r="K782" i="2" s="1"/>
  <c r="J785" i="2"/>
  <c r="K785" i="2" s="1"/>
  <c r="J806" i="2"/>
  <c r="K806" i="2" s="1"/>
  <c r="M806" i="2" s="1"/>
  <c r="N806" i="2" s="1"/>
  <c r="O806" i="2" s="1"/>
  <c r="J814" i="2"/>
  <c r="K814" i="2" s="1"/>
  <c r="J822" i="2"/>
  <c r="K822" i="2" s="1"/>
  <c r="J830" i="2"/>
  <c r="K830" i="2" s="1"/>
  <c r="J838" i="2"/>
  <c r="K838" i="2" s="1"/>
  <c r="J846" i="2"/>
  <c r="K846" i="2" s="1"/>
  <c r="M846" i="2" s="1"/>
  <c r="N846" i="2" s="1"/>
  <c r="O846" i="2" s="1"/>
  <c r="J859" i="2"/>
  <c r="K859" i="2" s="1"/>
  <c r="J868" i="2"/>
  <c r="K868" i="2" s="1"/>
  <c r="J878" i="2"/>
  <c r="K878" i="2" s="1"/>
  <c r="M878" i="2" s="1"/>
  <c r="N878" i="2" s="1"/>
  <c r="O878" i="2" s="1"/>
  <c r="J884" i="2"/>
  <c r="K884" i="2" s="1"/>
  <c r="J906" i="2"/>
  <c r="K906" i="2" s="1"/>
  <c r="M906" i="2" s="1"/>
  <c r="N906" i="2" s="1"/>
  <c r="O906" i="2" s="1"/>
  <c r="J959" i="2"/>
  <c r="K959" i="2" s="1"/>
  <c r="M959" i="2" s="1"/>
  <c r="N959" i="2" s="1"/>
  <c r="O959" i="2" s="1"/>
  <c r="J964" i="2"/>
  <c r="K964" i="2" s="1"/>
  <c r="J970" i="2"/>
  <c r="K970" i="2" s="1"/>
  <c r="J1038" i="2"/>
  <c r="K1038" i="2" s="1"/>
  <c r="J1062" i="2"/>
  <c r="K1062" i="2" s="1"/>
  <c r="M1062" i="2" s="1"/>
  <c r="N1062" i="2" s="1"/>
  <c r="O1062" i="2" s="1"/>
  <c r="M1177" i="2"/>
  <c r="N1177" i="2" s="1"/>
  <c r="O1177" i="2" s="1"/>
  <c r="J1206" i="2"/>
  <c r="K1206" i="2" s="1"/>
  <c r="J1238" i="2"/>
  <c r="K1238" i="2" s="1"/>
  <c r="J1267" i="2"/>
  <c r="K1267" i="2" s="1"/>
  <c r="M1282" i="2"/>
  <c r="N1282" i="2" s="1"/>
  <c r="O1282" i="2" s="1"/>
  <c r="J343" i="2"/>
  <c r="K343" i="2" s="1"/>
  <c r="M343" i="2" s="1"/>
  <c r="N343" i="2" s="1"/>
  <c r="O343" i="2" s="1"/>
  <c r="J361" i="2"/>
  <c r="K361" i="2" s="1"/>
  <c r="J478" i="2"/>
  <c r="K478" i="2" s="1"/>
  <c r="J522" i="2"/>
  <c r="K522" i="2" s="1"/>
  <c r="J554" i="2"/>
  <c r="K554" i="2" s="1"/>
  <c r="J590" i="2"/>
  <c r="K590" i="2" s="1"/>
  <c r="M613" i="2"/>
  <c r="N613" i="2" s="1"/>
  <c r="O613" i="2" s="1"/>
  <c r="J614" i="2"/>
  <c r="K614" i="2" s="1"/>
  <c r="M614" i="2" s="1"/>
  <c r="N614" i="2" s="1"/>
  <c r="O614" i="2" s="1"/>
  <c r="J670" i="2"/>
  <c r="K670" i="2" s="1"/>
  <c r="J674" i="2"/>
  <c r="K674" i="2" s="1"/>
  <c r="M674" i="2" s="1"/>
  <c r="N674" i="2" s="1"/>
  <c r="O674" i="2" s="1"/>
  <c r="J680" i="2"/>
  <c r="K680" i="2" s="1"/>
  <c r="J682" i="2"/>
  <c r="K682" i="2" s="1"/>
  <c r="J701" i="2"/>
  <c r="K701" i="2" s="1"/>
  <c r="J713" i="2"/>
  <c r="K713" i="2" s="1"/>
  <c r="M713" i="2" s="1"/>
  <c r="N713" i="2" s="1"/>
  <c r="O713" i="2" s="1"/>
  <c r="J729" i="2"/>
  <c r="K729" i="2" s="1"/>
  <c r="J731" i="2"/>
  <c r="K731" i="2" s="1"/>
  <c r="J783" i="2"/>
  <c r="K783" i="2" s="1"/>
  <c r="J804" i="2"/>
  <c r="K804" i="2" s="1"/>
  <c r="J807" i="2"/>
  <c r="K807" i="2" s="1"/>
  <c r="J811" i="2"/>
  <c r="K811" i="2" s="1"/>
  <c r="J815" i="2"/>
  <c r="K815" i="2" s="1"/>
  <c r="J819" i="2"/>
  <c r="K819" i="2" s="1"/>
  <c r="J823" i="2"/>
  <c r="K823" i="2" s="1"/>
  <c r="J827" i="2"/>
  <c r="K827" i="2" s="1"/>
  <c r="J831" i="2"/>
  <c r="K831" i="2" s="1"/>
  <c r="M831" i="2" s="1"/>
  <c r="N831" i="2" s="1"/>
  <c r="O831" i="2" s="1"/>
  <c r="J835" i="2"/>
  <c r="K835" i="2" s="1"/>
  <c r="J839" i="2"/>
  <c r="K839" i="2" s="1"/>
  <c r="J843" i="2"/>
  <c r="K843" i="2" s="1"/>
  <c r="J847" i="2"/>
  <c r="K847" i="2" s="1"/>
  <c r="J851" i="2"/>
  <c r="K851" i="2" s="1"/>
  <c r="J856" i="2"/>
  <c r="K856" i="2" s="1"/>
  <c r="M884" i="2"/>
  <c r="N884" i="2" s="1"/>
  <c r="O884" i="2" s="1"/>
  <c r="J897" i="2"/>
  <c r="K897" i="2" s="1"/>
  <c r="J902" i="2"/>
  <c r="K902" i="2" s="1"/>
  <c r="M1194" i="2"/>
  <c r="N1194" i="2" s="1"/>
  <c r="O1194" i="2" s="1"/>
  <c r="M370" i="2"/>
  <c r="N370" i="2" s="1"/>
  <c r="O370" i="2" s="1"/>
  <c r="J430" i="2"/>
  <c r="K430" i="2" s="1"/>
  <c r="J451" i="2"/>
  <c r="K451" i="2" s="1"/>
  <c r="M451" i="2" s="1"/>
  <c r="N451" i="2" s="1"/>
  <c r="O451" i="2" s="1"/>
  <c r="J457" i="2"/>
  <c r="K457" i="2" s="1"/>
  <c r="J498" i="2"/>
  <c r="K498" i="2" s="1"/>
  <c r="J502" i="2"/>
  <c r="K502" i="2" s="1"/>
  <c r="J555" i="2"/>
  <c r="K555" i="2" s="1"/>
  <c r="J558" i="2"/>
  <c r="K558" i="2" s="1"/>
  <c r="M558" i="2" s="1"/>
  <c r="N558" i="2" s="1"/>
  <c r="O558" i="2" s="1"/>
  <c r="J561" i="2"/>
  <c r="K561" i="2" s="1"/>
  <c r="J577" i="2"/>
  <c r="K577" i="2" s="1"/>
  <c r="J594" i="2"/>
  <c r="K594" i="2" s="1"/>
  <c r="J618" i="2"/>
  <c r="K618" i="2" s="1"/>
  <c r="J633" i="2"/>
  <c r="K633" i="2" s="1"/>
  <c r="M633" i="2" s="1"/>
  <c r="N633" i="2" s="1"/>
  <c r="O633" i="2" s="1"/>
  <c r="J650" i="2"/>
  <c r="K650" i="2" s="1"/>
  <c r="M654" i="2"/>
  <c r="N654" i="2" s="1"/>
  <c r="O654" i="2" s="1"/>
  <c r="J657" i="2"/>
  <c r="K657" i="2" s="1"/>
  <c r="J666" i="2"/>
  <c r="K666" i="2" s="1"/>
  <c r="J678" i="2"/>
  <c r="K678" i="2" s="1"/>
  <c r="J683" i="2"/>
  <c r="K683" i="2" s="1"/>
  <c r="M686" i="2"/>
  <c r="N686" i="2" s="1"/>
  <c r="O686" i="2" s="1"/>
  <c r="J754" i="2"/>
  <c r="K754" i="2" s="1"/>
  <c r="M754" i="2" s="1"/>
  <c r="N754" i="2" s="1"/>
  <c r="O754" i="2" s="1"/>
  <c r="M756" i="2"/>
  <c r="N756" i="2" s="1"/>
  <c r="O756" i="2" s="1"/>
  <c r="J763" i="2"/>
  <c r="K763" i="2" s="1"/>
  <c r="J778" i="2"/>
  <c r="K778" i="2" s="1"/>
  <c r="J787" i="2"/>
  <c r="K787" i="2" s="1"/>
  <c r="M813" i="2"/>
  <c r="N813" i="2" s="1"/>
  <c r="O813" i="2" s="1"/>
  <c r="M845" i="2"/>
  <c r="N845" i="2" s="1"/>
  <c r="O845" i="2" s="1"/>
  <c r="M853" i="2"/>
  <c r="N853" i="2" s="1"/>
  <c r="O853" i="2" s="1"/>
  <c r="J860" i="2"/>
  <c r="K860" i="2" s="1"/>
  <c r="J886" i="2"/>
  <c r="K886" i="2" s="1"/>
  <c r="M948" i="2"/>
  <c r="N948" i="2" s="1"/>
  <c r="O948" i="2" s="1"/>
  <c r="J967" i="2"/>
  <c r="K967" i="2" s="1"/>
  <c r="M1170" i="2"/>
  <c r="N1170" i="2" s="1"/>
  <c r="O1170" i="2" s="1"/>
  <c r="M1207" i="2"/>
  <c r="N1207" i="2" s="1"/>
  <c r="O1207" i="2" s="1"/>
  <c r="M1266" i="2"/>
  <c r="N1266" i="2" s="1"/>
  <c r="O1266" i="2" s="1"/>
  <c r="M1410" i="2"/>
  <c r="N1410" i="2" s="1"/>
  <c r="O1410" i="2" s="1"/>
  <c r="J863" i="2"/>
  <c r="K863" i="2" s="1"/>
  <c r="M863" i="2" s="1"/>
  <c r="N863" i="2" s="1"/>
  <c r="O863" i="2" s="1"/>
  <c r="J867" i="2"/>
  <c r="K867" i="2" s="1"/>
  <c r="J871" i="2"/>
  <c r="K871" i="2" s="1"/>
  <c r="J874" i="2"/>
  <c r="K874" i="2" s="1"/>
  <c r="J899" i="2"/>
  <c r="K899" i="2" s="1"/>
  <c r="J900" i="2"/>
  <c r="K900" i="2" s="1"/>
  <c r="M900" i="2" s="1"/>
  <c r="N900" i="2" s="1"/>
  <c r="O900" i="2" s="1"/>
  <c r="J929" i="2"/>
  <c r="K929" i="2" s="1"/>
  <c r="J935" i="2"/>
  <c r="K935" i="2" s="1"/>
  <c r="J944" i="2"/>
  <c r="K944" i="2" s="1"/>
  <c r="J951" i="2"/>
  <c r="K951" i="2" s="1"/>
  <c r="J953" i="2"/>
  <c r="K953" i="2" s="1"/>
  <c r="J958" i="2"/>
  <c r="K958" i="2" s="1"/>
  <c r="M958" i="2" s="1"/>
  <c r="N958" i="2" s="1"/>
  <c r="O958" i="2" s="1"/>
  <c r="J966" i="2"/>
  <c r="K966" i="2" s="1"/>
  <c r="J975" i="2"/>
  <c r="K975" i="2" s="1"/>
  <c r="J977" i="2"/>
  <c r="K977" i="2" s="1"/>
  <c r="J982" i="2"/>
  <c r="K982" i="2" s="1"/>
  <c r="J993" i="2"/>
  <c r="K993" i="2" s="1"/>
  <c r="M993" i="2" s="1"/>
  <c r="N993" i="2" s="1"/>
  <c r="O993" i="2" s="1"/>
  <c r="M1010" i="2"/>
  <c r="N1010" i="2" s="1"/>
  <c r="O1010" i="2" s="1"/>
  <c r="J1016" i="2"/>
  <c r="K1016" i="2" s="1"/>
  <c r="M1025" i="2"/>
  <c r="N1025" i="2" s="1"/>
  <c r="O1025" i="2" s="1"/>
  <c r="J1032" i="2"/>
  <c r="K1032" i="2" s="1"/>
  <c r="J1091" i="2"/>
  <c r="K1091" i="2" s="1"/>
  <c r="M1091" i="2" s="1"/>
  <c r="N1091" i="2" s="1"/>
  <c r="O1091" i="2" s="1"/>
  <c r="J1251" i="2"/>
  <c r="K1251" i="2" s="1"/>
  <c r="M869" i="2"/>
  <c r="N869" i="2" s="1"/>
  <c r="O869" i="2" s="1"/>
  <c r="J905" i="2"/>
  <c r="K905" i="2" s="1"/>
  <c r="M905" i="2" s="1"/>
  <c r="N905" i="2" s="1"/>
  <c r="O905" i="2" s="1"/>
  <c r="J907" i="2"/>
  <c r="K907" i="2" s="1"/>
  <c r="J916" i="2"/>
  <c r="K916" i="2" s="1"/>
  <c r="M951" i="2"/>
  <c r="N951" i="2" s="1"/>
  <c r="O951" i="2" s="1"/>
  <c r="J972" i="2"/>
  <c r="K972" i="2" s="1"/>
  <c r="M972" i="2" s="1"/>
  <c r="N972" i="2" s="1"/>
  <c r="O972" i="2" s="1"/>
  <c r="J973" i="2"/>
  <c r="K973" i="2" s="1"/>
  <c r="J1007" i="2"/>
  <c r="K1007" i="2" s="1"/>
  <c r="J1009" i="2"/>
  <c r="K1009" i="2" s="1"/>
  <c r="J1020" i="2"/>
  <c r="K1020" i="2" s="1"/>
  <c r="J1036" i="2"/>
  <c r="K1036" i="2" s="1"/>
  <c r="J1052" i="2"/>
  <c r="K1052" i="2" s="1"/>
  <c r="M1052" i="2" s="1"/>
  <c r="N1052" i="2" s="1"/>
  <c r="O1052" i="2" s="1"/>
  <c r="J1061" i="2"/>
  <c r="K1061" i="2" s="1"/>
  <c r="J1085" i="2"/>
  <c r="K1085" i="2" s="1"/>
  <c r="M1087" i="2"/>
  <c r="N1087" i="2" s="1"/>
  <c r="O1087" i="2" s="1"/>
  <c r="J1097" i="2"/>
  <c r="K1097" i="2" s="1"/>
  <c r="M1097" i="2" s="1"/>
  <c r="N1097" i="2" s="1"/>
  <c r="O1097" i="2" s="1"/>
  <c r="J1109" i="2"/>
  <c r="K1109" i="2" s="1"/>
  <c r="M1146" i="2"/>
  <c r="N1146" i="2" s="1"/>
  <c r="O1146" i="2" s="1"/>
  <c r="J1155" i="2"/>
  <c r="K1155" i="2" s="1"/>
  <c r="M1201" i="2"/>
  <c r="N1201" i="2" s="1"/>
  <c r="O1201" i="2" s="1"/>
  <c r="M1217" i="2"/>
  <c r="N1217" i="2" s="1"/>
  <c r="O1217" i="2" s="1"/>
  <c r="M1230" i="2"/>
  <c r="N1230" i="2" s="1"/>
  <c r="O1230" i="2" s="1"/>
  <c r="J1301" i="2"/>
  <c r="K1301" i="2" s="1"/>
  <c r="J1316" i="2"/>
  <c r="K1316" i="2" s="1"/>
  <c r="M1338" i="2"/>
  <c r="N1338" i="2" s="1"/>
  <c r="O1338" i="2" s="1"/>
  <c r="J1413" i="2"/>
  <c r="K1413" i="2" s="1"/>
  <c r="M1469" i="2"/>
  <c r="N1469" i="2" s="1"/>
  <c r="O1469" i="2" s="1"/>
  <c r="J1506" i="2"/>
  <c r="K1506" i="2" s="1"/>
  <c r="J1577" i="2"/>
  <c r="K1577" i="2" s="1"/>
  <c r="J1642" i="2"/>
  <c r="K1642" i="2" s="1"/>
  <c r="M1642" i="2" s="1"/>
  <c r="N1642" i="2" s="1"/>
  <c r="O1642" i="2" s="1"/>
  <c r="J996" i="2"/>
  <c r="K996" i="2" s="1"/>
  <c r="J1004" i="2"/>
  <c r="K1004" i="2" s="1"/>
  <c r="M1009" i="2"/>
  <c r="N1009" i="2" s="1"/>
  <c r="O1009" i="2" s="1"/>
  <c r="J1019" i="2"/>
  <c r="K1019" i="2" s="1"/>
  <c r="J1035" i="2"/>
  <c r="K1035" i="2" s="1"/>
  <c r="J1040" i="2"/>
  <c r="K1040" i="2" s="1"/>
  <c r="M1040" i="2" s="1"/>
  <c r="N1040" i="2" s="1"/>
  <c r="O1040" i="2" s="1"/>
  <c r="J1044" i="2"/>
  <c r="K1044" i="2" s="1"/>
  <c r="J1072" i="2"/>
  <c r="K1072" i="2" s="1"/>
  <c r="J1077" i="2"/>
  <c r="K1077" i="2" s="1"/>
  <c r="J1083" i="2"/>
  <c r="K1083" i="2" s="1"/>
  <c r="J1095" i="2"/>
  <c r="K1095" i="2" s="1"/>
  <c r="J1101" i="2"/>
  <c r="K1101" i="2" s="1"/>
  <c r="J1103" i="2"/>
  <c r="K1103" i="2" s="1"/>
  <c r="J1131" i="2"/>
  <c r="K1131" i="2" s="1"/>
  <c r="M1131" i="2" s="1"/>
  <c r="N1131" i="2" s="1"/>
  <c r="O1131" i="2" s="1"/>
  <c r="J1163" i="2"/>
  <c r="K1163" i="2" s="1"/>
  <c r="J1166" i="2"/>
  <c r="K1166" i="2" s="1"/>
  <c r="M1166" i="2" s="1"/>
  <c r="N1166" i="2" s="1"/>
  <c r="O1166" i="2" s="1"/>
  <c r="J1169" i="2"/>
  <c r="K1169" i="2" s="1"/>
  <c r="J1208" i="2"/>
  <c r="K1208" i="2" s="1"/>
  <c r="J1211" i="2"/>
  <c r="K1211" i="2" s="1"/>
  <c r="M1224" i="2"/>
  <c r="N1224" i="2" s="1"/>
  <c r="O1224" i="2" s="1"/>
  <c r="J1227" i="2"/>
  <c r="K1227" i="2" s="1"/>
  <c r="J1249" i="2"/>
  <c r="K1249" i="2" s="1"/>
  <c r="J1269" i="2"/>
  <c r="K1269" i="2" s="1"/>
  <c r="M1269" i="2" s="1"/>
  <c r="N1269" i="2" s="1"/>
  <c r="O1269" i="2" s="1"/>
  <c r="J1279" i="2"/>
  <c r="K1279" i="2" s="1"/>
  <c r="J1297" i="2"/>
  <c r="K1297" i="2" s="1"/>
  <c r="J1313" i="2"/>
  <c r="K1313" i="2" s="1"/>
  <c r="J1321" i="2"/>
  <c r="K1321" i="2" s="1"/>
  <c r="J1336" i="2"/>
  <c r="K1336" i="2" s="1"/>
  <c r="J1445" i="2"/>
  <c r="K1445" i="2" s="1"/>
  <c r="J1562" i="2"/>
  <c r="K1562" i="2" s="1"/>
  <c r="J1567" i="2"/>
  <c r="K1567" i="2" s="1"/>
  <c r="M1567" i="2" s="1"/>
  <c r="N1567" i="2" s="1"/>
  <c r="O1567" i="2" s="1"/>
  <c r="J1611" i="2"/>
  <c r="K1611" i="2" s="1"/>
  <c r="M1611" i="2" s="1"/>
  <c r="N1611" i="2" s="1"/>
  <c r="O1611" i="2" s="1"/>
  <c r="J889" i="2"/>
  <c r="K889" i="2" s="1"/>
  <c r="J903" i="2"/>
  <c r="K903" i="2" s="1"/>
  <c r="J904" i="2"/>
  <c r="K904" i="2" s="1"/>
  <c r="M910" i="2"/>
  <c r="N910" i="2" s="1"/>
  <c r="O910" i="2" s="1"/>
  <c r="J932" i="2"/>
  <c r="K932" i="2" s="1"/>
  <c r="J945" i="2"/>
  <c r="K945" i="2" s="1"/>
  <c r="J952" i="2"/>
  <c r="K952" i="2" s="1"/>
  <c r="M961" i="2"/>
  <c r="N961" i="2" s="1"/>
  <c r="O961" i="2" s="1"/>
  <c r="J969" i="2"/>
  <c r="K969" i="2" s="1"/>
  <c r="J976" i="2"/>
  <c r="K976" i="2" s="1"/>
  <c r="J992" i="2"/>
  <c r="K992" i="2" s="1"/>
  <c r="M1015" i="2"/>
  <c r="N1015" i="2" s="1"/>
  <c r="O1015" i="2" s="1"/>
  <c r="J1017" i="2"/>
  <c r="K1017" i="2" s="1"/>
  <c r="J1027" i="2"/>
  <c r="K1027" i="2" s="1"/>
  <c r="M1027" i="2" s="1"/>
  <c r="N1027" i="2" s="1"/>
  <c r="O1027" i="2" s="1"/>
  <c r="J1033" i="2"/>
  <c r="K1033" i="2" s="1"/>
  <c r="J1043" i="2"/>
  <c r="K1043" i="2" s="1"/>
  <c r="M1043" i="2" s="1"/>
  <c r="N1043" i="2" s="1"/>
  <c r="O1043" i="2" s="1"/>
  <c r="J1049" i="2"/>
  <c r="K1049" i="2" s="1"/>
  <c r="M1049" i="2" s="1"/>
  <c r="N1049" i="2" s="1"/>
  <c r="O1049" i="2" s="1"/>
  <c r="J1059" i="2"/>
  <c r="K1059" i="2" s="1"/>
  <c r="J1100" i="2"/>
  <c r="K1100" i="2" s="1"/>
  <c r="M1100" i="2" s="1"/>
  <c r="N1100" i="2" s="1"/>
  <c r="O1100" i="2" s="1"/>
  <c r="J1199" i="2"/>
  <c r="K1199" i="2" s="1"/>
  <c r="J1234" i="2"/>
  <c r="K1234" i="2" s="1"/>
  <c r="M1234" i="2" s="1"/>
  <c r="N1234" i="2" s="1"/>
  <c r="O1234" i="2" s="1"/>
  <c r="J1243" i="2"/>
  <c r="K1243" i="2" s="1"/>
  <c r="M1243" i="2" s="1"/>
  <c r="N1243" i="2" s="1"/>
  <c r="O1243" i="2" s="1"/>
  <c r="J1291" i="2"/>
  <c r="K1291" i="2" s="1"/>
  <c r="M1291" i="2" s="1"/>
  <c r="N1291" i="2" s="1"/>
  <c r="O1291" i="2" s="1"/>
  <c r="J1306" i="2"/>
  <c r="K1306" i="2" s="1"/>
  <c r="M1306" i="2" s="1"/>
  <c r="N1306" i="2" s="1"/>
  <c r="O1306" i="2" s="1"/>
  <c r="J1314" i="2"/>
  <c r="K1314" i="2" s="1"/>
  <c r="M1314" i="2" s="1"/>
  <c r="N1314" i="2" s="1"/>
  <c r="O1314" i="2" s="1"/>
  <c r="J1385" i="2"/>
  <c r="K1385" i="2" s="1"/>
  <c r="M1738" i="2"/>
  <c r="N1738" i="2" s="1"/>
  <c r="O1738" i="2" s="1"/>
  <c r="J986" i="2"/>
  <c r="K986" i="2" s="1"/>
  <c r="J987" i="2"/>
  <c r="K987" i="2" s="1"/>
  <c r="J1003" i="2"/>
  <c r="K1003" i="2" s="1"/>
  <c r="J1008" i="2"/>
  <c r="K1008" i="2" s="1"/>
  <c r="J1012" i="2"/>
  <c r="K1012" i="2" s="1"/>
  <c r="J1057" i="2"/>
  <c r="K1057" i="2" s="1"/>
  <c r="M1088" i="2"/>
  <c r="N1088" i="2" s="1"/>
  <c r="O1088" i="2" s="1"/>
  <c r="J1106" i="2"/>
  <c r="K1106" i="2" s="1"/>
  <c r="J1107" i="2"/>
  <c r="K1107" i="2" s="1"/>
  <c r="J1116" i="2"/>
  <c r="K1116" i="2" s="1"/>
  <c r="M1116" i="2" s="1"/>
  <c r="N1116" i="2" s="1"/>
  <c r="O1116" i="2" s="1"/>
  <c r="J1145" i="2"/>
  <c r="K1145" i="2" s="1"/>
  <c r="M1145" i="2" s="1"/>
  <c r="N1145" i="2" s="1"/>
  <c r="O1145" i="2" s="1"/>
  <c r="J1147" i="2"/>
  <c r="K1147" i="2" s="1"/>
  <c r="J1158" i="2"/>
  <c r="K1158" i="2" s="1"/>
  <c r="M1158" i="2" s="1"/>
  <c r="N1158" i="2" s="1"/>
  <c r="O1158" i="2" s="1"/>
  <c r="J1190" i="2"/>
  <c r="K1190" i="2" s="1"/>
  <c r="J1191" i="2"/>
  <c r="K1191" i="2" s="1"/>
  <c r="J1215" i="2"/>
  <c r="K1215" i="2" s="1"/>
  <c r="J1231" i="2"/>
  <c r="K1231" i="2" s="1"/>
  <c r="J1256" i="2"/>
  <c r="K1256" i="2" s="1"/>
  <c r="M1256" i="2" s="1"/>
  <c r="N1256" i="2" s="1"/>
  <c r="O1256" i="2" s="1"/>
  <c r="J1265" i="2"/>
  <c r="K1265" i="2" s="1"/>
  <c r="J1283" i="2"/>
  <c r="K1283" i="2" s="1"/>
  <c r="M1283" i="2" s="1"/>
  <c r="N1283" i="2" s="1"/>
  <c r="O1283" i="2" s="1"/>
  <c r="J1298" i="2"/>
  <c r="K1298" i="2" s="1"/>
  <c r="J1315" i="2"/>
  <c r="K1315" i="2" s="1"/>
  <c r="J1318" i="2"/>
  <c r="K1318" i="2" s="1"/>
  <c r="J1322" i="2"/>
  <c r="K1322" i="2" s="1"/>
  <c r="M1322" i="2" s="1"/>
  <c r="N1322" i="2" s="1"/>
  <c r="O1322" i="2" s="1"/>
  <c r="J1326" i="2"/>
  <c r="K1326" i="2" s="1"/>
  <c r="J1330" i="2"/>
  <c r="K1330" i="2" s="1"/>
  <c r="J1513" i="2"/>
  <c r="K1513" i="2" s="1"/>
  <c r="J979" i="2"/>
  <c r="K979" i="2" s="1"/>
  <c r="M979" i="2" s="1"/>
  <c r="N979" i="2" s="1"/>
  <c r="O979" i="2" s="1"/>
  <c r="J990" i="2"/>
  <c r="K990" i="2" s="1"/>
  <c r="J1011" i="2"/>
  <c r="K1011" i="2" s="1"/>
  <c r="M1011" i="2" s="1"/>
  <c r="N1011" i="2" s="1"/>
  <c r="O1011" i="2" s="1"/>
  <c r="J1025" i="2"/>
  <c r="K1025" i="2" s="1"/>
  <c r="M1042" i="2"/>
  <c r="N1042" i="2" s="1"/>
  <c r="O1042" i="2" s="1"/>
  <c r="J1075" i="2"/>
  <c r="K1075" i="2" s="1"/>
  <c r="J1099" i="2"/>
  <c r="K1099" i="2" s="1"/>
  <c r="J1157" i="2"/>
  <c r="K1157" i="2" s="1"/>
  <c r="J1161" i="2"/>
  <c r="K1161" i="2" s="1"/>
  <c r="J1247" i="2"/>
  <c r="K1247" i="2" s="1"/>
  <c r="J1259" i="2"/>
  <c r="K1259" i="2" s="1"/>
  <c r="M1259" i="2" s="1"/>
  <c r="N1259" i="2" s="1"/>
  <c r="O1259" i="2" s="1"/>
  <c r="J1307" i="2"/>
  <c r="K1307" i="2" s="1"/>
  <c r="J1310" i="2"/>
  <c r="K1310" i="2" s="1"/>
  <c r="M1386" i="2"/>
  <c r="N1386" i="2" s="1"/>
  <c r="O1386" i="2" s="1"/>
  <c r="J1801" i="2"/>
  <c r="K1801" i="2" s="1"/>
  <c r="J962" i="2"/>
  <c r="K962" i="2" s="1"/>
  <c r="J968" i="2"/>
  <c r="K968" i="2" s="1"/>
  <c r="M968" i="2" s="1"/>
  <c r="N968" i="2" s="1"/>
  <c r="O968" i="2" s="1"/>
  <c r="J991" i="2"/>
  <c r="K991" i="2" s="1"/>
  <c r="M991" i="2" s="1"/>
  <c r="N991" i="2" s="1"/>
  <c r="O991" i="2" s="1"/>
  <c r="J1039" i="2"/>
  <c r="K1039" i="2" s="1"/>
  <c r="M1039" i="2" s="1"/>
  <c r="N1039" i="2" s="1"/>
  <c r="O1039" i="2" s="1"/>
  <c r="J1041" i="2"/>
  <c r="K1041" i="2" s="1"/>
  <c r="M1061" i="2"/>
  <c r="N1061" i="2" s="1"/>
  <c r="O1061" i="2" s="1"/>
  <c r="M1064" i="2"/>
  <c r="N1064" i="2" s="1"/>
  <c r="O1064" i="2" s="1"/>
  <c r="J1071" i="2"/>
  <c r="K1071" i="2" s="1"/>
  <c r="J1073" i="2"/>
  <c r="K1073" i="2" s="1"/>
  <c r="M1073" i="2" s="1"/>
  <c r="N1073" i="2" s="1"/>
  <c r="O1073" i="2" s="1"/>
  <c r="M1109" i="2"/>
  <c r="N1109" i="2" s="1"/>
  <c r="O1109" i="2" s="1"/>
  <c r="M1112" i="2"/>
  <c r="N1112" i="2" s="1"/>
  <c r="O1112" i="2" s="1"/>
  <c r="J1122" i="2"/>
  <c r="K1122" i="2" s="1"/>
  <c r="J1123" i="2"/>
  <c r="K1123" i="2" s="1"/>
  <c r="J1135" i="2"/>
  <c r="K1135" i="2" s="1"/>
  <c r="M1135" i="2" s="1"/>
  <c r="N1135" i="2" s="1"/>
  <c r="O1135" i="2" s="1"/>
  <c r="M1164" i="2"/>
  <c r="N1164" i="2" s="1"/>
  <c r="O1164" i="2" s="1"/>
  <c r="J1203" i="2"/>
  <c r="K1203" i="2" s="1"/>
  <c r="J1219" i="2"/>
  <c r="K1219" i="2" s="1"/>
  <c r="M1219" i="2" s="1"/>
  <c r="N1219" i="2" s="1"/>
  <c r="O1219" i="2" s="1"/>
  <c r="J1235" i="2"/>
  <c r="K1235" i="2" s="1"/>
  <c r="M1235" i="2" s="1"/>
  <c r="N1235" i="2" s="1"/>
  <c r="O1235" i="2" s="1"/>
  <c r="J1272" i="2"/>
  <c r="K1272" i="2" s="1"/>
  <c r="J1276" i="2"/>
  <c r="K1276" i="2" s="1"/>
  <c r="J1311" i="2"/>
  <c r="K1311" i="2" s="1"/>
  <c r="J1346" i="2"/>
  <c r="K1346" i="2" s="1"/>
  <c r="J1362" i="2"/>
  <c r="K1362" i="2" s="1"/>
  <c r="M1659" i="2"/>
  <c r="N1659" i="2" s="1"/>
  <c r="O1659" i="2" s="1"/>
  <c r="J1375" i="2"/>
  <c r="K1375" i="2" s="1"/>
  <c r="J1395" i="2"/>
  <c r="K1395" i="2" s="1"/>
  <c r="J1431" i="2"/>
  <c r="K1431" i="2" s="1"/>
  <c r="M1431" i="2" s="1"/>
  <c r="N1431" i="2" s="1"/>
  <c r="O1431" i="2" s="1"/>
  <c r="J1434" i="2"/>
  <c r="K1434" i="2" s="1"/>
  <c r="J1460" i="2"/>
  <c r="K1460" i="2" s="1"/>
  <c r="J1462" i="2"/>
  <c r="K1462" i="2" s="1"/>
  <c r="M1462" i="2" s="1"/>
  <c r="N1462" i="2" s="1"/>
  <c r="O1462" i="2" s="1"/>
  <c r="J1466" i="2"/>
  <c r="K1466" i="2" s="1"/>
  <c r="J1480" i="2"/>
  <c r="K1480" i="2" s="1"/>
  <c r="J1520" i="2"/>
  <c r="K1520" i="2" s="1"/>
  <c r="M1520" i="2" s="1"/>
  <c r="N1520" i="2" s="1"/>
  <c r="O1520" i="2" s="1"/>
  <c r="J1572" i="2"/>
  <c r="K1572" i="2" s="1"/>
  <c r="J1618" i="2"/>
  <c r="K1618" i="2" s="1"/>
  <c r="M1618" i="2" s="1"/>
  <c r="N1618" i="2" s="1"/>
  <c r="O1618" i="2" s="1"/>
  <c r="J1644" i="2"/>
  <c r="K1644" i="2" s="1"/>
  <c r="J1650" i="2"/>
  <c r="K1650" i="2" s="1"/>
  <c r="M1650" i="2" s="1"/>
  <c r="N1650" i="2" s="1"/>
  <c r="O1650" i="2" s="1"/>
  <c r="J1655" i="2"/>
  <c r="K1655" i="2" s="1"/>
  <c r="J1665" i="2"/>
  <c r="K1665" i="2" s="1"/>
  <c r="M1665" i="2" s="1"/>
  <c r="N1665" i="2" s="1"/>
  <c r="O1665" i="2" s="1"/>
  <c r="M1777" i="2"/>
  <c r="N1777" i="2" s="1"/>
  <c r="O1777" i="2" s="1"/>
  <c r="M1812" i="2"/>
  <c r="N1812" i="2" s="1"/>
  <c r="O1812" i="2" s="1"/>
  <c r="J2046" i="2"/>
  <c r="K2046" i="2" s="1"/>
  <c r="M2046" i="2" s="1"/>
  <c r="N2046" i="2" s="1"/>
  <c r="O2046" i="2" s="1"/>
  <c r="M2817" i="2"/>
  <c r="N2817" i="2" s="1"/>
  <c r="O2817" i="2" s="1"/>
  <c r="J1341" i="2"/>
  <c r="K1341" i="2" s="1"/>
  <c r="J1354" i="2"/>
  <c r="K1354" i="2" s="1"/>
  <c r="J1365" i="2"/>
  <c r="K1365" i="2" s="1"/>
  <c r="J1373" i="2"/>
  <c r="K1373" i="2" s="1"/>
  <c r="J1409" i="2"/>
  <c r="K1409" i="2" s="1"/>
  <c r="J1410" i="2"/>
  <c r="K1410" i="2" s="1"/>
  <c r="J1430" i="2"/>
  <c r="K1430" i="2" s="1"/>
  <c r="J1436" i="2"/>
  <c r="K1436" i="2" s="1"/>
  <c r="M1436" i="2" s="1"/>
  <c r="N1436" i="2" s="1"/>
  <c r="O1436" i="2" s="1"/>
  <c r="J1438" i="2"/>
  <c r="K1438" i="2" s="1"/>
  <c r="J1463" i="2"/>
  <c r="K1463" i="2" s="1"/>
  <c r="J1471" i="2"/>
  <c r="K1471" i="2" s="1"/>
  <c r="M1471" i="2" s="1"/>
  <c r="N1471" i="2" s="1"/>
  <c r="O1471" i="2" s="1"/>
  <c r="J1483" i="2"/>
  <c r="K1483" i="2" s="1"/>
  <c r="J1488" i="2"/>
  <c r="K1488" i="2" s="1"/>
  <c r="J1492" i="2"/>
  <c r="K1492" i="2" s="1"/>
  <c r="M1492" i="2" s="1"/>
  <c r="N1492" i="2" s="1"/>
  <c r="O1492" i="2" s="1"/>
  <c r="J1495" i="2"/>
  <c r="K1495" i="2" s="1"/>
  <c r="J1497" i="2"/>
  <c r="K1497" i="2" s="1"/>
  <c r="J1498" i="2"/>
  <c r="K1498" i="2" s="1"/>
  <c r="J1505" i="2"/>
  <c r="K1505" i="2" s="1"/>
  <c r="J1512" i="2"/>
  <c r="K1512" i="2" s="1"/>
  <c r="J1526" i="2"/>
  <c r="K1526" i="2" s="1"/>
  <c r="M1526" i="2" s="1"/>
  <c r="N1526" i="2" s="1"/>
  <c r="O1526" i="2" s="1"/>
  <c r="J1539" i="2"/>
  <c r="K1539" i="2" s="1"/>
  <c r="M1539" i="2" s="1"/>
  <c r="N1539" i="2" s="1"/>
  <c r="O1539" i="2" s="1"/>
  <c r="J1568" i="2"/>
  <c r="K1568" i="2" s="1"/>
  <c r="J1607" i="2"/>
  <c r="K1607" i="2" s="1"/>
  <c r="J1610" i="2"/>
  <c r="K1610" i="2" s="1"/>
  <c r="J1647" i="2"/>
  <c r="K1647" i="2" s="1"/>
  <c r="J1722" i="2"/>
  <c r="K1722" i="2" s="1"/>
  <c r="J1727" i="2"/>
  <c r="K1727" i="2" s="1"/>
  <c r="J1893" i="2"/>
  <c r="K1893" i="2" s="1"/>
  <c r="M2101" i="2"/>
  <c r="N2101" i="2" s="1"/>
  <c r="O2101" i="2" s="1"/>
  <c r="J1304" i="2"/>
  <c r="K1304" i="2" s="1"/>
  <c r="J1308" i="2"/>
  <c r="K1308" i="2" s="1"/>
  <c r="M1310" i="2"/>
  <c r="N1310" i="2" s="1"/>
  <c r="O1310" i="2" s="1"/>
  <c r="J1327" i="2"/>
  <c r="K1327" i="2" s="1"/>
  <c r="M1337" i="2"/>
  <c r="N1337" i="2" s="1"/>
  <c r="O1337" i="2" s="1"/>
  <c r="J1345" i="2"/>
  <c r="K1345" i="2" s="1"/>
  <c r="J1374" i="2"/>
  <c r="K1374" i="2" s="1"/>
  <c r="J1400" i="2"/>
  <c r="K1400" i="2" s="1"/>
  <c r="J1420" i="2"/>
  <c r="K1420" i="2" s="1"/>
  <c r="J1422" i="2"/>
  <c r="K1422" i="2" s="1"/>
  <c r="J1423" i="2"/>
  <c r="K1423" i="2" s="1"/>
  <c r="M1438" i="2"/>
  <c r="N1438" i="2" s="1"/>
  <c r="O1438" i="2" s="1"/>
  <c r="J1470" i="2"/>
  <c r="K1470" i="2" s="1"/>
  <c r="M1497" i="2"/>
  <c r="N1497" i="2" s="1"/>
  <c r="O1497" i="2" s="1"/>
  <c r="J1500" i="2"/>
  <c r="K1500" i="2" s="1"/>
  <c r="J1502" i="2"/>
  <c r="K1502" i="2" s="1"/>
  <c r="M1502" i="2" s="1"/>
  <c r="N1502" i="2" s="1"/>
  <c r="O1502" i="2" s="1"/>
  <c r="M1536" i="2"/>
  <c r="N1536" i="2" s="1"/>
  <c r="O1536" i="2" s="1"/>
  <c r="J1566" i="2"/>
  <c r="K1566" i="2" s="1"/>
  <c r="M1566" i="2" s="1"/>
  <c r="N1566" i="2" s="1"/>
  <c r="O1566" i="2" s="1"/>
  <c r="J1571" i="2"/>
  <c r="K1571" i="2" s="1"/>
  <c r="J1573" i="2"/>
  <c r="K1573" i="2" s="1"/>
  <c r="M1573" i="2" s="1"/>
  <c r="N1573" i="2" s="1"/>
  <c r="O1573" i="2" s="1"/>
  <c r="J1582" i="2"/>
  <c r="K1582" i="2" s="1"/>
  <c r="M1582" i="2" s="1"/>
  <c r="N1582" i="2" s="1"/>
  <c r="O1582" i="2" s="1"/>
  <c r="J1594" i="2"/>
  <c r="K1594" i="2" s="1"/>
  <c r="M1599" i="2"/>
  <c r="N1599" i="2" s="1"/>
  <c r="O1599" i="2" s="1"/>
  <c r="J1617" i="2"/>
  <c r="K1617" i="2" s="1"/>
  <c r="J1619" i="2"/>
  <c r="K1619" i="2" s="1"/>
  <c r="J1623" i="2"/>
  <c r="K1623" i="2" s="1"/>
  <c r="J1639" i="2"/>
  <c r="K1639" i="2" s="1"/>
  <c r="M1639" i="2" s="1"/>
  <c r="N1639" i="2" s="1"/>
  <c r="O1639" i="2" s="1"/>
  <c r="J1759" i="2"/>
  <c r="K1759" i="2" s="1"/>
  <c r="M1759" i="2" s="1"/>
  <c r="N1759" i="2" s="1"/>
  <c r="O1759" i="2" s="1"/>
  <c r="J1841" i="2"/>
  <c r="K1841" i="2" s="1"/>
  <c r="J1357" i="2"/>
  <c r="K1357" i="2" s="1"/>
  <c r="M1403" i="2"/>
  <c r="N1403" i="2" s="1"/>
  <c r="O1403" i="2" s="1"/>
  <c r="J1406" i="2"/>
  <c r="K1406" i="2" s="1"/>
  <c r="M1406" i="2" s="1"/>
  <c r="N1406" i="2" s="1"/>
  <c r="O1406" i="2" s="1"/>
  <c r="J1414" i="2"/>
  <c r="K1414" i="2" s="1"/>
  <c r="M1414" i="2" s="1"/>
  <c r="N1414" i="2" s="1"/>
  <c r="O1414" i="2" s="1"/>
  <c r="M1422" i="2"/>
  <c r="N1422" i="2" s="1"/>
  <c r="O1422" i="2" s="1"/>
  <c r="J1425" i="2"/>
  <c r="K1425" i="2" s="1"/>
  <c r="J1449" i="2"/>
  <c r="K1449" i="2" s="1"/>
  <c r="M1470" i="2"/>
  <c r="N1470" i="2" s="1"/>
  <c r="O1470" i="2" s="1"/>
  <c r="J1478" i="2"/>
  <c r="K1478" i="2" s="1"/>
  <c r="J1481" i="2"/>
  <c r="K1481" i="2" s="1"/>
  <c r="M1494" i="2"/>
  <c r="N1494" i="2" s="1"/>
  <c r="O1494" i="2" s="1"/>
  <c r="J1523" i="2"/>
  <c r="K1523" i="2" s="1"/>
  <c r="J1554" i="2"/>
  <c r="K1554" i="2" s="1"/>
  <c r="M1554" i="2" s="1"/>
  <c r="N1554" i="2" s="1"/>
  <c r="O1554" i="2" s="1"/>
  <c r="J1590" i="2"/>
  <c r="K1590" i="2" s="1"/>
  <c r="J1686" i="2"/>
  <c r="K1686" i="2" s="1"/>
  <c r="J1694" i="2"/>
  <c r="K1694" i="2" s="1"/>
  <c r="M1694" i="2" s="1"/>
  <c r="N1694" i="2" s="1"/>
  <c r="O1694" i="2" s="1"/>
  <c r="J1750" i="2"/>
  <c r="K1750" i="2" s="1"/>
  <c r="J1782" i="2"/>
  <c r="K1782" i="2" s="1"/>
  <c r="M1787" i="2"/>
  <c r="N1787" i="2" s="1"/>
  <c r="O1787" i="2" s="1"/>
  <c r="J1446" i="2"/>
  <c r="K1446" i="2" s="1"/>
  <c r="J1489" i="2"/>
  <c r="K1489" i="2" s="1"/>
  <c r="J1587" i="2"/>
  <c r="K1587" i="2" s="1"/>
  <c r="J1598" i="2"/>
  <c r="K1598" i="2" s="1"/>
  <c r="J1621" i="2"/>
  <c r="K1621" i="2" s="1"/>
  <c r="M1621" i="2" s="1"/>
  <c r="N1621" i="2" s="1"/>
  <c r="O1621" i="2" s="1"/>
  <c r="M1663" i="2"/>
  <c r="N1663" i="2" s="1"/>
  <c r="O1663" i="2" s="1"/>
  <c r="J1715" i="2"/>
  <c r="K1715" i="2" s="1"/>
  <c r="J1774" i="2"/>
  <c r="K1774" i="2" s="1"/>
  <c r="J1783" i="2"/>
  <c r="K1783" i="2" s="1"/>
  <c r="J1320" i="2"/>
  <c r="K1320" i="2" s="1"/>
  <c r="J1323" i="2"/>
  <c r="K1323" i="2" s="1"/>
  <c r="M1323" i="2" s="1"/>
  <c r="N1323" i="2" s="1"/>
  <c r="O1323" i="2" s="1"/>
  <c r="J1332" i="2"/>
  <c r="K1332" i="2" s="1"/>
  <c r="J1335" i="2"/>
  <c r="K1335" i="2" s="1"/>
  <c r="J1344" i="2"/>
  <c r="K1344" i="2" s="1"/>
  <c r="M1381" i="2"/>
  <c r="N1381" i="2" s="1"/>
  <c r="O1381" i="2" s="1"/>
  <c r="M1387" i="2"/>
  <c r="N1387" i="2" s="1"/>
  <c r="O1387" i="2" s="1"/>
  <c r="M1416" i="2"/>
  <c r="N1416" i="2" s="1"/>
  <c r="O1416" i="2" s="1"/>
  <c r="M1534" i="2"/>
  <c r="N1534" i="2" s="1"/>
  <c r="O1534" i="2" s="1"/>
  <c r="M1598" i="2"/>
  <c r="N1598" i="2" s="1"/>
  <c r="O1598" i="2" s="1"/>
  <c r="J1625" i="2"/>
  <c r="K1625" i="2" s="1"/>
  <c r="J1631" i="2"/>
  <c r="K1631" i="2" s="1"/>
  <c r="J1634" i="2"/>
  <c r="K1634" i="2" s="1"/>
  <c r="J1710" i="2"/>
  <c r="K1710" i="2" s="1"/>
  <c r="M1710" i="2" s="1"/>
  <c r="N1710" i="2" s="1"/>
  <c r="O1710" i="2" s="1"/>
  <c r="M1736" i="2"/>
  <c r="N1736" i="2" s="1"/>
  <c r="O1736" i="2" s="1"/>
  <c r="M1783" i="2"/>
  <c r="N1783" i="2" s="1"/>
  <c r="O1783" i="2" s="1"/>
  <c r="J2000" i="2"/>
  <c r="K2000" i="2" s="1"/>
  <c r="J1653" i="2"/>
  <c r="K1653" i="2" s="1"/>
  <c r="J1657" i="2"/>
  <c r="K1657" i="2" s="1"/>
  <c r="J1697" i="2"/>
  <c r="K1697" i="2" s="1"/>
  <c r="J1703" i="2"/>
  <c r="K1703" i="2" s="1"/>
  <c r="J1741" i="2"/>
  <c r="K1741" i="2" s="1"/>
  <c r="J1775" i="2"/>
  <c r="K1775" i="2" s="1"/>
  <c r="J1798" i="2"/>
  <c r="K1798" i="2" s="1"/>
  <c r="J1805" i="2"/>
  <c r="K1805" i="2" s="1"/>
  <c r="J1824" i="2"/>
  <c r="K1824" i="2" s="1"/>
  <c r="J1839" i="2"/>
  <c r="K1839" i="2" s="1"/>
  <c r="J1853" i="2"/>
  <c r="K1853" i="2" s="1"/>
  <c r="J1948" i="2"/>
  <c r="K1948" i="2" s="1"/>
  <c r="J1976" i="2"/>
  <c r="K1976" i="2" s="1"/>
  <c r="M1976" i="2" s="1"/>
  <c r="N1976" i="2" s="1"/>
  <c r="O1976" i="2" s="1"/>
  <c r="J2059" i="2"/>
  <c r="K2059" i="2" s="1"/>
  <c r="J2094" i="2"/>
  <c r="K2094" i="2" s="1"/>
  <c r="J2171" i="2"/>
  <c r="K2171" i="2" s="1"/>
  <c r="J2306" i="2"/>
  <c r="K2306" i="2" s="1"/>
  <c r="J1688" i="2"/>
  <c r="K1688" i="2" s="1"/>
  <c r="M1688" i="2" s="1"/>
  <c r="N1688" i="2" s="1"/>
  <c r="O1688" i="2" s="1"/>
  <c r="J1692" i="2"/>
  <c r="K1692" i="2" s="1"/>
  <c r="J1699" i="2"/>
  <c r="K1699" i="2" s="1"/>
  <c r="J1700" i="2"/>
  <c r="K1700" i="2" s="1"/>
  <c r="J1711" i="2"/>
  <c r="K1711" i="2" s="1"/>
  <c r="J1717" i="2"/>
  <c r="K1717" i="2" s="1"/>
  <c r="M1717" i="2" s="1"/>
  <c r="N1717" i="2" s="1"/>
  <c r="O1717" i="2" s="1"/>
  <c r="J1725" i="2"/>
  <c r="K1725" i="2" s="1"/>
  <c r="M1725" i="2" s="1"/>
  <c r="N1725" i="2" s="1"/>
  <c r="O1725" i="2" s="1"/>
  <c r="J1731" i="2"/>
  <c r="K1731" i="2" s="1"/>
  <c r="M1731" i="2" s="1"/>
  <c r="N1731" i="2" s="1"/>
  <c r="O1731" i="2" s="1"/>
  <c r="J1745" i="2"/>
  <c r="K1745" i="2" s="1"/>
  <c r="M1745" i="2" s="1"/>
  <c r="N1745" i="2" s="1"/>
  <c r="O1745" i="2" s="1"/>
  <c r="J1748" i="2"/>
  <c r="K1748" i="2" s="1"/>
  <c r="J1749" i="2"/>
  <c r="K1749" i="2" s="1"/>
  <c r="M1749" i="2" s="1"/>
  <c r="N1749" i="2" s="1"/>
  <c r="O1749" i="2" s="1"/>
  <c r="J1755" i="2"/>
  <c r="K1755" i="2" s="1"/>
  <c r="J1766" i="2"/>
  <c r="K1766" i="2" s="1"/>
  <c r="J1768" i="2"/>
  <c r="K1768" i="2" s="1"/>
  <c r="J1779" i="2"/>
  <c r="K1779" i="2" s="1"/>
  <c r="M1779" i="2" s="1"/>
  <c r="N1779" i="2" s="1"/>
  <c r="O1779" i="2" s="1"/>
  <c r="J1812" i="2"/>
  <c r="K1812" i="2" s="1"/>
  <c r="J1827" i="2"/>
  <c r="K1827" i="2" s="1"/>
  <c r="M1827" i="2" s="1"/>
  <c r="N1827" i="2" s="1"/>
  <c r="O1827" i="2" s="1"/>
  <c r="M1842" i="2"/>
  <c r="N1842" i="2" s="1"/>
  <c r="O1842" i="2" s="1"/>
  <c r="J1859" i="2"/>
  <c r="K1859" i="2" s="1"/>
  <c r="M1859" i="2" s="1"/>
  <c r="N1859" i="2" s="1"/>
  <c r="O1859" i="2" s="1"/>
  <c r="J1865" i="2"/>
  <c r="K1865" i="2" s="1"/>
  <c r="M1865" i="2" s="1"/>
  <c r="N1865" i="2" s="1"/>
  <c r="O1865" i="2" s="1"/>
  <c r="J1883" i="2"/>
  <c r="K1883" i="2" s="1"/>
  <c r="J1923" i="2"/>
  <c r="K1923" i="2" s="1"/>
  <c r="M1923" i="2" s="1"/>
  <c r="N1923" i="2" s="1"/>
  <c r="O1923" i="2" s="1"/>
  <c r="J1929" i="2"/>
  <c r="K1929" i="2" s="1"/>
  <c r="M1936" i="2"/>
  <c r="N1936" i="2" s="1"/>
  <c r="O1936" i="2" s="1"/>
  <c r="J1941" i="2"/>
  <c r="K1941" i="2" s="1"/>
  <c r="J1964" i="2"/>
  <c r="K1964" i="2" s="1"/>
  <c r="J1971" i="2"/>
  <c r="K1971" i="2" s="1"/>
  <c r="J2054" i="2"/>
  <c r="K2054" i="2" s="1"/>
  <c r="J2083" i="2"/>
  <c r="K2083" i="2" s="1"/>
  <c r="J2113" i="2"/>
  <c r="K2113" i="2" s="1"/>
  <c r="M2351" i="2"/>
  <c r="N2351" i="2" s="1"/>
  <c r="O2351" i="2" s="1"/>
  <c r="J1656" i="2"/>
  <c r="K1656" i="2" s="1"/>
  <c r="J1670" i="2"/>
  <c r="K1670" i="2" s="1"/>
  <c r="J1675" i="2"/>
  <c r="K1675" i="2" s="1"/>
  <c r="M1675" i="2" s="1"/>
  <c r="N1675" i="2" s="1"/>
  <c r="O1675" i="2" s="1"/>
  <c r="J1685" i="2"/>
  <c r="K1685" i="2" s="1"/>
  <c r="M1720" i="2"/>
  <c r="N1720" i="2" s="1"/>
  <c r="O1720" i="2" s="1"/>
  <c r="J1739" i="2"/>
  <c r="K1739" i="2" s="1"/>
  <c r="M1739" i="2" s="1"/>
  <c r="N1739" i="2" s="1"/>
  <c r="O1739" i="2" s="1"/>
  <c r="J1773" i="2"/>
  <c r="K1773" i="2" s="1"/>
  <c r="J1788" i="2"/>
  <c r="K1788" i="2" s="1"/>
  <c r="J1791" i="2"/>
  <c r="K1791" i="2" s="1"/>
  <c r="J1795" i="2"/>
  <c r="K1795" i="2" s="1"/>
  <c r="M1795" i="2" s="1"/>
  <c r="N1795" i="2" s="1"/>
  <c r="O1795" i="2" s="1"/>
  <c r="J1799" i="2"/>
  <c r="K1799" i="2" s="1"/>
  <c r="M1799" i="2" s="1"/>
  <c r="N1799" i="2" s="1"/>
  <c r="O1799" i="2" s="1"/>
  <c r="M1811" i="2"/>
  <c r="N1811" i="2" s="1"/>
  <c r="O1811" i="2" s="1"/>
  <c r="J1816" i="2"/>
  <c r="K1816" i="2" s="1"/>
  <c r="J1834" i="2"/>
  <c r="K1834" i="2" s="1"/>
  <c r="J1845" i="2"/>
  <c r="K1845" i="2" s="1"/>
  <c r="J1878" i="2"/>
  <c r="K1878" i="2" s="1"/>
  <c r="J1925" i="2"/>
  <c r="K1925" i="2" s="1"/>
  <c r="J1952" i="2"/>
  <c r="K1952" i="2" s="1"/>
  <c r="J1989" i="2"/>
  <c r="K1989" i="2" s="1"/>
  <c r="M1989" i="2" s="1"/>
  <c r="N1989" i="2" s="1"/>
  <c r="O1989" i="2" s="1"/>
  <c r="J2029" i="2"/>
  <c r="K2029" i="2" s="1"/>
  <c r="J2078" i="2"/>
  <c r="K2078" i="2" s="1"/>
  <c r="J2082" i="2"/>
  <c r="K2082" i="2" s="1"/>
  <c r="J2085" i="2"/>
  <c r="K2085" i="2" s="1"/>
  <c r="J2102" i="2"/>
  <c r="K2102" i="2" s="1"/>
  <c r="J2109" i="2"/>
  <c r="K2109" i="2" s="1"/>
  <c r="J2177" i="2"/>
  <c r="K2177" i="2" s="1"/>
  <c r="J2254" i="2"/>
  <c r="K2254" i="2" s="1"/>
  <c r="M2254" i="2" s="1"/>
  <c r="N2254" i="2" s="1"/>
  <c r="O2254" i="2" s="1"/>
  <c r="J1707" i="2"/>
  <c r="K1707" i="2" s="1"/>
  <c r="M1707" i="2" s="1"/>
  <c r="N1707" i="2" s="1"/>
  <c r="O1707" i="2" s="1"/>
  <c r="J1718" i="2"/>
  <c r="K1718" i="2" s="1"/>
  <c r="M1718" i="2" s="1"/>
  <c r="N1718" i="2" s="1"/>
  <c r="O1718" i="2" s="1"/>
  <c r="J1734" i="2"/>
  <c r="K1734" i="2" s="1"/>
  <c r="J1742" i="2"/>
  <c r="K1742" i="2" s="1"/>
  <c r="M1742" i="2" s="1"/>
  <c r="N1742" i="2" s="1"/>
  <c r="O1742" i="2" s="1"/>
  <c r="J1780" i="2"/>
  <c r="K1780" i="2" s="1"/>
  <c r="M1806" i="2"/>
  <c r="N1806" i="2" s="1"/>
  <c r="O1806" i="2" s="1"/>
  <c r="J1808" i="2"/>
  <c r="K1808" i="2" s="1"/>
  <c r="M1816" i="2"/>
  <c r="N1816" i="2" s="1"/>
  <c r="O1816" i="2" s="1"/>
  <c r="J1819" i="2"/>
  <c r="K1819" i="2" s="1"/>
  <c r="J1852" i="2"/>
  <c r="K1852" i="2" s="1"/>
  <c r="M1965" i="2"/>
  <c r="N1965" i="2" s="1"/>
  <c r="O1965" i="2" s="1"/>
  <c r="J1995" i="2"/>
  <c r="K1995" i="2" s="1"/>
  <c r="J2037" i="2"/>
  <c r="K2037" i="2" s="1"/>
  <c r="J2043" i="2"/>
  <c r="K2043" i="2" s="1"/>
  <c r="J2149" i="2"/>
  <c r="K2149" i="2" s="1"/>
  <c r="J2308" i="2"/>
  <c r="K2308" i="2" s="1"/>
  <c r="J1861" i="2"/>
  <c r="K1861" i="2" s="1"/>
  <c r="J1905" i="2"/>
  <c r="K1905" i="2" s="1"/>
  <c r="J1935" i="2"/>
  <c r="K1935" i="2" s="1"/>
  <c r="J1937" i="2"/>
  <c r="K1937" i="2" s="1"/>
  <c r="M1937" i="2" s="1"/>
  <c r="N1937" i="2" s="1"/>
  <c r="O1937" i="2" s="1"/>
  <c r="J1947" i="2"/>
  <c r="K1947" i="2" s="1"/>
  <c r="J2074" i="2"/>
  <c r="K2074" i="2" s="1"/>
  <c r="J2079" i="2"/>
  <c r="K2079" i="2" s="1"/>
  <c r="M2226" i="2"/>
  <c r="N2226" i="2" s="1"/>
  <c r="O2226" i="2" s="1"/>
  <c r="J1848" i="2"/>
  <c r="K1848" i="2" s="1"/>
  <c r="J1891" i="2"/>
  <c r="K1891" i="2" s="1"/>
  <c r="J1894" i="2"/>
  <c r="K1894" i="2" s="1"/>
  <c r="J1899" i="2"/>
  <c r="K1899" i="2" s="1"/>
  <c r="J1907" i="2"/>
  <c r="K1907" i="2" s="1"/>
  <c r="J1910" i="2"/>
  <c r="K1910" i="2" s="1"/>
  <c r="J1915" i="2"/>
  <c r="K1915" i="2" s="1"/>
  <c r="J1924" i="2"/>
  <c r="K1924" i="2" s="1"/>
  <c r="J1938" i="2"/>
  <c r="K1938" i="2" s="1"/>
  <c r="J1951" i="2"/>
  <c r="K1951" i="2" s="1"/>
  <c r="M1963" i="2"/>
  <c r="N1963" i="2" s="1"/>
  <c r="O1963" i="2" s="1"/>
  <c r="J2011" i="2"/>
  <c r="K2011" i="2" s="1"/>
  <c r="J2019" i="2"/>
  <c r="K2019" i="2" s="1"/>
  <c r="M2019" i="2" s="1"/>
  <c r="N2019" i="2" s="1"/>
  <c r="O2019" i="2" s="1"/>
  <c r="J2038" i="2"/>
  <c r="K2038" i="2" s="1"/>
  <c r="J2069" i="2"/>
  <c r="K2069" i="2" s="1"/>
  <c r="J2071" i="2"/>
  <c r="K2071" i="2" s="1"/>
  <c r="M2075" i="2"/>
  <c r="N2075" i="2" s="1"/>
  <c r="O2075" i="2" s="1"/>
  <c r="J2081" i="2"/>
  <c r="K2081" i="2" s="1"/>
  <c r="M2081" i="2" s="1"/>
  <c r="N2081" i="2" s="1"/>
  <c r="O2081" i="2" s="1"/>
  <c r="M2114" i="2"/>
  <c r="N2114" i="2" s="1"/>
  <c r="O2114" i="2" s="1"/>
  <c r="J2145" i="2"/>
  <c r="K2145" i="2" s="1"/>
  <c r="J2197" i="2"/>
  <c r="K2197" i="2" s="1"/>
  <c r="J2511" i="2"/>
  <c r="K2511" i="2" s="1"/>
  <c r="J1809" i="2"/>
  <c r="K1809" i="2" s="1"/>
  <c r="J1815" i="2"/>
  <c r="K1815" i="2" s="1"/>
  <c r="J1823" i="2"/>
  <c r="K1823" i="2" s="1"/>
  <c r="J1831" i="2"/>
  <c r="K1831" i="2" s="1"/>
  <c r="M1837" i="2"/>
  <c r="N1837" i="2" s="1"/>
  <c r="O1837" i="2" s="1"/>
  <c r="J1843" i="2"/>
  <c r="K1843" i="2" s="1"/>
  <c r="J1856" i="2"/>
  <c r="K1856" i="2" s="1"/>
  <c r="J1874" i="2"/>
  <c r="K1874" i="2" s="1"/>
  <c r="J1879" i="2"/>
  <c r="K1879" i="2" s="1"/>
  <c r="J1887" i="2"/>
  <c r="K1887" i="2" s="1"/>
  <c r="M1887" i="2" s="1"/>
  <c r="N1887" i="2" s="1"/>
  <c r="O1887" i="2" s="1"/>
  <c r="M1893" i="2"/>
  <c r="N1893" i="2" s="1"/>
  <c r="O1893" i="2" s="1"/>
  <c r="M1901" i="2"/>
  <c r="N1901" i="2" s="1"/>
  <c r="O1901" i="2" s="1"/>
  <c r="J1932" i="2"/>
  <c r="K1932" i="2" s="1"/>
  <c r="M1946" i="2"/>
  <c r="N1946" i="2" s="1"/>
  <c r="O1946" i="2" s="1"/>
  <c r="M1951" i="2"/>
  <c r="N1951" i="2" s="1"/>
  <c r="O1951" i="2" s="1"/>
  <c r="J1955" i="2"/>
  <c r="K1955" i="2" s="1"/>
  <c r="J1959" i="2"/>
  <c r="K1959" i="2" s="1"/>
  <c r="J1963" i="2"/>
  <c r="K1963" i="2" s="1"/>
  <c r="J1972" i="2"/>
  <c r="K1972" i="2" s="1"/>
  <c r="M1974" i="2"/>
  <c r="N1974" i="2" s="1"/>
  <c r="O1974" i="2" s="1"/>
  <c r="J2003" i="2"/>
  <c r="K2003" i="2" s="1"/>
  <c r="M2010" i="2"/>
  <c r="N2010" i="2" s="1"/>
  <c r="O2010" i="2" s="1"/>
  <c r="J2022" i="2"/>
  <c r="K2022" i="2" s="1"/>
  <c r="J2035" i="2"/>
  <c r="K2035" i="2" s="1"/>
  <c r="M2096" i="2"/>
  <c r="N2096" i="2" s="1"/>
  <c r="O2096" i="2" s="1"/>
  <c r="M2151" i="2"/>
  <c r="N2151" i="2" s="1"/>
  <c r="O2151" i="2" s="1"/>
  <c r="J2220" i="2"/>
  <c r="K2220" i="2" s="1"/>
  <c r="J2261" i="2"/>
  <c r="K2261" i="2" s="1"/>
  <c r="J2278" i="2"/>
  <c r="K2278" i="2" s="1"/>
  <c r="M2406" i="2"/>
  <c r="N2406" i="2" s="1"/>
  <c r="O2406" i="2" s="1"/>
  <c r="J2001" i="2"/>
  <c r="K2001" i="2" s="1"/>
  <c r="J2005" i="2"/>
  <c r="K2005" i="2" s="1"/>
  <c r="J2009" i="2"/>
  <c r="K2009" i="2" s="1"/>
  <c r="J2017" i="2"/>
  <c r="K2017" i="2" s="1"/>
  <c r="M2067" i="2"/>
  <c r="N2067" i="2" s="1"/>
  <c r="O2067" i="2" s="1"/>
  <c r="J2090" i="2"/>
  <c r="K2090" i="2" s="1"/>
  <c r="J2095" i="2"/>
  <c r="K2095" i="2" s="1"/>
  <c r="J2097" i="2"/>
  <c r="K2097" i="2" s="1"/>
  <c r="J2157" i="2"/>
  <c r="K2157" i="2" s="1"/>
  <c r="M2157" i="2" s="1"/>
  <c r="N2157" i="2" s="1"/>
  <c r="O2157" i="2" s="1"/>
  <c r="J2205" i="2"/>
  <c r="K2205" i="2" s="1"/>
  <c r="M2269" i="2"/>
  <c r="N2269" i="2" s="1"/>
  <c r="O2269" i="2" s="1"/>
  <c r="J2271" i="2"/>
  <c r="K2271" i="2" s="1"/>
  <c r="J1855" i="2"/>
  <c r="K1855" i="2" s="1"/>
  <c r="J1867" i="2"/>
  <c r="K1867" i="2" s="1"/>
  <c r="M1867" i="2" s="1"/>
  <c r="N1867" i="2" s="1"/>
  <c r="O1867" i="2" s="1"/>
  <c r="J1876" i="2"/>
  <c r="K1876" i="2" s="1"/>
  <c r="J1880" i="2"/>
  <c r="K1880" i="2" s="1"/>
  <c r="J1884" i="2"/>
  <c r="K1884" i="2" s="1"/>
  <c r="J1888" i="2"/>
  <c r="K1888" i="2" s="1"/>
  <c r="J1939" i="2"/>
  <c r="K1939" i="2" s="1"/>
  <c r="J1979" i="2"/>
  <c r="K1979" i="2" s="1"/>
  <c r="J2036" i="2"/>
  <c r="K2036" i="2" s="1"/>
  <c r="M2036" i="2" s="1"/>
  <c r="N2036" i="2" s="1"/>
  <c r="O2036" i="2" s="1"/>
  <c r="J2044" i="2"/>
  <c r="K2044" i="2" s="1"/>
  <c r="J2045" i="2"/>
  <c r="K2045" i="2" s="1"/>
  <c r="J2064" i="2"/>
  <c r="K2064" i="2" s="1"/>
  <c r="J2067" i="2"/>
  <c r="K2067" i="2" s="1"/>
  <c r="J2153" i="2"/>
  <c r="K2153" i="2" s="1"/>
  <c r="M2153" i="2" s="1"/>
  <c r="N2153" i="2" s="1"/>
  <c r="O2153" i="2" s="1"/>
  <c r="J2282" i="2"/>
  <c r="K2282" i="2" s="1"/>
  <c r="J1820" i="2"/>
  <c r="K1820" i="2" s="1"/>
  <c r="J1828" i="2"/>
  <c r="K1828" i="2" s="1"/>
  <c r="M1828" i="2" s="1"/>
  <c r="N1828" i="2" s="1"/>
  <c r="O1828" i="2" s="1"/>
  <c r="J1836" i="2"/>
  <c r="K1836" i="2" s="1"/>
  <c r="J1840" i="2"/>
  <c r="K1840" i="2" s="1"/>
  <c r="M1840" i="2" s="1"/>
  <c r="N1840" i="2" s="1"/>
  <c r="O1840" i="2" s="1"/>
  <c r="J1850" i="2"/>
  <c r="K1850" i="2" s="1"/>
  <c r="M1850" i="2" s="1"/>
  <c r="N1850" i="2" s="1"/>
  <c r="O1850" i="2" s="1"/>
  <c r="J1875" i="2"/>
  <c r="K1875" i="2" s="1"/>
  <c r="J1892" i="2"/>
  <c r="K1892" i="2" s="1"/>
  <c r="J1896" i="2"/>
  <c r="K1896" i="2" s="1"/>
  <c r="J1900" i="2"/>
  <c r="K1900" i="2" s="1"/>
  <c r="J1904" i="2"/>
  <c r="K1904" i="2" s="1"/>
  <c r="J1908" i="2"/>
  <c r="K1908" i="2" s="1"/>
  <c r="J1912" i="2"/>
  <c r="K1912" i="2" s="1"/>
  <c r="J1916" i="2"/>
  <c r="K1916" i="2" s="1"/>
  <c r="J1930" i="2"/>
  <c r="K1930" i="2" s="1"/>
  <c r="M1930" i="2" s="1"/>
  <c r="N1930" i="2" s="1"/>
  <c r="O1930" i="2" s="1"/>
  <c r="J1956" i="2"/>
  <c r="K1956" i="2" s="1"/>
  <c r="M1956" i="2" s="1"/>
  <c r="N1956" i="2" s="1"/>
  <c r="O1956" i="2" s="1"/>
  <c r="J1970" i="2"/>
  <c r="K1970" i="2" s="1"/>
  <c r="J1987" i="2"/>
  <c r="K1987" i="2" s="1"/>
  <c r="M1987" i="2" s="1"/>
  <c r="N1987" i="2" s="1"/>
  <c r="O1987" i="2" s="1"/>
  <c r="J1991" i="2"/>
  <c r="K1991" i="2" s="1"/>
  <c r="M2009" i="2"/>
  <c r="N2009" i="2" s="1"/>
  <c r="O2009" i="2" s="1"/>
  <c r="J2065" i="2"/>
  <c r="K2065" i="2" s="1"/>
  <c r="M2065" i="2" s="1"/>
  <c r="N2065" i="2" s="1"/>
  <c r="O2065" i="2" s="1"/>
  <c r="M2069" i="2"/>
  <c r="N2069" i="2" s="1"/>
  <c r="O2069" i="2" s="1"/>
  <c r="J2076" i="2"/>
  <c r="K2076" i="2" s="1"/>
  <c r="J2077" i="2"/>
  <c r="K2077" i="2" s="1"/>
  <c r="J2112" i="2"/>
  <c r="K2112" i="2" s="1"/>
  <c r="J2169" i="2"/>
  <c r="K2169" i="2" s="1"/>
  <c r="J2174" i="2"/>
  <c r="K2174" i="2" s="1"/>
  <c r="J2201" i="2"/>
  <c r="K2201" i="2" s="1"/>
  <c r="J2214" i="2"/>
  <c r="K2214" i="2" s="1"/>
  <c r="J2305" i="2"/>
  <c r="K2305" i="2" s="1"/>
  <c r="M2305" i="2" s="1"/>
  <c r="N2305" i="2" s="1"/>
  <c r="O2305" i="2" s="1"/>
  <c r="M2313" i="2"/>
  <c r="N2313" i="2" s="1"/>
  <c r="O2313" i="2" s="1"/>
  <c r="M2319" i="2"/>
  <c r="N2319" i="2" s="1"/>
  <c r="O2319" i="2" s="1"/>
  <c r="M2345" i="2"/>
  <c r="N2345" i="2" s="1"/>
  <c r="O2345" i="2" s="1"/>
  <c r="J2322" i="2"/>
  <c r="K2322" i="2" s="1"/>
  <c r="J2330" i="2"/>
  <c r="K2330" i="2" s="1"/>
  <c r="M2330" i="2" s="1"/>
  <c r="N2330" i="2" s="1"/>
  <c r="O2330" i="2" s="1"/>
  <c r="J2368" i="2"/>
  <c r="K2368" i="2" s="1"/>
  <c r="M2489" i="2"/>
  <c r="N2489" i="2" s="1"/>
  <c r="O2489" i="2" s="1"/>
  <c r="J2132" i="2"/>
  <c r="K2132" i="2" s="1"/>
  <c r="J2140" i="2"/>
  <c r="K2140" i="2" s="1"/>
  <c r="M2140" i="2" s="1"/>
  <c r="N2140" i="2" s="1"/>
  <c r="O2140" i="2" s="1"/>
  <c r="J2148" i="2"/>
  <c r="K2148" i="2" s="1"/>
  <c r="J2160" i="2"/>
  <c r="K2160" i="2" s="1"/>
  <c r="J2190" i="2"/>
  <c r="K2190" i="2" s="1"/>
  <c r="J2207" i="2"/>
  <c r="K2207" i="2" s="1"/>
  <c r="M2243" i="2"/>
  <c r="N2243" i="2" s="1"/>
  <c r="O2243" i="2" s="1"/>
  <c r="J2252" i="2"/>
  <c r="K2252" i="2" s="1"/>
  <c r="J2301" i="2"/>
  <c r="K2301" i="2" s="1"/>
  <c r="J2303" i="2"/>
  <c r="K2303" i="2" s="1"/>
  <c r="J2307" i="2"/>
  <c r="K2307" i="2" s="1"/>
  <c r="M2307" i="2" s="1"/>
  <c r="N2307" i="2" s="1"/>
  <c r="O2307" i="2" s="1"/>
  <c r="J2315" i="2"/>
  <c r="K2315" i="2" s="1"/>
  <c r="J2346" i="2"/>
  <c r="K2346" i="2" s="1"/>
  <c r="J2483" i="2"/>
  <c r="K2483" i="2" s="1"/>
  <c r="J2549" i="2"/>
  <c r="K2549" i="2" s="1"/>
  <c r="J2150" i="2"/>
  <c r="K2150" i="2" s="1"/>
  <c r="M2150" i="2" s="1"/>
  <c r="N2150" i="2" s="1"/>
  <c r="O2150" i="2" s="1"/>
  <c r="J2168" i="2"/>
  <c r="K2168" i="2" s="1"/>
  <c r="J2198" i="2"/>
  <c r="K2198" i="2" s="1"/>
  <c r="J2213" i="2"/>
  <c r="K2213" i="2" s="1"/>
  <c r="J2243" i="2"/>
  <c r="K2243" i="2" s="1"/>
  <c r="J2249" i="2"/>
  <c r="K2249" i="2" s="1"/>
  <c r="M2249" i="2" s="1"/>
  <c r="N2249" i="2" s="1"/>
  <c r="O2249" i="2" s="1"/>
  <c r="J2266" i="2"/>
  <c r="K2266" i="2" s="1"/>
  <c r="J2328" i="2"/>
  <c r="K2328" i="2" s="1"/>
  <c r="J2329" i="2"/>
  <c r="K2329" i="2" s="1"/>
  <c r="J2354" i="2"/>
  <c r="K2354" i="2" s="1"/>
  <c r="J2375" i="2"/>
  <c r="K2375" i="2" s="1"/>
  <c r="J2392" i="2"/>
  <c r="K2392" i="2" s="1"/>
  <c r="J2399" i="2"/>
  <c r="K2399" i="2" s="1"/>
  <c r="J2481" i="2"/>
  <c r="K2481" i="2" s="1"/>
  <c r="M2553" i="2"/>
  <c r="N2553" i="2" s="1"/>
  <c r="O2553" i="2" s="1"/>
  <c r="M2102" i="2"/>
  <c r="N2102" i="2" s="1"/>
  <c r="O2102" i="2" s="1"/>
  <c r="J2128" i="2"/>
  <c r="K2128" i="2" s="1"/>
  <c r="M2203" i="2"/>
  <c r="N2203" i="2" s="1"/>
  <c r="O2203" i="2" s="1"/>
  <c r="J2217" i="2"/>
  <c r="K2217" i="2" s="1"/>
  <c r="J2225" i="2"/>
  <c r="K2225" i="2" s="1"/>
  <c r="J2233" i="2"/>
  <c r="K2233" i="2" s="1"/>
  <c r="M2233" i="2" s="1"/>
  <c r="N2233" i="2" s="1"/>
  <c r="O2233" i="2" s="1"/>
  <c r="J2287" i="2"/>
  <c r="K2287" i="2" s="1"/>
  <c r="J2291" i="2"/>
  <c r="K2291" i="2" s="1"/>
  <c r="J2314" i="2"/>
  <c r="K2314" i="2" s="1"/>
  <c r="J2327" i="2"/>
  <c r="K2327" i="2" s="1"/>
  <c r="M2327" i="2" s="1"/>
  <c r="N2327" i="2" s="1"/>
  <c r="O2327" i="2" s="1"/>
  <c r="J2370" i="2"/>
  <c r="K2370" i="2" s="1"/>
  <c r="J2541" i="2"/>
  <c r="K2541" i="2" s="1"/>
  <c r="M2135" i="2"/>
  <c r="N2135" i="2" s="1"/>
  <c r="O2135" i="2" s="1"/>
  <c r="J2138" i="2"/>
  <c r="K2138" i="2" s="1"/>
  <c r="J2176" i="2"/>
  <c r="K2176" i="2" s="1"/>
  <c r="M2241" i="2"/>
  <c r="N2241" i="2" s="1"/>
  <c r="O2241" i="2" s="1"/>
  <c r="J2281" i="2"/>
  <c r="K2281" i="2" s="1"/>
  <c r="J2284" i="2"/>
  <c r="K2284" i="2" s="1"/>
  <c r="J2296" i="2"/>
  <c r="K2296" i="2" s="1"/>
  <c r="J2297" i="2"/>
  <c r="K2297" i="2" s="1"/>
  <c r="J2309" i="2"/>
  <c r="K2309" i="2" s="1"/>
  <c r="M2309" i="2" s="1"/>
  <c r="N2309" i="2" s="1"/>
  <c r="O2309" i="2" s="1"/>
  <c r="J2313" i="2"/>
  <c r="K2313" i="2" s="1"/>
  <c r="J2320" i="2"/>
  <c r="K2320" i="2" s="1"/>
  <c r="M2320" i="2" s="1"/>
  <c r="N2320" i="2" s="1"/>
  <c r="O2320" i="2" s="1"/>
  <c r="J2331" i="2"/>
  <c r="K2331" i="2" s="1"/>
  <c r="J2332" i="2"/>
  <c r="K2332" i="2" s="1"/>
  <c r="J2353" i="2"/>
  <c r="K2353" i="2" s="1"/>
  <c r="J2371" i="2"/>
  <c r="K2371" i="2" s="1"/>
  <c r="J2372" i="2"/>
  <c r="K2372" i="2" s="1"/>
  <c r="J2380" i="2"/>
  <c r="K2380" i="2" s="1"/>
  <c r="J2390" i="2"/>
  <c r="K2390" i="2" s="1"/>
  <c r="M2390" i="2" s="1"/>
  <c r="N2390" i="2" s="1"/>
  <c r="O2390" i="2" s="1"/>
  <c r="J2425" i="2"/>
  <c r="K2425" i="2" s="1"/>
  <c r="M2425" i="2" s="1"/>
  <c r="N2425" i="2" s="1"/>
  <c r="O2425" i="2" s="1"/>
  <c r="J2495" i="2"/>
  <c r="K2495" i="2" s="1"/>
  <c r="J2260" i="2"/>
  <c r="K2260" i="2" s="1"/>
  <c r="J2265" i="2"/>
  <c r="K2265" i="2" s="1"/>
  <c r="M2265" i="2" s="1"/>
  <c r="N2265" i="2" s="1"/>
  <c r="O2265" i="2" s="1"/>
  <c r="J2285" i="2"/>
  <c r="K2285" i="2" s="1"/>
  <c r="J2288" i="2"/>
  <c r="K2288" i="2" s="1"/>
  <c r="J2323" i="2"/>
  <c r="K2323" i="2" s="1"/>
  <c r="J2333" i="2"/>
  <c r="K2333" i="2" s="1"/>
  <c r="M2333" i="2" s="1"/>
  <c r="N2333" i="2" s="1"/>
  <c r="O2333" i="2" s="1"/>
  <c r="J2335" i="2"/>
  <c r="K2335" i="2" s="1"/>
  <c r="J2339" i="2"/>
  <c r="K2339" i="2" s="1"/>
  <c r="J2347" i="2"/>
  <c r="K2347" i="2" s="1"/>
  <c r="J2363" i="2"/>
  <c r="K2363" i="2" s="1"/>
  <c r="J2365" i="2"/>
  <c r="K2365" i="2" s="1"/>
  <c r="J2381" i="2"/>
  <c r="K2381" i="2" s="1"/>
  <c r="J2386" i="2"/>
  <c r="K2386" i="2" s="1"/>
  <c r="J2420" i="2"/>
  <c r="K2420" i="2" s="1"/>
  <c r="M2449" i="2"/>
  <c r="N2449" i="2" s="1"/>
  <c r="O2449" i="2" s="1"/>
  <c r="J2457" i="2"/>
  <c r="K2457" i="2" s="1"/>
  <c r="J2473" i="2"/>
  <c r="K2473" i="2" s="1"/>
  <c r="M2508" i="2"/>
  <c r="N2508" i="2" s="1"/>
  <c r="O2508" i="2" s="1"/>
  <c r="M2547" i="2"/>
  <c r="N2547" i="2" s="1"/>
  <c r="O2547" i="2" s="1"/>
  <c r="J2573" i="2"/>
  <c r="K2573" i="2" s="1"/>
  <c r="M2577" i="2"/>
  <c r="N2577" i="2" s="1"/>
  <c r="O2577" i="2" s="1"/>
  <c r="M2595" i="2"/>
  <c r="N2595" i="2" s="1"/>
  <c r="O2595" i="2" s="1"/>
  <c r="J2289" i="2"/>
  <c r="K2289" i="2" s="1"/>
  <c r="M2289" i="2" s="1"/>
  <c r="N2289" i="2" s="1"/>
  <c r="O2289" i="2" s="1"/>
  <c r="J2318" i="2"/>
  <c r="K2318" i="2" s="1"/>
  <c r="J2337" i="2"/>
  <c r="K2337" i="2" s="1"/>
  <c r="J2342" i="2"/>
  <c r="K2342" i="2" s="1"/>
  <c r="M2342" i="2" s="1"/>
  <c r="N2342" i="2" s="1"/>
  <c r="O2342" i="2" s="1"/>
  <c r="J2348" i="2"/>
  <c r="K2348" i="2" s="1"/>
  <c r="J2352" i="2"/>
  <c r="K2352" i="2" s="1"/>
  <c r="J2369" i="2"/>
  <c r="K2369" i="2" s="1"/>
  <c r="J2387" i="2"/>
  <c r="K2387" i="2" s="1"/>
  <c r="J2388" i="2"/>
  <c r="K2388" i="2" s="1"/>
  <c r="M2408" i="2"/>
  <c r="N2408" i="2" s="1"/>
  <c r="O2408" i="2" s="1"/>
  <c r="J2438" i="2"/>
  <c r="K2438" i="2" s="1"/>
  <c r="J2444" i="2"/>
  <c r="K2444" i="2" s="1"/>
  <c r="J2452" i="2"/>
  <c r="K2452" i="2" s="1"/>
  <c r="J2485" i="2"/>
  <c r="K2485" i="2" s="1"/>
  <c r="J2521" i="2"/>
  <c r="K2521" i="2" s="1"/>
  <c r="M2525" i="2"/>
  <c r="N2525" i="2" s="1"/>
  <c r="O2525" i="2" s="1"/>
  <c r="M2568" i="2"/>
  <c r="N2568" i="2" s="1"/>
  <c r="O2568" i="2" s="1"/>
  <c r="J2441" i="2"/>
  <c r="K2441" i="2" s="1"/>
  <c r="J2455" i="2"/>
  <c r="K2455" i="2" s="1"/>
  <c r="M2455" i="2" s="1"/>
  <c r="N2455" i="2" s="1"/>
  <c r="O2455" i="2" s="1"/>
  <c r="J2486" i="2"/>
  <c r="K2486" i="2" s="1"/>
  <c r="J2508" i="2"/>
  <c r="K2508" i="2" s="1"/>
  <c r="J2550" i="2"/>
  <c r="K2550" i="2" s="1"/>
  <c r="J2580" i="2"/>
  <c r="K2580" i="2" s="1"/>
  <c r="J2591" i="2"/>
  <c r="K2591" i="2" s="1"/>
  <c r="J2621" i="2"/>
  <c r="K2621" i="2" s="1"/>
  <c r="J2624" i="2"/>
  <c r="K2624" i="2" s="1"/>
  <c r="M2637" i="2"/>
  <c r="N2637" i="2" s="1"/>
  <c r="O2637" i="2" s="1"/>
  <c r="J2673" i="2"/>
  <c r="K2673" i="2" s="1"/>
  <c r="J2355" i="2"/>
  <c r="K2355" i="2" s="1"/>
  <c r="J2357" i="2"/>
  <c r="K2357" i="2" s="1"/>
  <c r="M2357" i="2" s="1"/>
  <c r="N2357" i="2" s="1"/>
  <c r="O2357" i="2" s="1"/>
  <c r="J2362" i="2"/>
  <c r="K2362" i="2" s="1"/>
  <c r="J2367" i="2"/>
  <c r="K2367" i="2" s="1"/>
  <c r="J2393" i="2"/>
  <c r="K2393" i="2" s="1"/>
  <c r="M2393" i="2" s="1"/>
  <c r="N2393" i="2" s="1"/>
  <c r="O2393" i="2" s="1"/>
  <c r="J2397" i="2"/>
  <c r="K2397" i="2" s="1"/>
  <c r="J2404" i="2"/>
  <c r="K2404" i="2" s="1"/>
  <c r="J2417" i="2"/>
  <c r="K2417" i="2" s="1"/>
  <c r="J2423" i="2"/>
  <c r="K2423" i="2" s="1"/>
  <c r="J2471" i="2"/>
  <c r="K2471" i="2" s="1"/>
  <c r="J2482" i="2"/>
  <c r="K2482" i="2" s="1"/>
  <c r="J2488" i="2"/>
  <c r="K2488" i="2" s="1"/>
  <c r="J2510" i="2"/>
  <c r="K2510" i="2" s="1"/>
  <c r="J2532" i="2"/>
  <c r="K2532" i="2" s="1"/>
  <c r="J2546" i="2"/>
  <c r="K2546" i="2" s="1"/>
  <c r="J2588" i="2"/>
  <c r="K2588" i="2" s="1"/>
  <c r="J2633" i="2"/>
  <c r="K2633" i="2" s="1"/>
  <c r="J2664" i="2"/>
  <c r="K2664" i="2" s="1"/>
  <c r="J2675" i="2"/>
  <c r="K2675" i="2" s="1"/>
  <c r="M2675" i="2" s="1"/>
  <c r="N2675" i="2" s="1"/>
  <c r="O2675" i="2" s="1"/>
  <c r="J2408" i="2"/>
  <c r="K2408" i="2" s="1"/>
  <c r="J2409" i="2"/>
  <c r="K2409" i="2" s="1"/>
  <c r="M2409" i="2" s="1"/>
  <c r="N2409" i="2" s="1"/>
  <c r="O2409" i="2" s="1"/>
  <c r="J2411" i="2"/>
  <c r="K2411" i="2" s="1"/>
  <c r="J2414" i="2"/>
  <c r="K2414" i="2" s="1"/>
  <c r="J2421" i="2"/>
  <c r="K2421" i="2" s="1"/>
  <c r="J2439" i="2"/>
  <c r="K2439" i="2" s="1"/>
  <c r="M2439" i="2" s="1"/>
  <c r="N2439" i="2" s="1"/>
  <c r="O2439" i="2" s="1"/>
  <c r="J2445" i="2"/>
  <c r="K2445" i="2" s="1"/>
  <c r="J2453" i="2"/>
  <c r="K2453" i="2" s="1"/>
  <c r="J2459" i="2"/>
  <c r="K2459" i="2" s="1"/>
  <c r="J2465" i="2"/>
  <c r="K2465" i="2" s="1"/>
  <c r="M2465" i="2" s="1"/>
  <c r="N2465" i="2" s="1"/>
  <c r="O2465" i="2" s="1"/>
  <c r="J2470" i="2"/>
  <c r="K2470" i="2" s="1"/>
  <c r="J2475" i="2"/>
  <c r="K2475" i="2" s="1"/>
  <c r="J2487" i="2"/>
  <c r="K2487" i="2" s="1"/>
  <c r="J2491" i="2"/>
  <c r="K2491" i="2" s="1"/>
  <c r="J2509" i="2"/>
  <c r="K2509" i="2" s="1"/>
  <c r="J2515" i="2"/>
  <c r="K2515" i="2" s="1"/>
  <c r="J2536" i="2"/>
  <c r="K2536" i="2" s="1"/>
  <c r="J2539" i="2"/>
  <c r="K2539" i="2" s="1"/>
  <c r="J2540" i="2"/>
  <c r="K2540" i="2" s="1"/>
  <c r="J2545" i="2"/>
  <c r="K2545" i="2" s="1"/>
  <c r="M2561" i="2"/>
  <c r="N2561" i="2" s="1"/>
  <c r="O2561" i="2" s="1"/>
  <c r="J2564" i="2"/>
  <c r="K2564" i="2" s="1"/>
  <c r="J2594" i="2"/>
  <c r="K2594" i="2" s="1"/>
  <c r="J2604" i="2"/>
  <c r="K2604" i="2" s="1"/>
  <c r="J2607" i="2"/>
  <c r="K2607" i="2" s="1"/>
  <c r="M2613" i="2"/>
  <c r="N2613" i="2" s="1"/>
  <c r="O2613" i="2" s="1"/>
  <c r="J2630" i="2"/>
  <c r="K2630" i="2" s="1"/>
  <c r="J2731" i="2"/>
  <c r="K2731" i="2" s="1"/>
  <c r="J2385" i="2"/>
  <c r="K2385" i="2" s="1"/>
  <c r="M2385" i="2" s="1"/>
  <c r="N2385" i="2" s="1"/>
  <c r="O2385" i="2" s="1"/>
  <c r="J2413" i="2"/>
  <c r="K2413" i="2" s="1"/>
  <c r="J2415" i="2"/>
  <c r="K2415" i="2" s="1"/>
  <c r="J2427" i="2"/>
  <c r="K2427" i="2" s="1"/>
  <c r="J2433" i="2"/>
  <c r="K2433" i="2" s="1"/>
  <c r="J2451" i="2"/>
  <c r="K2451" i="2" s="1"/>
  <c r="J2464" i="2"/>
  <c r="K2464" i="2" s="1"/>
  <c r="J2516" i="2"/>
  <c r="K2516" i="2" s="1"/>
  <c r="J2544" i="2"/>
  <c r="K2544" i="2" s="1"/>
  <c r="J2582" i="2"/>
  <c r="K2582" i="2" s="1"/>
  <c r="M3016" i="2"/>
  <c r="N3016" i="2" s="1"/>
  <c r="O3016" i="2" s="1"/>
  <c r="J2376" i="2"/>
  <c r="K2376" i="2" s="1"/>
  <c r="M2376" i="2" s="1"/>
  <c r="N2376" i="2" s="1"/>
  <c r="O2376" i="2" s="1"/>
  <c r="J2377" i="2"/>
  <c r="K2377" i="2" s="1"/>
  <c r="J2379" i="2"/>
  <c r="K2379" i="2" s="1"/>
  <c r="M2379" i="2" s="1"/>
  <c r="N2379" i="2" s="1"/>
  <c r="O2379" i="2" s="1"/>
  <c r="J2389" i="2"/>
  <c r="K2389" i="2" s="1"/>
  <c r="J2391" i="2"/>
  <c r="K2391" i="2" s="1"/>
  <c r="J2401" i="2"/>
  <c r="K2401" i="2" s="1"/>
  <c r="J2403" i="2"/>
  <c r="K2403" i="2" s="1"/>
  <c r="J2407" i="2"/>
  <c r="K2407" i="2" s="1"/>
  <c r="J2432" i="2"/>
  <c r="K2432" i="2" s="1"/>
  <c r="M2457" i="2"/>
  <c r="N2457" i="2" s="1"/>
  <c r="O2457" i="2" s="1"/>
  <c r="J2460" i="2"/>
  <c r="K2460" i="2" s="1"/>
  <c r="J2469" i="2"/>
  <c r="K2469" i="2" s="1"/>
  <c r="M2477" i="2"/>
  <c r="N2477" i="2" s="1"/>
  <c r="O2477" i="2" s="1"/>
  <c r="J2480" i="2"/>
  <c r="K2480" i="2" s="1"/>
  <c r="M2480" i="2" s="1"/>
  <c r="N2480" i="2" s="1"/>
  <c r="O2480" i="2" s="1"/>
  <c r="M2493" i="2"/>
  <c r="N2493" i="2" s="1"/>
  <c r="O2493" i="2" s="1"/>
  <c r="J2494" i="2"/>
  <c r="K2494" i="2" s="1"/>
  <c r="M2497" i="2"/>
  <c r="N2497" i="2" s="1"/>
  <c r="O2497" i="2" s="1"/>
  <c r="J2524" i="2"/>
  <c r="K2524" i="2" s="1"/>
  <c r="M2524" i="2" s="1"/>
  <c r="N2524" i="2" s="1"/>
  <c r="O2524" i="2" s="1"/>
  <c r="M2533" i="2"/>
  <c r="N2533" i="2" s="1"/>
  <c r="O2533" i="2" s="1"/>
  <c r="J2542" i="2"/>
  <c r="K2542" i="2" s="1"/>
  <c r="M2545" i="2"/>
  <c r="N2545" i="2" s="1"/>
  <c r="O2545" i="2" s="1"/>
  <c r="J2568" i="2"/>
  <c r="K2568" i="2" s="1"/>
  <c r="J2572" i="2"/>
  <c r="K2572" i="2" s="1"/>
  <c r="J2578" i="2"/>
  <c r="K2578" i="2" s="1"/>
  <c r="J2601" i="2"/>
  <c r="K2601" i="2" s="1"/>
  <c r="M2559" i="2"/>
  <c r="N2559" i="2" s="1"/>
  <c r="O2559" i="2" s="1"/>
  <c r="M2565" i="2"/>
  <c r="N2565" i="2" s="1"/>
  <c r="O2565" i="2" s="1"/>
  <c r="M2586" i="2"/>
  <c r="N2586" i="2" s="1"/>
  <c r="O2586" i="2" s="1"/>
  <c r="J2592" i="2"/>
  <c r="K2592" i="2" s="1"/>
  <c r="J2610" i="2"/>
  <c r="K2610" i="2" s="1"/>
  <c r="J2616" i="2"/>
  <c r="K2616" i="2" s="1"/>
  <c r="M2616" i="2" s="1"/>
  <c r="N2616" i="2" s="1"/>
  <c r="O2616" i="2" s="1"/>
  <c r="J2625" i="2"/>
  <c r="K2625" i="2" s="1"/>
  <c r="M2625" i="2" s="1"/>
  <c r="N2625" i="2" s="1"/>
  <c r="O2625" i="2" s="1"/>
  <c r="M2629" i="2"/>
  <c r="N2629" i="2" s="1"/>
  <c r="O2629" i="2" s="1"/>
  <c r="J2648" i="2"/>
  <c r="K2648" i="2" s="1"/>
  <c r="M2648" i="2" s="1"/>
  <c r="N2648" i="2" s="1"/>
  <c r="O2648" i="2" s="1"/>
  <c r="M2650" i="2"/>
  <c r="N2650" i="2" s="1"/>
  <c r="O2650" i="2" s="1"/>
  <c r="J2656" i="2"/>
  <c r="K2656" i="2" s="1"/>
  <c r="M2672" i="2"/>
  <c r="N2672" i="2" s="1"/>
  <c r="O2672" i="2" s="1"/>
  <c r="J2677" i="2"/>
  <c r="K2677" i="2" s="1"/>
  <c r="M2677" i="2" s="1"/>
  <c r="N2677" i="2" s="1"/>
  <c r="O2677" i="2" s="1"/>
  <c r="J2678" i="2"/>
  <c r="K2678" i="2" s="1"/>
  <c r="M2678" i="2" s="1"/>
  <c r="N2678" i="2" s="1"/>
  <c r="O2678" i="2" s="1"/>
  <c r="J2692" i="2"/>
  <c r="K2692" i="2" s="1"/>
  <c r="J2693" i="2"/>
  <c r="K2693" i="2" s="1"/>
  <c r="M2695" i="2"/>
  <c r="N2695" i="2" s="1"/>
  <c r="O2695" i="2" s="1"/>
  <c r="J2704" i="2"/>
  <c r="K2704" i="2" s="1"/>
  <c r="M2704" i="2" s="1"/>
  <c r="N2704" i="2" s="1"/>
  <c r="O2704" i="2" s="1"/>
  <c r="M2708" i="2"/>
  <c r="N2708" i="2" s="1"/>
  <c r="O2708" i="2" s="1"/>
  <c r="J2712" i="2"/>
  <c r="K2712" i="2" s="1"/>
  <c r="M2712" i="2" s="1"/>
  <c r="N2712" i="2" s="1"/>
  <c r="O2712" i="2" s="1"/>
  <c r="J2714" i="2"/>
  <c r="K2714" i="2" s="1"/>
  <c r="J2716" i="2"/>
  <c r="K2716" i="2" s="1"/>
  <c r="J2722" i="2"/>
  <c r="K2722" i="2" s="1"/>
  <c r="J2732" i="2"/>
  <c r="K2732" i="2" s="1"/>
  <c r="J2738" i="2"/>
  <c r="K2738" i="2" s="1"/>
  <c r="J2794" i="2"/>
  <c r="K2794" i="2" s="1"/>
  <c r="J2843" i="2"/>
  <c r="K2843" i="2" s="1"/>
  <c r="M2843" i="2" s="1"/>
  <c r="N2843" i="2" s="1"/>
  <c r="O2843" i="2" s="1"/>
  <c r="J2877" i="2"/>
  <c r="K2877" i="2" s="1"/>
  <c r="J2632" i="2"/>
  <c r="K2632" i="2" s="1"/>
  <c r="J2663" i="2"/>
  <c r="K2663" i="2" s="1"/>
  <c r="M2663" i="2" s="1"/>
  <c r="N2663" i="2" s="1"/>
  <c r="O2663" i="2" s="1"/>
  <c r="J2672" i="2"/>
  <c r="K2672" i="2" s="1"/>
  <c r="M2674" i="2"/>
  <c r="N2674" i="2" s="1"/>
  <c r="O2674" i="2" s="1"/>
  <c r="J2681" i="2"/>
  <c r="K2681" i="2" s="1"/>
  <c r="M2681" i="2" s="1"/>
  <c r="N2681" i="2" s="1"/>
  <c r="O2681" i="2" s="1"/>
  <c r="J2695" i="2"/>
  <c r="K2695" i="2" s="1"/>
  <c r="J2700" i="2"/>
  <c r="K2700" i="2" s="1"/>
  <c r="J2737" i="2"/>
  <c r="K2737" i="2" s="1"/>
  <c r="M2743" i="2"/>
  <c r="N2743" i="2" s="1"/>
  <c r="O2743" i="2" s="1"/>
  <c r="J2746" i="2"/>
  <c r="K2746" i="2" s="1"/>
  <c r="J2761" i="2"/>
  <c r="K2761" i="2" s="1"/>
  <c r="M2767" i="2"/>
  <c r="N2767" i="2" s="1"/>
  <c r="O2767" i="2" s="1"/>
  <c r="J2770" i="2"/>
  <c r="K2770" i="2" s="1"/>
  <c r="J2801" i="2"/>
  <c r="K2801" i="2" s="1"/>
  <c r="M2916" i="2"/>
  <c r="N2916" i="2" s="1"/>
  <c r="O2916" i="2" s="1"/>
  <c r="J2942" i="2"/>
  <c r="K2942" i="2" s="1"/>
  <c r="J3005" i="2"/>
  <c r="K3005" i="2" s="1"/>
  <c r="J2643" i="2"/>
  <c r="K2643" i="2" s="1"/>
  <c r="J2645" i="2"/>
  <c r="K2645" i="2" s="1"/>
  <c r="J2646" i="2"/>
  <c r="K2646" i="2" s="1"/>
  <c r="J2651" i="2"/>
  <c r="K2651" i="2" s="1"/>
  <c r="J2659" i="2"/>
  <c r="K2659" i="2" s="1"/>
  <c r="J2676" i="2"/>
  <c r="K2676" i="2" s="1"/>
  <c r="J2682" i="2"/>
  <c r="K2682" i="2" s="1"/>
  <c r="M2682" i="2" s="1"/>
  <c r="N2682" i="2" s="1"/>
  <c r="O2682" i="2" s="1"/>
  <c r="J2685" i="2"/>
  <c r="K2685" i="2" s="1"/>
  <c r="J2686" i="2"/>
  <c r="K2686" i="2" s="1"/>
  <c r="J2696" i="2"/>
  <c r="K2696" i="2" s="1"/>
  <c r="J2710" i="2"/>
  <c r="K2710" i="2" s="1"/>
  <c r="J2718" i="2"/>
  <c r="K2718" i="2" s="1"/>
  <c r="J2721" i="2"/>
  <c r="K2721" i="2" s="1"/>
  <c r="J2726" i="2"/>
  <c r="K2726" i="2" s="1"/>
  <c r="J2750" i="2"/>
  <c r="K2750" i="2" s="1"/>
  <c r="M2757" i="2"/>
  <c r="N2757" i="2" s="1"/>
  <c r="O2757" i="2" s="1"/>
  <c r="J2778" i="2"/>
  <c r="K2778" i="2" s="1"/>
  <c r="M2778" i="2" s="1"/>
  <c r="N2778" i="2" s="1"/>
  <c r="O2778" i="2" s="1"/>
  <c r="J2815" i="2"/>
  <c r="K2815" i="2" s="1"/>
  <c r="J2974" i="2"/>
  <c r="K2974" i="2" s="1"/>
  <c r="M2974" i="2" s="1"/>
  <c r="N2974" i="2" s="1"/>
  <c r="O2974" i="2" s="1"/>
  <c r="J2623" i="2"/>
  <c r="K2623" i="2" s="1"/>
  <c r="M2623" i="2" s="1"/>
  <c r="N2623" i="2" s="1"/>
  <c r="O2623" i="2" s="1"/>
  <c r="J2631" i="2"/>
  <c r="K2631" i="2" s="1"/>
  <c r="J2653" i="2"/>
  <c r="K2653" i="2" s="1"/>
  <c r="J2654" i="2"/>
  <c r="K2654" i="2" s="1"/>
  <c r="M2654" i="2" s="1"/>
  <c r="N2654" i="2" s="1"/>
  <c r="O2654" i="2" s="1"/>
  <c r="J2662" i="2"/>
  <c r="K2662" i="2" s="1"/>
  <c r="J2689" i="2"/>
  <c r="K2689" i="2" s="1"/>
  <c r="J2702" i="2"/>
  <c r="K2702" i="2" s="1"/>
  <c r="J2720" i="2"/>
  <c r="K2720" i="2" s="1"/>
  <c r="M2733" i="2"/>
  <c r="N2733" i="2" s="1"/>
  <c r="O2733" i="2" s="1"/>
  <c r="J2736" i="2"/>
  <c r="K2736" i="2" s="1"/>
  <c r="J2754" i="2"/>
  <c r="K2754" i="2" s="1"/>
  <c r="M2754" i="2" s="1"/>
  <c r="N2754" i="2" s="1"/>
  <c r="O2754" i="2" s="1"/>
  <c r="J2760" i="2"/>
  <c r="K2760" i="2" s="1"/>
  <c r="J2772" i="2"/>
  <c r="K2772" i="2" s="1"/>
  <c r="J2788" i="2"/>
  <c r="K2788" i="2" s="1"/>
  <c r="J2790" i="2"/>
  <c r="K2790" i="2" s="1"/>
  <c r="J2809" i="2"/>
  <c r="K2809" i="2" s="1"/>
  <c r="M2813" i="2"/>
  <c r="N2813" i="2" s="1"/>
  <c r="O2813" i="2" s="1"/>
  <c r="J2867" i="2"/>
  <c r="K2867" i="2" s="1"/>
  <c r="J2873" i="2"/>
  <c r="K2873" i="2" s="1"/>
  <c r="M2873" i="2" s="1"/>
  <c r="N2873" i="2" s="1"/>
  <c r="O2873" i="2" s="1"/>
  <c r="M3009" i="2"/>
  <c r="N3009" i="2" s="1"/>
  <c r="O3009" i="2" s="1"/>
  <c r="M2587" i="2"/>
  <c r="N2587" i="2" s="1"/>
  <c r="O2587" i="2" s="1"/>
  <c r="M2609" i="2"/>
  <c r="N2609" i="2" s="1"/>
  <c r="O2609" i="2" s="1"/>
  <c r="J2614" i="2"/>
  <c r="K2614" i="2" s="1"/>
  <c r="M2633" i="2"/>
  <c r="N2633" i="2" s="1"/>
  <c r="O2633" i="2" s="1"/>
  <c r="J2638" i="2"/>
  <c r="K2638" i="2" s="1"/>
  <c r="J2649" i="2"/>
  <c r="K2649" i="2" s="1"/>
  <c r="J2657" i="2"/>
  <c r="K2657" i="2" s="1"/>
  <c r="M2667" i="2"/>
  <c r="N2667" i="2" s="1"/>
  <c r="O2667" i="2" s="1"/>
  <c r="J2669" i="2"/>
  <c r="K2669" i="2" s="1"/>
  <c r="M2669" i="2" s="1"/>
  <c r="N2669" i="2" s="1"/>
  <c r="O2669" i="2" s="1"/>
  <c r="J2670" i="2"/>
  <c r="K2670" i="2" s="1"/>
  <c r="J2680" i="2"/>
  <c r="K2680" i="2" s="1"/>
  <c r="J2697" i="2"/>
  <c r="K2697" i="2" s="1"/>
  <c r="J2745" i="2"/>
  <c r="K2745" i="2" s="1"/>
  <c r="M2762" i="2"/>
  <c r="N2762" i="2" s="1"/>
  <c r="O2762" i="2" s="1"/>
  <c r="J2769" i="2"/>
  <c r="K2769" i="2" s="1"/>
  <c r="M2769" i="2" s="1"/>
  <c r="N2769" i="2" s="1"/>
  <c r="O2769" i="2" s="1"/>
  <c r="J2887" i="2"/>
  <c r="K2887" i="2" s="1"/>
  <c r="M2887" i="2" s="1"/>
  <c r="N2887" i="2" s="1"/>
  <c r="O2887" i="2" s="1"/>
  <c r="J2902" i="2"/>
  <c r="K2902" i="2" s="1"/>
  <c r="M2902" i="2" s="1"/>
  <c r="N2902" i="2" s="1"/>
  <c r="O2902" i="2" s="1"/>
  <c r="J2939" i="2"/>
  <c r="K2939" i="2" s="1"/>
  <c r="J2955" i="2"/>
  <c r="K2955" i="2" s="1"/>
  <c r="J2690" i="2"/>
  <c r="K2690" i="2" s="1"/>
  <c r="M2693" i="2"/>
  <c r="N2693" i="2" s="1"/>
  <c r="O2693" i="2" s="1"/>
  <c r="M2699" i="2"/>
  <c r="N2699" i="2" s="1"/>
  <c r="O2699" i="2" s="1"/>
  <c r="J2734" i="2"/>
  <c r="K2734" i="2" s="1"/>
  <c r="J2758" i="2"/>
  <c r="K2758" i="2" s="1"/>
  <c r="J2827" i="2"/>
  <c r="K2827" i="2" s="1"/>
  <c r="J2829" i="2"/>
  <c r="K2829" i="2" s="1"/>
  <c r="M2875" i="2"/>
  <c r="N2875" i="2" s="1"/>
  <c r="O2875" i="2" s="1"/>
  <c r="J2786" i="2"/>
  <c r="K2786" i="2" s="1"/>
  <c r="M2786" i="2" s="1"/>
  <c r="N2786" i="2" s="1"/>
  <c r="O2786" i="2" s="1"/>
  <c r="M2797" i="2"/>
  <c r="N2797" i="2" s="1"/>
  <c r="O2797" i="2" s="1"/>
  <c r="J2805" i="2"/>
  <c r="K2805" i="2" s="1"/>
  <c r="J2806" i="2"/>
  <c r="K2806" i="2" s="1"/>
  <c r="M2833" i="2"/>
  <c r="N2833" i="2" s="1"/>
  <c r="O2833" i="2" s="1"/>
  <c r="J2852" i="2"/>
  <c r="K2852" i="2" s="1"/>
  <c r="M2852" i="2" s="1"/>
  <c r="N2852" i="2" s="1"/>
  <c r="O2852" i="2" s="1"/>
  <c r="J2878" i="2"/>
  <c r="K2878" i="2" s="1"/>
  <c r="M2878" i="2" s="1"/>
  <c r="N2878" i="2" s="1"/>
  <c r="O2878" i="2" s="1"/>
  <c r="J2898" i="2"/>
  <c r="K2898" i="2" s="1"/>
  <c r="M2907" i="2"/>
  <c r="N2907" i="2" s="1"/>
  <c r="O2907" i="2" s="1"/>
  <c r="J2922" i="2"/>
  <c r="K2922" i="2" s="1"/>
  <c r="J2946" i="2"/>
  <c r="K2946" i="2" s="1"/>
  <c r="J2956" i="2"/>
  <c r="K2956" i="2" s="1"/>
  <c r="M2956" i="2" s="1"/>
  <c r="N2956" i="2" s="1"/>
  <c r="O2956" i="2" s="1"/>
  <c r="J2961" i="2"/>
  <c r="K2961" i="2" s="1"/>
  <c r="J3034" i="2"/>
  <c r="K3034" i="2" s="1"/>
  <c r="M3034" i="2" s="1"/>
  <c r="N3034" i="2" s="1"/>
  <c r="O3034" i="2" s="1"/>
  <c r="J3080" i="2"/>
  <c r="K3080" i="2" s="1"/>
  <c r="M3161" i="2"/>
  <c r="N3161" i="2" s="1"/>
  <c r="O3161" i="2" s="1"/>
  <c r="J2799" i="2"/>
  <c r="K2799" i="2" s="1"/>
  <c r="J2894" i="2"/>
  <c r="K2894" i="2" s="1"/>
  <c r="J2904" i="2"/>
  <c r="K2904" i="2" s="1"/>
  <c r="M2904" i="2" s="1"/>
  <c r="N2904" i="2" s="1"/>
  <c r="O2904" i="2" s="1"/>
  <c r="J2910" i="2"/>
  <c r="K2910" i="2" s="1"/>
  <c r="J2926" i="2"/>
  <c r="K2926" i="2" s="1"/>
  <c r="J2936" i="2"/>
  <c r="K2936" i="2" s="1"/>
  <c r="J2968" i="2"/>
  <c r="K2968" i="2" s="1"/>
  <c r="J2973" i="2"/>
  <c r="K2973" i="2" s="1"/>
  <c r="J2978" i="2"/>
  <c r="K2978" i="2" s="1"/>
  <c r="J2991" i="2"/>
  <c r="K2991" i="2" s="1"/>
  <c r="J2996" i="2"/>
  <c r="K2996" i="2" s="1"/>
  <c r="M2996" i="2" s="1"/>
  <c r="N2996" i="2" s="1"/>
  <c r="O2996" i="2" s="1"/>
  <c r="J2999" i="2"/>
  <c r="K2999" i="2" s="1"/>
  <c r="J3027" i="2"/>
  <c r="K3027" i="2" s="1"/>
  <c r="J3031" i="2"/>
  <c r="K3031" i="2" s="1"/>
  <c r="J3035" i="2"/>
  <c r="K3035" i="2" s="1"/>
  <c r="J3134" i="2"/>
  <c r="K3134" i="2" s="1"/>
  <c r="J2780" i="2"/>
  <c r="K2780" i="2" s="1"/>
  <c r="M2780" i="2" s="1"/>
  <c r="N2780" i="2" s="1"/>
  <c r="O2780" i="2" s="1"/>
  <c r="J2828" i="2"/>
  <c r="K2828" i="2" s="1"/>
  <c r="J2840" i="2"/>
  <c r="K2840" i="2" s="1"/>
  <c r="M2840" i="2" s="1"/>
  <c r="N2840" i="2" s="1"/>
  <c r="O2840" i="2" s="1"/>
  <c r="J2844" i="2"/>
  <c r="K2844" i="2" s="1"/>
  <c r="J2860" i="2"/>
  <c r="K2860" i="2" s="1"/>
  <c r="M2871" i="2"/>
  <c r="N2871" i="2" s="1"/>
  <c r="O2871" i="2" s="1"/>
  <c r="J2886" i="2"/>
  <c r="K2886" i="2" s="1"/>
  <c r="J2941" i="2"/>
  <c r="K2941" i="2" s="1"/>
  <c r="J2950" i="2"/>
  <c r="K2950" i="2" s="1"/>
  <c r="J2969" i="2"/>
  <c r="K2969" i="2" s="1"/>
  <c r="J2985" i="2"/>
  <c r="K2985" i="2" s="1"/>
  <c r="M2985" i="2" s="1"/>
  <c r="N2985" i="2" s="1"/>
  <c r="O2985" i="2" s="1"/>
  <c r="J2998" i="2"/>
  <c r="K2998" i="2" s="1"/>
  <c r="M2998" i="2" s="1"/>
  <c r="N2998" i="2" s="1"/>
  <c r="O2998" i="2" s="1"/>
  <c r="J3041" i="2"/>
  <c r="K3041" i="2" s="1"/>
  <c r="M3041" i="2" s="1"/>
  <c r="N3041" i="2" s="1"/>
  <c r="O3041" i="2" s="1"/>
  <c r="J3056" i="2"/>
  <c r="K3056" i="2" s="1"/>
  <c r="J3061" i="2"/>
  <c r="K3061" i="2" s="1"/>
  <c r="J3108" i="2"/>
  <c r="K3108" i="2" s="1"/>
  <c r="M3149" i="2"/>
  <c r="N3149" i="2" s="1"/>
  <c r="O3149" i="2" s="1"/>
  <c r="J3156" i="2"/>
  <c r="K3156" i="2" s="1"/>
  <c r="M3156" i="2" s="1"/>
  <c r="N3156" i="2" s="1"/>
  <c r="O3156" i="2" s="1"/>
  <c r="J3186" i="2"/>
  <c r="K3186" i="2" s="1"/>
  <c r="J2839" i="2"/>
  <c r="K2839" i="2" s="1"/>
  <c r="J2859" i="2"/>
  <c r="K2859" i="2" s="1"/>
  <c r="J2890" i="2"/>
  <c r="K2890" i="2" s="1"/>
  <c r="J2912" i="2"/>
  <c r="K2912" i="2" s="1"/>
  <c r="M2912" i="2" s="1"/>
  <c r="N2912" i="2" s="1"/>
  <c r="O2912" i="2" s="1"/>
  <c r="J2914" i="2"/>
  <c r="K2914" i="2" s="1"/>
  <c r="J2921" i="2"/>
  <c r="K2921" i="2" s="1"/>
  <c r="J2954" i="2"/>
  <c r="K2954" i="2" s="1"/>
  <c r="M2954" i="2" s="1"/>
  <c r="N2954" i="2" s="1"/>
  <c r="O2954" i="2" s="1"/>
  <c r="J2958" i="2"/>
  <c r="K2958" i="2" s="1"/>
  <c r="J3015" i="2"/>
  <c r="K3015" i="2" s="1"/>
  <c r="J2807" i="2"/>
  <c r="K2807" i="2" s="1"/>
  <c r="J2811" i="2"/>
  <c r="K2811" i="2" s="1"/>
  <c r="M2853" i="2"/>
  <c r="N2853" i="2" s="1"/>
  <c r="O2853" i="2" s="1"/>
  <c r="M2885" i="2"/>
  <c r="N2885" i="2" s="1"/>
  <c r="O2885" i="2" s="1"/>
  <c r="J2899" i="2"/>
  <c r="K2899" i="2" s="1"/>
  <c r="J2918" i="2"/>
  <c r="K2918" i="2" s="1"/>
  <c r="M2918" i="2" s="1"/>
  <c r="N2918" i="2" s="1"/>
  <c r="O2918" i="2" s="1"/>
  <c r="J2930" i="2"/>
  <c r="K2930" i="2" s="1"/>
  <c r="J2945" i="2"/>
  <c r="K2945" i="2" s="1"/>
  <c r="J2962" i="2"/>
  <c r="K2962" i="2" s="1"/>
  <c r="J2980" i="2"/>
  <c r="K2980" i="2" s="1"/>
  <c r="J3008" i="2"/>
  <c r="K3008" i="2" s="1"/>
  <c r="J3016" i="2"/>
  <c r="K3016" i="2" s="1"/>
  <c r="M2804" i="2"/>
  <c r="N2804" i="2" s="1"/>
  <c r="O2804" i="2" s="1"/>
  <c r="J2882" i="2"/>
  <c r="K2882" i="2" s="1"/>
  <c r="J2903" i="2"/>
  <c r="K2903" i="2" s="1"/>
  <c r="J2934" i="2"/>
  <c r="K2934" i="2" s="1"/>
  <c r="M2945" i="2"/>
  <c r="N2945" i="2" s="1"/>
  <c r="O2945" i="2" s="1"/>
  <c r="J2966" i="2"/>
  <c r="K2966" i="2" s="1"/>
  <c r="M2971" i="2"/>
  <c r="N2971" i="2" s="1"/>
  <c r="O2971" i="2" s="1"/>
  <c r="J3012" i="2"/>
  <c r="K3012" i="2" s="1"/>
  <c r="M3012" i="2" s="1"/>
  <c r="N3012" i="2" s="1"/>
  <c r="O3012" i="2" s="1"/>
  <c r="J3028" i="2"/>
  <c r="K3028" i="2" s="1"/>
  <c r="M3028" i="2" s="1"/>
  <c r="N3028" i="2" s="1"/>
  <c r="O3028" i="2" s="1"/>
  <c r="M3093" i="2"/>
  <c r="N3093" i="2" s="1"/>
  <c r="O3093" i="2" s="1"/>
  <c r="J3030" i="2"/>
  <c r="K3030" i="2" s="1"/>
  <c r="J3055" i="2"/>
  <c r="K3055" i="2" s="1"/>
  <c r="J3058" i="2"/>
  <c r="K3058" i="2" s="1"/>
  <c r="J3070" i="2"/>
  <c r="K3070" i="2" s="1"/>
  <c r="J3086" i="2"/>
  <c r="K3086" i="2" s="1"/>
  <c r="J3093" i="2"/>
  <c r="K3093" i="2" s="1"/>
  <c r="J3142" i="2"/>
  <c r="K3142" i="2" s="1"/>
  <c r="J3234" i="2"/>
  <c r="K3234" i="2" s="1"/>
  <c r="M3234" i="2" s="1"/>
  <c r="N3234" i="2" s="1"/>
  <c r="O3234" i="2" s="1"/>
  <c r="J3258" i="2"/>
  <c r="K3258" i="2" s="1"/>
  <c r="J3023" i="2"/>
  <c r="K3023" i="2" s="1"/>
  <c r="J3033" i="2"/>
  <c r="K3033" i="2" s="1"/>
  <c r="M3033" i="2" s="1"/>
  <c r="N3033" i="2" s="1"/>
  <c r="O3033" i="2" s="1"/>
  <c r="J3081" i="2"/>
  <c r="K3081" i="2" s="1"/>
  <c r="J3121" i="2"/>
  <c r="K3121" i="2" s="1"/>
  <c r="J3126" i="2"/>
  <c r="K3126" i="2" s="1"/>
  <c r="J3129" i="2"/>
  <c r="K3129" i="2" s="1"/>
  <c r="J3147" i="2"/>
  <c r="K3147" i="2" s="1"/>
  <c r="J3169" i="2"/>
  <c r="K3169" i="2" s="1"/>
  <c r="J3209" i="2"/>
  <c r="K3209" i="2" s="1"/>
  <c r="M3209" i="2" s="1"/>
  <c r="N3209" i="2" s="1"/>
  <c r="O3209" i="2" s="1"/>
  <c r="J3221" i="2"/>
  <c r="K3221" i="2" s="1"/>
  <c r="J3245" i="2"/>
  <c r="K3245" i="2" s="1"/>
  <c r="J3249" i="2"/>
  <c r="K3249" i="2" s="1"/>
  <c r="J3254" i="2"/>
  <c r="K3254" i="2" s="1"/>
  <c r="M3254" i="2" s="1"/>
  <c r="N3254" i="2" s="1"/>
  <c r="O3254" i="2" s="1"/>
  <c r="J3006" i="2"/>
  <c r="K3006" i="2" s="1"/>
  <c r="M3006" i="2" s="1"/>
  <c r="N3006" i="2" s="1"/>
  <c r="O3006" i="2" s="1"/>
  <c r="J3007" i="2"/>
  <c r="K3007" i="2" s="1"/>
  <c r="J3047" i="2"/>
  <c r="K3047" i="2" s="1"/>
  <c r="M3102" i="2"/>
  <c r="N3102" i="2" s="1"/>
  <c r="O3102" i="2" s="1"/>
  <c r="J3130" i="2"/>
  <c r="K3130" i="2" s="1"/>
  <c r="J3132" i="2"/>
  <c r="K3132" i="2" s="1"/>
  <c r="J3133" i="2"/>
  <c r="K3133" i="2" s="1"/>
  <c r="J3153" i="2"/>
  <c r="K3153" i="2" s="1"/>
  <c r="J3163" i="2"/>
  <c r="K3163" i="2" s="1"/>
  <c r="M3163" i="2" s="1"/>
  <c r="N3163" i="2" s="1"/>
  <c r="O3163" i="2" s="1"/>
  <c r="J3177" i="2"/>
  <c r="K3177" i="2" s="1"/>
  <c r="M3189" i="2"/>
  <c r="N3189" i="2" s="1"/>
  <c r="O3189" i="2" s="1"/>
  <c r="J3192" i="2"/>
  <c r="K3192" i="2" s="1"/>
  <c r="M3192" i="2" s="1"/>
  <c r="N3192" i="2" s="1"/>
  <c r="O3192" i="2" s="1"/>
  <c r="J3196" i="2"/>
  <c r="K3196" i="2" s="1"/>
  <c r="J3203" i="2"/>
  <c r="K3203" i="2" s="1"/>
  <c r="M3203" i="2" s="1"/>
  <c r="N3203" i="2" s="1"/>
  <c r="O3203" i="2" s="1"/>
  <c r="J3222" i="2"/>
  <c r="K3222" i="2" s="1"/>
  <c r="J3224" i="2"/>
  <c r="K3224" i="2" s="1"/>
  <c r="J3230" i="2"/>
  <c r="K3230" i="2" s="1"/>
  <c r="J3240" i="2"/>
  <c r="K3240" i="2" s="1"/>
  <c r="J3257" i="2"/>
  <c r="K3257" i="2" s="1"/>
  <c r="J3024" i="2"/>
  <c r="K3024" i="2" s="1"/>
  <c r="J3052" i="2"/>
  <c r="K3052" i="2" s="1"/>
  <c r="J3063" i="2"/>
  <c r="K3063" i="2" s="1"/>
  <c r="J3066" i="2"/>
  <c r="K3066" i="2" s="1"/>
  <c r="J3068" i="2"/>
  <c r="K3068" i="2" s="1"/>
  <c r="J3076" i="2"/>
  <c r="K3076" i="2" s="1"/>
  <c r="J3077" i="2"/>
  <c r="K3077" i="2" s="1"/>
  <c r="J3088" i="2"/>
  <c r="K3088" i="2" s="1"/>
  <c r="J3097" i="2"/>
  <c r="K3097" i="2" s="1"/>
  <c r="J3102" i="2"/>
  <c r="K3102" i="2" s="1"/>
  <c r="J3105" i="2"/>
  <c r="K3105" i="2" s="1"/>
  <c r="J3122" i="2"/>
  <c r="K3122" i="2" s="1"/>
  <c r="J3136" i="2"/>
  <c r="K3136" i="2" s="1"/>
  <c r="J3160" i="2"/>
  <c r="K3160" i="2" s="1"/>
  <c r="M3160" i="2" s="1"/>
  <c r="N3160" i="2" s="1"/>
  <c r="O3160" i="2" s="1"/>
  <c r="J3164" i="2"/>
  <c r="K3164" i="2" s="1"/>
  <c r="M3164" i="2" s="1"/>
  <c r="N3164" i="2" s="1"/>
  <c r="O3164" i="2" s="1"/>
  <c r="J3174" i="2"/>
  <c r="K3174" i="2" s="1"/>
  <c r="J3181" i="2"/>
  <c r="K3181" i="2" s="1"/>
  <c r="J3193" i="2"/>
  <c r="K3193" i="2" s="1"/>
  <c r="M3193" i="2" s="1"/>
  <c r="N3193" i="2" s="1"/>
  <c r="O3193" i="2" s="1"/>
  <c r="J3195" i="2"/>
  <c r="K3195" i="2" s="1"/>
  <c r="J3216" i="2"/>
  <c r="K3216" i="2" s="1"/>
  <c r="J3217" i="2"/>
  <c r="K3217" i="2" s="1"/>
  <c r="J3228" i="2"/>
  <c r="K3228" i="2" s="1"/>
  <c r="J3232" i="2"/>
  <c r="K3232" i="2" s="1"/>
  <c r="M3232" i="2" s="1"/>
  <c r="N3232" i="2" s="1"/>
  <c r="O3232" i="2" s="1"/>
  <c r="J3244" i="2"/>
  <c r="K3244" i="2" s="1"/>
  <c r="M3246" i="2"/>
  <c r="N3246" i="2" s="1"/>
  <c r="O3246" i="2" s="1"/>
  <c r="J3003" i="2"/>
  <c r="K3003" i="2" s="1"/>
  <c r="M3003" i="2" s="1"/>
  <c r="N3003" i="2" s="1"/>
  <c r="O3003" i="2" s="1"/>
  <c r="J3025" i="2"/>
  <c r="K3025" i="2" s="1"/>
  <c r="M3025" i="2" s="1"/>
  <c r="N3025" i="2" s="1"/>
  <c r="O3025" i="2" s="1"/>
  <c r="J3036" i="2"/>
  <c r="K3036" i="2" s="1"/>
  <c r="J3037" i="2"/>
  <c r="K3037" i="2" s="1"/>
  <c r="M3037" i="2" s="1"/>
  <c r="N3037" i="2" s="1"/>
  <c r="O3037" i="2" s="1"/>
  <c r="J3053" i="2"/>
  <c r="K3053" i="2" s="1"/>
  <c r="J3067" i="2"/>
  <c r="K3067" i="2" s="1"/>
  <c r="M3067" i="2" s="1"/>
  <c r="N3067" i="2" s="1"/>
  <c r="O3067" i="2" s="1"/>
  <c r="J3069" i="2"/>
  <c r="K3069" i="2" s="1"/>
  <c r="J3072" i="2"/>
  <c r="K3072" i="2" s="1"/>
  <c r="M3076" i="2"/>
  <c r="N3076" i="2" s="1"/>
  <c r="O3076" i="2" s="1"/>
  <c r="J3085" i="2"/>
  <c r="K3085" i="2" s="1"/>
  <c r="J3098" i="2"/>
  <c r="K3098" i="2" s="1"/>
  <c r="J3124" i="2"/>
  <c r="K3124" i="2" s="1"/>
  <c r="J3138" i="2"/>
  <c r="K3138" i="2" s="1"/>
  <c r="J3145" i="2"/>
  <c r="K3145" i="2" s="1"/>
  <c r="M3145" i="2" s="1"/>
  <c r="N3145" i="2" s="1"/>
  <c r="O3145" i="2" s="1"/>
  <c r="J3154" i="2"/>
  <c r="K3154" i="2" s="1"/>
  <c r="J3168" i="2"/>
  <c r="K3168" i="2" s="1"/>
  <c r="J3171" i="2"/>
  <c r="K3171" i="2" s="1"/>
  <c r="J3182" i="2"/>
  <c r="K3182" i="2" s="1"/>
  <c r="J3185" i="2"/>
  <c r="K3185" i="2" s="1"/>
  <c r="M3185" i="2" s="1"/>
  <c r="N3185" i="2" s="1"/>
  <c r="O3185" i="2" s="1"/>
  <c r="M3207" i="2"/>
  <c r="N3207" i="2" s="1"/>
  <c r="O3207" i="2" s="1"/>
  <c r="J3211" i="2"/>
  <c r="K3211" i="2" s="1"/>
  <c r="M3211" i="2" s="1"/>
  <c r="N3211" i="2" s="1"/>
  <c r="O3211" i="2" s="1"/>
  <c r="J3236" i="2"/>
  <c r="K3236" i="2" s="1"/>
  <c r="J3252" i="2"/>
  <c r="K3252" i="2" s="1"/>
  <c r="M3084" i="2"/>
  <c r="N3084" i="2" s="1"/>
  <c r="O3084" i="2" s="1"/>
  <c r="J3120" i="2"/>
  <c r="K3120" i="2" s="1"/>
  <c r="J3128" i="2"/>
  <c r="K3128" i="2" s="1"/>
  <c r="M3128" i="2" s="1"/>
  <c r="N3128" i="2" s="1"/>
  <c r="O3128" i="2" s="1"/>
  <c r="J3135" i="2"/>
  <c r="K3135" i="2" s="1"/>
  <c r="J3146" i="2"/>
  <c r="K3146" i="2" s="1"/>
  <c r="M3146" i="2" s="1"/>
  <c r="N3146" i="2" s="1"/>
  <c r="O3146" i="2" s="1"/>
  <c r="J3172" i="2"/>
  <c r="K3172" i="2" s="1"/>
  <c r="J3176" i="2"/>
  <c r="K3176" i="2" s="1"/>
  <c r="J3187" i="2"/>
  <c r="K3187" i="2" s="1"/>
  <c r="M3187" i="2" s="1"/>
  <c r="N3187" i="2" s="1"/>
  <c r="O3187" i="2" s="1"/>
  <c r="J3202" i="2"/>
  <c r="K3202" i="2" s="1"/>
  <c r="J3205" i="2"/>
  <c r="K3205" i="2" s="1"/>
  <c r="M3205" i="2" s="1"/>
  <c r="N3205" i="2" s="1"/>
  <c r="O3205" i="2" s="1"/>
  <c r="J3220" i="2"/>
  <c r="K3220" i="2" s="1"/>
  <c r="J3227" i="2"/>
  <c r="K3227" i="2" s="1"/>
  <c r="J3243" i="2"/>
  <c r="K3243" i="2" s="1"/>
  <c r="M3243" i="2" s="1"/>
  <c r="N3243" i="2" s="1"/>
  <c r="O3243" i="2" s="1"/>
  <c r="J3255" i="2"/>
  <c r="K3255" i="2" s="1"/>
  <c r="J3256" i="2"/>
  <c r="K3256" i="2" s="1"/>
  <c r="M3256" i="2" s="1"/>
  <c r="N3256" i="2" s="1"/>
  <c r="O3256" i="2" s="1"/>
  <c r="M19" i="2"/>
  <c r="N19" i="2" s="1"/>
  <c r="O19" i="2" s="1"/>
  <c r="J42" i="2"/>
  <c r="K42" i="2" s="1"/>
  <c r="M9" i="2"/>
  <c r="N9" i="2" s="1"/>
  <c r="O9" i="2" s="1"/>
  <c r="M11" i="2"/>
  <c r="N11" i="2" s="1"/>
  <c r="O11" i="2" s="1"/>
  <c r="J16" i="2"/>
  <c r="K16" i="2" s="1"/>
  <c r="M16" i="2" s="1"/>
  <c r="N16" i="2" s="1"/>
  <c r="O16" i="2" s="1"/>
  <c r="J34" i="2"/>
  <c r="K34" i="2" s="1"/>
  <c r="J44" i="2"/>
  <c r="K44" i="2" s="1"/>
  <c r="M44" i="2" s="1"/>
  <c r="N44" i="2" s="1"/>
  <c r="O44" i="2" s="1"/>
  <c r="J70" i="2"/>
  <c r="K70" i="2" s="1"/>
  <c r="M70" i="2" s="1"/>
  <c r="N70" i="2" s="1"/>
  <c r="O70" i="2" s="1"/>
  <c r="J77" i="2"/>
  <c r="K77" i="2" s="1"/>
  <c r="M77" i="2" s="1"/>
  <c r="N77" i="2" s="1"/>
  <c r="O77" i="2" s="1"/>
  <c r="M80" i="2"/>
  <c r="N80" i="2" s="1"/>
  <c r="O80" i="2" s="1"/>
  <c r="M85" i="2"/>
  <c r="N85" i="2" s="1"/>
  <c r="O85" i="2" s="1"/>
  <c r="J87" i="2"/>
  <c r="K87" i="2" s="1"/>
  <c r="M87" i="2" s="1"/>
  <c r="N87" i="2" s="1"/>
  <c r="O87" i="2" s="1"/>
  <c r="M116" i="2"/>
  <c r="N116" i="2" s="1"/>
  <c r="O116" i="2" s="1"/>
  <c r="M117" i="2"/>
  <c r="N117" i="2" s="1"/>
  <c r="O117" i="2" s="1"/>
  <c r="M120" i="2"/>
  <c r="N120" i="2" s="1"/>
  <c r="O120" i="2" s="1"/>
  <c r="M122" i="2"/>
  <c r="N122" i="2" s="1"/>
  <c r="O122" i="2" s="1"/>
  <c r="M128" i="2"/>
  <c r="N128" i="2" s="1"/>
  <c r="O128" i="2" s="1"/>
  <c r="J133" i="2"/>
  <c r="K133" i="2" s="1"/>
  <c r="M133" i="2" s="1"/>
  <c r="N133" i="2" s="1"/>
  <c r="O133" i="2" s="1"/>
  <c r="M144" i="2"/>
  <c r="N144" i="2" s="1"/>
  <c r="O144" i="2" s="1"/>
  <c r="J146" i="2"/>
  <c r="K146" i="2" s="1"/>
  <c r="M148" i="2"/>
  <c r="N148" i="2" s="1"/>
  <c r="O148" i="2" s="1"/>
  <c r="M149" i="2"/>
  <c r="N149" i="2" s="1"/>
  <c r="O149" i="2" s="1"/>
  <c r="M152" i="2"/>
  <c r="N152" i="2" s="1"/>
  <c r="O152" i="2" s="1"/>
  <c r="J154" i="2"/>
  <c r="K154" i="2" s="1"/>
  <c r="M154" i="2" s="1"/>
  <c r="N154" i="2" s="1"/>
  <c r="O154" i="2" s="1"/>
  <c r="M156" i="2"/>
  <c r="N156" i="2" s="1"/>
  <c r="O156" i="2" s="1"/>
  <c r="M157" i="2"/>
  <c r="N157" i="2" s="1"/>
  <c r="O157" i="2" s="1"/>
  <c r="J162" i="2"/>
  <c r="K162" i="2" s="1"/>
  <c r="M176" i="2"/>
  <c r="N176" i="2" s="1"/>
  <c r="O176" i="2" s="1"/>
  <c r="M187" i="2"/>
  <c r="N187" i="2" s="1"/>
  <c r="O187" i="2" s="1"/>
  <c r="M201" i="2"/>
  <c r="N201" i="2" s="1"/>
  <c r="O201" i="2" s="1"/>
  <c r="J210" i="2"/>
  <c r="K210" i="2" s="1"/>
  <c r="M212" i="2"/>
  <c r="N212" i="2" s="1"/>
  <c r="O212" i="2" s="1"/>
  <c r="M244" i="2"/>
  <c r="N244" i="2" s="1"/>
  <c r="O244" i="2" s="1"/>
  <c r="M251" i="2"/>
  <c r="N251" i="2" s="1"/>
  <c r="O251" i="2" s="1"/>
  <c r="M279" i="2"/>
  <c r="N279" i="2" s="1"/>
  <c r="O279" i="2" s="1"/>
  <c r="M12" i="2"/>
  <c r="N12" i="2" s="1"/>
  <c r="O12" i="2" s="1"/>
  <c r="J22" i="2"/>
  <c r="K22" i="2" s="1"/>
  <c r="M22" i="2" s="1"/>
  <c r="N22" i="2" s="1"/>
  <c r="O22" i="2" s="1"/>
  <c r="M25" i="2"/>
  <c r="N25" i="2" s="1"/>
  <c r="O25" i="2" s="1"/>
  <c r="M34" i="2"/>
  <c r="N34" i="2" s="1"/>
  <c r="O34" i="2" s="1"/>
  <c r="J50" i="2"/>
  <c r="K50" i="2" s="1"/>
  <c r="J14" i="2"/>
  <c r="K14" i="2" s="1"/>
  <c r="M14" i="2" s="1"/>
  <c r="N14" i="2" s="1"/>
  <c r="O14" i="2" s="1"/>
  <c r="M88" i="2"/>
  <c r="N88" i="2" s="1"/>
  <c r="O88" i="2" s="1"/>
  <c r="J6" i="2"/>
  <c r="K6" i="2" s="1"/>
  <c r="M6" i="2" s="1"/>
  <c r="N6" i="2" s="1"/>
  <c r="O6" i="2" s="1"/>
  <c r="J8" i="2"/>
  <c r="K8" i="2" s="1"/>
  <c r="M8" i="2" s="1"/>
  <c r="N8" i="2" s="1"/>
  <c r="O8" i="2" s="1"/>
  <c r="M13" i="2"/>
  <c r="N13" i="2" s="1"/>
  <c r="O13" i="2" s="1"/>
  <c r="M18" i="2"/>
  <c r="N18" i="2" s="1"/>
  <c r="O18" i="2" s="1"/>
  <c r="J36" i="2"/>
  <c r="K36" i="2" s="1"/>
  <c r="M36" i="2" s="1"/>
  <c r="N36" i="2" s="1"/>
  <c r="O36" i="2" s="1"/>
  <c r="J54" i="2"/>
  <c r="K54" i="2" s="1"/>
  <c r="M54" i="2" s="1"/>
  <c r="N54" i="2" s="1"/>
  <c r="O54" i="2" s="1"/>
  <c r="J62" i="2"/>
  <c r="K62" i="2" s="1"/>
  <c r="M62" i="2" s="1"/>
  <c r="N62" i="2" s="1"/>
  <c r="O62" i="2" s="1"/>
  <c r="M74" i="2"/>
  <c r="N74" i="2" s="1"/>
  <c r="O74" i="2" s="1"/>
  <c r="M76" i="2"/>
  <c r="N76" i="2" s="1"/>
  <c r="O76" i="2" s="1"/>
  <c r="J79" i="2"/>
  <c r="K79" i="2" s="1"/>
  <c r="M89" i="2"/>
  <c r="N89" i="2" s="1"/>
  <c r="O89" i="2" s="1"/>
  <c r="M94" i="2"/>
  <c r="N94" i="2" s="1"/>
  <c r="O94" i="2" s="1"/>
  <c r="M95" i="2"/>
  <c r="N95" i="2" s="1"/>
  <c r="O95" i="2" s="1"/>
  <c r="M102" i="2"/>
  <c r="N102" i="2" s="1"/>
  <c r="O102" i="2" s="1"/>
  <c r="M105" i="2"/>
  <c r="N105" i="2" s="1"/>
  <c r="O105" i="2" s="1"/>
  <c r="M113" i="2"/>
  <c r="N113" i="2" s="1"/>
  <c r="O113" i="2" s="1"/>
  <c r="M136" i="2"/>
  <c r="N136" i="2" s="1"/>
  <c r="O136" i="2" s="1"/>
  <c r="J138" i="2"/>
  <c r="K138" i="2" s="1"/>
  <c r="M138" i="2" s="1"/>
  <c r="N138" i="2" s="1"/>
  <c r="O138" i="2" s="1"/>
  <c r="M196" i="2"/>
  <c r="N196" i="2" s="1"/>
  <c r="O196" i="2" s="1"/>
  <c r="J229" i="2"/>
  <c r="K229" i="2" s="1"/>
  <c r="M359" i="2"/>
  <c r="N359" i="2" s="1"/>
  <c r="O359" i="2" s="1"/>
  <c r="M29" i="2"/>
  <c r="N29" i="2" s="1"/>
  <c r="O29" i="2" s="1"/>
  <c r="M32" i="2"/>
  <c r="N32" i="2" s="1"/>
  <c r="O32" i="2" s="1"/>
  <c r="J24" i="2"/>
  <c r="K24" i="2" s="1"/>
  <c r="M24" i="2" s="1"/>
  <c r="N24" i="2" s="1"/>
  <c r="O24" i="2" s="1"/>
  <c r="M96" i="2"/>
  <c r="N96" i="2" s="1"/>
  <c r="O96" i="2" s="1"/>
  <c r="M106" i="2"/>
  <c r="N106" i="2" s="1"/>
  <c r="O106" i="2" s="1"/>
  <c r="M10" i="2"/>
  <c r="N10" i="2" s="1"/>
  <c r="O10" i="2" s="1"/>
  <c r="M15" i="2"/>
  <c r="N15" i="2" s="1"/>
  <c r="O15" i="2" s="1"/>
  <c r="J26" i="2"/>
  <c r="K26" i="2" s="1"/>
  <c r="J46" i="2"/>
  <c r="K46" i="2" s="1"/>
  <c r="M46" i="2" s="1"/>
  <c r="N46" i="2" s="1"/>
  <c r="O46" i="2" s="1"/>
  <c r="M51" i="2"/>
  <c r="N51" i="2" s="1"/>
  <c r="O51" i="2" s="1"/>
  <c r="M53" i="2"/>
  <c r="N53" i="2" s="1"/>
  <c r="O53" i="2" s="1"/>
  <c r="M57" i="2"/>
  <c r="N57" i="2" s="1"/>
  <c r="O57" i="2" s="1"/>
  <c r="M59" i="2"/>
  <c r="N59" i="2" s="1"/>
  <c r="O59" i="2" s="1"/>
  <c r="M61" i="2"/>
  <c r="N61" i="2" s="1"/>
  <c r="O61" i="2" s="1"/>
  <c r="J64" i="2"/>
  <c r="K64" i="2" s="1"/>
  <c r="M64" i="2" s="1"/>
  <c r="N64" i="2" s="1"/>
  <c r="O64" i="2" s="1"/>
  <c r="M79" i="2"/>
  <c r="N79" i="2" s="1"/>
  <c r="O79" i="2" s="1"/>
  <c r="M81" i="2"/>
  <c r="N81" i="2" s="1"/>
  <c r="O81" i="2" s="1"/>
  <c r="M118" i="2"/>
  <c r="N118" i="2" s="1"/>
  <c r="O118" i="2" s="1"/>
  <c r="M119" i="2"/>
  <c r="N119" i="2" s="1"/>
  <c r="O119" i="2" s="1"/>
  <c r="M127" i="2"/>
  <c r="N127" i="2" s="1"/>
  <c r="O127" i="2" s="1"/>
  <c r="M129" i="2"/>
  <c r="N129" i="2" s="1"/>
  <c r="O129" i="2" s="1"/>
  <c r="M142" i="2"/>
  <c r="N142" i="2" s="1"/>
  <c r="O142" i="2" s="1"/>
  <c r="M143" i="2"/>
  <c r="N143" i="2" s="1"/>
  <c r="O143" i="2" s="1"/>
  <c r="M145" i="2"/>
  <c r="N145" i="2" s="1"/>
  <c r="O145" i="2" s="1"/>
  <c r="M150" i="2"/>
  <c r="N150" i="2" s="1"/>
  <c r="O150" i="2" s="1"/>
  <c r="M159" i="2"/>
  <c r="N159" i="2" s="1"/>
  <c r="O159" i="2" s="1"/>
  <c r="M167" i="2"/>
  <c r="N167" i="2" s="1"/>
  <c r="O167" i="2" s="1"/>
  <c r="J181" i="2"/>
  <c r="K181" i="2" s="1"/>
  <c r="M181" i="2" s="1"/>
  <c r="N181" i="2" s="1"/>
  <c r="O181" i="2" s="1"/>
  <c r="J209" i="2"/>
  <c r="K209" i="2" s="1"/>
  <c r="M211" i="2"/>
  <c r="N211" i="2" s="1"/>
  <c r="O211" i="2" s="1"/>
  <c r="M219" i="2"/>
  <c r="N219" i="2" s="1"/>
  <c r="O219" i="2" s="1"/>
  <c r="M228" i="2"/>
  <c r="N228" i="2" s="1"/>
  <c r="O228" i="2" s="1"/>
  <c r="M275" i="2"/>
  <c r="N275" i="2" s="1"/>
  <c r="O275" i="2" s="1"/>
  <c r="M278" i="2"/>
  <c r="N278" i="2" s="1"/>
  <c r="O278" i="2" s="1"/>
  <c r="M295" i="2"/>
  <c r="N295" i="2" s="1"/>
  <c r="O295" i="2" s="1"/>
  <c r="M45" i="2"/>
  <c r="N45" i="2" s="1"/>
  <c r="O45" i="2" s="1"/>
  <c r="M71" i="2"/>
  <c r="N71" i="2" s="1"/>
  <c r="O71" i="2" s="1"/>
  <c r="M72" i="2"/>
  <c r="N72" i="2" s="1"/>
  <c r="O72" i="2" s="1"/>
  <c r="M73" i="2"/>
  <c r="N73" i="2" s="1"/>
  <c r="O73" i="2" s="1"/>
  <c r="M115" i="2"/>
  <c r="N115" i="2" s="1"/>
  <c r="O115" i="2" s="1"/>
  <c r="M134" i="2"/>
  <c r="N134" i="2" s="1"/>
  <c r="O134" i="2" s="1"/>
  <c r="M135" i="2"/>
  <c r="N135" i="2" s="1"/>
  <c r="O135" i="2" s="1"/>
  <c r="M137" i="2"/>
  <c r="N137" i="2" s="1"/>
  <c r="O137" i="2" s="1"/>
  <c r="M147" i="2"/>
  <c r="N147" i="2" s="1"/>
  <c r="O147" i="2" s="1"/>
  <c r="M155" i="2"/>
  <c r="N155" i="2" s="1"/>
  <c r="O155" i="2" s="1"/>
  <c r="M169" i="2"/>
  <c r="N169" i="2" s="1"/>
  <c r="O169" i="2" s="1"/>
  <c r="M172" i="2"/>
  <c r="N172" i="2" s="1"/>
  <c r="O172" i="2" s="1"/>
  <c r="M206" i="2"/>
  <c r="N206" i="2" s="1"/>
  <c r="O206" i="2" s="1"/>
  <c r="M235" i="2"/>
  <c r="N235" i="2" s="1"/>
  <c r="O235" i="2" s="1"/>
  <c r="M43" i="2"/>
  <c r="N43" i="2" s="1"/>
  <c r="O43" i="2" s="1"/>
  <c r="M35" i="2"/>
  <c r="N35" i="2" s="1"/>
  <c r="O35" i="2" s="1"/>
  <c r="M37" i="2"/>
  <c r="N37" i="2" s="1"/>
  <c r="O37" i="2" s="1"/>
  <c r="M38" i="2"/>
  <c r="N38" i="2" s="1"/>
  <c r="O38" i="2" s="1"/>
  <c r="M50" i="2"/>
  <c r="N50" i="2" s="1"/>
  <c r="O50" i="2" s="1"/>
  <c r="M56" i="2"/>
  <c r="N56" i="2" s="1"/>
  <c r="O56" i="2" s="1"/>
  <c r="M63" i="2"/>
  <c r="N63" i="2" s="1"/>
  <c r="O63" i="2" s="1"/>
  <c r="M131" i="2"/>
  <c r="N131" i="2" s="1"/>
  <c r="O131" i="2" s="1"/>
  <c r="M180" i="2"/>
  <c r="N180" i="2" s="1"/>
  <c r="O180" i="2" s="1"/>
  <c r="M231" i="2"/>
  <c r="N231" i="2" s="1"/>
  <c r="O231" i="2" s="1"/>
  <c r="M252" i="2"/>
  <c r="N252" i="2" s="1"/>
  <c r="O252" i="2" s="1"/>
  <c r="M294" i="2"/>
  <c r="N294" i="2" s="1"/>
  <c r="O294" i="2" s="1"/>
  <c r="M311" i="2"/>
  <c r="N311" i="2" s="1"/>
  <c r="O311" i="2" s="1"/>
  <c r="M20" i="2"/>
  <c r="N20" i="2" s="1"/>
  <c r="O20" i="2" s="1"/>
  <c r="M40" i="2"/>
  <c r="N40" i="2" s="1"/>
  <c r="O40" i="2" s="1"/>
  <c r="M47" i="2"/>
  <c r="N47" i="2" s="1"/>
  <c r="O47" i="2" s="1"/>
  <c r="M52" i="2"/>
  <c r="N52" i="2" s="1"/>
  <c r="O52" i="2" s="1"/>
  <c r="M60" i="2"/>
  <c r="N60" i="2" s="1"/>
  <c r="O60" i="2" s="1"/>
  <c r="M203" i="2"/>
  <c r="N203" i="2" s="1"/>
  <c r="O203" i="2" s="1"/>
  <c r="J4" i="2"/>
  <c r="K4" i="2" s="1"/>
  <c r="M4" i="2" s="1"/>
  <c r="N4" i="2" s="1"/>
  <c r="O4" i="2" s="1"/>
  <c r="M39" i="2"/>
  <c r="N39" i="2" s="1"/>
  <c r="O39" i="2" s="1"/>
  <c r="J58" i="2"/>
  <c r="K58" i="2" s="1"/>
  <c r="M58" i="2" s="1"/>
  <c r="N58" i="2" s="1"/>
  <c r="O58" i="2" s="1"/>
  <c r="J68" i="2"/>
  <c r="K68" i="2" s="1"/>
  <c r="M68" i="2" s="1"/>
  <c r="N68" i="2" s="1"/>
  <c r="O68" i="2" s="1"/>
  <c r="J75" i="2"/>
  <c r="K75" i="2" s="1"/>
  <c r="J93" i="2"/>
  <c r="K93" i="2" s="1"/>
  <c r="M93" i="2" s="1"/>
  <c r="N93" i="2" s="1"/>
  <c r="O93" i="2" s="1"/>
  <c r="M274" i="2"/>
  <c r="N274" i="2" s="1"/>
  <c r="O274" i="2" s="1"/>
  <c r="M340" i="2"/>
  <c r="N340" i="2" s="1"/>
  <c r="O340" i="2" s="1"/>
  <c r="M17" i="2"/>
  <c r="N17" i="2" s="1"/>
  <c r="O17" i="2" s="1"/>
  <c r="M31" i="2"/>
  <c r="N31" i="2" s="1"/>
  <c r="O31" i="2" s="1"/>
  <c r="M92" i="2"/>
  <c r="N92" i="2" s="1"/>
  <c r="O92" i="2" s="1"/>
  <c r="M98" i="2"/>
  <c r="N98" i="2" s="1"/>
  <c r="O98" i="2" s="1"/>
  <c r="M100" i="2"/>
  <c r="N100" i="2" s="1"/>
  <c r="O100" i="2" s="1"/>
  <c r="M101" i="2"/>
  <c r="N101" i="2" s="1"/>
  <c r="O101" i="2" s="1"/>
  <c r="M104" i="2"/>
  <c r="N104" i="2" s="1"/>
  <c r="O104" i="2" s="1"/>
  <c r="M146" i="2"/>
  <c r="N146" i="2" s="1"/>
  <c r="O146" i="2" s="1"/>
  <c r="M215" i="2"/>
  <c r="N215" i="2" s="1"/>
  <c r="O215" i="2" s="1"/>
  <c r="M256" i="2"/>
  <c r="N256" i="2" s="1"/>
  <c r="O256" i="2" s="1"/>
  <c r="M308" i="2"/>
  <c r="N308" i="2" s="1"/>
  <c r="O308" i="2" s="1"/>
  <c r="M170" i="2"/>
  <c r="N170" i="2" s="1"/>
  <c r="O170" i="2" s="1"/>
  <c r="M182" i="2"/>
  <c r="N182" i="2" s="1"/>
  <c r="O182" i="2" s="1"/>
  <c r="M185" i="2"/>
  <c r="N185" i="2" s="1"/>
  <c r="O185" i="2" s="1"/>
  <c r="M214" i="2"/>
  <c r="N214" i="2" s="1"/>
  <c r="O214" i="2" s="1"/>
  <c r="M217" i="2"/>
  <c r="N217" i="2" s="1"/>
  <c r="O217" i="2" s="1"/>
  <c r="M241" i="2"/>
  <c r="N241" i="2" s="1"/>
  <c r="O241" i="2" s="1"/>
  <c r="J301" i="2"/>
  <c r="K301" i="2" s="1"/>
  <c r="M307" i="2"/>
  <c r="N307" i="2" s="1"/>
  <c r="O307" i="2" s="1"/>
  <c r="J334" i="2"/>
  <c r="K334" i="2" s="1"/>
  <c r="M334" i="2" s="1"/>
  <c r="N334" i="2" s="1"/>
  <c r="O334" i="2" s="1"/>
  <c r="M530" i="2"/>
  <c r="N530" i="2" s="1"/>
  <c r="O530" i="2" s="1"/>
  <c r="J207" i="2"/>
  <c r="K207" i="2" s="1"/>
  <c r="M207" i="2" s="1"/>
  <c r="N207" i="2" s="1"/>
  <c r="O207" i="2" s="1"/>
  <c r="J238" i="2"/>
  <c r="K238" i="2" s="1"/>
  <c r="M238" i="2" s="1"/>
  <c r="N238" i="2" s="1"/>
  <c r="O238" i="2" s="1"/>
  <c r="J261" i="2"/>
  <c r="K261" i="2" s="1"/>
  <c r="M263" i="2"/>
  <c r="N263" i="2" s="1"/>
  <c r="O263" i="2" s="1"/>
  <c r="M271" i="2"/>
  <c r="N271" i="2" s="1"/>
  <c r="O271" i="2" s="1"/>
  <c r="J286" i="2"/>
  <c r="K286" i="2" s="1"/>
  <c r="M301" i="2"/>
  <c r="N301" i="2" s="1"/>
  <c r="O301" i="2" s="1"/>
  <c r="J309" i="2"/>
  <c r="K309" i="2" s="1"/>
  <c r="M309" i="2" s="1"/>
  <c r="N309" i="2" s="1"/>
  <c r="O309" i="2" s="1"/>
  <c r="J317" i="2"/>
  <c r="K317" i="2" s="1"/>
  <c r="M323" i="2"/>
  <c r="N323" i="2" s="1"/>
  <c r="O323" i="2" s="1"/>
  <c r="M346" i="2"/>
  <c r="N346" i="2" s="1"/>
  <c r="O346" i="2" s="1"/>
  <c r="J350" i="2"/>
  <c r="K350" i="2" s="1"/>
  <c r="M350" i="2" s="1"/>
  <c r="N350" i="2" s="1"/>
  <c r="O350" i="2" s="1"/>
  <c r="M358" i="2"/>
  <c r="N358" i="2" s="1"/>
  <c r="O358" i="2" s="1"/>
  <c r="M262" i="2"/>
  <c r="N262" i="2" s="1"/>
  <c r="O262" i="2" s="1"/>
  <c r="J285" i="2"/>
  <c r="K285" i="2" s="1"/>
  <c r="M285" i="2" s="1"/>
  <c r="N285" i="2" s="1"/>
  <c r="O285" i="2" s="1"/>
  <c r="M286" i="2"/>
  <c r="N286" i="2" s="1"/>
  <c r="O286" i="2" s="1"/>
  <c r="J333" i="2"/>
  <c r="K333" i="2" s="1"/>
  <c r="M339" i="2"/>
  <c r="N339" i="2" s="1"/>
  <c r="O339" i="2" s="1"/>
  <c r="M356" i="2"/>
  <c r="N356" i="2" s="1"/>
  <c r="O356" i="2" s="1"/>
  <c r="M374" i="2"/>
  <c r="N374" i="2" s="1"/>
  <c r="O374" i="2" s="1"/>
  <c r="M375" i="2"/>
  <c r="N375" i="2" s="1"/>
  <c r="O375" i="2" s="1"/>
  <c r="M422" i="2"/>
  <c r="N422" i="2" s="1"/>
  <c r="O422" i="2" s="1"/>
  <c r="M173" i="2"/>
  <c r="N173" i="2" s="1"/>
  <c r="O173" i="2" s="1"/>
  <c r="M189" i="2"/>
  <c r="N189" i="2" s="1"/>
  <c r="O189" i="2" s="1"/>
  <c r="J199" i="2"/>
  <c r="K199" i="2" s="1"/>
  <c r="M199" i="2" s="1"/>
  <c r="N199" i="2" s="1"/>
  <c r="O199" i="2" s="1"/>
  <c r="M218" i="2"/>
  <c r="N218" i="2" s="1"/>
  <c r="O218" i="2" s="1"/>
  <c r="M253" i="2"/>
  <c r="N253" i="2" s="1"/>
  <c r="O253" i="2" s="1"/>
  <c r="M289" i="2"/>
  <c r="N289" i="2" s="1"/>
  <c r="O289" i="2" s="1"/>
  <c r="M300" i="2"/>
  <c r="N300" i="2" s="1"/>
  <c r="O300" i="2" s="1"/>
  <c r="M326" i="2"/>
  <c r="N326" i="2" s="1"/>
  <c r="O326" i="2" s="1"/>
  <c r="M342" i="2"/>
  <c r="N342" i="2" s="1"/>
  <c r="O342" i="2" s="1"/>
  <c r="M363" i="2"/>
  <c r="N363" i="2" s="1"/>
  <c r="O363" i="2" s="1"/>
  <c r="M420" i="2"/>
  <c r="N420" i="2" s="1"/>
  <c r="O420" i="2" s="1"/>
  <c r="M458" i="2"/>
  <c r="N458" i="2" s="1"/>
  <c r="O458" i="2" s="1"/>
  <c r="J179" i="2"/>
  <c r="K179" i="2" s="1"/>
  <c r="M179" i="2" s="1"/>
  <c r="N179" i="2" s="1"/>
  <c r="O179" i="2" s="1"/>
  <c r="J211" i="2"/>
  <c r="K211" i="2" s="1"/>
  <c r="J282" i="2"/>
  <c r="K282" i="2" s="1"/>
  <c r="M282" i="2" s="1"/>
  <c r="N282" i="2" s="1"/>
  <c r="O282" i="2" s="1"/>
  <c r="M298" i="2"/>
  <c r="N298" i="2" s="1"/>
  <c r="O298" i="2" s="1"/>
  <c r="J303" i="2"/>
  <c r="K303" i="2" s="1"/>
  <c r="M303" i="2" s="1"/>
  <c r="N303" i="2" s="1"/>
  <c r="O303" i="2" s="1"/>
  <c r="J314" i="2"/>
  <c r="K314" i="2" s="1"/>
  <c r="M314" i="2" s="1"/>
  <c r="N314" i="2" s="1"/>
  <c r="O314" i="2" s="1"/>
  <c r="M316" i="2"/>
  <c r="N316" i="2" s="1"/>
  <c r="O316" i="2" s="1"/>
  <c r="J338" i="2"/>
  <c r="K338" i="2" s="1"/>
  <c r="M338" i="2" s="1"/>
  <c r="N338" i="2" s="1"/>
  <c r="O338" i="2" s="1"/>
  <c r="J191" i="2"/>
  <c r="K191" i="2" s="1"/>
  <c r="M191" i="2" s="1"/>
  <c r="N191" i="2" s="1"/>
  <c r="O191" i="2" s="1"/>
  <c r="J257" i="2"/>
  <c r="K257" i="2" s="1"/>
  <c r="M284" i="2"/>
  <c r="N284" i="2" s="1"/>
  <c r="O284" i="2" s="1"/>
  <c r="J319" i="2"/>
  <c r="K319" i="2" s="1"/>
  <c r="M319" i="2" s="1"/>
  <c r="N319" i="2" s="1"/>
  <c r="O319" i="2" s="1"/>
  <c r="J330" i="2"/>
  <c r="K330" i="2" s="1"/>
  <c r="M332" i="2"/>
  <c r="N332" i="2" s="1"/>
  <c r="O332" i="2" s="1"/>
  <c r="M404" i="2"/>
  <c r="N404" i="2" s="1"/>
  <c r="O404" i="2" s="1"/>
  <c r="M406" i="2"/>
  <c r="N406" i="2" s="1"/>
  <c r="O406" i="2" s="1"/>
  <c r="M454" i="2"/>
  <c r="N454" i="2" s="1"/>
  <c r="O454" i="2" s="1"/>
  <c r="J242" i="2"/>
  <c r="K242" i="2" s="1"/>
  <c r="M242" i="2" s="1"/>
  <c r="N242" i="2" s="1"/>
  <c r="O242" i="2" s="1"/>
  <c r="J258" i="2"/>
  <c r="K258" i="2" s="1"/>
  <c r="M258" i="2" s="1"/>
  <c r="N258" i="2" s="1"/>
  <c r="O258" i="2" s="1"/>
  <c r="M399" i="2"/>
  <c r="N399" i="2" s="1"/>
  <c r="O399" i="2" s="1"/>
  <c r="J266" i="2"/>
  <c r="K266" i="2" s="1"/>
  <c r="M266" i="2" s="1"/>
  <c r="N266" i="2" s="1"/>
  <c r="O266" i="2" s="1"/>
  <c r="J269" i="2"/>
  <c r="K269" i="2" s="1"/>
  <c r="M299" i="2"/>
  <c r="N299" i="2" s="1"/>
  <c r="O299" i="2" s="1"/>
  <c r="M302" i="2"/>
  <c r="N302" i="2" s="1"/>
  <c r="O302" i="2" s="1"/>
  <c r="M348" i="2"/>
  <c r="N348" i="2" s="1"/>
  <c r="O348" i="2" s="1"/>
  <c r="M351" i="2"/>
  <c r="N351" i="2" s="1"/>
  <c r="O351" i="2" s="1"/>
  <c r="M390" i="2"/>
  <c r="N390" i="2" s="1"/>
  <c r="O390" i="2" s="1"/>
  <c r="M391" i="2"/>
  <c r="N391" i="2" s="1"/>
  <c r="O391" i="2" s="1"/>
  <c r="M438" i="2"/>
  <c r="N438" i="2" s="1"/>
  <c r="O438" i="2" s="1"/>
  <c r="M460" i="2"/>
  <c r="N460" i="2" s="1"/>
  <c r="O460" i="2" s="1"/>
  <c r="M462" i="2"/>
  <c r="N462" i="2" s="1"/>
  <c r="O462" i="2" s="1"/>
  <c r="M463" i="2"/>
  <c r="N463" i="2" s="1"/>
  <c r="O463" i="2" s="1"/>
  <c r="M466" i="2"/>
  <c r="N466" i="2" s="1"/>
  <c r="O466" i="2" s="1"/>
  <c r="J227" i="2"/>
  <c r="K227" i="2" s="1"/>
  <c r="M227" i="2" s="1"/>
  <c r="N227" i="2" s="1"/>
  <c r="O227" i="2" s="1"/>
  <c r="J243" i="2"/>
  <c r="K243" i="2" s="1"/>
  <c r="M243" i="2" s="1"/>
  <c r="N243" i="2" s="1"/>
  <c r="O243" i="2" s="1"/>
  <c r="M265" i="2"/>
  <c r="N265" i="2" s="1"/>
  <c r="O265" i="2" s="1"/>
  <c r="M281" i="2"/>
  <c r="N281" i="2" s="1"/>
  <c r="O281" i="2" s="1"/>
  <c r="M313" i="2"/>
  <c r="N313" i="2" s="1"/>
  <c r="O313" i="2" s="1"/>
  <c r="M329" i="2"/>
  <c r="N329" i="2" s="1"/>
  <c r="O329" i="2" s="1"/>
  <c r="M345" i="2"/>
  <c r="N345" i="2" s="1"/>
  <c r="O345" i="2" s="1"/>
  <c r="M360" i="2"/>
  <c r="N360" i="2" s="1"/>
  <c r="O360" i="2" s="1"/>
  <c r="M377" i="2"/>
  <c r="N377" i="2" s="1"/>
  <c r="O377" i="2" s="1"/>
  <c r="M393" i="2"/>
  <c r="N393" i="2" s="1"/>
  <c r="O393" i="2" s="1"/>
  <c r="M408" i="2"/>
  <c r="N408" i="2" s="1"/>
  <c r="O408" i="2" s="1"/>
  <c r="M477" i="2"/>
  <c r="N477" i="2" s="1"/>
  <c r="O477" i="2" s="1"/>
  <c r="M482" i="2"/>
  <c r="N482" i="2" s="1"/>
  <c r="O482" i="2" s="1"/>
  <c r="M546" i="2"/>
  <c r="N546" i="2" s="1"/>
  <c r="O546" i="2" s="1"/>
  <c r="M559" i="2"/>
  <c r="N559" i="2" s="1"/>
  <c r="O559" i="2" s="1"/>
  <c r="J335" i="2"/>
  <c r="K335" i="2" s="1"/>
  <c r="M335" i="2" s="1"/>
  <c r="N335" i="2" s="1"/>
  <c r="O335" i="2" s="1"/>
  <c r="J349" i="2"/>
  <c r="K349" i="2" s="1"/>
  <c r="M349" i="2" s="1"/>
  <c r="N349" i="2" s="1"/>
  <c r="O349" i="2" s="1"/>
  <c r="J351" i="2"/>
  <c r="K351" i="2" s="1"/>
  <c r="J365" i="2"/>
  <c r="K365" i="2" s="1"/>
  <c r="M365" i="2" s="1"/>
  <c r="N365" i="2" s="1"/>
  <c r="O365" i="2" s="1"/>
  <c r="J367" i="2"/>
  <c r="K367" i="2" s="1"/>
  <c r="M367" i="2" s="1"/>
  <c r="N367" i="2" s="1"/>
  <c r="O367" i="2" s="1"/>
  <c r="J381" i="2"/>
  <c r="K381" i="2" s="1"/>
  <c r="M381" i="2" s="1"/>
  <c r="N381" i="2" s="1"/>
  <c r="O381" i="2" s="1"/>
  <c r="J383" i="2"/>
  <c r="K383" i="2" s="1"/>
  <c r="M383" i="2" s="1"/>
  <c r="N383" i="2" s="1"/>
  <c r="O383" i="2" s="1"/>
  <c r="J397" i="2"/>
  <c r="K397" i="2" s="1"/>
  <c r="M397" i="2" s="1"/>
  <c r="N397" i="2" s="1"/>
  <c r="O397" i="2" s="1"/>
  <c r="J399" i="2"/>
  <c r="K399" i="2" s="1"/>
  <c r="J413" i="2"/>
  <c r="K413" i="2" s="1"/>
  <c r="M413" i="2" s="1"/>
  <c r="N413" i="2" s="1"/>
  <c r="O413" i="2" s="1"/>
  <c r="J415" i="2"/>
  <c r="K415" i="2" s="1"/>
  <c r="M415" i="2" s="1"/>
  <c r="N415" i="2" s="1"/>
  <c r="O415" i="2" s="1"/>
  <c r="J429" i="2"/>
  <c r="K429" i="2" s="1"/>
  <c r="M429" i="2" s="1"/>
  <c r="N429" i="2" s="1"/>
  <c r="O429" i="2" s="1"/>
  <c r="J431" i="2"/>
  <c r="K431" i="2" s="1"/>
  <c r="M431" i="2" s="1"/>
  <c r="N431" i="2" s="1"/>
  <c r="O431" i="2" s="1"/>
  <c r="J445" i="2"/>
  <c r="K445" i="2" s="1"/>
  <c r="M445" i="2" s="1"/>
  <c r="N445" i="2" s="1"/>
  <c r="O445" i="2" s="1"/>
  <c r="J459" i="2"/>
  <c r="K459" i="2" s="1"/>
  <c r="M459" i="2" s="1"/>
  <c r="N459" i="2" s="1"/>
  <c r="O459" i="2" s="1"/>
  <c r="M469" i="2"/>
  <c r="N469" i="2" s="1"/>
  <c r="O469" i="2" s="1"/>
  <c r="M471" i="2"/>
  <c r="N471" i="2" s="1"/>
  <c r="O471" i="2" s="1"/>
  <c r="M479" i="2"/>
  <c r="N479" i="2" s="1"/>
  <c r="O479" i="2" s="1"/>
  <c r="J493" i="2"/>
  <c r="K493" i="2" s="1"/>
  <c r="J501" i="2"/>
  <c r="K501" i="2" s="1"/>
  <c r="J519" i="2"/>
  <c r="K519" i="2" s="1"/>
  <c r="M527" i="2"/>
  <c r="N527" i="2" s="1"/>
  <c r="O527" i="2" s="1"/>
  <c r="J447" i="2"/>
  <c r="K447" i="2" s="1"/>
  <c r="M447" i="2" s="1"/>
  <c r="N447" i="2" s="1"/>
  <c r="O447" i="2" s="1"/>
  <c r="M457" i="2"/>
  <c r="N457" i="2" s="1"/>
  <c r="O457" i="2" s="1"/>
  <c r="J461" i="2"/>
  <c r="K461" i="2" s="1"/>
  <c r="M461" i="2" s="1"/>
  <c r="N461" i="2" s="1"/>
  <c r="O461" i="2" s="1"/>
  <c r="M470" i="2"/>
  <c r="N470" i="2" s="1"/>
  <c r="O470" i="2" s="1"/>
  <c r="J477" i="2"/>
  <c r="K477" i="2" s="1"/>
  <c r="M542" i="2"/>
  <c r="N542" i="2" s="1"/>
  <c r="O542" i="2" s="1"/>
  <c r="M626" i="2"/>
  <c r="N626" i="2" s="1"/>
  <c r="O626" i="2" s="1"/>
  <c r="M706" i="2"/>
  <c r="N706" i="2" s="1"/>
  <c r="O706" i="2" s="1"/>
  <c r="J370" i="2"/>
  <c r="K370" i="2" s="1"/>
  <c r="M382" i="2"/>
  <c r="N382" i="2" s="1"/>
  <c r="O382" i="2" s="1"/>
  <c r="J386" i="2"/>
  <c r="K386" i="2" s="1"/>
  <c r="M386" i="2" s="1"/>
  <c r="N386" i="2" s="1"/>
  <c r="O386" i="2" s="1"/>
  <c r="J402" i="2"/>
  <c r="K402" i="2" s="1"/>
  <c r="M402" i="2" s="1"/>
  <c r="N402" i="2" s="1"/>
  <c r="O402" i="2" s="1"/>
  <c r="M414" i="2"/>
  <c r="N414" i="2" s="1"/>
  <c r="O414" i="2" s="1"/>
  <c r="J418" i="2"/>
  <c r="K418" i="2" s="1"/>
  <c r="M418" i="2" s="1"/>
  <c r="N418" i="2" s="1"/>
  <c r="O418" i="2" s="1"/>
  <c r="M430" i="2"/>
  <c r="N430" i="2" s="1"/>
  <c r="O430" i="2" s="1"/>
  <c r="J434" i="2"/>
  <c r="K434" i="2" s="1"/>
  <c r="M434" i="2" s="1"/>
  <c r="N434" i="2" s="1"/>
  <c r="O434" i="2" s="1"/>
  <c r="M519" i="2"/>
  <c r="N519" i="2" s="1"/>
  <c r="O519" i="2" s="1"/>
  <c r="M763" i="2"/>
  <c r="N763" i="2" s="1"/>
  <c r="O763" i="2" s="1"/>
  <c r="M371" i="2"/>
  <c r="N371" i="2" s="1"/>
  <c r="O371" i="2" s="1"/>
  <c r="M412" i="2"/>
  <c r="N412" i="2" s="1"/>
  <c r="O412" i="2" s="1"/>
  <c r="M419" i="2"/>
  <c r="N419" i="2" s="1"/>
  <c r="O419" i="2" s="1"/>
  <c r="M435" i="2"/>
  <c r="N435" i="2" s="1"/>
  <c r="O435" i="2" s="1"/>
  <c r="M444" i="2"/>
  <c r="N444" i="2" s="1"/>
  <c r="O444" i="2" s="1"/>
  <c r="M446" i="2"/>
  <c r="N446" i="2" s="1"/>
  <c r="O446" i="2" s="1"/>
  <c r="M487" i="2"/>
  <c r="N487" i="2" s="1"/>
  <c r="O487" i="2" s="1"/>
  <c r="M505" i="2"/>
  <c r="N505" i="2" s="1"/>
  <c r="O505" i="2" s="1"/>
  <c r="J341" i="2"/>
  <c r="K341" i="2" s="1"/>
  <c r="M341" i="2" s="1"/>
  <c r="N341" i="2" s="1"/>
  <c r="O341" i="2" s="1"/>
  <c r="J357" i="2"/>
  <c r="K357" i="2" s="1"/>
  <c r="M357" i="2" s="1"/>
  <c r="N357" i="2" s="1"/>
  <c r="O357" i="2" s="1"/>
  <c r="J373" i="2"/>
  <c r="K373" i="2" s="1"/>
  <c r="J389" i="2"/>
  <c r="K389" i="2" s="1"/>
  <c r="M401" i="2"/>
  <c r="N401" i="2" s="1"/>
  <c r="O401" i="2" s="1"/>
  <c r="J405" i="2"/>
  <c r="K405" i="2" s="1"/>
  <c r="J407" i="2"/>
  <c r="K407" i="2" s="1"/>
  <c r="M407" i="2" s="1"/>
  <c r="N407" i="2" s="1"/>
  <c r="O407" i="2" s="1"/>
  <c r="M417" i="2"/>
  <c r="N417" i="2" s="1"/>
  <c r="O417" i="2" s="1"/>
  <c r="J421" i="2"/>
  <c r="K421" i="2" s="1"/>
  <c r="J423" i="2"/>
  <c r="K423" i="2" s="1"/>
  <c r="M423" i="2" s="1"/>
  <c r="N423" i="2" s="1"/>
  <c r="O423" i="2" s="1"/>
  <c r="J437" i="2"/>
  <c r="K437" i="2" s="1"/>
  <c r="J439" i="2"/>
  <c r="K439" i="2" s="1"/>
  <c r="M439" i="2" s="1"/>
  <c r="N439" i="2" s="1"/>
  <c r="O439" i="2" s="1"/>
  <c r="M449" i="2"/>
  <c r="N449" i="2" s="1"/>
  <c r="O449" i="2" s="1"/>
  <c r="M476" i="2"/>
  <c r="N476" i="2" s="1"/>
  <c r="O476" i="2" s="1"/>
  <c r="M491" i="2"/>
  <c r="N491" i="2" s="1"/>
  <c r="O491" i="2" s="1"/>
  <c r="J507" i="2"/>
  <c r="K507" i="2" s="1"/>
  <c r="M602" i="2"/>
  <c r="N602" i="2" s="1"/>
  <c r="O602" i="2" s="1"/>
  <c r="M495" i="2"/>
  <c r="N495" i="2" s="1"/>
  <c r="O495" i="2" s="1"/>
  <c r="M508" i="2"/>
  <c r="N508" i="2" s="1"/>
  <c r="O508" i="2" s="1"/>
  <c r="J521" i="2"/>
  <c r="K521" i="2" s="1"/>
  <c r="J541" i="2"/>
  <c r="K541" i="2" s="1"/>
  <c r="M541" i="2" s="1"/>
  <c r="N541" i="2" s="1"/>
  <c r="O541" i="2" s="1"/>
  <c r="M577" i="2"/>
  <c r="N577" i="2" s="1"/>
  <c r="O577" i="2" s="1"/>
  <c r="M695" i="2"/>
  <c r="N695" i="2" s="1"/>
  <c r="O695" i="2" s="1"/>
  <c r="J362" i="2"/>
  <c r="K362" i="2" s="1"/>
  <c r="M362" i="2" s="1"/>
  <c r="N362" i="2" s="1"/>
  <c r="O362" i="2" s="1"/>
  <c r="J378" i="2"/>
  <c r="K378" i="2" s="1"/>
  <c r="M378" i="2" s="1"/>
  <c r="N378" i="2" s="1"/>
  <c r="O378" i="2" s="1"/>
  <c r="J394" i="2"/>
  <c r="K394" i="2" s="1"/>
  <c r="M394" i="2" s="1"/>
  <c r="N394" i="2" s="1"/>
  <c r="O394" i="2" s="1"/>
  <c r="J410" i="2"/>
  <c r="K410" i="2" s="1"/>
  <c r="M410" i="2" s="1"/>
  <c r="N410" i="2" s="1"/>
  <c r="O410" i="2" s="1"/>
  <c r="J411" i="2"/>
  <c r="K411" i="2" s="1"/>
  <c r="J426" i="2"/>
  <c r="K426" i="2" s="1"/>
  <c r="M426" i="2" s="1"/>
  <c r="N426" i="2" s="1"/>
  <c r="O426" i="2" s="1"/>
  <c r="J427" i="2"/>
  <c r="K427" i="2" s="1"/>
  <c r="M427" i="2" s="1"/>
  <c r="N427" i="2" s="1"/>
  <c r="O427" i="2" s="1"/>
  <c r="J442" i="2"/>
  <c r="K442" i="2" s="1"/>
  <c r="M442" i="2" s="1"/>
  <c r="N442" i="2" s="1"/>
  <c r="O442" i="2" s="1"/>
  <c r="J443" i="2"/>
  <c r="K443" i="2" s="1"/>
  <c r="M443" i="2" s="1"/>
  <c r="N443" i="2" s="1"/>
  <c r="O443" i="2" s="1"/>
  <c r="J455" i="2"/>
  <c r="K455" i="2" s="1"/>
  <c r="M455" i="2" s="1"/>
  <c r="N455" i="2" s="1"/>
  <c r="O455" i="2" s="1"/>
  <c r="M467" i="2"/>
  <c r="N467" i="2" s="1"/>
  <c r="O467" i="2" s="1"/>
  <c r="J471" i="2"/>
  <c r="K471" i="2" s="1"/>
  <c r="M481" i="2"/>
  <c r="N481" i="2" s="1"/>
  <c r="O481" i="2" s="1"/>
  <c r="M490" i="2"/>
  <c r="N490" i="2" s="1"/>
  <c r="O490" i="2" s="1"/>
  <c r="M498" i="2"/>
  <c r="N498" i="2" s="1"/>
  <c r="O498" i="2" s="1"/>
  <c r="M506" i="2"/>
  <c r="N506" i="2" s="1"/>
  <c r="O506" i="2" s="1"/>
  <c r="M514" i="2"/>
  <c r="N514" i="2" s="1"/>
  <c r="O514" i="2" s="1"/>
  <c r="M523" i="2"/>
  <c r="N523" i="2" s="1"/>
  <c r="O523" i="2" s="1"/>
  <c r="M715" i="2"/>
  <c r="N715" i="2" s="1"/>
  <c r="O715" i="2" s="1"/>
  <c r="J509" i="2"/>
  <c r="K509" i="2" s="1"/>
  <c r="M509" i="2" s="1"/>
  <c r="N509" i="2" s="1"/>
  <c r="O509" i="2" s="1"/>
  <c r="J567" i="2"/>
  <c r="K567" i="2" s="1"/>
  <c r="M568" i="2"/>
  <c r="N568" i="2" s="1"/>
  <c r="O568" i="2" s="1"/>
  <c r="J573" i="2"/>
  <c r="K573" i="2" s="1"/>
  <c r="M573" i="2" s="1"/>
  <c r="N573" i="2" s="1"/>
  <c r="O573" i="2" s="1"/>
  <c r="M580" i="2"/>
  <c r="N580" i="2" s="1"/>
  <c r="O580" i="2" s="1"/>
  <c r="M590" i="2"/>
  <c r="N590" i="2" s="1"/>
  <c r="O590" i="2" s="1"/>
  <c r="J619" i="2"/>
  <c r="K619" i="2" s="1"/>
  <c r="M621" i="2"/>
  <c r="N621" i="2" s="1"/>
  <c r="O621" i="2" s="1"/>
  <c r="J631" i="2"/>
  <c r="K631" i="2" s="1"/>
  <c r="M631" i="2" s="1"/>
  <c r="N631" i="2" s="1"/>
  <c r="O631" i="2" s="1"/>
  <c r="M632" i="2"/>
  <c r="N632" i="2" s="1"/>
  <c r="O632" i="2" s="1"/>
  <c r="J637" i="2"/>
  <c r="K637" i="2" s="1"/>
  <c r="M637" i="2" s="1"/>
  <c r="N637" i="2" s="1"/>
  <c r="O637" i="2" s="1"/>
  <c r="M644" i="2"/>
  <c r="N644" i="2" s="1"/>
  <c r="O644" i="2" s="1"/>
  <c r="M678" i="2"/>
  <c r="N678" i="2" s="1"/>
  <c r="O678" i="2" s="1"/>
  <c r="M795" i="2"/>
  <c r="N795" i="2" s="1"/>
  <c r="O795" i="2" s="1"/>
  <c r="M815" i="2"/>
  <c r="N815" i="2" s="1"/>
  <c r="O815" i="2" s="1"/>
  <c r="M898" i="2"/>
  <c r="N898" i="2" s="1"/>
  <c r="O898" i="2" s="1"/>
  <c r="M1047" i="2"/>
  <c r="N1047" i="2" s="1"/>
  <c r="O1047" i="2" s="1"/>
  <c r="M1080" i="2"/>
  <c r="N1080" i="2" s="1"/>
  <c r="O1080" i="2" s="1"/>
  <c r="M1613" i="2"/>
  <c r="N1613" i="2" s="1"/>
  <c r="O1613" i="2" s="1"/>
  <c r="M3019" i="2"/>
  <c r="N3019" i="2" s="1"/>
  <c r="O3019" i="2" s="1"/>
  <c r="M3022" i="2"/>
  <c r="N3022" i="2" s="1"/>
  <c r="O3022" i="2" s="1"/>
  <c r="M3053" i="2"/>
  <c r="N3053" i="2" s="1"/>
  <c r="O3053" i="2" s="1"/>
  <c r="J469" i="2"/>
  <c r="K469" i="2" s="1"/>
  <c r="J483" i="2"/>
  <c r="K483" i="2" s="1"/>
  <c r="M483" i="2" s="1"/>
  <c r="N483" i="2" s="1"/>
  <c r="O483" i="2" s="1"/>
  <c r="M521" i="2"/>
  <c r="N521" i="2" s="1"/>
  <c r="O521" i="2" s="1"/>
  <c r="J531" i="2"/>
  <c r="K531" i="2" s="1"/>
  <c r="M531" i="2" s="1"/>
  <c r="N531" i="2" s="1"/>
  <c r="O531" i="2" s="1"/>
  <c r="J543" i="2"/>
  <c r="K543" i="2" s="1"/>
  <c r="M543" i="2" s="1"/>
  <c r="N543" i="2" s="1"/>
  <c r="O543" i="2" s="1"/>
  <c r="M544" i="2"/>
  <c r="N544" i="2" s="1"/>
  <c r="O544" i="2" s="1"/>
  <c r="J549" i="2"/>
  <c r="K549" i="2" s="1"/>
  <c r="M549" i="2" s="1"/>
  <c r="N549" i="2" s="1"/>
  <c r="O549" i="2" s="1"/>
  <c r="M566" i="2"/>
  <c r="N566" i="2" s="1"/>
  <c r="O566" i="2" s="1"/>
  <c r="M585" i="2"/>
  <c r="N585" i="2" s="1"/>
  <c r="O585" i="2" s="1"/>
  <c r="J595" i="2"/>
  <c r="K595" i="2" s="1"/>
  <c r="J607" i="2"/>
  <c r="K607" i="2" s="1"/>
  <c r="M607" i="2" s="1"/>
  <c r="N607" i="2" s="1"/>
  <c r="O607" i="2" s="1"/>
  <c r="J613" i="2"/>
  <c r="K613" i="2" s="1"/>
  <c r="M649" i="2"/>
  <c r="N649" i="2" s="1"/>
  <c r="O649" i="2" s="1"/>
  <c r="J659" i="2"/>
  <c r="K659" i="2" s="1"/>
  <c r="M659" i="2" s="1"/>
  <c r="N659" i="2" s="1"/>
  <c r="O659" i="2" s="1"/>
  <c r="J671" i="2"/>
  <c r="K671" i="2" s="1"/>
  <c r="M671" i="2" s="1"/>
  <c r="N671" i="2" s="1"/>
  <c r="O671" i="2" s="1"/>
  <c r="M672" i="2"/>
  <c r="N672" i="2" s="1"/>
  <c r="O672" i="2" s="1"/>
  <c r="J677" i="2"/>
  <c r="K677" i="2" s="1"/>
  <c r="J695" i="2"/>
  <c r="K695" i="2" s="1"/>
  <c r="M721" i="2"/>
  <c r="N721" i="2" s="1"/>
  <c r="O721" i="2" s="1"/>
  <c r="M891" i="2"/>
  <c r="N891" i="2" s="1"/>
  <c r="O891" i="2" s="1"/>
  <c r="M945" i="2"/>
  <c r="N945" i="2" s="1"/>
  <c r="O945" i="2" s="1"/>
  <c r="M1196" i="2"/>
  <c r="N1196" i="2" s="1"/>
  <c r="O1196" i="2" s="1"/>
  <c r="M1198" i="2"/>
  <c r="N1198" i="2" s="1"/>
  <c r="O1198" i="2" s="1"/>
  <c r="M1237" i="2"/>
  <c r="N1237" i="2" s="1"/>
  <c r="O1237" i="2" s="1"/>
  <c r="M561" i="2"/>
  <c r="N561" i="2" s="1"/>
  <c r="O561" i="2" s="1"/>
  <c r="M567" i="2"/>
  <c r="N567" i="2" s="1"/>
  <c r="O567" i="2" s="1"/>
  <c r="J589" i="2"/>
  <c r="K589" i="2" s="1"/>
  <c r="M596" i="2"/>
  <c r="N596" i="2" s="1"/>
  <c r="O596" i="2" s="1"/>
  <c r="M625" i="2"/>
  <c r="N625" i="2" s="1"/>
  <c r="O625" i="2" s="1"/>
  <c r="J653" i="2"/>
  <c r="K653" i="2" s="1"/>
  <c r="M670" i="2"/>
  <c r="N670" i="2" s="1"/>
  <c r="O670" i="2" s="1"/>
  <c r="M681" i="2"/>
  <c r="N681" i="2" s="1"/>
  <c r="O681" i="2" s="1"/>
  <c r="M700" i="2"/>
  <c r="N700" i="2" s="1"/>
  <c r="O700" i="2" s="1"/>
  <c r="M778" i="2"/>
  <c r="N778" i="2" s="1"/>
  <c r="O778" i="2" s="1"/>
  <c r="M870" i="2"/>
  <c r="N870" i="2" s="1"/>
  <c r="O870" i="2" s="1"/>
  <c r="M943" i="2"/>
  <c r="N943" i="2" s="1"/>
  <c r="O943" i="2" s="1"/>
  <c r="M537" i="2"/>
  <c r="N537" i="2" s="1"/>
  <c r="O537" i="2" s="1"/>
  <c r="M554" i="2"/>
  <c r="N554" i="2" s="1"/>
  <c r="O554" i="2" s="1"/>
  <c r="J565" i="2"/>
  <c r="K565" i="2" s="1"/>
  <c r="M578" i="2"/>
  <c r="N578" i="2" s="1"/>
  <c r="O578" i="2" s="1"/>
  <c r="M582" i="2"/>
  <c r="N582" i="2" s="1"/>
  <c r="O582" i="2" s="1"/>
  <c r="M618" i="2"/>
  <c r="N618" i="2" s="1"/>
  <c r="O618" i="2" s="1"/>
  <c r="J629" i="2"/>
  <c r="K629" i="2" s="1"/>
  <c r="M642" i="2"/>
  <c r="N642" i="2" s="1"/>
  <c r="O642" i="2" s="1"/>
  <c r="M665" i="2"/>
  <c r="N665" i="2" s="1"/>
  <c r="O665" i="2" s="1"/>
  <c r="M677" i="2"/>
  <c r="N677" i="2" s="1"/>
  <c r="O677" i="2" s="1"/>
  <c r="J693" i="2"/>
  <c r="K693" i="2" s="1"/>
  <c r="M693" i="2" s="1"/>
  <c r="N693" i="2" s="1"/>
  <c r="O693" i="2" s="1"/>
  <c r="M701" i="2"/>
  <c r="N701" i="2" s="1"/>
  <c r="O701" i="2" s="1"/>
  <c r="M704" i="2"/>
  <c r="N704" i="2" s="1"/>
  <c r="O704" i="2" s="1"/>
  <c r="M708" i="2"/>
  <c r="N708" i="2" s="1"/>
  <c r="O708" i="2" s="1"/>
  <c r="M743" i="2"/>
  <c r="N743" i="2" s="1"/>
  <c r="O743" i="2" s="1"/>
  <c r="M780" i="2"/>
  <c r="N780" i="2" s="1"/>
  <c r="O780" i="2" s="1"/>
  <c r="M803" i="2"/>
  <c r="N803" i="2" s="1"/>
  <c r="O803" i="2" s="1"/>
  <c r="M927" i="2"/>
  <c r="N927" i="2" s="1"/>
  <c r="O927" i="2" s="1"/>
  <c r="M603" i="2"/>
  <c r="N603" i="2" s="1"/>
  <c r="O603" i="2" s="1"/>
  <c r="J605" i="2"/>
  <c r="K605" i="2" s="1"/>
  <c r="M612" i="2"/>
  <c r="N612" i="2" s="1"/>
  <c r="O612" i="2" s="1"/>
  <c r="M622" i="2"/>
  <c r="N622" i="2" s="1"/>
  <c r="O622" i="2" s="1"/>
  <c r="M641" i="2"/>
  <c r="N641" i="2" s="1"/>
  <c r="O641" i="2" s="1"/>
  <c r="M647" i="2"/>
  <c r="N647" i="2" s="1"/>
  <c r="O647" i="2" s="1"/>
  <c r="M667" i="2"/>
  <c r="N667" i="2" s="1"/>
  <c r="O667" i="2" s="1"/>
  <c r="J669" i="2"/>
  <c r="K669" i="2" s="1"/>
  <c r="M762" i="2"/>
  <c r="N762" i="2" s="1"/>
  <c r="O762" i="2" s="1"/>
  <c r="M783" i="2"/>
  <c r="N783" i="2" s="1"/>
  <c r="O783" i="2" s="1"/>
  <c r="M802" i="2"/>
  <c r="N802" i="2" s="1"/>
  <c r="O802" i="2" s="1"/>
  <c r="M822" i="2"/>
  <c r="N822" i="2" s="1"/>
  <c r="O822" i="2" s="1"/>
  <c r="M847" i="2"/>
  <c r="N847" i="2" s="1"/>
  <c r="O847" i="2" s="1"/>
  <c r="M937" i="2"/>
  <c r="N937" i="2" s="1"/>
  <c r="O937" i="2" s="1"/>
  <c r="M939" i="2"/>
  <c r="N939" i="2" s="1"/>
  <c r="O939" i="2" s="1"/>
  <c r="J463" i="2"/>
  <c r="K463" i="2" s="1"/>
  <c r="M473" i="2"/>
  <c r="N473" i="2" s="1"/>
  <c r="O473" i="2" s="1"/>
  <c r="J499" i="2"/>
  <c r="K499" i="2" s="1"/>
  <c r="J511" i="2"/>
  <c r="K511" i="2" s="1"/>
  <c r="M511" i="2" s="1"/>
  <c r="N511" i="2" s="1"/>
  <c r="O511" i="2" s="1"/>
  <c r="J517" i="2"/>
  <c r="K517" i="2" s="1"/>
  <c r="J563" i="2"/>
  <c r="K563" i="2" s="1"/>
  <c r="J575" i="2"/>
  <c r="K575" i="2" s="1"/>
  <c r="M575" i="2" s="1"/>
  <c r="N575" i="2" s="1"/>
  <c r="O575" i="2" s="1"/>
  <c r="M576" i="2"/>
  <c r="N576" i="2" s="1"/>
  <c r="O576" i="2" s="1"/>
  <c r="J581" i="2"/>
  <c r="K581" i="2" s="1"/>
  <c r="M588" i="2"/>
  <c r="N588" i="2" s="1"/>
  <c r="O588" i="2" s="1"/>
  <c r="M594" i="2"/>
  <c r="N594" i="2" s="1"/>
  <c r="O594" i="2" s="1"/>
  <c r="M605" i="2"/>
  <c r="N605" i="2" s="1"/>
  <c r="O605" i="2" s="1"/>
  <c r="M617" i="2"/>
  <c r="N617" i="2" s="1"/>
  <c r="O617" i="2" s="1"/>
  <c r="J627" i="2"/>
  <c r="K627" i="2" s="1"/>
  <c r="J639" i="2"/>
  <c r="K639" i="2" s="1"/>
  <c r="M639" i="2" s="1"/>
  <c r="N639" i="2" s="1"/>
  <c r="O639" i="2" s="1"/>
  <c r="M640" i="2"/>
  <c r="N640" i="2" s="1"/>
  <c r="O640" i="2" s="1"/>
  <c r="J645" i="2"/>
  <c r="K645" i="2" s="1"/>
  <c r="M662" i="2"/>
  <c r="N662" i="2" s="1"/>
  <c r="O662" i="2" s="1"/>
  <c r="M669" i="2"/>
  <c r="N669" i="2" s="1"/>
  <c r="O669" i="2" s="1"/>
  <c r="J691" i="2"/>
  <c r="K691" i="2" s="1"/>
  <c r="J698" i="2"/>
  <c r="K698" i="2" s="1"/>
  <c r="M698" i="2" s="1"/>
  <c r="N698" i="2" s="1"/>
  <c r="O698" i="2" s="1"/>
  <c r="M720" i="2"/>
  <c r="N720" i="2" s="1"/>
  <c r="O720" i="2" s="1"/>
  <c r="M722" i="2"/>
  <c r="N722" i="2" s="1"/>
  <c r="O722" i="2" s="1"/>
  <c r="J733" i="2"/>
  <c r="K733" i="2" s="1"/>
  <c r="M738" i="2"/>
  <c r="N738" i="2" s="1"/>
  <c r="O738" i="2" s="1"/>
  <c r="M749" i="2"/>
  <c r="N749" i="2" s="1"/>
  <c r="O749" i="2" s="1"/>
  <c r="M758" i="2"/>
  <c r="N758" i="2" s="1"/>
  <c r="O758" i="2" s="1"/>
  <c r="M787" i="2"/>
  <c r="N787" i="2" s="1"/>
  <c r="O787" i="2" s="1"/>
  <c r="M535" i="2"/>
  <c r="N535" i="2" s="1"/>
  <c r="O535" i="2" s="1"/>
  <c r="J539" i="2"/>
  <c r="K539" i="2" s="1"/>
  <c r="M539" i="2" s="1"/>
  <c r="N539" i="2" s="1"/>
  <c r="O539" i="2" s="1"/>
  <c r="J551" i="2"/>
  <c r="K551" i="2" s="1"/>
  <c r="J557" i="2"/>
  <c r="K557" i="2" s="1"/>
  <c r="M574" i="2"/>
  <c r="N574" i="2" s="1"/>
  <c r="O574" i="2" s="1"/>
  <c r="M581" i="2"/>
  <c r="N581" i="2" s="1"/>
  <c r="O581" i="2" s="1"/>
  <c r="M593" i="2"/>
  <c r="N593" i="2" s="1"/>
  <c r="O593" i="2" s="1"/>
  <c r="J603" i="2"/>
  <c r="K603" i="2" s="1"/>
  <c r="J615" i="2"/>
  <c r="K615" i="2" s="1"/>
  <c r="M615" i="2" s="1"/>
  <c r="N615" i="2" s="1"/>
  <c r="O615" i="2" s="1"/>
  <c r="J621" i="2"/>
  <c r="K621" i="2" s="1"/>
  <c r="M628" i="2"/>
  <c r="N628" i="2" s="1"/>
  <c r="O628" i="2" s="1"/>
  <c r="M638" i="2"/>
  <c r="N638" i="2" s="1"/>
  <c r="O638" i="2" s="1"/>
  <c r="M657" i="2"/>
  <c r="N657" i="2" s="1"/>
  <c r="O657" i="2" s="1"/>
  <c r="M683" i="2"/>
  <c r="N683" i="2" s="1"/>
  <c r="O683" i="2" s="1"/>
  <c r="J685" i="2"/>
  <c r="K685" i="2" s="1"/>
  <c r="M685" i="2" s="1"/>
  <c r="N685" i="2" s="1"/>
  <c r="O685" i="2" s="1"/>
  <c r="M687" i="2"/>
  <c r="N687" i="2" s="1"/>
  <c r="O687" i="2" s="1"/>
  <c r="M692" i="2"/>
  <c r="N692" i="2" s="1"/>
  <c r="O692" i="2" s="1"/>
  <c r="M703" i="2"/>
  <c r="N703" i="2" s="1"/>
  <c r="O703" i="2" s="1"/>
  <c r="M774" i="2"/>
  <c r="N774" i="2" s="1"/>
  <c r="O774" i="2" s="1"/>
  <c r="M830" i="2"/>
  <c r="N830" i="2" s="1"/>
  <c r="O830" i="2" s="1"/>
  <c r="M838" i="2"/>
  <c r="N838" i="2" s="1"/>
  <c r="O838" i="2" s="1"/>
  <c r="M918" i="2"/>
  <c r="N918" i="2" s="1"/>
  <c r="O918" i="2" s="1"/>
  <c r="M935" i="2"/>
  <c r="N935" i="2" s="1"/>
  <c r="O935" i="2" s="1"/>
  <c r="M954" i="2"/>
  <c r="N954" i="2" s="1"/>
  <c r="O954" i="2" s="1"/>
  <c r="M1094" i="2"/>
  <c r="N1094" i="2" s="1"/>
  <c r="O1094" i="2" s="1"/>
  <c r="M1106" i="2"/>
  <c r="N1106" i="2" s="1"/>
  <c r="O1106" i="2" s="1"/>
  <c r="J527" i="2"/>
  <c r="K527" i="2" s="1"/>
  <c r="J533" i="2"/>
  <c r="K533" i="2" s="1"/>
  <c r="M533" i="2" s="1"/>
  <c r="N533" i="2" s="1"/>
  <c r="O533" i="2" s="1"/>
  <c r="M540" i="2"/>
  <c r="N540" i="2" s="1"/>
  <c r="O540" i="2" s="1"/>
  <c r="M550" i="2"/>
  <c r="N550" i="2" s="1"/>
  <c r="O550" i="2" s="1"/>
  <c r="M569" i="2"/>
  <c r="N569" i="2" s="1"/>
  <c r="O569" i="2" s="1"/>
  <c r="J579" i="2"/>
  <c r="K579" i="2" s="1"/>
  <c r="J591" i="2"/>
  <c r="K591" i="2" s="1"/>
  <c r="M591" i="2" s="1"/>
  <c r="N591" i="2" s="1"/>
  <c r="O591" i="2" s="1"/>
  <c r="M592" i="2"/>
  <c r="N592" i="2" s="1"/>
  <c r="O592" i="2" s="1"/>
  <c r="J597" i="2"/>
  <c r="K597" i="2" s="1"/>
  <c r="M604" i="2"/>
  <c r="N604" i="2" s="1"/>
  <c r="O604" i="2" s="1"/>
  <c r="J643" i="2"/>
  <c r="K643" i="2" s="1"/>
  <c r="J655" i="2"/>
  <c r="K655" i="2" s="1"/>
  <c r="M655" i="2" s="1"/>
  <c r="N655" i="2" s="1"/>
  <c r="O655" i="2" s="1"/>
  <c r="J661" i="2"/>
  <c r="K661" i="2" s="1"/>
  <c r="M661" i="2" s="1"/>
  <c r="N661" i="2" s="1"/>
  <c r="O661" i="2" s="1"/>
  <c r="J679" i="2"/>
  <c r="K679" i="2" s="1"/>
  <c r="M679" i="2" s="1"/>
  <c r="N679" i="2" s="1"/>
  <c r="O679" i="2" s="1"/>
  <c r="M680" i="2"/>
  <c r="N680" i="2" s="1"/>
  <c r="O680" i="2" s="1"/>
  <c r="J749" i="2"/>
  <c r="K749" i="2" s="1"/>
  <c r="M782" i="2"/>
  <c r="N782" i="2" s="1"/>
  <c r="O782" i="2" s="1"/>
  <c r="M879" i="2"/>
  <c r="N879" i="2" s="1"/>
  <c r="O879" i="2" s="1"/>
  <c r="M903" i="2"/>
  <c r="N903" i="2" s="1"/>
  <c r="O903" i="2" s="1"/>
  <c r="M996" i="2"/>
  <c r="N996" i="2" s="1"/>
  <c r="O996" i="2" s="1"/>
  <c r="M999" i="2"/>
  <c r="N999" i="2" s="1"/>
  <c r="O999" i="2" s="1"/>
  <c r="M841" i="2"/>
  <c r="N841" i="2" s="1"/>
  <c r="O841" i="2" s="1"/>
  <c r="M892" i="2"/>
  <c r="N892" i="2" s="1"/>
  <c r="O892" i="2" s="1"/>
  <c r="M904" i="2"/>
  <c r="N904" i="2" s="1"/>
  <c r="O904" i="2" s="1"/>
  <c r="J920" i="2"/>
  <c r="K920" i="2" s="1"/>
  <c r="M942" i="2"/>
  <c r="N942" i="2" s="1"/>
  <c r="O942" i="2" s="1"/>
  <c r="M964" i="2"/>
  <c r="N964" i="2" s="1"/>
  <c r="O964" i="2" s="1"/>
  <c r="M974" i="2"/>
  <c r="N974" i="2" s="1"/>
  <c r="O974" i="2" s="1"/>
  <c r="M1078" i="2"/>
  <c r="N1078" i="2" s="1"/>
  <c r="O1078" i="2" s="1"/>
  <c r="M1126" i="2"/>
  <c r="N1126" i="2" s="1"/>
  <c r="O1126" i="2" s="1"/>
  <c r="M1267" i="2"/>
  <c r="N1267" i="2" s="1"/>
  <c r="O1267" i="2" s="1"/>
  <c r="J718" i="2"/>
  <c r="K718" i="2" s="1"/>
  <c r="M718" i="2" s="1"/>
  <c r="N718" i="2" s="1"/>
  <c r="O718" i="2" s="1"/>
  <c r="J730" i="2"/>
  <c r="K730" i="2" s="1"/>
  <c r="M730" i="2" s="1"/>
  <c r="N730" i="2" s="1"/>
  <c r="O730" i="2" s="1"/>
  <c r="J753" i="2"/>
  <c r="K753" i="2" s="1"/>
  <c r="M753" i="2" s="1"/>
  <c r="N753" i="2" s="1"/>
  <c r="O753" i="2" s="1"/>
  <c r="J777" i="2"/>
  <c r="K777" i="2" s="1"/>
  <c r="J797" i="2"/>
  <c r="K797" i="2" s="1"/>
  <c r="M797" i="2" s="1"/>
  <c r="N797" i="2" s="1"/>
  <c r="O797" i="2" s="1"/>
  <c r="J798" i="2"/>
  <c r="K798" i="2" s="1"/>
  <c r="M798" i="2" s="1"/>
  <c r="N798" i="2" s="1"/>
  <c r="O798" i="2" s="1"/>
  <c r="J809" i="2"/>
  <c r="K809" i="2" s="1"/>
  <c r="M809" i="2" s="1"/>
  <c r="N809" i="2" s="1"/>
  <c r="O809" i="2" s="1"/>
  <c r="M816" i="2"/>
  <c r="N816" i="2" s="1"/>
  <c r="O816" i="2" s="1"/>
  <c r="M819" i="2"/>
  <c r="N819" i="2" s="1"/>
  <c r="O819" i="2" s="1"/>
  <c r="J825" i="2"/>
  <c r="K825" i="2" s="1"/>
  <c r="M835" i="2"/>
  <c r="N835" i="2" s="1"/>
  <c r="O835" i="2" s="1"/>
  <c r="M837" i="2"/>
  <c r="N837" i="2" s="1"/>
  <c r="O837" i="2" s="1"/>
  <c r="J841" i="2"/>
  <c r="K841" i="2" s="1"/>
  <c r="M851" i="2"/>
  <c r="N851" i="2" s="1"/>
  <c r="O851" i="2" s="1"/>
  <c r="J857" i="2"/>
  <c r="K857" i="2" s="1"/>
  <c r="M857" i="2" s="1"/>
  <c r="N857" i="2" s="1"/>
  <c r="O857" i="2" s="1"/>
  <c r="M864" i="2"/>
  <c r="N864" i="2" s="1"/>
  <c r="O864" i="2" s="1"/>
  <c r="J873" i="2"/>
  <c r="K873" i="2" s="1"/>
  <c r="J887" i="2"/>
  <c r="K887" i="2" s="1"/>
  <c r="M887" i="2" s="1"/>
  <c r="N887" i="2" s="1"/>
  <c r="O887" i="2" s="1"/>
  <c r="M889" i="2"/>
  <c r="N889" i="2" s="1"/>
  <c r="O889" i="2" s="1"/>
  <c r="J917" i="2"/>
  <c r="K917" i="2" s="1"/>
  <c r="J939" i="2"/>
  <c r="K939" i="2" s="1"/>
  <c r="J947" i="2"/>
  <c r="K947" i="2" s="1"/>
  <c r="M947" i="2" s="1"/>
  <c r="N947" i="2" s="1"/>
  <c r="O947" i="2" s="1"/>
  <c r="M988" i="2"/>
  <c r="N988" i="2" s="1"/>
  <c r="O988" i="2" s="1"/>
  <c r="M1093" i="2"/>
  <c r="N1093" i="2" s="1"/>
  <c r="O1093" i="2" s="1"/>
  <c r="M1258" i="2"/>
  <c r="N1258" i="2" s="1"/>
  <c r="O1258" i="2" s="1"/>
  <c r="M1336" i="2"/>
  <c r="N1336" i="2" s="1"/>
  <c r="O1336" i="2" s="1"/>
  <c r="J714" i="2"/>
  <c r="K714" i="2" s="1"/>
  <c r="J742" i="2"/>
  <c r="K742" i="2" s="1"/>
  <c r="J746" i="2"/>
  <c r="K746" i="2" s="1"/>
  <c r="M746" i="2" s="1"/>
  <c r="N746" i="2" s="1"/>
  <c r="O746" i="2" s="1"/>
  <c r="J770" i="2"/>
  <c r="K770" i="2" s="1"/>
  <c r="M770" i="2" s="1"/>
  <c r="N770" i="2" s="1"/>
  <c r="O770" i="2" s="1"/>
  <c r="J774" i="2"/>
  <c r="K774" i="2" s="1"/>
  <c r="M777" i="2"/>
  <c r="N777" i="2" s="1"/>
  <c r="O777" i="2" s="1"/>
  <c r="J793" i="2"/>
  <c r="K793" i="2" s="1"/>
  <c r="M793" i="2" s="1"/>
  <c r="N793" i="2" s="1"/>
  <c r="O793" i="2" s="1"/>
  <c r="J801" i="2"/>
  <c r="K801" i="2" s="1"/>
  <c r="M801" i="2" s="1"/>
  <c r="N801" i="2" s="1"/>
  <c r="O801" i="2" s="1"/>
  <c r="J818" i="2"/>
  <c r="K818" i="2" s="1"/>
  <c r="M818" i="2" s="1"/>
  <c r="N818" i="2" s="1"/>
  <c r="O818" i="2" s="1"/>
  <c r="J834" i="2"/>
  <c r="K834" i="2" s="1"/>
  <c r="M834" i="2" s="1"/>
  <c r="N834" i="2" s="1"/>
  <c r="O834" i="2" s="1"/>
  <c r="J850" i="2"/>
  <c r="K850" i="2" s="1"/>
  <c r="M850" i="2" s="1"/>
  <c r="N850" i="2" s="1"/>
  <c r="O850" i="2" s="1"/>
  <c r="J866" i="2"/>
  <c r="K866" i="2" s="1"/>
  <c r="M866" i="2" s="1"/>
  <c r="N866" i="2" s="1"/>
  <c r="O866" i="2" s="1"/>
  <c r="J912" i="2"/>
  <c r="K912" i="2" s="1"/>
  <c r="M917" i="2"/>
  <c r="N917" i="2" s="1"/>
  <c r="O917" i="2" s="1"/>
  <c r="M919" i="2"/>
  <c r="N919" i="2" s="1"/>
  <c r="O919" i="2" s="1"/>
  <c r="M928" i="2"/>
  <c r="N928" i="2" s="1"/>
  <c r="O928" i="2" s="1"/>
  <c r="M929" i="2"/>
  <c r="N929" i="2" s="1"/>
  <c r="O929" i="2" s="1"/>
  <c r="M967" i="2"/>
  <c r="N967" i="2" s="1"/>
  <c r="O967" i="2" s="1"/>
  <c r="M970" i="2"/>
  <c r="N970" i="2" s="1"/>
  <c r="O970" i="2" s="1"/>
  <c r="M998" i="2"/>
  <c r="N998" i="2" s="1"/>
  <c r="O998" i="2" s="1"/>
  <c r="M1006" i="2"/>
  <c r="N1006" i="2" s="1"/>
  <c r="O1006" i="2" s="1"/>
  <c r="M1029" i="2"/>
  <c r="N1029" i="2" s="1"/>
  <c r="O1029" i="2" s="1"/>
  <c r="M1152" i="2"/>
  <c r="N1152" i="2" s="1"/>
  <c r="O1152" i="2" s="1"/>
  <c r="M1246" i="2"/>
  <c r="N1246" i="2" s="1"/>
  <c r="O1246" i="2" s="1"/>
  <c r="M1249" i="2"/>
  <c r="N1249" i="2" s="1"/>
  <c r="O1249" i="2" s="1"/>
  <c r="J745" i="2"/>
  <c r="K745" i="2" s="1"/>
  <c r="J769" i="2"/>
  <c r="K769" i="2" s="1"/>
  <c r="M786" i="2"/>
  <c r="N786" i="2" s="1"/>
  <c r="O786" i="2" s="1"/>
  <c r="M807" i="2"/>
  <c r="N807" i="2" s="1"/>
  <c r="O807" i="2" s="1"/>
  <c r="M823" i="2"/>
  <c r="N823" i="2" s="1"/>
  <c r="O823" i="2" s="1"/>
  <c r="M839" i="2"/>
  <c r="N839" i="2" s="1"/>
  <c r="O839" i="2" s="1"/>
  <c r="M855" i="2"/>
  <c r="N855" i="2" s="1"/>
  <c r="O855" i="2" s="1"/>
  <c r="M871" i="2"/>
  <c r="N871" i="2" s="1"/>
  <c r="O871" i="2" s="1"/>
  <c r="J875" i="2"/>
  <c r="K875" i="2" s="1"/>
  <c r="M877" i="2"/>
  <c r="N877" i="2" s="1"/>
  <c r="O877" i="2" s="1"/>
  <c r="J883" i="2"/>
  <c r="K883" i="2" s="1"/>
  <c r="M886" i="2"/>
  <c r="N886" i="2" s="1"/>
  <c r="O886" i="2" s="1"/>
  <c r="M890" i="2"/>
  <c r="N890" i="2" s="1"/>
  <c r="O890" i="2" s="1"/>
  <c r="J908" i="2"/>
  <c r="K908" i="2" s="1"/>
  <c r="M908" i="2" s="1"/>
  <c r="N908" i="2" s="1"/>
  <c r="O908" i="2" s="1"/>
  <c r="J911" i="2"/>
  <c r="K911" i="2" s="1"/>
  <c r="M946" i="2"/>
  <c r="N946" i="2" s="1"/>
  <c r="O946" i="2" s="1"/>
  <c r="M953" i="2"/>
  <c r="N953" i="2" s="1"/>
  <c r="O953" i="2" s="1"/>
  <c r="M962" i="2"/>
  <c r="N962" i="2" s="1"/>
  <c r="O962" i="2" s="1"/>
  <c r="M973" i="2"/>
  <c r="N973" i="2" s="1"/>
  <c r="O973" i="2" s="1"/>
  <c r="M990" i="2"/>
  <c r="N990" i="2" s="1"/>
  <c r="O990" i="2" s="1"/>
  <c r="M1053" i="2"/>
  <c r="N1053" i="2" s="1"/>
  <c r="O1053" i="2" s="1"/>
  <c r="M731" i="2"/>
  <c r="N731" i="2" s="1"/>
  <c r="O731" i="2" s="1"/>
  <c r="M742" i="2"/>
  <c r="N742" i="2" s="1"/>
  <c r="O742" i="2" s="1"/>
  <c r="M745" i="2"/>
  <c r="N745" i="2" s="1"/>
  <c r="O745" i="2" s="1"/>
  <c r="M748" i="2"/>
  <c r="N748" i="2" s="1"/>
  <c r="O748" i="2" s="1"/>
  <c r="M752" i="2"/>
  <c r="N752" i="2" s="1"/>
  <c r="O752" i="2" s="1"/>
  <c r="M776" i="2"/>
  <c r="N776" i="2" s="1"/>
  <c r="O776" i="2" s="1"/>
  <c r="M799" i="2"/>
  <c r="N799" i="2" s="1"/>
  <c r="O799" i="2" s="1"/>
  <c r="M849" i="2"/>
  <c r="N849" i="2" s="1"/>
  <c r="O849" i="2" s="1"/>
  <c r="M883" i="2"/>
  <c r="N883" i="2" s="1"/>
  <c r="O883" i="2" s="1"/>
  <c r="M914" i="2"/>
  <c r="N914" i="2" s="1"/>
  <c r="O914" i="2" s="1"/>
  <c r="M930" i="2"/>
  <c r="N930" i="2" s="1"/>
  <c r="O930" i="2" s="1"/>
  <c r="M934" i="2"/>
  <c r="N934" i="2" s="1"/>
  <c r="O934" i="2" s="1"/>
  <c r="M949" i="2"/>
  <c r="N949" i="2" s="1"/>
  <c r="O949" i="2" s="1"/>
  <c r="M965" i="2"/>
  <c r="N965" i="2" s="1"/>
  <c r="O965" i="2" s="1"/>
  <c r="M969" i="2"/>
  <c r="N969" i="2" s="1"/>
  <c r="O969" i="2" s="1"/>
  <c r="M1000" i="2"/>
  <c r="N1000" i="2" s="1"/>
  <c r="O1000" i="2" s="1"/>
  <c r="M1005" i="2"/>
  <c r="N1005" i="2" s="1"/>
  <c r="O1005" i="2" s="1"/>
  <c r="M1028" i="2"/>
  <c r="N1028" i="2" s="1"/>
  <c r="O1028" i="2" s="1"/>
  <c r="M1041" i="2"/>
  <c r="N1041" i="2" s="1"/>
  <c r="O1041" i="2" s="1"/>
  <c r="M1118" i="2"/>
  <c r="N1118" i="2" s="1"/>
  <c r="O1118" i="2" s="1"/>
  <c r="M1150" i="2"/>
  <c r="N1150" i="2" s="1"/>
  <c r="O1150" i="2" s="1"/>
  <c r="J699" i="2"/>
  <c r="K699" i="2" s="1"/>
  <c r="M699" i="2" s="1"/>
  <c r="N699" i="2" s="1"/>
  <c r="O699" i="2" s="1"/>
  <c r="J702" i="2"/>
  <c r="K702" i="2" s="1"/>
  <c r="M710" i="2"/>
  <c r="N710" i="2" s="1"/>
  <c r="O710" i="2" s="1"/>
  <c r="M714" i="2"/>
  <c r="N714" i="2" s="1"/>
  <c r="O714" i="2" s="1"/>
  <c r="J726" i="2"/>
  <c r="K726" i="2" s="1"/>
  <c r="J737" i="2"/>
  <c r="K737" i="2" s="1"/>
  <c r="M741" i="2"/>
  <c r="N741" i="2" s="1"/>
  <c r="O741" i="2" s="1"/>
  <c r="M757" i="2"/>
  <c r="N757" i="2" s="1"/>
  <c r="O757" i="2" s="1"/>
  <c r="J761" i="2"/>
  <c r="K761" i="2" s="1"/>
  <c r="M761" i="2" s="1"/>
  <c r="N761" i="2" s="1"/>
  <c r="O761" i="2" s="1"/>
  <c r="M792" i="2"/>
  <c r="N792" i="2" s="1"/>
  <c r="O792" i="2" s="1"/>
  <c r="M796" i="2"/>
  <c r="N796" i="2" s="1"/>
  <c r="O796" i="2" s="1"/>
  <c r="M808" i="2"/>
  <c r="N808" i="2" s="1"/>
  <c r="O808" i="2" s="1"/>
  <c r="M810" i="2"/>
  <c r="N810" i="2" s="1"/>
  <c r="O810" i="2" s="1"/>
  <c r="M811" i="2"/>
  <c r="N811" i="2" s="1"/>
  <c r="O811" i="2" s="1"/>
  <c r="J817" i="2"/>
  <c r="K817" i="2" s="1"/>
  <c r="M826" i="2"/>
  <c r="N826" i="2" s="1"/>
  <c r="O826" i="2" s="1"/>
  <c r="M827" i="2"/>
  <c r="N827" i="2" s="1"/>
  <c r="O827" i="2" s="1"/>
  <c r="M829" i="2"/>
  <c r="N829" i="2" s="1"/>
  <c r="O829" i="2" s="1"/>
  <c r="J833" i="2"/>
  <c r="K833" i="2" s="1"/>
  <c r="M840" i="2"/>
  <c r="N840" i="2" s="1"/>
  <c r="O840" i="2" s="1"/>
  <c r="J849" i="2"/>
  <c r="K849" i="2" s="1"/>
  <c r="M856" i="2"/>
  <c r="N856" i="2" s="1"/>
  <c r="O856" i="2" s="1"/>
  <c r="M859" i="2"/>
  <c r="N859" i="2" s="1"/>
  <c r="O859" i="2" s="1"/>
  <c r="M861" i="2"/>
  <c r="N861" i="2" s="1"/>
  <c r="O861" i="2" s="1"/>
  <c r="J865" i="2"/>
  <c r="K865" i="2" s="1"/>
  <c r="M865" i="2" s="1"/>
  <c r="N865" i="2" s="1"/>
  <c r="O865" i="2" s="1"/>
  <c r="M872" i="2"/>
  <c r="N872" i="2" s="1"/>
  <c r="O872" i="2" s="1"/>
  <c r="M874" i="2"/>
  <c r="N874" i="2" s="1"/>
  <c r="O874" i="2" s="1"/>
  <c r="J880" i="2"/>
  <c r="K880" i="2" s="1"/>
  <c r="M888" i="2"/>
  <c r="N888" i="2" s="1"/>
  <c r="O888" i="2" s="1"/>
  <c r="M897" i="2"/>
  <c r="N897" i="2" s="1"/>
  <c r="O897" i="2" s="1"/>
  <c r="M902" i="2"/>
  <c r="N902" i="2" s="1"/>
  <c r="O902" i="2" s="1"/>
  <c r="M907" i="2"/>
  <c r="N907" i="2" s="1"/>
  <c r="O907" i="2" s="1"/>
  <c r="M913" i="2"/>
  <c r="N913" i="2" s="1"/>
  <c r="O913" i="2" s="1"/>
  <c r="M916" i="2"/>
  <c r="N916" i="2" s="1"/>
  <c r="O916" i="2" s="1"/>
  <c r="M922" i="2"/>
  <c r="N922" i="2" s="1"/>
  <c r="O922" i="2" s="1"/>
  <c r="M926" i="2"/>
  <c r="N926" i="2" s="1"/>
  <c r="O926" i="2" s="1"/>
  <c r="M931" i="2"/>
  <c r="N931" i="2" s="1"/>
  <c r="O931" i="2" s="1"/>
  <c r="M940" i="2"/>
  <c r="N940" i="2" s="1"/>
  <c r="O940" i="2" s="1"/>
  <c r="M950" i="2"/>
  <c r="N950" i="2" s="1"/>
  <c r="O950" i="2" s="1"/>
  <c r="M966" i="2"/>
  <c r="N966" i="2" s="1"/>
  <c r="O966" i="2" s="1"/>
  <c r="M986" i="2"/>
  <c r="N986" i="2" s="1"/>
  <c r="O986" i="2" s="1"/>
  <c r="M1038" i="2"/>
  <c r="N1038" i="2" s="1"/>
  <c r="O1038" i="2" s="1"/>
  <c r="M1160" i="2"/>
  <c r="N1160" i="2" s="1"/>
  <c r="O1160" i="2" s="1"/>
  <c r="J909" i="2"/>
  <c r="K909" i="2" s="1"/>
  <c r="M909" i="2" s="1"/>
  <c r="N909" i="2" s="1"/>
  <c r="O909" i="2" s="1"/>
  <c r="M1075" i="2"/>
  <c r="N1075" i="2" s="1"/>
  <c r="O1075" i="2" s="1"/>
  <c r="M1102" i="2"/>
  <c r="N1102" i="2" s="1"/>
  <c r="O1102" i="2" s="1"/>
  <c r="M1107" i="2"/>
  <c r="N1107" i="2" s="1"/>
  <c r="O1107" i="2" s="1"/>
  <c r="M1134" i="2"/>
  <c r="N1134" i="2" s="1"/>
  <c r="O1134" i="2" s="1"/>
  <c r="M1154" i="2"/>
  <c r="N1154" i="2" s="1"/>
  <c r="O1154" i="2" s="1"/>
  <c r="M1188" i="2"/>
  <c r="N1188" i="2" s="1"/>
  <c r="O1188" i="2" s="1"/>
  <c r="M1209" i="2"/>
  <c r="N1209" i="2" s="1"/>
  <c r="O1209" i="2" s="1"/>
  <c r="M1252" i="2"/>
  <c r="N1252" i="2" s="1"/>
  <c r="O1252" i="2" s="1"/>
  <c r="M1281" i="2"/>
  <c r="N1281" i="2" s="1"/>
  <c r="O1281" i="2" s="1"/>
  <c r="M896" i="2"/>
  <c r="N896" i="2" s="1"/>
  <c r="O896" i="2" s="1"/>
  <c r="J901" i="2"/>
  <c r="K901" i="2" s="1"/>
  <c r="M901" i="2" s="1"/>
  <c r="N901" i="2" s="1"/>
  <c r="O901" i="2" s="1"/>
  <c r="M923" i="2"/>
  <c r="N923" i="2" s="1"/>
  <c r="O923" i="2" s="1"/>
  <c r="J956" i="2"/>
  <c r="K956" i="2" s="1"/>
  <c r="M971" i="2"/>
  <c r="N971" i="2" s="1"/>
  <c r="O971" i="2" s="1"/>
  <c r="M982" i="2"/>
  <c r="N982" i="2" s="1"/>
  <c r="O982" i="2" s="1"/>
  <c r="M983" i="2"/>
  <c r="N983" i="2" s="1"/>
  <c r="O983" i="2" s="1"/>
  <c r="M985" i="2"/>
  <c r="N985" i="2" s="1"/>
  <c r="O985" i="2" s="1"/>
  <c r="M1017" i="2"/>
  <c r="N1017" i="2" s="1"/>
  <c r="O1017" i="2" s="1"/>
  <c r="M1018" i="2"/>
  <c r="N1018" i="2" s="1"/>
  <c r="O1018" i="2" s="1"/>
  <c r="M1021" i="2"/>
  <c r="N1021" i="2" s="1"/>
  <c r="O1021" i="2" s="1"/>
  <c r="M1050" i="2"/>
  <c r="N1050" i="2" s="1"/>
  <c r="O1050" i="2" s="1"/>
  <c r="M1051" i="2"/>
  <c r="N1051" i="2" s="1"/>
  <c r="O1051" i="2" s="1"/>
  <c r="M1081" i="2"/>
  <c r="N1081" i="2" s="1"/>
  <c r="O1081" i="2" s="1"/>
  <c r="J1105" i="2"/>
  <c r="K1105" i="2" s="1"/>
  <c r="M1105" i="2" s="1"/>
  <c r="N1105" i="2" s="1"/>
  <c r="O1105" i="2" s="1"/>
  <c r="M1113" i="2"/>
  <c r="N1113" i="2" s="1"/>
  <c r="O1113" i="2" s="1"/>
  <c r="M1117" i="2"/>
  <c r="N1117" i="2" s="1"/>
  <c r="O1117" i="2" s="1"/>
  <c r="J1125" i="2"/>
  <c r="K1125" i="2" s="1"/>
  <c r="M1125" i="2" s="1"/>
  <c r="N1125" i="2" s="1"/>
  <c r="O1125" i="2" s="1"/>
  <c r="M1139" i="2"/>
  <c r="N1139" i="2" s="1"/>
  <c r="O1139" i="2" s="1"/>
  <c r="M1182" i="2"/>
  <c r="N1182" i="2" s="1"/>
  <c r="O1182" i="2" s="1"/>
  <c r="M1189" i="2"/>
  <c r="N1189" i="2" s="1"/>
  <c r="O1189" i="2" s="1"/>
  <c r="M1204" i="2"/>
  <c r="N1204" i="2" s="1"/>
  <c r="O1204" i="2" s="1"/>
  <c r="J1228" i="2"/>
  <c r="K1228" i="2" s="1"/>
  <c r="M1228" i="2" s="1"/>
  <c r="N1228" i="2" s="1"/>
  <c r="O1228" i="2" s="1"/>
  <c r="M1284" i="2"/>
  <c r="N1284" i="2" s="1"/>
  <c r="O1284" i="2" s="1"/>
  <c r="M1288" i="2"/>
  <c r="N1288" i="2" s="1"/>
  <c r="O1288" i="2" s="1"/>
  <c r="M1290" i="2"/>
  <c r="N1290" i="2" s="1"/>
  <c r="O1290" i="2" s="1"/>
  <c r="M1330" i="2"/>
  <c r="N1330" i="2" s="1"/>
  <c r="O1330" i="2" s="1"/>
  <c r="M1348" i="2"/>
  <c r="N1348" i="2" s="1"/>
  <c r="O1348" i="2" s="1"/>
  <c r="M1357" i="2"/>
  <c r="N1357" i="2" s="1"/>
  <c r="O1357" i="2" s="1"/>
  <c r="M1368" i="2"/>
  <c r="N1368" i="2" s="1"/>
  <c r="O1368" i="2" s="1"/>
  <c r="M1467" i="2"/>
  <c r="N1467" i="2" s="1"/>
  <c r="O1467" i="2" s="1"/>
  <c r="M1764" i="2"/>
  <c r="N1764" i="2" s="1"/>
  <c r="O1764" i="2" s="1"/>
  <c r="J893" i="2"/>
  <c r="K893" i="2" s="1"/>
  <c r="M893" i="2" s="1"/>
  <c r="N893" i="2" s="1"/>
  <c r="O893" i="2" s="1"/>
  <c r="J963" i="2"/>
  <c r="K963" i="2" s="1"/>
  <c r="J988" i="2"/>
  <c r="K988" i="2" s="1"/>
  <c r="M1022" i="2"/>
  <c r="N1022" i="2" s="1"/>
  <c r="O1022" i="2" s="1"/>
  <c r="M1054" i="2"/>
  <c r="N1054" i="2" s="1"/>
  <c r="O1054" i="2" s="1"/>
  <c r="M1067" i="2"/>
  <c r="N1067" i="2" s="1"/>
  <c r="O1067" i="2" s="1"/>
  <c r="M1085" i="2"/>
  <c r="N1085" i="2" s="1"/>
  <c r="O1085" i="2" s="1"/>
  <c r="J1092" i="2"/>
  <c r="K1092" i="2" s="1"/>
  <c r="M1099" i="2"/>
  <c r="N1099" i="2" s="1"/>
  <c r="O1099" i="2" s="1"/>
  <c r="M1103" i="2"/>
  <c r="N1103" i="2" s="1"/>
  <c r="O1103" i="2" s="1"/>
  <c r="M1233" i="2"/>
  <c r="N1233" i="2" s="1"/>
  <c r="O1233" i="2" s="1"/>
  <c r="M1313" i="2"/>
  <c r="N1313" i="2" s="1"/>
  <c r="O1313" i="2" s="1"/>
  <c r="M1321" i="2"/>
  <c r="N1321" i="2" s="1"/>
  <c r="O1321" i="2" s="1"/>
  <c r="M1571" i="2"/>
  <c r="N1571" i="2" s="1"/>
  <c r="O1571" i="2" s="1"/>
  <c r="J885" i="2"/>
  <c r="K885" i="2" s="1"/>
  <c r="J949" i="2"/>
  <c r="K949" i="2" s="1"/>
  <c r="M1059" i="2"/>
  <c r="N1059" i="2" s="1"/>
  <c r="O1059" i="2" s="1"/>
  <c r="M1096" i="2"/>
  <c r="N1096" i="2" s="1"/>
  <c r="O1096" i="2" s="1"/>
  <c r="J1129" i="2"/>
  <c r="K1129" i="2" s="1"/>
  <c r="M1129" i="2" s="1"/>
  <c r="N1129" i="2" s="1"/>
  <c r="O1129" i="2" s="1"/>
  <c r="M1137" i="2"/>
  <c r="N1137" i="2" s="1"/>
  <c r="O1137" i="2" s="1"/>
  <c r="M1147" i="2"/>
  <c r="N1147" i="2" s="1"/>
  <c r="O1147" i="2" s="1"/>
  <c r="M1155" i="2"/>
  <c r="N1155" i="2" s="1"/>
  <c r="O1155" i="2" s="1"/>
  <c r="M1169" i="2"/>
  <c r="N1169" i="2" s="1"/>
  <c r="O1169" i="2" s="1"/>
  <c r="M1236" i="2"/>
  <c r="N1236" i="2" s="1"/>
  <c r="O1236" i="2" s="1"/>
  <c r="M1242" i="2"/>
  <c r="N1242" i="2" s="1"/>
  <c r="O1242" i="2" s="1"/>
  <c r="M1265" i="2"/>
  <c r="N1265" i="2" s="1"/>
  <c r="O1265" i="2" s="1"/>
  <c r="M1277" i="2"/>
  <c r="N1277" i="2" s="1"/>
  <c r="O1277" i="2" s="1"/>
  <c r="M1345" i="2"/>
  <c r="N1345" i="2" s="1"/>
  <c r="O1345" i="2" s="1"/>
  <c r="M1353" i="2"/>
  <c r="N1353" i="2" s="1"/>
  <c r="O1353" i="2" s="1"/>
  <c r="M1748" i="2"/>
  <c r="N1748" i="2" s="1"/>
  <c r="O1748" i="2" s="1"/>
  <c r="J877" i="2"/>
  <c r="K877" i="2" s="1"/>
  <c r="M911" i="2"/>
  <c r="N911" i="2" s="1"/>
  <c r="O911" i="2" s="1"/>
  <c r="J941" i="2"/>
  <c r="K941" i="2" s="1"/>
  <c r="M952" i="2"/>
  <c r="N952" i="2" s="1"/>
  <c r="O952" i="2" s="1"/>
  <c r="M956" i="2"/>
  <c r="N956" i="2" s="1"/>
  <c r="O956" i="2" s="1"/>
  <c r="M963" i="2"/>
  <c r="N963" i="2" s="1"/>
  <c r="O963" i="2" s="1"/>
  <c r="M976" i="2"/>
  <c r="N976" i="2" s="1"/>
  <c r="O976" i="2" s="1"/>
  <c r="M1001" i="2"/>
  <c r="N1001" i="2" s="1"/>
  <c r="O1001" i="2" s="1"/>
  <c r="M1002" i="2"/>
  <c r="N1002" i="2" s="1"/>
  <c r="O1002" i="2" s="1"/>
  <c r="M1008" i="2"/>
  <c r="N1008" i="2" s="1"/>
  <c r="O1008" i="2" s="1"/>
  <c r="M1012" i="2"/>
  <c r="N1012" i="2" s="1"/>
  <c r="O1012" i="2" s="1"/>
  <c r="M1024" i="2"/>
  <c r="N1024" i="2" s="1"/>
  <c r="O1024" i="2" s="1"/>
  <c r="M1044" i="2"/>
  <c r="N1044" i="2" s="1"/>
  <c r="O1044" i="2" s="1"/>
  <c r="M1056" i="2"/>
  <c r="N1056" i="2" s="1"/>
  <c r="O1056" i="2" s="1"/>
  <c r="M1058" i="2"/>
  <c r="N1058" i="2" s="1"/>
  <c r="O1058" i="2" s="1"/>
  <c r="M1077" i="2"/>
  <c r="N1077" i="2" s="1"/>
  <c r="O1077" i="2" s="1"/>
  <c r="M1095" i="2"/>
  <c r="N1095" i="2" s="1"/>
  <c r="O1095" i="2" s="1"/>
  <c r="M1127" i="2"/>
  <c r="N1127" i="2" s="1"/>
  <c r="O1127" i="2" s="1"/>
  <c r="M1142" i="2"/>
  <c r="N1142" i="2" s="1"/>
  <c r="O1142" i="2" s="1"/>
  <c r="M1151" i="2"/>
  <c r="N1151" i="2" s="1"/>
  <c r="O1151" i="2" s="1"/>
  <c r="M1153" i="2"/>
  <c r="N1153" i="2" s="1"/>
  <c r="O1153" i="2" s="1"/>
  <c r="M1191" i="2"/>
  <c r="N1191" i="2" s="1"/>
  <c r="O1191" i="2" s="1"/>
  <c r="M1203" i="2"/>
  <c r="N1203" i="2" s="1"/>
  <c r="O1203" i="2" s="1"/>
  <c r="J1212" i="2"/>
  <c r="K1212" i="2" s="1"/>
  <c r="M1212" i="2" s="1"/>
  <c r="N1212" i="2" s="1"/>
  <c r="O1212" i="2" s="1"/>
  <c r="M1268" i="2"/>
  <c r="N1268" i="2" s="1"/>
  <c r="O1268" i="2" s="1"/>
  <c r="M1272" i="2"/>
  <c r="N1272" i="2" s="1"/>
  <c r="O1272" i="2" s="1"/>
  <c r="M1346" i="2"/>
  <c r="N1346" i="2" s="1"/>
  <c r="O1346" i="2" s="1"/>
  <c r="M1519" i="2"/>
  <c r="N1519" i="2" s="1"/>
  <c r="O1519" i="2" s="1"/>
  <c r="M1630" i="2"/>
  <c r="N1630" i="2" s="1"/>
  <c r="O1630" i="2" s="1"/>
  <c r="J933" i="2"/>
  <c r="K933" i="2" s="1"/>
  <c r="M933" i="2" s="1"/>
  <c r="N933" i="2" s="1"/>
  <c r="O933" i="2" s="1"/>
  <c r="M977" i="2"/>
  <c r="N977" i="2" s="1"/>
  <c r="O977" i="2" s="1"/>
  <c r="M978" i="2"/>
  <c r="N978" i="2" s="1"/>
  <c r="O978" i="2" s="1"/>
  <c r="J980" i="2"/>
  <c r="K980" i="2" s="1"/>
  <c r="M980" i="2" s="1"/>
  <c r="N980" i="2" s="1"/>
  <c r="O980" i="2" s="1"/>
  <c r="M1003" i="2"/>
  <c r="N1003" i="2" s="1"/>
  <c r="O1003" i="2" s="1"/>
  <c r="M1007" i="2"/>
  <c r="N1007" i="2" s="1"/>
  <c r="O1007" i="2" s="1"/>
  <c r="M1023" i="2"/>
  <c r="N1023" i="2" s="1"/>
  <c r="O1023" i="2" s="1"/>
  <c r="J1028" i="2"/>
  <c r="K1028" i="2" s="1"/>
  <c r="M1033" i="2"/>
  <c r="N1033" i="2" s="1"/>
  <c r="O1033" i="2" s="1"/>
  <c r="M1034" i="2"/>
  <c r="N1034" i="2" s="1"/>
  <c r="O1034" i="2" s="1"/>
  <c r="M1035" i="2"/>
  <c r="N1035" i="2" s="1"/>
  <c r="O1035" i="2" s="1"/>
  <c r="M1057" i="2"/>
  <c r="N1057" i="2" s="1"/>
  <c r="O1057" i="2" s="1"/>
  <c r="M1065" i="2"/>
  <c r="N1065" i="2" s="1"/>
  <c r="O1065" i="2" s="1"/>
  <c r="J1089" i="2"/>
  <c r="K1089" i="2" s="1"/>
  <c r="M1089" i="2" s="1"/>
  <c r="N1089" i="2" s="1"/>
  <c r="O1089" i="2" s="1"/>
  <c r="M1092" i="2"/>
  <c r="N1092" i="2" s="1"/>
  <c r="O1092" i="2" s="1"/>
  <c r="M1101" i="2"/>
  <c r="N1101" i="2" s="1"/>
  <c r="O1101" i="2" s="1"/>
  <c r="J1121" i="2"/>
  <c r="K1121" i="2" s="1"/>
  <c r="M1122" i="2"/>
  <c r="N1122" i="2" s="1"/>
  <c r="O1122" i="2" s="1"/>
  <c r="M1157" i="2"/>
  <c r="N1157" i="2" s="1"/>
  <c r="O1157" i="2" s="1"/>
  <c r="M1205" i="2"/>
  <c r="N1205" i="2" s="1"/>
  <c r="O1205" i="2" s="1"/>
  <c r="M1214" i="2"/>
  <c r="N1214" i="2" s="1"/>
  <c r="O1214" i="2" s="1"/>
  <c r="M1221" i="2"/>
  <c r="N1221" i="2" s="1"/>
  <c r="O1221" i="2" s="1"/>
  <c r="M1225" i="2"/>
  <c r="N1225" i="2" s="1"/>
  <c r="O1225" i="2" s="1"/>
  <c r="M1297" i="2"/>
  <c r="N1297" i="2" s="1"/>
  <c r="O1297" i="2" s="1"/>
  <c r="M1344" i="2"/>
  <c r="N1344" i="2" s="1"/>
  <c r="O1344" i="2" s="1"/>
  <c r="J925" i="2"/>
  <c r="K925" i="2" s="1"/>
  <c r="M925" i="2" s="1"/>
  <c r="N925" i="2" s="1"/>
  <c r="O925" i="2" s="1"/>
  <c r="J981" i="2"/>
  <c r="K981" i="2" s="1"/>
  <c r="M981" i="2" s="1"/>
  <c r="N981" i="2" s="1"/>
  <c r="O981" i="2" s="1"/>
  <c r="J995" i="2"/>
  <c r="K995" i="2" s="1"/>
  <c r="M995" i="2" s="1"/>
  <c r="N995" i="2" s="1"/>
  <c r="O995" i="2" s="1"/>
  <c r="M1004" i="2"/>
  <c r="N1004" i="2" s="1"/>
  <c r="O1004" i="2" s="1"/>
  <c r="M1036" i="2"/>
  <c r="N1036" i="2" s="1"/>
  <c r="O1036" i="2" s="1"/>
  <c r="M1069" i="2"/>
  <c r="N1069" i="2" s="1"/>
  <c r="O1069" i="2" s="1"/>
  <c r="M1071" i="2"/>
  <c r="N1071" i="2" s="1"/>
  <c r="O1071" i="2" s="1"/>
  <c r="J1076" i="2"/>
  <c r="K1076" i="2" s="1"/>
  <c r="M1083" i="2"/>
  <c r="N1083" i="2" s="1"/>
  <c r="O1083" i="2" s="1"/>
  <c r="M1172" i="2"/>
  <c r="N1172" i="2" s="1"/>
  <c r="O1172" i="2" s="1"/>
  <c r="M1178" i="2"/>
  <c r="N1178" i="2" s="1"/>
  <c r="O1178" i="2" s="1"/>
  <c r="M1220" i="2"/>
  <c r="N1220" i="2" s="1"/>
  <c r="O1220" i="2" s="1"/>
  <c r="M1226" i="2"/>
  <c r="N1226" i="2" s="1"/>
  <c r="O1226" i="2" s="1"/>
  <c r="J1244" i="2"/>
  <c r="K1244" i="2" s="1"/>
  <c r="M1244" i="2" s="1"/>
  <c r="N1244" i="2" s="1"/>
  <c r="O1244" i="2" s="1"/>
  <c r="M1261" i="2"/>
  <c r="N1261" i="2" s="1"/>
  <c r="O1261" i="2" s="1"/>
  <c r="M1300" i="2"/>
  <c r="N1300" i="2" s="1"/>
  <c r="O1300" i="2" s="1"/>
  <c r="M1315" i="2"/>
  <c r="N1315" i="2" s="1"/>
  <c r="O1315" i="2" s="1"/>
  <c r="M1383" i="2"/>
  <c r="N1383" i="2" s="1"/>
  <c r="O1383" i="2" s="1"/>
  <c r="M1399" i="2"/>
  <c r="N1399" i="2" s="1"/>
  <c r="O1399" i="2" s="1"/>
  <c r="M1555" i="2"/>
  <c r="N1555" i="2" s="1"/>
  <c r="O1555" i="2" s="1"/>
  <c r="M1693" i="2"/>
  <c r="N1693" i="2" s="1"/>
  <c r="O1693" i="2" s="1"/>
  <c r="J1149" i="2"/>
  <c r="K1149" i="2" s="1"/>
  <c r="M1149" i="2" s="1"/>
  <c r="N1149" i="2" s="1"/>
  <c r="O1149" i="2" s="1"/>
  <c r="J1192" i="2"/>
  <c r="K1192" i="2" s="1"/>
  <c r="J1193" i="2"/>
  <c r="K1193" i="2" s="1"/>
  <c r="M1193" i="2" s="1"/>
  <c r="N1193" i="2" s="1"/>
  <c r="O1193" i="2" s="1"/>
  <c r="M1239" i="2"/>
  <c r="N1239" i="2" s="1"/>
  <c r="O1239" i="2" s="1"/>
  <c r="M1253" i="2"/>
  <c r="N1253" i="2" s="1"/>
  <c r="O1253" i="2" s="1"/>
  <c r="M1271" i="2"/>
  <c r="N1271" i="2" s="1"/>
  <c r="O1271" i="2" s="1"/>
  <c r="M1301" i="2"/>
  <c r="N1301" i="2" s="1"/>
  <c r="O1301" i="2" s="1"/>
  <c r="M1303" i="2"/>
  <c r="N1303" i="2" s="1"/>
  <c r="O1303" i="2" s="1"/>
  <c r="M1324" i="2"/>
  <c r="N1324" i="2" s="1"/>
  <c r="O1324" i="2" s="1"/>
  <c r="M1341" i="2"/>
  <c r="N1341" i="2" s="1"/>
  <c r="O1341" i="2" s="1"/>
  <c r="M1343" i="2"/>
  <c r="N1343" i="2" s="1"/>
  <c r="O1343" i="2" s="1"/>
  <c r="J1359" i="2"/>
  <c r="K1359" i="2" s="1"/>
  <c r="M1359" i="2" s="1"/>
  <c r="N1359" i="2" s="1"/>
  <c r="O1359" i="2" s="1"/>
  <c r="M1362" i="2"/>
  <c r="N1362" i="2" s="1"/>
  <c r="O1362" i="2" s="1"/>
  <c r="M1370" i="2"/>
  <c r="N1370" i="2" s="1"/>
  <c r="O1370" i="2" s="1"/>
  <c r="M1375" i="2"/>
  <c r="N1375" i="2" s="1"/>
  <c r="O1375" i="2" s="1"/>
  <c r="M1389" i="2"/>
  <c r="N1389" i="2" s="1"/>
  <c r="O1389" i="2" s="1"/>
  <c r="M1413" i="2"/>
  <c r="N1413" i="2" s="1"/>
  <c r="O1413" i="2" s="1"/>
  <c r="M1480" i="2"/>
  <c r="N1480" i="2" s="1"/>
  <c r="O1480" i="2" s="1"/>
  <c r="M1515" i="2"/>
  <c r="N1515" i="2" s="1"/>
  <c r="O1515" i="2" s="1"/>
  <c r="M1653" i="2"/>
  <c r="N1653" i="2" s="1"/>
  <c r="O1653" i="2" s="1"/>
  <c r="M1661" i="2"/>
  <c r="N1661" i="2" s="1"/>
  <c r="O1661" i="2" s="1"/>
  <c r="M1262" i="2"/>
  <c r="N1262" i="2" s="1"/>
  <c r="O1262" i="2" s="1"/>
  <c r="M1372" i="2"/>
  <c r="N1372" i="2" s="1"/>
  <c r="O1372" i="2" s="1"/>
  <c r="M1392" i="2"/>
  <c r="N1392" i="2" s="1"/>
  <c r="O1392" i="2" s="1"/>
  <c r="M1409" i="2"/>
  <c r="N1409" i="2" s="1"/>
  <c r="O1409" i="2" s="1"/>
  <c r="M1426" i="2"/>
  <c r="N1426" i="2" s="1"/>
  <c r="O1426" i="2" s="1"/>
  <c r="M1454" i="2"/>
  <c r="N1454" i="2" s="1"/>
  <c r="O1454" i="2" s="1"/>
  <c r="M1472" i="2"/>
  <c r="N1472" i="2" s="1"/>
  <c r="O1472" i="2" s="1"/>
  <c r="M1512" i="2"/>
  <c r="N1512" i="2" s="1"/>
  <c r="O1512" i="2" s="1"/>
  <c r="M1645" i="2"/>
  <c r="N1645" i="2" s="1"/>
  <c r="O1645" i="2" s="1"/>
  <c r="M1652" i="2"/>
  <c r="N1652" i="2" s="1"/>
  <c r="O1652" i="2" s="1"/>
  <c r="M1669" i="2"/>
  <c r="N1669" i="2" s="1"/>
  <c r="O1669" i="2" s="1"/>
  <c r="J1141" i="2"/>
  <c r="K1141" i="2" s="1"/>
  <c r="J1173" i="2"/>
  <c r="K1173" i="2" s="1"/>
  <c r="M1173" i="2" s="1"/>
  <c r="N1173" i="2" s="1"/>
  <c r="O1173" i="2" s="1"/>
  <c r="J1184" i="2"/>
  <c r="K1184" i="2" s="1"/>
  <c r="J1195" i="2"/>
  <c r="K1195" i="2" s="1"/>
  <c r="M1195" i="2" s="1"/>
  <c r="N1195" i="2" s="1"/>
  <c r="O1195" i="2" s="1"/>
  <c r="J1197" i="2"/>
  <c r="K1197" i="2" s="1"/>
  <c r="M1197" i="2" s="1"/>
  <c r="N1197" i="2" s="1"/>
  <c r="O1197" i="2" s="1"/>
  <c r="J1200" i="2"/>
  <c r="K1200" i="2" s="1"/>
  <c r="J1216" i="2"/>
  <c r="K1216" i="2" s="1"/>
  <c r="J1232" i="2"/>
  <c r="K1232" i="2" s="1"/>
  <c r="J1248" i="2"/>
  <c r="K1248" i="2" s="1"/>
  <c r="J1264" i="2"/>
  <c r="K1264" i="2" s="1"/>
  <c r="J1280" i="2"/>
  <c r="K1280" i="2" s="1"/>
  <c r="J1296" i="2"/>
  <c r="K1296" i="2" s="1"/>
  <c r="J1312" i="2"/>
  <c r="K1312" i="2" s="1"/>
  <c r="J1333" i="2"/>
  <c r="K1333" i="2" s="1"/>
  <c r="M1333" i="2" s="1"/>
  <c r="N1333" i="2" s="1"/>
  <c r="O1333" i="2" s="1"/>
  <c r="M1340" i="2"/>
  <c r="N1340" i="2" s="1"/>
  <c r="O1340" i="2" s="1"/>
  <c r="J1353" i="2"/>
  <c r="K1353" i="2" s="1"/>
  <c r="J1355" i="2"/>
  <c r="K1355" i="2" s="1"/>
  <c r="J1367" i="2"/>
  <c r="K1367" i="2" s="1"/>
  <c r="M1367" i="2" s="1"/>
  <c r="N1367" i="2" s="1"/>
  <c r="O1367" i="2" s="1"/>
  <c r="M1374" i="2"/>
  <c r="N1374" i="2" s="1"/>
  <c r="O1374" i="2" s="1"/>
  <c r="M1382" i="2"/>
  <c r="N1382" i="2" s="1"/>
  <c r="O1382" i="2" s="1"/>
  <c r="M1425" i="2"/>
  <c r="N1425" i="2" s="1"/>
  <c r="O1425" i="2" s="1"/>
  <c r="M1465" i="2"/>
  <c r="N1465" i="2" s="1"/>
  <c r="O1465" i="2" s="1"/>
  <c r="M1475" i="2"/>
  <c r="N1475" i="2" s="1"/>
  <c r="O1475" i="2" s="1"/>
  <c r="M1796" i="2"/>
  <c r="N1796" i="2" s="1"/>
  <c r="O1796" i="2" s="1"/>
  <c r="M1820" i="2"/>
  <c r="N1820" i="2" s="1"/>
  <c r="O1820" i="2" s="1"/>
  <c r="J1144" i="2"/>
  <c r="K1144" i="2" s="1"/>
  <c r="M1144" i="2" s="1"/>
  <c r="N1144" i="2" s="1"/>
  <c r="O1144" i="2" s="1"/>
  <c r="J1176" i="2"/>
  <c r="K1176" i="2" s="1"/>
  <c r="M1176" i="2" s="1"/>
  <c r="N1176" i="2" s="1"/>
  <c r="O1176" i="2" s="1"/>
  <c r="J1185" i="2"/>
  <c r="K1185" i="2" s="1"/>
  <c r="M1185" i="2" s="1"/>
  <c r="N1185" i="2" s="1"/>
  <c r="O1185" i="2" s="1"/>
  <c r="J1213" i="2"/>
  <c r="K1213" i="2" s="1"/>
  <c r="M1213" i="2" s="1"/>
  <c r="N1213" i="2" s="1"/>
  <c r="O1213" i="2" s="1"/>
  <c r="J1229" i="2"/>
  <c r="K1229" i="2" s="1"/>
  <c r="J1245" i="2"/>
  <c r="K1245" i="2" s="1"/>
  <c r="M1245" i="2" s="1"/>
  <c r="N1245" i="2" s="1"/>
  <c r="O1245" i="2" s="1"/>
  <c r="J1261" i="2"/>
  <c r="K1261" i="2" s="1"/>
  <c r="J1277" i="2"/>
  <c r="K1277" i="2" s="1"/>
  <c r="J1293" i="2"/>
  <c r="K1293" i="2" s="1"/>
  <c r="M1293" i="2" s="1"/>
  <c r="N1293" i="2" s="1"/>
  <c r="O1293" i="2" s="1"/>
  <c r="J1309" i="2"/>
  <c r="K1309" i="2" s="1"/>
  <c r="M1309" i="2" s="1"/>
  <c r="N1309" i="2" s="1"/>
  <c r="O1309" i="2" s="1"/>
  <c r="M1316" i="2"/>
  <c r="N1316" i="2" s="1"/>
  <c r="O1316" i="2" s="1"/>
  <c r="J1329" i="2"/>
  <c r="K1329" i="2" s="1"/>
  <c r="J1331" i="2"/>
  <c r="K1331" i="2" s="1"/>
  <c r="J1352" i="2"/>
  <c r="K1352" i="2" s="1"/>
  <c r="M1388" i="2"/>
  <c r="N1388" i="2" s="1"/>
  <c r="O1388" i="2" s="1"/>
  <c r="M1417" i="2"/>
  <c r="N1417" i="2" s="1"/>
  <c r="O1417" i="2" s="1"/>
  <c r="M1445" i="2"/>
  <c r="N1445" i="2" s="1"/>
  <c r="O1445" i="2" s="1"/>
  <c r="M1488" i="2"/>
  <c r="N1488" i="2" s="1"/>
  <c r="O1488" i="2" s="1"/>
  <c r="M1509" i="2"/>
  <c r="N1509" i="2" s="1"/>
  <c r="O1509" i="2" s="1"/>
  <c r="M1577" i="2"/>
  <c r="N1577" i="2" s="1"/>
  <c r="O1577" i="2" s="1"/>
  <c r="M1616" i="2"/>
  <c r="N1616" i="2" s="1"/>
  <c r="O1616" i="2" s="1"/>
  <c r="M1817" i="2"/>
  <c r="N1817" i="2" s="1"/>
  <c r="O1817" i="2" s="1"/>
  <c r="J1165" i="2"/>
  <c r="K1165" i="2" s="1"/>
  <c r="M1165" i="2" s="1"/>
  <c r="N1165" i="2" s="1"/>
  <c r="O1165" i="2" s="1"/>
  <c r="J1181" i="2"/>
  <c r="K1181" i="2" s="1"/>
  <c r="M1181" i="2" s="1"/>
  <c r="N1181" i="2" s="1"/>
  <c r="O1181" i="2" s="1"/>
  <c r="M1199" i="2"/>
  <c r="N1199" i="2" s="1"/>
  <c r="O1199" i="2" s="1"/>
  <c r="J1328" i="2"/>
  <c r="K1328" i="2" s="1"/>
  <c r="M1329" i="2"/>
  <c r="N1329" i="2" s="1"/>
  <c r="O1329" i="2" s="1"/>
  <c r="M1331" i="2"/>
  <c r="N1331" i="2" s="1"/>
  <c r="O1331" i="2" s="1"/>
  <c r="J1349" i="2"/>
  <c r="K1349" i="2" s="1"/>
  <c r="M1349" i="2" s="1"/>
  <c r="N1349" i="2" s="1"/>
  <c r="O1349" i="2" s="1"/>
  <c r="M1352" i="2"/>
  <c r="N1352" i="2" s="1"/>
  <c r="O1352" i="2" s="1"/>
  <c r="M1356" i="2"/>
  <c r="N1356" i="2" s="1"/>
  <c r="O1356" i="2" s="1"/>
  <c r="M1373" i="2"/>
  <c r="N1373" i="2" s="1"/>
  <c r="O1373" i="2" s="1"/>
  <c r="M1440" i="2"/>
  <c r="N1440" i="2" s="1"/>
  <c r="O1440" i="2" s="1"/>
  <c r="M1485" i="2"/>
  <c r="N1485" i="2" s="1"/>
  <c r="O1485" i="2" s="1"/>
  <c r="M1500" i="2"/>
  <c r="N1500" i="2" s="1"/>
  <c r="O1500" i="2" s="1"/>
  <c r="M1504" i="2"/>
  <c r="N1504" i="2" s="1"/>
  <c r="O1504" i="2" s="1"/>
  <c r="M1522" i="2"/>
  <c r="N1522" i="2" s="1"/>
  <c r="O1522" i="2" s="1"/>
  <c r="M1558" i="2"/>
  <c r="N1558" i="2" s="1"/>
  <c r="O1558" i="2" s="1"/>
  <c r="M1614" i="2"/>
  <c r="N1614" i="2" s="1"/>
  <c r="O1614" i="2" s="1"/>
  <c r="M1699" i="2"/>
  <c r="N1699" i="2" s="1"/>
  <c r="O1699" i="2" s="1"/>
  <c r="J1168" i="2"/>
  <c r="K1168" i="2" s="1"/>
  <c r="M1180" i="2"/>
  <c r="N1180" i="2" s="1"/>
  <c r="O1180" i="2" s="1"/>
  <c r="M1206" i="2"/>
  <c r="N1206" i="2" s="1"/>
  <c r="O1206" i="2" s="1"/>
  <c r="M1215" i="2"/>
  <c r="N1215" i="2" s="1"/>
  <c r="O1215" i="2" s="1"/>
  <c r="M1222" i="2"/>
  <c r="N1222" i="2" s="1"/>
  <c r="O1222" i="2" s="1"/>
  <c r="M1231" i="2"/>
  <c r="N1231" i="2" s="1"/>
  <c r="O1231" i="2" s="1"/>
  <c r="M1247" i="2"/>
  <c r="N1247" i="2" s="1"/>
  <c r="O1247" i="2" s="1"/>
  <c r="M1263" i="2"/>
  <c r="N1263" i="2" s="1"/>
  <c r="O1263" i="2" s="1"/>
  <c r="M1279" i="2"/>
  <c r="N1279" i="2" s="1"/>
  <c r="O1279" i="2" s="1"/>
  <c r="M1295" i="2"/>
  <c r="N1295" i="2" s="1"/>
  <c r="O1295" i="2" s="1"/>
  <c r="M1311" i="2"/>
  <c r="N1311" i="2" s="1"/>
  <c r="O1311" i="2" s="1"/>
  <c r="J1325" i="2"/>
  <c r="K1325" i="2" s="1"/>
  <c r="M1332" i="2"/>
  <c r="N1332" i="2" s="1"/>
  <c r="O1332" i="2" s="1"/>
  <c r="J1347" i="2"/>
  <c r="K1347" i="2" s="1"/>
  <c r="M1347" i="2" s="1"/>
  <c r="N1347" i="2" s="1"/>
  <c r="O1347" i="2" s="1"/>
  <c r="M1351" i="2"/>
  <c r="N1351" i="2" s="1"/>
  <c r="O1351" i="2" s="1"/>
  <c r="M1354" i="2"/>
  <c r="N1354" i="2" s="1"/>
  <c r="O1354" i="2" s="1"/>
  <c r="J1363" i="2"/>
  <c r="K1363" i="2" s="1"/>
  <c r="M1365" i="2"/>
  <c r="N1365" i="2" s="1"/>
  <c r="O1365" i="2" s="1"/>
  <c r="M1366" i="2"/>
  <c r="N1366" i="2" s="1"/>
  <c r="O1366" i="2" s="1"/>
  <c r="M1385" i="2"/>
  <c r="N1385" i="2" s="1"/>
  <c r="O1385" i="2" s="1"/>
  <c r="M1400" i="2"/>
  <c r="N1400" i="2" s="1"/>
  <c r="O1400" i="2" s="1"/>
  <c r="M1430" i="2"/>
  <c r="N1430" i="2" s="1"/>
  <c r="O1430" i="2" s="1"/>
  <c r="M1523" i="2"/>
  <c r="N1523" i="2" s="1"/>
  <c r="O1523" i="2" s="1"/>
  <c r="M1528" i="2"/>
  <c r="N1528" i="2" s="1"/>
  <c r="O1528" i="2" s="1"/>
  <c r="M1156" i="2"/>
  <c r="N1156" i="2" s="1"/>
  <c r="O1156" i="2" s="1"/>
  <c r="M1260" i="2"/>
  <c r="N1260" i="2" s="1"/>
  <c r="O1260" i="2" s="1"/>
  <c r="M1273" i="2"/>
  <c r="N1273" i="2" s="1"/>
  <c r="O1273" i="2" s="1"/>
  <c r="M1276" i="2"/>
  <c r="N1276" i="2" s="1"/>
  <c r="O1276" i="2" s="1"/>
  <c r="M1289" i="2"/>
  <c r="N1289" i="2" s="1"/>
  <c r="O1289" i="2" s="1"/>
  <c r="M1292" i="2"/>
  <c r="N1292" i="2" s="1"/>
  <c r="O1292" i="2" s="1"/>
  <c r="M1305" i="2"/>
  <c r="N1305" i="2" s="1"/>
  <c r="O1305" i="2" s="1"/>
  <c r="M1308" i="2"/>
  <c r="N1308" i="2" s="1"/>
  <c r="O1308" i="2" s="1"/>
  <c r="M1325" i="2"/>
  <c r="N1325" i="2" s="1"/>
  <c r="O1325" i="2" s="1"/>
  <c r="M1364" i="2"/>
  <c r="N1364" i="2" s="1"/>
  <c r="O1364" i="2" s="1"/>
  <c r="M1369" i="2"/>
  <c r="N1369" i="2" s="1"/>
  <c r="O1369" i="2" s="1"/>
  <c r="M1376" i="2"/>
  <c r="N1376" i="2" s="1"/>
  <c r="O1376" i="2" s="1"/>
  <c r="M1396" i="2"/>
  <c r="N1396" i="2" s="1"/>
  <c r="O1396" i="2" s="1"/>
  <c r="M1419" i="2"/>
  <c r="N1419" i="2" s="1"/>
  <c r="O1419" i="2" s="1"/>
  <c r="M1476" i="2"/>
  <c r="N1476" i="2" s="1"/>
  <c r="O1476" i="2" s="1"/>
  <c r="M1483" i="2"/>
  <c r="N1483" i="2" s="1"/>
  <c r="O1483" i="2" s="1"/>
  <c r="M1544" i="2"/>
  <c r="N1544" i="2" s="1"/>
  <c r="O1544" i="2" s="1"/>
  <c r="M1766" i="2"/>
  <c r="N1766" i="2" s="1"/>
  <c r="O1766" i="2" s="1"/>
  <c r="M1461" i="2"/>
  <c r="N1461" i="2" s="1"/>
  <c r="O1461" i="2" s="1"/>
  <c r="M1490" i="2"/>
  <c r="N1490" i="2" s="1"/>
  <c r="O1490" i="2" s="1"/>
  <c r="M1635" i="2"/>
  <c r="N1635" i="2" s="1"/>
  <c r="O1635" i="2" s="1"/>
  <c r="M1667" i="2"/>
  <c r="N1667" i="2" s="1"/>
  <c r="O1667" i="2" s="1"/>
  <c r="M1685" i="2"/>
  <c r="N1685" i="2" s="1"/>
  <c r="O1685" i="2" s="1"/>
  <c r="M1690" i="2"/>
  <c r="N1690" i="2" s="1"/>
  <c r="O1690" i="2" s="1"/>
  <c r="M1698" i="2"/>
  <c r="N1698" i="2" s="1"/>
  <c r="O1698" i="2" s="1"/>
  <c r="M1747" i="2"/>
  <c r="N1747" i="2" s="1"/>
  <c r="O1747" i="2" s="1"/>
  <c r="M1803" i="2"/>
  <c r="N1803" i="2" s="1"/>
  <c r="O1803" i="2" s="1"/>
  <c r="J1415" i="2"/>
  <c r="K1415" i="2" s="1"/>
  <c r="M1415" i="2" s="1"/>
  <c r="N1415" i="2" s="1"/>
  <c r="O1415" i="2" s="1"/>
  <c r="M1421" i="2"/>
  <c r="N1421" i="2" s="1"/>
  <c r="O1421" i="2" s="1"/>
  <c r="M1437" i="2"/>
  <c r="N1437" i="2" s="1"/>
  <c r="O1437" i="2" s="1"/>
  <c r="J1447" i="2"/>
  <c r="K1447" i="2" s="1"/>
  <c r="M1448" i="2"/>
  <c r="N1448" i="2" s="1"/>
  <c r="O1448" i="2" s="1"/>
  <c r="J1459" i="2"/>
  <c r="K1459" i="2" s="1"/>
  <c r="M1459" i="2" s="1"/>
  <c r="N1459" i="2" s="1"/>
  <c r="O1459" i="2" s="1"/>
  <c r="J1464" i="2"/>
  <c r="K1464" i="2" s="1"/>
  <c r="M1464" i="2" s="1"/>
  <c r="N1464" i="2" s="1"/>
  <c r="O1464" i="2" s="1"/>
  <c r="M1466" i="2"/>
  <c r="N1466" i="2" s="1"/>
  <c r="O1466" i="2" s="1"/>
  <c r="J1476" i="2"/>
  <c r="K1476" i="2" s="1"/>
  <c r="M1501" i="2"/>
  <c r="N1501" i="2" s="1"/>
  <c r="O1501" i="2" s="1"/>
  <c r="J1511" i="2"/>
  <c r="K1511" i="2" s="1"/>
  <c r="M1511" i="2" s="1"/>
  <c r="N1511" i="2" s="1"/>
  <c r="O1511" i="2" s="1"/>
  <c r="J1531" i="2"/>
  <c r="K1531" i="2" s="1"/>
  <c r="M1531" i="2" s="1"/>
  <c r="N1531" i="2" s="1"/>
  <c r="O1531" i="2" s="1"/>
  <c r="M1564" i="2"/>
  <c r="N1564" i="2" s="1"/>
  <c r="O1564" i="2" s="1"/>
  <c r="J1575" i="2"/>
  <c r="K1575" i="2" s="1"/>
  <c r="M1575" i="2" s="1"/>
  <c r="N1575" i="2" s="1"/>
  <c r="O1575" i="2" s="1"/>
  <c r="M1597" i="2"/>
  <c r="N1597" i="2" s="1"/>
  <c r="O1597" i="2" s="1"/>
  <c r="M1605" i="2"/>
  <c r="N1605" i="2" s="1"/>
  <c r="O1605" i="2" s="1"/>
  <c r="M1641" i="2"/>
  <c r="N1641" i="2" s="1"/>
  <c r="O1641" i="2" s="1"/>
  <c r="M1649" i="2"/>
  <c r="N1649" i="2" s="1"/>
  <c r="O1649" i="2" s="1"/>
  <c r="M1658" i="2"/>
  <c r="N1658" i="2" s="1"/>
  <c r="O1658" i="2" s="1"/>
  <c r="M1666" i="2"/>
  <c r="N1666" i="2" s="1"/>
  <c r="O1666" i="2" s="1"/>
  <c r="M1687" i="2"/>
  <c r="N1687" i="2" s="1"/>
  <c r="O1687" i="2" s="1"/>
  <c r="M1735" i="2"/>
  <c r="N1735" i="2" s="1"/>
  <c r="O1735" i="2" s="1"/>
  <c r="M1752" i="2"/>
  <c r="N1752" i="2" s="1"/>
  <c r="O1752" i="2" s="1"/>
  <c r="M1792" i="2"/>
  <c r="N1792" i="2" s="1"/>
  <c r="O1792" i="2" s="1"/>
  <c r="M1931" i="2"/>
  <c r="N1931" i="2" s="1"/>
  <c r="O1931" i="2" s="1"/>
  <c r="J1379" i="2"/>
  <c r="K1379" i="2" s="1"/>
  <c r="M1397" i="2"/>
  <c r="N1397" i="2" s="1"/>
  <c r="O1397" i="2" s="1"/>
  <c r="J1412" i="2"/>
  <c r="K1412" i="2" s="1"/>
  <c r="J1435" i="2"/>
  <c r="K1435" i="2" s="1"/>
  <c r="M1435" i="2" s="1"/>
  <c r="N1435" i="2" s="1"/>
  <c r="O1435" i="2" s="1"/>
  <c r="J1440" i="2"/>
  <c r="K1440" i="2" s="1"/>
  <c r="M1442" i="2"/>
  <c r="N1442" i="2" s="1"/>
  <c r="O1442" i="2" s="1"/>
  <c r="J1452" i="2"/>
  <c r="K1452" i="2" s="1"/>
  <c r="M1463" i="2"/>
  <c r="N1463" i="2" s="1"/>
  <c r="O1463" i="2" s="1"/>
  <c r="M1477" i="2"/>
  <c r="N1477" i="2" s="1"/>
  <c r="O1477" i="2" s="1"/>
  <c r="J1487" i="2"/>
  <c r="K1487" i="2" s="1"/>
  <c r="J1499" i="2"/>
  <c r="K1499" i="2" s="1"/>
  <c r="M1499" i="2" s="1"/>
  <c r="N1499" i="2" s="1"/>
  <c r="O1499" i="2" s="1"/>
  <c r="J1504" i="2"/>
  <c r="K1504" i="2" s="1"/>
  <c r="M1506" i="2"/>
  <c r="N1506" i="2" s="1"/>
  <c r="O1506" i="2" s="1"/>
  <c r="J1527" i="2"/>
  <c r="K1527" i="2" s="1"/>
  <c r="M1527" i="2" s="1"/>
  <c r="N1527" i="2" s="1"/>
  <c r="O1527" i="2" s="1"/>
  <c r="J1541" i="2"/>
  <c r="K1541" i="2" s="1"/>
  <c r="M1541" i="2" s="1"/>
  <c r="N1541" i="2" s="1"/>
  <c r="O1541" i="2" s="1"/>
  <c r="M1542" i="2"/>
  <c r="N1542" i="2" s="1"/>
  <c r="O1542" i="2" s="1"/>
  <c r="M1545" i="2"/>
  <c r="N1545" i="2" s="1"/>
  <c r="O1545" i="2" s="1"/>
  <c r="J1547" i="2"/>
  <c r="K1547" i="2" s="1"/>
  <c r="J1559" i="2"/>
  <c r="K1559" i="2" s="1"/>
  <c r="M1559" i="2" s="1"/>
  <c r="N1559" i="2" s="1"/>
  <c r="O1559" i="2" s="1"/>
  <c r="M1568" i="2"/>
  <c r="N1568" i="2" s="1"/>
  <c r="O1568" i="2" s="1"/>
  <c r="M1574" i="2"/>
  <c r="N1574" i="2" s="1"/>
  <c r="O1574" i="2" s="1"/>
  <c r="M1578" i="2"/>
  <c r="N1578" i="2" s="1"/>
  <c r="O1578" i="2" s="1"/>
  <c r="M1581" i="2"/>
  <c r="N1581" i="2" s="1"/>
  <c r="O1581" i="2" s="1"/>
  <c r="M1583" i="2"/>
  <c r="N1583" i="2" s="1"/>
  <c r="O1583" i="2" s="1"/>
  <c r="M1602" i="2"/>
  <c r="N1602" i="2" s="1"/>
  <c r="O1602" i="2" s="1"/>
  <c r="M1638" i="2"/>
  <c r="N1638" i="2" s="1"/>
  <c r="O1638" i="2" s="1"/>
  <c r="M1664" i="2"/>
  <c r="N1664" i="2" s="1"/>
  <c r="O1664" i="2" s="1"/>
  <c r="M1775" i="2"/>
  <c r="N1775" i="2" s="1"/>
  <c r="O1775" i="2" s="1"/>
  <c r="J1380" i="2"/>
  <c r="K1380" i="2" s="1"/>
  <c r="M1380" i="2" s="1"/>
  <c r="N1380" i="2" s="1"/>
  <c r="O1380" i="2" s="1"/>
  <c r="J1391" i="2"/>
  <c r="K1391" i="2" s="1"/>
  <c r="M1391" i="2" s="1"/>
  <c r="N1391" i="2" s="1"/>
  <c r="O1391" i="2" s="1"/>
  <c r="J1392" i="2"/>
  <c r="K1392" i="2" s="1"/>
  <c r="J1408" i="2"/>
  <c r="K1408" i="2" s="1"/>
  <c r="M1408" i="2" s="1"/>
  <c r="N1408" i="2" s="1"/>
  <c r="O1408" i="2" s="1"/>
  <c r="J1411" i="2"/>
  <c r="K1411" i="2" s="1"/>
  <c r="M1411" i="2" s="1"/>
  <c r="N1411" i="2" s="1"/>
  <c r="O1411" i="2" s="1"/>
  <c r="J1428" i="2"/>
  <c r="K1428" i="2" s="1"/>
  <c r="M1428" i="2" s="1"/>
  <c r="N1428" i="2" s="1"/>
  <c r="O1428" i="2" s="1"/>
  <c r="M1453" i="2"/>
  <c r="N1453" i="2" s="1"/>
  <c r="O1453" i="2" s="1"/>
  <c r="M1482" i="2"/>
  <c r="N1482" i="2" s="1"/>
  <c r="O1482" i="2" s="1"/>
  <c r="M1503" i="2"/>
  <c r="N1503" i="2" s="1"/>
  <c r="O1503" i="2" s="1"/>
  <c r="M1530" i="2"/>
  <c r="N1530" i="2" s="1"/>
  <c r="O1530" i="2" s="1"/>
  <c r="M1548" i="2"/>
  <c r="N1548" i="2" s="1"/>
  <c r="O1548" i="2" s="1"/>
  <c r="M1572" i="2"/>
  <c r="N1572" i="2" s="1"/>
  <c r="O1572" i="2" s="1"/>
  <c r="M1590" i="2"/>
  <c r="N1590" i="2" s="1"/>
  <c r="O1590" i="2" s="1"/>
  <c r="M1681" i="2"/>
  <c r="N1681" i="2" s="1"/>
  <c r="O1681" i="2" s="1"/>
  <c r="M1684" i="2"/>
  <c r="N1684" i="2" s="1"/>
  <c r="O1684" i="2" s="1"/>
  <c r="M1714" i="2"/>
  <c r="N1714" i="2" s="1"/>
  <c r="O1714" i="2" s="1"/>
  <c r="M1740" i="2"/>
  <c r="N1740" i="2" s="1"/>
  <c r="O1740" i="2" s="1"/>
  <c r="M1897" i="2"/>
  <c r="N1897" i="2" s="1"/>
  <c r="O1897" i="2" s="1"/>
  <c r="M1913" i="2"/>
  <c r="N1913" i="2" s="1"/>
  <c r="O1913" i="2" s="1"/>
  <c r="M1999" i="2"/>
  <c r="N1999" i="2" s="1"/>
  <c r="O1999" i="2" s="1"/>
  <c r="M2006" i="2"/>
  <c r="N2006" i="2" s="1"/>
  <c r="O2006" i="2" s="1"/>
  <c r="J1376" i="2"/>
  <c r="K1376" i="2" s="1"/>
  <c r="J1407" i="2"/>
  <c r="K1407" i="2" s="1"/>
  <c r="M1429" i="2"/>
  <c r="N1429" i="2" s="1"/>
  <c r="O1429" i="2" s="1"/>
  <c r="J1439" i="2"/>
  <c r="K1439" i="2" s="1"/>
  <c r="M1439" i="2" s="1"/>
  <c r="N1439" i="2" s="1"/>
  <c r="O1439" i="2" s="1"/>
  <c r="M1446" i="2"/>
  <c r="N1446" i="2" s="1"/>
  <c r="O1446" i="2" s="1"/>
  <c r="J1451" i="2"/>
  <c r="K1451" i="2" s="1"/>
  <c r="J1456" i="2"/>
  <c r="K1456" i="2" s="1"/>
  <c r="M1458" i="2"/>
  <c r="N1458" i="2" s="1"/>
  <c r="O1458" i="2" s="1"/>
  <c r="J1468" i="2"/>
  <c r="K1468" i="2" s="1"/>
  <c r="M1468" i="2" s="1"/>
  <c r="N1468" i="2" s="1"/>
  <c r="O1468" i="2" s="1"/>
  <c r="M1484" i="2"/>
  <c r="N1484" i="2" s="1"/>
  <c r="O1484" i="2" s="1"/>
  <c r="J1503" i="2"/>
  <c r="K1503" i="2" s="1"/>
  <c r="M1510" i="2"/>
  <c r="N1510" i="2" s="1"/>
  <c r="O1510" i="2" s="1"/>
  <c r="M1514" i="2"/>
  <c r="N1514" i="2" s="1"/>
  <c r="O1514" i="2" s="1"/>
  <c r="J1515" i="2"/>
  <c r="K1515" i="2" s="1"/>
  <c r="M1538" i="2"/>
  <c r="N1538" i="2" s="1"/>
  <c r="O1538" i="2" s="1"/>
  <c r="J1583" i="2"/>
  <c r="K1583" i="2" s="1"/>
  <c r="M1629" i="2"/>
  <c r="N1629" i="2" s="1"/>
  <c r="O1629" i="2" s="1"/>
  <c r="M1631" i="2"/>
  <c r="N1631" i="2" s="1"/>
  <c r="O1631" i="2" s="1"/>
  <c r="M1637" i="2"/>
  <c r="N1637" i="2" s="1"/>
  <c r="O1637" i="2" s="1"/>
  <c r="M1686" i="2"/>
  <c r="N1686" i="2" s="1"/>
  <c r="O1686" i="2" s="1"/>
  <c r="M1723" i="2"/>
  <c r="N1723" i="2" s="1"/>
  <c r="O1723" i="2" s="1"/>
  <c r="M1751" i="2"/>
  <c r="N1751" i="2" s="1"/>
  <c r="O1751" i="2" s="1"/>
  <c r="M1767" i="2"/>
  <c r="N1767" i="2" s="1"/>
  <c r="O1767" i="2" s="1"/>
  <c r="M1835" i="2"/>
  <c r="N1835" i="2" s="1"/>
  <c r="O1835" i="2" s="1"/>
  <c r="J1368" i="2"/>
  <c r="K1368" i="2" s="1"/>
  <c r="J1404" i="2"/>
  <c r="K1404" i="2" s="1"/>
  <c r="M1404" i="2" s="1"/>
  <c r="N1404" i="2" s="1"/>
  <c r="O1404" i="2" s="1"/>
  <c r="M1423" i="2"/>
  <c r="N1423" i="2" s="1"/>
  <c r="O1423" i="2" s="1"/>
  <c r="J1424" i="2"/>
  <c r="K1424" i="2" s="1"/>
  <c r="M1424" i="2" s="1"/>
  <c r="N1424" i="2" s="1"/>
  <c r="O1424" i="2" s="1"/>
  <c r="J1427" i="2"/>
  <c r="K1427" i="2" s="1"/>
  <c r="M1427" i="2" s="1"/>
  <c r="N1427" i="2" s="1"/>
  <c r="O1427" i="2" s="1"/>
  <c r="J1432" i="2"/>
  <c r="K1432" i="2" s="1"/>
  <c r="M1432" i="2" s="1"/>
  <c r="N1432" i="2" s="1"/>
  <c r="O1432" i="2" s="1"/>
  <c r="M1433" i="2"/>
  <c r="N1433" i="2" s="1"/>
  <c r="O1433" i="2" s="1"/>
  <c r="M1434" i="2"/>
  <c r="N1434" i="2" s="1"/>
  <c r="O1434" i="2" s="1"/>
  <c r="J1444" i="2"/>
  <c r="K1444" i="2" s="1"/>
  <c r="M1444" i="2" s="1"/>
  <c r="N1444" i="2" s="1"/>
  <c r="O1444" i="2" s="1"/>
  <c r="M1455" i="2"/>
  <c r="N1455" i="2" s="1"/>
  <c r="O1455" i="2" s="1"/>
  <c r="J1479" i="2"/>
  <c r="K1479" i="2" s="1"/>
  <c r="M1479" i="2" s="1"/>
  <c r="N1479" i="2" s="1"/>
  <c r="O1479" i="2" s="1"/>
  <c r="J1491" i="2"/>
  <c r="K1491" i="2" s="1"/>
  <c r="M1491" i="2" s="1"/>
  <c r="N1491" i="2" s="1"/>
  <c r="O1491" i="2" s="1"/>
  <c r="J1496" i="2"/>
  <c r="K1496" i="2" s="1"/>
  <c r="M1496" i="2" s="1"/>
  <c r="N1496" i="2" s="1"/>
  <c r="O1496" i="2" s="1"/>
  <c r="M1498" i="2"/>
  <c r="N1498" i="2" s="1"/>
  <c r="O1498" i="2" s="1"/>
  <c r="J1508" i="2"/>
  <c r="K1508" i="2" s="1"/>
  <c r="M1543" i="2"/>
  <c r="N1543" i="2" s="1"/>
  <c r="O1543" i="2" s="1"/>
  <c r="M1546" i="2"/>
  <c r="N1546" i="2" s="1"/>
  <c r="O1546" i="2" s="1"/>
  <c r="J1551" i="2"/>
  <c r="K1551" i="2" s="1"/>
  <c r="M1551" i="2" s="1"/>
  <c r="N1551" i="2" s="1"/>
  <c r="O1551" i="2" s="1"/>
  <c r="M1603" i="2"/>
  <c r="N1603" i="2" s="1"/>
  <c r="O1603" i="2" s="1"/>
  <c r="M1617" i="2"/>
  <c r="N1617" i="2" s="1"/>
  <c r="O1617" i="2" s="1"/>
  <c r="M1624" i="2"/>
  <c r="N1624" i="2" s="1"/>
  <c r="O1624" i="2" s="1"/>
  <c r="M1626" i="2"/>
  <c r="N1626" i="2" s="1"/>
  <c r="O1626" i="2" s="1"/>
  <c r="M1634" i="2"/>
  <c r="N1634" i="2" s="1"/>
  <c r="O1634" i="2" s="1"/>
  <c r="M1689" i="2"/>
  <c r="N1689" i="2" s="1"/>
  <c r="O1689" i="2" s="1"/>
  <c r="M1695" i="2"/>
  <c r="N1695" i="2" s="1"/>
  <c r="O1695" i="2" s="1"/>
  <c r="M1721" i="2"/>
  <c r="N1721" i="2" s="1"/>
  <c r="O1721" i="2" s="1"/>
  <c r="M1722" i="2"/>
  <c r="N1722" i="2" s="1"/>
  <c r="O1722" i="2" s="1"/>
  <c r="M1754" i="2"/>
  <c r="N1754" i="2" s="1"/>
  <c r="O1754" i="2" s="1"/>
  <c r="M1760" i="2"/>
  <c r="N1760" i="2" s="1"/>
  <c r="O1760" i="2" s="1"/>
  <c r="M1780" i="2"/>
  <c r="N1780" i="2" s="1"/>
  <c r="O1780" i="2" s="1"/>
  <c r="M1801" i="2"/>
  <c r="N1801" i="2" s="1"/>
  <c r="O1801" i="2" s="1"/>
  <c r="M1980" i="2"/>
  <c r="N1980" i="2" s="1"/>
  <c r="O1980" i="2" s="1"/>
  <c r="M2176" i="2"/>
  <c r="N2176" i="2" s="1"/>
  <c r="O2176" i="2" s="1"/>
  <c r="J1560" i="2"/>
  <c r="K1560" i="2" s="1"/>
  <c r="M1560" i="2" s="1"/>
  <c r="N1560" i="2" s="1"/>
  <c r="O1560" i="2" s="1"/>
  <c r="J1564" i="2"/>
  <c r="K1564" i="2" s="1"/>
  <c r="J1569" i="2"/>
  <c r="K1569" i="2" s="1"/>
  <c r="J1592" i="2"/>
  <c r="K1592" i="2" s="1"/>
  <c r="M1592" i="2" s="1"/>
  <c r="N1592" i="2" s="1"/>
  <c r="O1592" i="2" s="1"/>
  <c r="J1609" i="2"/>
  <c r="K1609" i="2" s="1"/>
  <c r="J1641" i="2"/>
  <c r="K1641" i="2" s="1"/>
  <c r="M1743" i="2"/>
  <c r="N1743" i="2" s="1"/>
  <c r="O1743" i="2" s="1"/>
  <c r="J1761" i="2"/>
  <c r="K1761" i="2" s="1"/>
  <c r="M1761" i="2" s="1"/>
  <c r="N1761" i="2" s="1"/>
  <c r="O1761" i="2" s="1"/>
  <c r="M1784" i="2"/>
  <c r="N1784" i="2" s="1"/>
  <c r="O1784" i="2" s="1"/>
  <c r="M1857" i="2"/>
  <c r="N1857" i="2" s="1"/>
  <c r="O1857" i="2" s="1"/>
  <c r="M1874" i="2"/>
  <c r="N1874" i="2" s="1"/>
  <c r="O1874" i="2" s="1"/>
  <c r="M1875" i="2"/>
  <c r="N1875" i="2" s="1"/>
  <c r="O1875" i="2" s="1"/>
  <c r="M1945" i="2"/>
  <c r="N1945" i="2" s="1"/>
  <c r="O1945" i="2" s="1"/>
  <c r="M1960" i="2"/>
  <c r="N1960" i="2" s="1"/>
  <c r="O1960" i="2" s="1"/>
  <c r="J1545" i="2"/>
  <c r="K1545" i="2" s="1"/>
  <c r="J1600" i="2"/>
  <c r="K1600" i="2" s="1"/>
  <c r="M1612" i="2"/>
  <c r="N1612" i="2" s="1"/>
  <c r="O1612" i="2" s="1"/>
  <c r="J1620" i="2"/>
  <c r="K1620" i="2" s="1"/>
  <c r="M1620" i="2" s="1"/>
  <c r="N1620" i="2" s="1"/>
  <c r="O1620" i="2" s="1"/>
  <c r="J1632" i="2"/>
  <c r="K1632" i="2" s="1"/>
  <c r="M1632" i="2" s="1"/>
  <c r="N1632" i="2" s="1"/>
  <c r="O1632" i="2" s="1"/>
  <c r="J1652" i="2"/>
  <c r="K1652" i="2" s="1"/>
  <c r="J1680" i="2"/>
  <c r="K1680" i="2" s="1"/>
  <c r="M1680" i="2" s="1"/>
  <c r="N1680" i="2" s="1"/>
  <c r="O1680" i="2" s="1"/>
  <c r="J1681" i="2"/>
  <c r="K1681" i="2" s="1"/>
  <c r="J1684" i="2"/>
  <c r="K1684" i="2" s="1"/>
  <c r="J1709" i="2"/>
  <c r="K1709" i="2" s="1"/>
  <c r="J1712" i="2"/>
  <c r="K1712" i="2" s="1"/>
  <c r="M1712" i="2" s="1"/>
  <c r="N1712" i="2" s="1"/>
  <c r="O1712" i="2" s="1"/>
  <c r="J1733" i="2"/>
  <c r="K1733" i="2" s="1"/>
  <c r="M1733" i="2" s="1"/>
  <c r="N1733" i="2" s="1"/>
  <c r="O1733" i="2" s="1"/>
  <c r="M1765" i="2"/>
  <c r="N1765" i="2" s="1"/>
  <c r="O1765" i="2" s="1"/>
  <c r="M1848" i="2"/>
  <c r="N1848" i="2" s="1"/>
  <c r="O1848" i="2" s="1"/>
  <c r="M1888" i="2"/>
  <c r="N1888" i="2" s="1"/>
  <c r="O1888" i="2" s="1"/>
  <c r="M1891" i="2"/>
  <c r="N1891" i="2" s="1"/>
  <c r="O1891" i="2" s="1"/>
  <c r="M1907" i="2"/>
  <c r="N1907" i="2" s="1"/>
  <c r="O1907" i="2" s="1"/>
  <c r="M1947" i="2"/>
  <c r="N1947" i="2" s="1"/>
  <c r="O1947" i="2" s="1"/>
  <c r="M1977" i="2"/>
  <c r="N1977" i="2" s="1"/>
  <c r="O1977" i="2" s="1"/>
  <c r="J1537" i="2"/>
  <c r="K1537" i="2" s="1"/>
  <c r="M1537" i="2" s="1"/>
  <c r="N1537" i="2" s="1"/>
  <c r="O1537" i="2" s="1"/>
  <c r="J1552" i="2"/>
  <c r="K1552" i="2" s="1"/>
  <c r="M1552" i="2" s="1"/>
  <c r="N1552" i="2" s="1"/>
  <c r="O1552" i="2" s="1"/>
  <c r="J1556" i="2"/>
  <c r="K1556" i="2" s="1"/>
  <c r="J1561" i="2"/>
  <c r="K1561" i="2" s="1"/>
  <c r="M1561" i="2" s="1"/>
  <c r="N1561" i="2" s="1"/>
  <c r="O1561" i="2" s="1"/>
  <c r="J1584" i="2"/>
  <c r="K1584" i="2" s="1"/>
  <c r="M1584" i="2" s="1"/>
  <c r="N1584" i="2" s="1"/>
  <c r="O1584" i="2" s="1"/>
  <c r="J1588" i="2"/>
  <c r="K1588" i="2" s="1"/>
  <c r="J1593" i="2"/>
  <c r="K1593" i="2" s="1"/>
  <c r="M1593" i="2" s="1"/>
  <c r="N1593" i="2" s="1"/>
  <c r="O1593" i="2" s="1"/>
  <c r="J1601" i="2"/>
  <c r="K1601" i="2" s="1"/>
  <c r="M1608" i="2"/>
  <c r="N1608" i="2" s="1"/>
  <c r="O1608" i="2" s="1"/>
  <c r="J1633" i="2"/>
  <c r="K1633" i="2" s="1"/>
  <c r="J1654" i="2"/>
  <c r="K1654" i="2" s="1"/>
  <c r="J1677" i="2"/>
  <c r="K1677" i="2" s="1"/>
  <c r="M1677" i="2" s="1"/>
  <c r="N1677" i="2" s="1"/>
  <c r="O1677" i="2" s="1"/>
  <c r="J1678" i="2"/>
  <c r="K1678" i="2" s="1"/>
  <c r="M1678" i="2" s="1"/>
  <c r="N1678" i="2" s="1"/>
  <c r="O1678" i="2" s="1"/>
  <c r="J1705" i="2"/>
  <c r="K1705" i="2" s="1"/>
  <c r="J1708" i="2"/>
  <c r="K1708" i="2" s="1"/>
  <c r="J1729" i="2"/>
  <c r="K1729" i="2" s="1"/>
  <c r="J1732" i="2"/>
  <c r="K1732" i="2" s="1"/>
  <c r="M1732" i="2" s="1"/>
  <c r="N1732" i="2" s="1"/>
  <c r="O1732" i="2" s="1"/>
  <c r="M1778" i="2"/>
  <c r="N1778" i="2" s="1"/>
  <c r="O1778" i="2" s="1"/>
  <c r="M1847" i="2"/>
  <c r="N1847" i="2" s="1"/>
  <c r="O1847" i="2" s="1"/>
  <c r="M1890" i="2"/>
  <c r="N1890" i="2" s="1"/>
  <c r="O1890" i="2" s="1"/>
  <c r="M1904" i="2"/>
  <c r="N1904" i="2" s="1"/>
  <c r="O1904" i="2" s="1"/>
  <c r="M1906" i="2"/>
  <c r="N1906" i="2" s="1"/>
  <c r="O1906" i="2" s="1"/>
  <c r="M1973" i="2"/>
  <c r="N1973" i="2" s="1"/>
  <c r="O1973" i="2" s="1"/>
  <c r="M1979" i="2"/>
  <c r="N1979" i="2" s="1"/>
  <c r="O1979" i="2" s="1"/>
  <c r="M2132" i="2"/>
  <c r="N2132" i="2" s="1"/>
  <c r="O2132" i="2" s="1"/>
  <c r="J1529" i="2"/>
  <c r="K1529" i="2" s="1"/>
  <c r="M1529" i="2" s="1"/>
  <c r="N1529" i="2" s="1"/>
  <c r="O1529" i="2" s="1"/>
  <c r="M1709" i="2"/>
  <c r="N1709" i="2" s="1"/>
  <c r="O1709" i="2" s="1"/>
  <c r="M1788" i="2"/>
  <c r="N1788" i="2" s="1"/>
  <c r="O1788" i="2" s="1"/>
  <c r="M1809" i="2"/>
  <c r="N1809" i="2" s="1"/>
  <c r="O1809" i="2" s="1"/>
  <c r="M1824" i="2"/>
  <c r="N1824" i="2" s="1"/>
  <c r="O1824" i="2" s="1"/>
  <c r="M1955" i="2"/>
  <c r="N1955" i="2" s="1"/>
  <c r="O1955" i="2" s="1"/>
  <c r="M2025" i="2"/>
  <c r="N2025" i="2" s="1"/>
  <c r="O2025" i="2" s="1"/>
  <c r="M2110" i="2"/>
  <c r="N2110" i="2" s="1"/>
  <c r="O2110" i="2" s="1"/>
  <c r="M2112" i="2"/>
  <c r="N2112" i="2" s="1"/>
  <c r="O2112" i="2" s="1"/>
  <c r="J1521" i="2"/>
  <c r="K1521" i="2" s="1"/>
  <c r="M1521" i="2" s="1"/>
  <c r="N1521" i="2" s="1"/>
  <c r="O1521" i="2" s="1"/>
  <c r="J1576" i="2"/>
  <c r="K1576" i="2" s="1"/>
  <c r="M1576" i="2" s="1"/>
  <c r="N1576" i="2" s="1"/>
  <c r="O1576" i="2" s="1"/>
  <c r="J1580" i="2"/>
  <c r="K1580" i="2" s="1"/>
  <c r="J1585" i="2"/>
  <c r="K1585" i="2" s="1"/>
  <c r="M1585" i="2" s="1"/>
  <c r="N1585" i="2" s="1"/>
  <c r="O1585" i="2" s="1"/>
  <c r="M1587" i="2"/>
  <c r="N1587" i="2" s="1"/>
  <c r="O1587" i="2" s="1"/>
  <c r="M1619" i="2"/>
  <c r="N1619" i="2" s="1"/>
  <c r="O1619" i="2" s="1"/>
  <c r="M1622" i="2"/>
  <c r="N1622" i="2" s="1"/>
  <c r="O1622" i="2" s="1"/>
  <c r="M1651" i="2"/>
  <c r="N1651" i="2" s="1"/>
  <c r="O1651" i="2" s="1"/>
  <c r="M1654" i="2"/>
  <c r="N1654" i="2" s="1"/>
  <c r="O1654" i="2" s="1"/>
  <c r="M1660" i="2"/>
  <c r="N1660" i="2" s="1"/>
  <c r="O1660" i="2" s="1"/>
  <c r="M1683" i="2"/>
  <c r="N1683" i="2" s="1"/>
  <c r="O1683" i="2" s="1"/>
  <c r="M1706" i="2"/>
  <c r="N1706" i="2" s="1"/>
  <c r="O1706" i="2" s="1"/>
  <c r="M1711" i="2"/>
  <c r="N1711" i="2" s="1"/>
  <c r="O1711" i="2" s="1"/>
  <c r="M1724" i="2"/>
  <c r="N1724" i="2" s="1"/>
  <c r="O1724" i="2" s="1"/>
  <c r="M1730" i="2"/>
  <c r="N1730" i="2" s="1"/>
  <c r="O1730" i="2" s="1"/>
  <c r="M1797" i="2"/>
  <c r="N1797" i="2" s="1"/>
  <c r="O1797" i="2" s="1"/>
  <c r="M1823" i="2"/>
  <c r="N1823" i="2" s="1"/>
  <c r="O1823" i="2" s="1"/>
  <c r="M1900" i="2"/>
  <c r="N1900" i="2" s="1"/>
  <c r="O1900" i="2" s="1"/>
  <c r="M1916" i="2"/>
  <c r="N1916" i="2" s="1"/>
  <c r="O1916" i="2" s="1"/>
  <c r="M1983" i="2"/>
  <c r="N1983" i="2" s="1"/>
  <c r="O1983" i="2" s="1"/>
  <c r="J1553" i="2"/>
  <c r="K1553" i="2" s="1"/>
  <c r="M1553" i="2" s="1"/>
  <c r="N1553" i="2" s="1"/>
  <c r="O1553" i="2" s="1"/>
  <c r="M1570" i="2"/>
  <c r="N1570" i="2" s="1"/>
  <c r="O1570" i="2" s="1"/>
  <c r="J1604" i="2"/>
  <c r="K1604" i="2" s="1"/>
  <c r="M1604" i="2" s="1"/>
  <c r="N1604" i="2" s="1"/>
  <c r="O1604" i="2" s="1"/>
  <c r="J1616" i="2"/>
  <c r="K1616" i="2" s="1"/>
  <c r="J1636" i="2"/>
  <c r="K1636" i="2" s="1"/>
  <c r="J1648" i="2"/>
  <c r="K1648" i="2" s="1"/>
  <c r="M1648" i="2" s="1"/>
  <c r="N1648" i="2" s="1"/>
  <c r="O1648" i="2" s="1"/>
  <c r="M1655" i="2"/>
  <c r="N1655" i="2" s="1"/>
  <c r="O1655" i="2" s="1"/>
  <c r="J1662" i="2"/>
  <c r="K1662" i="2" s="1"/>
  <c r="M1662" i="2" s="1"/>
  <c r="N1662" i="2" s="1"/>
  <c r="O1662" i="2" s="1"/>
  <c r="J1668" i="2"/>
  <c r="K1668" i="2" s="1"/>
  <c r="M1672" i="2"/>
  <c r="N1672" i="2" s="1"/>
  <c r="O1672" i="2" s="1"/>
  <c r="M1692" i="2"/>
  <c r="N1692" i="2" s="1"/>
  <c r="O1692" i="2" s="1"/>
  <c r="J1693" i="2"/>
  <c r="K1693" i="2" s="1"/>
  <c r="J1696" i="2"/>
  <c r="K1696" i="2" s="1"/>
  <c r="M1696" i="2" s="1"/>
  <c r="N1696" i="2" s="1"/>
  <c r="O1696" i="2" s="1"/>
  <c r="M1702" i="2"/>
  <c r="N1702" i="2" s="1"/>
  <c r="O1702" i="2" s="1"/>
  <c r="J1721" i="2"/>
  <c r="K1721" i="2" s="1"/>
  <c r="J1724" i="2"/>
  <c r="K1724" i="2" s="1"/>
  <c r="M1728" i="2"/>
  <c r="N1728" i="2" s="1"/>
  <c r="O1728" i="2" s="1"/>
  <c r="M1763" i="2"/>
  <c r="N1763" i="2" s="1"/>
  <c r="O1763" i="2" s="1"/>
  <c r="M1781" i="2"/>
  <c r="N1781" i="2" s="1"/>
  <c r="O1781" i="2" s="1"/>
  <c r="J1838" i="2"/>
  <c r="K1838" i="2" s="1"/>
  <c r="M1838" i="2" s="1"/>
  <c r="N1838" i="2" s="1"/>
  <c r="O1838" i="2" s="1"/>
  <c r="M1861" i="2"/>
  <c r="N1861" i="2" s="1"/>
  <c r="O1861" i="2" s="1"/>
  <c r="M1881" i="2"/>
  <c r="N1881" i="2" s="1"/>
  <c r="O1881" i="2" s="1"/>
  <c r="M1948" i="2"/>
  <c r="N1948" i="2" s="1"/>
  <c r="O1948" i="2" s="1"/>
  <c r="M1807" i="2"/>
  <c r="N1807" i="2" s="1"/>
  <c r="O1807" i="2" s="1"/>
  <c r="M1813" i="2"/>
  <c r="N1813" i="2" s="1"/>
  <c r="O1813" i="2" s="1"/>
  <c r="M1851" i="2"/>
  <c r="N1851" i="2" s="1"/>
  <c r="O1851" i="2" s="1"/>
  <c r="M1860" i="2"/>
  <c r="N1860" i="2" s="1"/>
  <c r="O1860" i="2" s="1"/>
  <c r="M1863" i="2"/>
  <c r="N1863" i="2" s="1"/>
  <c r="O1863" i="2" s="1"/>
  <c r="M1864" i="2"/>
  <c r="N1864" i="2" s="1"/>
  <c r="O1864" i="2" s="1"/>
  <c r="M1877" i="2"/>
  <c r="N1877" i="2" s="1"/>
  <c r="O1877" i="2" s="1"/>
  <c r="M1920" i="2"/>
  <c r="N1920" i="2" s="1"/>
  <c r="O1920" i="2" s="1"/>
  <c r="M1933" i="2"/>
  <c r="N1933" i="2" s="1"/>
  <c r="O1933" i="2" s="1"/>
  <c r="M1940" i="2"/>
  <c r="N1940" i="2" s="1"/>
  <c r="O1940" i="2" s="1"/>
  <c r="M1943" i="2"/>
  <c r="N1943" i="2" s="1"/>
  <c r="O1943" i="2" s="1"/>
  <c r="M1952" i="2"/>
  <c r="N1952" i="2" s="1"/>
  <c r="O1952" i="2" s="1"/>
  <c r="J1962" i="2"/>
  <c r="K1962" i="2" s="1"/>
  <c r="M1962" i="2" s="1"/>
  <c r="N1962" i="2" s="1"/>
  <c r="O1962" i="2" s="1"/>
  <c r="M1972" i="2"/>
  <c r="N1972" i="2" s="1"/>
  <c r="O1972" i="2" s="1"/>
  <c r="M1984" i="2"/>
  <c r="N1984" i="2" s="1"/>
  <c r="O1984" i="2" s="1"/>
  <c r="M1998" i="2"/>
  <c r="N1998" i="2" s="1"/>
  <c r="O1998" i="2" s="1"/>
  <c r="M2042" i="2"/>
  <c r="N2042" i="2" s="1"/>
  <c r="O2042" i="2" s="1"/>
  <c r="M2063" i="2"/>
  <c r="N2063" i="2" s="1"/>
  <c r="O2063" i="2" s="1"/>
  <c r="M2073" i="2"/>
  <c r="N2073" i="2" s="1"/>
  <c r="O2073" i="2" s="1"/>
  <c r="M2154" i="2"/>
  <c r="N2154" i="2" s="1"/>
  <c r="O2154" i="2" s="1"/>
  <c r="M1750" i="2"/>
  <c r="N1750" i="2" s="1"/>
  <c r="O1750" i="2" s="1"/>
  <c r="M1753" i="2"/>
  <c r="N1753" i="2" s="1"/>
  <c r="O1753" i="2" s="1"/>
  <c r="J1754" i="2"/>
  <c r="K1754" i="2" s="1"/>
  <c r="M1773" i="2"/>
  <c r="N1773" i="2" s="1"/>
  <c r="O1773" i="2" s="1"/>
  <c r="M1782" i="2"/>
  <c r="N1782" i="2" s="1"/>
  <c r="O1782" i="2" s="1"/>
  <c r="J1786" i="2"/>
  <c r="K1786" i="2" s="1"/>
  <c r="J1790" i="2"/>
  <c r="K1790" i="2" s="1"/>
  <c r="M1798" i="2"/>
  <c r="N1798" i="2" s="1"/>
  <c r="O1798" i="2" s="1"/>
  <c r="J1826" i="2"/>
  <c r="K1826" i="2" s="1"/>
  <c r="M1826" i="2" s="1"/>
  <c r="N1826" i="2" s="1"/>
  <c r="O1826" i="2" s="1"/>
  <c r="J1830" i="2"/>
  <c r="K1830" i="2" s="1"/>
  <c r="M1830" i="2" s="1"/>
  <c r="N1830" i="2" s="1"/>
  <c r="O1830" i="2" s="1"/>
  <c r="M1846" i="2"/>
  <c r="N1846" i="2" s="1"/>
  <c r="O1846" i="2" s="1"/>
  <c r="M1853" i="2"/>
  <c r="N1853" i="2" s="1"/>
  <c r="O1853" i="2" s="1"/>
  <c r="M1902" i="2"/>
  <c r="N1902" i="2" s="1"/>
  <c r="O1902" i="2" s="1"/>
  <c r="M1922" i="2"/>
  <c r="N1922" i="2" s="1"/>
  <c r="O1922" i="2" s="1"/>
  <c r="J1926" i="2"/>
  <c r="K1926" i="2" s="1"/>
  <c r="M1926" i="2" s="1"/>
  <c r="N1926" i="2" s="1"/>
  <c r="O1926" i="2" s="1"/>
  <c r="M1954" i="2"/>
  <c r="N1954" i="2" s="1"/>
  <c r="O1954" i="2" s="1"/>
  <c r="J1958" i="2"/>
  <c r="K1958" i="2" s="1"/>
  <c r="M1958" i="2" s="1"/>
  <c r="N1958" i="2" s="1"/>
  <c r="O1958" i="2" s="1"/>
  <c r="J1990" i="2"/>
  <c r="K1990" i="2" s="1"/>
  <c r="M1990" i="2" s="1"/>
  <c r="N1990" i="2" s="1"/>
  <c r="O1990" i="2" s="1"/>
  <c r="M1997" i="2"/>
  <c r="N1997" i="2" s="1"/>
  <c r="O1997" i="2" s="1"/>
  <c r="M2054" i="2"/>
  <c r="N2054" i="2" s="1"/>
  <c r="O2054" i="2" s="1"/>
  <c r="M2060" i="2"/>
  <c r="N2060" i="2" s="1"/>
  <c r="O2060" i="2" s="1"/>
  <c r="J1746" i="2"/>
  <c r="K1746" i="2" s="1"/>
  <c r="M1746" i="2" s="1"/>
  <c r="N1746" i="2" s="1"/>
  <c r="O1746" i="2" s="1"/>
  <c r="J1763" i="2"/>
  <c r="K1763" i="2" s="1"/>
  <c r="M1808" i="2"/>
  <c r="N1808" i="2" s="1"/>
  <c r="O1808" i="2" s="1"/>
  <c r="M1829" i="2"/>
  <c r="N1829" i="2" s="1"/>
  <c r="O1829" i="2" s="1"/>
  <c r="J1866" i="2"/>
  <c r="K1866" i="2" s="1"/>
  <c r="M1866" i="2" s="1"/>
  <c r="N1866" i="2" s="1"/>
  <c r="O1866" i="2" s="1"/>
  <c r="J1870" i="2"/>
  <c r="K1870" i="2" s="1"/>
  <c r="M1870" i="2" s="1"/>
  <c r="N1870" i="2" s="1"/>
  <c r="O1870" i="2" s="1"/>
  <c r="M1876" i="2"/>
  <c r="N1876" i="2" s="1"/>
  <c r="O1876" i="2" s="1"/>
  <c r="M1879" i="2"/>
  <c r="N1879" i="2" s="1"/>
  <c r="O1879" i="2" s="1"/>
  <c r="M1880" i="2"/>
  <c r="N1880" i="2" s="1"/>
  <c r="O1880" i="2" s="1"/>
  <c r="M1892" i="2"/>
  <c r="N1892" i="2" s="1"/>
  <c r="O1892" i="2" s="1"/>
  <c r="M1896" i="2"/>
  <c r="N1896" i="2" s="1"/>
  <c r="O1896" i="2" s="1"/>
  <c r="M1908" i="2"/>
  <c r="N1908" i="2" s="1"/>
  <c r="O1908" i="2" s="1"/>
  <c r="M1911" i="2"/>
  <c r="N1911" i="2" s="1"/>
  <c r="O1911" i="2" s="1"/>
  <c r="M1912" i="2"/>
  <c r="N1912" i="2" s="1"/>
  <c r="O1912" i="2" s="1"/>
  <c r="J1922" i="2"/>
  <c r="K1922" i="2" s="1"/>
  <c r="M1925" i="2"/>
  <c r="N1925" i="2" s="1"/>
  <c r="O1925" i="2" s="1"/>
  <c r="M1932" i="2"/>
  <c r="N1932" i="2" s="1"/>
  <c r="O1932" i="2" s="1"/>
  <c r="M1935" i="2"/>
  <c r="N1935" i="2" s="1"/>
  <c r="O1935" i="2" s="1"/>
  <c r="J1954" i="2"/>
  <c r="K1954" i="2" s="1"/>
  <c r="M1957" i="2"/>
  <c r="N1957" i="2" s="1"/>
  <c r="O1957" i="2" s="1"/>
  <c r="M1964" i="2"/>
  <c r="N1964" i="2" s="1"/>
  <c r="O1964" i="2" s="1"/>
  <c r="M1967" i="2"/>
  <c r="N1967" i="2" s="1"/>
  <c r="O1967" i="2" s="1"/>
  <c r="J1986" i="2"/>
  <c r="K1986" i="2" s="1"/>
  <c r="M1986" i="2" s="1"/>
  <c r="N1986" i="2" s="1"/>
  <c r="O1986" i="2" s="1"/>
  <c r="M2017" i="2"/>
  <c r="N2017" i="2" s="1"/>
  <c r="O2017" i="2" s="1"/>
  <c r="M2039" i="2"/>
  <c r="N2039" i="2" s="1"/>
  <c r="O2039" i="2" s="1"/>
  <c r="M2093" i="2"/>
  <c r="N2093" i="2" s="1"/>
  <c r="O2093" i="2" s="1"/>
  <c r="M2250" i="2"/>
  <c r="N2250" i="2" s="1"/>
  <c r="O2250" i="2" s="1"/>
  <c r="M1843" i="2"/>
  <c r="N1843" i="2" s="1"/>
  <c r="O1843" i="2" s="1"/>
  <c r="J1846" i="2"/>
  <c r="K1846" i="2" s="1"/>
  <c r="M1852" i="2"/>
  <c r="N1852" i="2" s="1"/>
  <c r="O1852" i="2" s="1"/>
  <c r="M1856" i="2"/>
  <c r="N1856" i="2" s="1"/>
  <c r="O1856" i="2" s="1"/>
  <c r="M1882" i="2"/>
  <c r="N1882" i="2" s="1"/>
  <c r="O1882" i="2" s="1"/>
  <c r="M1883" i="2"/>
  <c r="N1883" i="2" s="1"/>
  <c r="O1883" i="2" s="1"/>
  <c r="J1886" i="2"/>
  <c r="K1886" i="2" s="1"/>
  <c r="J1902" i="2"/>
  <c r="K1902" i="2" s="1"/>
  <c r="M1914" i="2"/>
  <c r="N1914" i="2" s="1"/>
  <c r="O1914" i="2" s="1"/>
  <c r="M1915" i="2"/>
  <c r="N1915" i="2" s="1"/>
  <c r="O1915" i="2" s="1"/>
  <c r="J1918" i="2"/>
  <c r="K1918" i="2" s="1"/>
  <c r="M1918" i="2" s="1"/>
  <c r="N1918" i="2" s="1"/>
  <c r="O1918" i="2" s="1"/>
  <c r="J1950" i="2"/>
  <c r="K1950" i="2" s="1"/>
  <c r="M1996" i="2"/>
  <c r="N1996" i="2" s="1"/>
  <c r="O1996" i="2" s="1"/>
  <c r="M2030" i="2"/>
  <c r="N2030" i="2" s="1"/>
  <c r="O2030" i="2" s="1"/>
  <c r="M1810" i="2"/>
  <c r="N1810" i="2" s="1"/>
  <c r="O1810" i="2" s="1"/>
  <c r="M1819" i="2"/>
  <c r="N1819" i="2" s="1"/>
  <c r="O1819" i="2" s="1"/>
  <c r="M1831" i="2"/>
  <c r="N1831" i="2" s="1"/>
  <c r="O1831" i="2" s="1"/>
  <c r="M1845" i="2"/>
  <c r="N1845" i="2" s="1"/>
  <c r="O1845" i="2" s="1"/>
  <c r="M1905" i="2"/>
  <c r="N1905" i="2" s="1"/>
  <c r="O1905" i="2" s="1"/>
  <c r="M1917" i="2"/>
  <c r="N1917" i="2" s="1"/>
  <c r="O1917" i="2" s="1"/>
  <c r="M1924" i="2"/>
  <c r="N1924" i="2" s="1"/>
  <c r="O1924" i="2" s="1"/>
  <c r="M1929" i="2"/>
  <c r="N1929" i="2" s="1"/>
  <c r="O1929" i="2" s="1"/>
  <c r="M1949" i="2"/>
  <c r="N1949" i="2" s="1"/>
  <c r="O1949" i="2" s="1"/>
  <c r="M1968" i="2"/>
  <c r="N1968" i="2" s="1"/>
  <c r="O1968" i="2" s="1"/>
  <c r="J1978" i="2"/>
  <c r="K1978" i="2" s="1"/>
  <c r="M1978" i="2" s="1"/>
  <c r="N1978" i="2" s="1"/>
  <c r="O1978" i="2" s="1"/>
  <c r="M1981" i="2"/>
  <c r="N1981" i="2" s="1"/>
  <c r="O1981" i="2" s="1"/>
  <c r="M1982" i="2"/>
  <c r="N1982" i="2" s="1"/>
  <c r="O1982" i="2" s="1"/>
  <c r="M1992" i="2"/>
  <c r="N1992" i="2" s="1"/>
  <c r="O1992" i="2" s="1"/>
  <c r="M2023" i="2"/>
  <c r="N2023" i="2" s="1"/>
  <c r="O2023" i="2" s="1"/>
  <c r="M2033" i="2"/>
  <c r="N2033" i="2" s="1"/>
  <c r="O2033" i="2" s="1"/>
  <c r="J1770" i="2"/>
  <c r="K1770" i="2" s="1"/>
  <c r="M1770" i="2" s="1"/>
  <c r="N1770" i="2" s="1"/>
  <c r="O1770" i="2" s="1"/>
  <c r="J1802" i="2"/>
  <c r="K1802" i="2" s="1"/>
  <c r="M1802" i="2" s="1"/>
  <c r="N1802" i="2" s="1"/>
  <c r="O1802" i="2" s="1"/>
  <c r="J1804" i="2"/>
  <c r="K1804" i="2" s="1"/>
  <c r="M1804" i="2" s="1"/>
  <c r="N1804" i="2" s="1"/>
  <c r="O1804" i="2" s="1"/>
  <c r="J1810" i="2"/>
  <c r="K1810" i="2" s="1"/>
  <c r="M1814" i="2"/>
  <c r="N1814" i="2" s="1"/>
  <c r="O1814" i="2" s="1"/>
  <c r="M1822" i="2"/>
  <c r="N1822" i="2" s="1"/>
  <c r="O1822" i="2" s="1"/>
  <c r="M1834" i="2"/>
  <c r="N1834" i="2" s="1"/>
  <c r="O1834" i="2" s="1"/>
  <c r="J1858" i="2"/>
  <c r="K1858" i="2" s="1"/>
  <c r="M1858" i="2" s="1"/>
  <c r="N1858" i="2" s="1"/>
  <c r="O1858" i="2" s="1"/>
  <c r="J1862" i="2"/>
  <c r="K1862" i="2" s="1"/>
  <c r="M1862" i="2" s="1"/>
  <c r="N1862" i="2" s="1"/>
  <c r="O1862" i="2" s="1"/>
  <c r="M1872" i="2"/>
  <c r="N1872" i="2" s="1"/>
  <c r="O1872" i="2" s="1"/>
  <c r="M1878" i="2"/>
  <c r="N1878" i="2" s="1"/>
  <c r="O1878" i="2" s="1"/>
  <c r="M1894" i="2"/>
  <c r="N1894" i="2" s="1"/>
  <c r="O1894" i="2" s="1"/>
  <c r="M1910" i="2"/>
  <c r="N1910" i="2" s="1"/>
  <c r="O1910" i="2" s="1"/>
  <c r="M1934" i="2"/>
  <c r="N1934" i="2" s="1"/>
  <c r="O1934" i="2" s="1"/>
  <c r="M1938" i="2"/>
  <c r="N1938" i="2" s="1"/>
  <c r="O1938" i="2" s="1"/>
  <c r="M1939" i="2"/>
  <c r="N1939" i="2" s="1"/>
  <c r="O1939" i="2" s="1"/>
  <c r="J1942" i="2"/>
  <c r="K1942" i="2" s="1"/>
  <c r="M1942" i="2" s="1"/>
  <c r="N1942" i="2" s="1"/>
  <c r="O1942" i="2" s="1"/>
  <c r="M1966" i="2"/>
  <c r="N1966" i="2" s="1"/>
  <c r="O1966" i="2" s="1"/>
  <c r="M1970" i="2"/>
  <c r="N1970" i="2" s="1"/>
  <c r="O1970" i="2" s="1"/>
  <c r="M1971" i="2"/>
  <c r="N1971" i="2" s="1"/>
  <c r="O1971" i="2" s="1"/>
  <c r="M1994" i="2"/>
  <c r="N1994" i="2" s="1"/>
  <c r="O1994" i="2" s="1"/>
  <c r="M2018" i="2"/>
  <c r="N2018" i="2" s="1"/>
  <c r="O2018" i="2" s="1"/>
  <c r="M2041" i="2"/>
  <c r="N2041" i="2" s="1"/>
  <c r="O2041" i="2" s="1"/>
  <c r="M2047" i="2"/>
  <c r="N2047" i="2" s="1"/>
  <c r="O2047" i="2" s="1"/>
  <c r="M2115" i="2"/>
  <c r="N2115" i="2" s="1"/>
  <c r="O2115" i="2" s="1"/>
  <c r="J2018" i="2"/>
  <c r="K2018" i="2" s="1"/>
  <c r="M2043" i="2"/>
  <c r="N2043" i="2" s="1"/>
  <c r="O2043" i="2" s="1"/>
  <c r="M2078" i="2"/>
  <c r="N2078" i="2" s="1"/>
  <c r="O2078" i="2" s="1"/>
  <c r="M2104" i="2"/>
  <c r="N2104" i="2" s="1"/>
  <c r="O2104" i="2" s="1"/>
  <c r="M2107" i="2"/>
  <c r="N2107" i="2" s="1"/>
  <c r="O2107" i="2" s="1"/>
  <c r="M2134" i="2"/>
  <c r="N2134" i="2" s="1"/>
  <c r="O2134" i="2" s="1"/>
  <c r="M2160" i="2"/>
  <c r="N2160" i="2" s="1"/>
  <c r="O2160" i="2" s="1"/>
  <c r="M2192" i="2"/>
  <c r="N2192" i="2" s="1"/>
  <c r="O2192" i="2" s="1"/>
  <c r="J2002" i="2"/>
  <c r="K2002" i="2" s="1"/>
  <c r="M2002" i="2" s="1"/>
  <c r="N2002" i="2" s="1"/>
  <c r="O2002" i="2" s="1"/>
  <c r="J2020" i="2"/>
  <c r="K2020" i="2" s="1"/>
  <c r="M2020" i="2" s="1"/>
  <c r="N2020" i="2" s="1"/>
  <c r="O2020" i="2" s="1"/>
  <c r="J2032" i="2"/>
  <c r="K2032" i="2" s="1"/>
  <c r="J2042" i="2"/>
  <c r="K2042" i="2" s="1"/>
  <c r="M2049" i="2"/>
  <c r="N2049" i="2" s="1"/>
  <c r="O2049" i="2" s="1"/>
  <c r="J2068" i="2"/>
  <c r="K2068" i="2" s="1"/>
  <c r="M2068" i="2" s="1"/>
  <c r="N2068" i="2" s="1"/>
  <c r="O2068" i="2" s="1"/>
  <c r="M2076" i="2"/>
  <c r="N2076" i="2" s="1"/>
  <c r="O2076" i="2" s="1"/>
  <c r="M2082" i="2"/>
  <c r="N2082" i="2" s="1"/>
  <c r="O2082" i="2" s="1"/>
  <c r="J2088" i="2"/>
  <c r="K2088" i="2" s="1"/>
  <c r="M2088" i="2" s="1"/>
  <c r="N2088" i="2" s="1"/>
  <c r="O2088" i="2" s="1"/>
  <c r="M2089" i="2"/>
  <c r="N2089" i="2" s="1"/>
  <c r="O2089" i="2" s="1"/>
  <c r="M2099" i="2"/>
  <c r="N2099" i="2" s="1"/>
  <c r="O2099" i="2" s="1"/>
  <c r="M2116" i="2"/>
  <c r="N2116" i="2" s="1"/>
  <c r="O2116" i="2" s="1"/>
  <c r="M2121" i="2"/>
  <c r="N2121" i="2" s="1"/>
  <c r="O2121" i="2" s="1"/>
  <c r="M2129" i="2"/>
  <c r="N2129" i="2" s="1"/>
  <c r="O2129" i="2" s="1"/>
  <c r="M2225" i="2"/>
  <c r="N2225" i="2" s="1"/>
  <c r="O2225" i="2" s="1"/>
  <c r="M2246" i="2"/>
  <c r="N2246" i="2" s="1"/>
  <c r="O2246" i="2" s="1"/>
  <c r="J2008" i="2"/>
  <c r="K2008" i="2" s="1"/>
  <c r="J2021" i="2"/>
  <c r="K2021" i="2" s="1"/>
  <c r="J2034" i="2"/>
  <c r="K2034" i="2" s="1"/>
  <c r="J2040" i="2"/>
  <c r="K2040" i="2" s="1"/>
  <c r="J2060" i="2"/>
  <c r="K2060" i="2" s="1"/>
  <c r="J2061" i="2"/>
  <c r="K2061" i="2" s="1"/>
  <c r="M2070" i="2"/>
  <c r="N2070" i="2" s="1"/>
  <c r="O2070" i="2" s="1"/>
  <c r="J2098" i="2"/>
  <c r="K2098" i="2" s="1"/>
  <c r="M2261" i="2"/>
  <c r="N2261" i="2" s="1"/>
  <c r="O2261" i="2" s="1"/>
  <c r="J2010" i="2"/>
  <c r="K2010" i="2" s="1"/>
  <c r="M2085" i="2"/>
  <c r="N2085" i="2" s="1"/>
  <c r="O2085" i="2" s="1"/>
  <c r="M2125" i="2"/>
  <c r="N2125" i="2" s="1"/>
  <c r="O2125" i="2" s="1"/>
  <c r="M2169" i="2"/>
  <c r="N2169" i="2" s="1"/>
  <c r="O2169" i="2" s="1"/>
  <c r="M1995" i="2"/>
  <c r="N1995" i="2" s="1"/>
  <c r="O1995" i="2" s="1"/>
  <c r="J1996" i="2"/>
  <c r="K1996" i="2" s="1"/>
  <c r="M2000" i="2"/>
  <c r="N2000" i="2" s="1"/>
  <c r="O2000" i="2" s="1"/>
  <c r="J2012" i="2"/>
  <c r="K2012" i="2" s="1"/>
  <c r="J2024" i="2"/>
  <c r="K2024" i="2" s="1"/>
  <c r="M2034" i="2"/>
  <c r="N2034" i="2" s="1"/>
  <c r="O2034" i="2" s="1"/>
  <c r="J2056" i="2"/>
  <c r="K2056" i="2" s="1"/>
  <c r="M2058" i="2"/>
  <c r="N2058" i="2" s="1"/>
  <c r="O2058" i="2" s="1"/>
  <c r="M2087" i="2"/>
  <c r="N2087" i="2" s="1"/>
  <c r="O2087" i="2" s="1"/>
  <c r="M2090" i="2"/>
  <c r="N2090" i="2" s="1"/>
  <c r="O2090" i="2" s="1"/>
  <c r="M2100" i="2"/>
  <c r="N2100" i="2" s="1"/>
  <c r="O2100" i="2" s="1"/>
  <c r="M2105" i="2"/>
  <c r="N2105" i="2" s="1"/>
  <c r="O2105" i="2" s="1"/>
  <c r="M2131" i="2"/>
  <c r="N2131" i="2" s="1"/>
  <c r="O2131" i="2" s="1"/>
  <c r="M2137" i="2"/>
  <c r="N2137" i="2" s="1"/>
  <c r="O2137" i="2" s="1"/>
  <c r="M2147" i="2"/>
  <c r="N2147" i="2" s="1"/>
  <c r="O2147" i="2" s="1"/>
  <c r="M2156" i="2"/>
  <c r="N2156" i="2" s="1"/>
  <c r="O2156" i="2" s="1"/>
  <c r="J2004" i="2"/>
  <c r="K2004" i="2" s="1"/>
  <c r="M2004" i="2" s="1"/>
  <c r="N2004" i="2" s="1"/>
  <c r="O2004" i="2" s="1"/>
  <c r="J2013" i="2"/>
  <c r="K2013" i="2" s="1"/>
  <c r="J2026" i="2"/>
  <c r="K2026" i="2" s="1"/>
  <c r="M2026" i="2" s="1"/>
  <c r="N2026" i="2" s="1"/>
  <c r="O2026" i="2" s="1"/>
  <c r="M2035" i="2"/>
  <c r="N2035" i="2" s="1"/>
  <c r="O2035" i="2" s="1"/>
  <c r="M2038" i="2"/>
  <c r="N2038" i="2" s="1"/>
  <c r="O2038" i="2" s="1"/>
  <c r="M2051" i="2"/>
  <c r="N2051" i="2" s="1"/>
  <c r="O2051" i="2" s="1"/>
  <c r="J2052" i="2"/>
  <c r="K2052" i="2" s="1"/>
  <c r="M2052" i="2" s="1"/>
  <c r="N2052" i="2" s="1"/>
  <c r="O2052" i="2" s="1"/>
  <c r="J2053" i="2"/>
  <c r="K2053" i="2" s="1"/>
  <c r="M2066" i="2"/>
  <c r="N2066" i="2" s="1"/>
  <c r="O2066" i="2" s="1"/>
  <c r="J2072" i="2"/>
  <c r="K2072" i="2" s="1"/>
  <c r="M2072" i="2" s="1"/>
  <c r="N2072" i="2" s="1"/>
  <c r="O2072" i="2" s="1"/>
  <c r="J2084" i="2"/>
  <c r="K2084" i="2" s="1"/>
  <c r="M2084" i="2" s="1"/>
  <c r="N2084" i="2" s="1"/>
  <c r="O2084" i="2" s="1"/>
  <c r="M2097" i="2"/>
  <c r="N2097" i="2" s="1"/>
  <c r="O2097" i="2" s="1"/>
  <c r="M2128" i="2"/>
  <c r="N2128" i="2" s="1"/>
  <c r="O2128" i="2" s="1"/>
  <c r="M2155" i="2"/>
  <c r="N2155" i="2" s="1"/>
  <c r="O2155" i="2" s="1"/>
  <c r="M2165" i="2"/>
  <c r="N2165" i="2" s="1"/>
  <c r="O2165" i="2" s="1"/>
  <c r="M2177" i="2"/>
  <c r="N2177" i="2" s="1"/>
  <c r="O2177" i="2" s="1"/>
  <c r="M2011" i="2"/>
  <c r="N2011" i="2" s="1"/>
  <c r="O2011" i="2" s="1"/>
  <c r="M2012" i="2"/>
  <c r="N2012" i="2" s="1"/>
  <c r="O2012" i="2" s="1"/>
  <c r="J2028" i="2"/>
  <c r="K2028" i="2" s="1"/>
  <c r="M2028" i="2" s="1"/>
  <c r="N2028" i="2" s="1"/>
  <c r="O2028" i="2" s="1"/>
  <c r="J2050" i="2"/>
  <c r="K2050" i="2" s="1"/>
  <c r="M2057" i="2"/>
  <c r="N2057" i="2" s="1"/>
  <c r="O2057" i="2" s="1"/>
  <c r="M2083" i="2"/>
  <c r="N2083" i="2" s="1"/>
  <c r="O2083" i="2" s="1"/>
  <c r="J2100" i="2"/>
  <c r="K2100" i="2" s="1"/>
  <c r="M2117" i="2"/>
  <c r="N2117" i="2" s="1"/>
  <c r="O2117" i="2" s="1"/>
  <c r="M2120" i="2"/>
  <c r="N2120" i="2" s="1"/>
  <c r="O2120" i="2" s="1"/>
  <c r="M2146" i="2"/>
  <c r="N2146" i="2" s="1"/>
  <c r="O2146" i="2" s="1"/>
  <c r="M2161" i="2"/>
  <c r="N2161" i="2" s="1"/>
  <c r="O2161" i="2" s="1"/>
  <c r="M2193" i="2"/>
  <c r="N2193" i="2" s="1"/>
  <c r="O2193" i="2" s="1"/>
  <c r="M2218" i="2"/>
  <c r="N2218" i="2" s="1"/>
  <c r="O2218" i="2" s="1"/>
  <c r="M2171" i="2"/>
  <c r="N2171" i="2" s="1"/>
  <c r="O2171" i="2" s="1"/>
  <c r="M2187" i="2"/>
  <c r="N2187" i="2" s="1"/>
  <c r="O2187" i="2" s="1"/>
  <c r="M2206" i="2"/>
  <c r="N2206" i="2" s="1"/>
  <c r="O2206" i="2" s="1"/>
  <c r="M2236" i="2"/>
  <c r="N2236" i="2" s="1"/>
  <c r="O2236" i="2" s="1"/>
  <c r="M2252" i="2"/>
  <c r="N2252" i="2" s="1"/>
  <c r="O2252" i="2" s="1"/>
  <c r="M2285" i="2"/>
  <c r="N2285" i="2" s="1"/>
  <c r="O2285" i="2" s="1"/>
  <c r="M2303" i="2"/>
  <c r="N2303" i="2" s="1"/>
  <c r="O2303" i="2" s="1"/>
  <c r="M2405" i="2"/>
  <c r="N2405" i="2" s="1"/>
  <c r="O2405" i="2" s="1"/>
  <c r="J2092" i="2"/>
  <c r="K2092" i="2" s="1"/>
  <c r="J2122" i="2"/>
  <c r="K2122" i="2" s="1"/>
  <c r="M2166" i="2"/>
  <c r="N2166" i="2" s="1"/>
  <c r="O2166" i="2" s="1"/>
  <c r="M2167" i="2"/>
  <c r="N2167" i="2" s="1"/>
  <c r="O2167" i="2" s="1"/>
  <c r="M2172" i="2"/>
  <c r="N2172" i="2" s="1"/>
  <c r="O2172" i="2" s="1"/>
  <c r="M2182" i="2"/>
  <c r="N2182" i="2" s="1"/>
  <c r="O2182" i="2" s="1"/>
  <c r="M2183" i="2"/>
  <c r="N2183" i="2" s="1"/>
  <c r="O2183" i="2" s="1"/>
  <c r="M2188" i="2"/>
  <c r="N2188" i="2" s="1"/>
  <c r="O2188" i="2" s="1"/>
  <c r="J2192" i="2"/>
  <c r="K2192" i="2" s="1"/>
  <c r="M2198" i="2"/>
  <c r="N2198" i="2" s="1"/>
  <c r="O2198" i="2" s="1"/>
  <c r="J2208" i="2"/>
  <c r="K2208" i="2" s="1"/>
  <c r="M2208" i="2" s="1"/>
  <c r="N2208" i="2" s="1"/>
  <c r="O2208" i="2" s="1"/>
  <c r="J2211" i="2"/>
  <c r="K2211" i="2" s="1"/>
  <c r="M2211" i="2" s="1"/>
  <c r="N2211" i="2" s="1"/>
  <c r="O2211" i="2" s="1"/>
  <c r="M2213" i="2"/>
  <c r="N2213" i="2" s="1"/>
  <c r="O2213" i="2" s="1"/>
  <c r="M2217" i="2"/>
  <c r="N2217" i="2" s="1"/>
  <c r="O2217" i="2" s="1"/>
  <c r="M2220" i="2"/>
  <c r="N2220" i="2" s="1"/>
  <c r="O2220" i="2" s="1"/>
  <c r="J2231" i="2"/>
  <c r="K2231" i="2" s="1"/>
  <c r="M2231" i="2" s="1"/>
  <c r="N2231" i="2" s="1"/>
  <c r="O2231" i="2" s="1"/>
  <c r="M2238" i="2"/>
  <c r="N2238" i="2" s="1"/>
  <c r="O2238" i="2" s="1"/>
  <c r="M2260" i="2"/>
  <c r="N2260" i="2" s="1"/>
  <c r="O2260" i="2" s="1"/>
  <c r="M2282" i="2"/>
  <c r="N2282" i="2" s="1"/>
  <c r="O2282" i="2" s="1"/>
  <c r="M2337" i="2"/>
  <c r="N2337" i="2" s="1"/>
  <c r="O2337" i="2" s="1"/>
  <c r="M2468" i="2"/>
  <c r="N2468" i="2" s="1"/>
  <c r="O2468" i="2" s="1"/>
  <c r="J2108" i="2"/>
  <c r="K2108" i="2" s="1"/>
  <c r="M2108" i="2" s="1"/>
  <c r="N2108" i="2" s="1"/>
  <c r="O2108" i="2" s="1"/>
  <c r="M2127" i="2"/>
  <c r="N2127" i="2" s="1"/>
  <c r="O2127" i="2" s="1"/>
  <c r="M2130" i="2"/>
  <c r="N2130" i="2" s="1"/>
  <c r="O2130" i="2" s="1"/>
  <c r="J2134" i="2"/>
  <c r="K2134" i="2" s="1"/>
  <c r="J2144" i="2"/>
  <c r="K2144" i="2" s="1"/>
  <c r="M2144" i="2" s="1"/>
  <c r="N2144" i="2" s="1"/>
  <c r="O2144" i="2" s="1"/>
  <c r="M2148" i="2"/>
  <c r="N2148" i="2" s="1"/>
  <c r="O2148" i="2" s="1"/>
  <c r="J2154" i="2"/>
  <c r="K2154" i="2" s="1"/>
  <c r="J2170" i="2"/>
  <c r="K2170" i="2" s="1"/>
  <c r="M2170" i="2" s="1"/>
  <c r="N2170" i="2" s="1"/>
  <c r="O2170" i="2" s="1"/>
  <c r="J2186" i="2"/>
  <c r="K2186" i="2" s="1"/>
  <c r="M2186" i="2" s="1"/>
  <c r="N2186" i="2" s="1"/>
  <c r="O2186" i="2" s="1"/>
  <c r="M2201" i="2"/>
  <c r="N2201" i="2" s="1"/>
  <c r="O2201" i="2" s="1"/>
  <c r="J2235" i="2"/>
  <c r="K2235" i="2" s="1"/>
  <c r="J2255" i="2"/>
  <c r="K2255" i="2" s="1"/>
  <c r="M2255" i="2" s="1"/>
  <c r="N2255" i="2" s="1"/>
  <c r="O2255" i="2" s="1"/>
  <c r="M2256" i="2"/>
  <c r="N2256" i="2" s="1"/>
  <c r="O2256" i="2" s="1"/>
  <c r="M2301" i="2"/>
  <c r="N2301" i="2" s="1"/>
  <c r="O2301" i="2" s="1"/>
  <c r="M2322" i="2"/>
  <c r="N2322" i="2" s="1"/>
  <c r="O2322" i="2" s="1"/>
  <c r="M2331" i="2"/>
  <c r="N2331" i="2" s="1"/>
  <c r="O2331" i="2" s="1"/>
  <c r="J2118" i="2"/>
  <c r="K2118" i="2" s="1"/>
  <c r="M2118" i="2" s="1"/>
  <c r="N2118" i="2" s="1"/>
  <c r="O2118" i="2" s="1"/>
  <c r="J2136" i="2"/>
  <c r="K2136" i="2" s="1"/>
  <c r="J2142" i="2"/>
  <c r="K2142" i="2" s="1"/>
  <c r="M2142" i="2" s="1"/>
  <c r="N2142" i="2" s="1"/>
  <c r="O2142" i="2" s="1"/>
  <c r="M2152" i="2"/>
  <c r="N2152" i="2" s="1"/>
  <c r="O2152" i="2" s="1"/>
  <c r="J2164" i="2"/>
  <c r="K2164" i="2" s="1"/>
  <c r="M2168" i="2"/>
  <c r="N2168" i="2" s="1"/>
  <c r="O2168" i="2" s="1"/>
  <c r="J2180" i="2"/>
  <c r="K2180" i="2" s="1"/>
  <c r="M2180" i="2" s="1"/>
  <c r="N2180" i="2" s="1"/>
  <c r="O2180" i="2" s="1"/>
  <c r="M2184" i="2"/>
  <c r="N2184" i="2" s="1"/>
  <c r="O2184" i="2" s="1"/>
  <c r="J2196" i="2"/>
  <c r="K2196" i="2" s="1"/>
  <c r="M2197" i="2"/>
  <c r="N2197" i="2" s="1"/>
  <c r="O2197" i="2" s="1"/>
  <c r="M2205" i="2"/>
  <c r="N2205" i="2" s="1"/>
  <c r="O2205" i="2" s="1"/>
  <c r="J2223" i="2"/>
  <c r="K2223" i="2" s="1"/>
  <c r="M2223" i="2" s="1"/>
  <c r="N2223" i="2" s="1"/>
  <c r="O2223" i="2" s="1"/>
  <c r="J2227" i="2"/>
  <c r="K2227" i="2" s="1"/>
  <c r="M2227" i="2" s="1"/>
  <c r="N2227" i="2" s="1"/>
  <c r="O2227" i="2" s="1"/>
  <c r="M2229" i="2"/>
  <c r="N2229" i="2" s="1"/>
  <c r="O2229" i="2" s="1"/>
  <c r="M2244" i="2"/>
  <c r="N2244" i="2" s="1"/>
  <c r="O2244" i="2" s="1"/>
  <c r="M2245" i="2"/>
  <c r="N2245" i="2" s="1"/>
  <c r="O2245" i="2" s="1"/>
  <c r="M2276" i="2"/>
  <c r="N2276" i="2" s="1"/>
  <c r="O2276" i="2" s="1"/>
  <c r="M2394" i="2"/>
  <c r="N2394" i="2" s="1"/>
  <c r="O2394" i="2" s="1"/>
  <c r="J2106" i="2"/>
  <c r="K2106" i="2" s="1"/>
  <c r="M2106" i="2" s="1"/>
  <c r="N2106" i="2" s="1"/>
  <c r="O2106" i="2" s="1"/>
  <c r="M2145" i="2"/>
  <c r="N2145" i="2" s="1"/>
  <c r="O2145" i="2" s="1"/>
  <c r="M2163" i="2"/>
  <c r="N2163" i="2" s="1"/>
  <c r="O2163" i="2" s="1"/>
  <c r="M2178" i="2"/>
  <c r="N2178" i="2" s="1"/>
  <c r="O2178" i="2" s="1"/>
  <c r="M2194" i="2"/>
  <c r="N2194" i="2" s="1"/>
  <c r="O2194" i="2" s="1"/>
  <c r="M2195" i="2"/>
  <c r="N2195" i="2" s="1"/>
  <c r="O2195" i="2" s="1"/>
  <c r="M2266" i="2"/>
  <c r="N2266" i="2" s="1"/>
  <c r="O2266" i="2" s="1"/>
  <c r="M2271" i="2"/>
  <c r="N2271" i="2" s="1"/>
  <c r="O2271" i="2" s="1"/>
  <c r="M2352" i="2"/>
  <c r="N2352" i="2" s="1"/>
  <c r="O2352" i="2" s="1"/>
  <c r="J2124" i="2"/>
  <c r="K2124" i="2" s="1"/>
  <c r="M2124" i="2" s="1"/>
  <c r="N2124" i="2" s="1"/>
  <c r="O2124" i="2" s="1"/>
  <c r="M2136" i="2"/>
  <c r="N2136" i="2" s="1"/>
  <c r="O2136" i="2" s="1"/>
  <c r="M2158" i="2"/>
  <c r="N2158" i="2" s="1"/>
  <c r="O2158" i="2" s="1"/>
  <c r="M2164" i="2"/>
  <c r="N2164" i="2" s="1"/>
  <c r="O2164" i="2" s="1"/>
  <c r="M2174" i="2"/>
  <c r="N2174" i="2" s="1"/>
  <c r="O2174" i="2" s="1"/>
  <c r="J2184" i="2"/>
  <c r="K2184" i="2" s="1"/>
  <c r="M2190" i="2"/>
  <c r="N2190" i="2" s="1"/>
  <c r="O2190" i="2" s="1"/>
  <c r="M2196" i="2"/>
  <c r="N2196" i="2" s="1"/>
  <c r="O2196" i="2" s="1"/>
  <c r="J2200" i="2"/>
  <c r="K2200" i="2" s="1"/>
  <c r="M2200" i="2" s="1"/>
  <c r="N2200" i="2" s="1"/>
  <c r="O2200" i="2" s="1"/>
  <c r="M2204" i="2"/>
  <c r="N2204" i="2" s="1"/>
  <c r="O2204" i="2" s="1"/>
  <c r="M2210" i="2"/>
  <c r="N2210" i="2" s="1"/>
  <c r="O2210" i="2" s="1"/>
  <c r="M2215" i="2"/>
  <c r="N2215" i="2" s="1"/>
  <c r="O2215" i="2" s="1"/>
  <c r="J2247" i="2"/>
  <c r="K2247" i="2" s="1"/>
  <c r="M2247" i="2" s="1"/>
  <c r="N2247" i="2" s="1"/>
  <c r="O2247" i="2" s="1"/>
  <c r="J2251" i="2"/>
  <c r="K2251" i="2" s="1"/>
  <c r="M2251" i="2" s="1"/>
  <c r="N2251" i="2" s="1"/>
  <c r="O2251" i="2" s="1"/>
  <c r="M2326" i="2"/>
  <c r="N2326" i="2" s="1"/>
  <c r="O2326" i="2" s="1"/>
  <c r="M2494" i="2"/>
  <c r="N2494" i="2" s="1"/>
  <c r="O2494" i="2" s="1"/>
  <c r="J2126" i="2"/>
  <c r="K2126" i="2" s="1"/>
  <c r="M2126" i="2" s="1"/>
  <c r="N2126" i="2" s="1"/>
  <c r="O2126" i="2" s="1"/>
  <c r="M2138" i="2"/>
  <c r="N2138" i="2" s="1"/>
  <c r="O2138" i="2" s="1"/>
  <c r="J2162" i="2"/>
  <c r="K2162" i="2" s="1"/>
  <c r="J2178" i="2"/>
  <c r="K2178" i="2" s="1"/>
  <c r="M2185" i="2"/>
  <c r="N2185" i="2" s="1"/>
  <c r="O2185" i="2" s="1"/>
  <c r="J2194" i="2"/>
  <c r="K2194" i="2" s="1"/>
  <c r="J2212" i="2"/>
  <c r="K2212" i="2" s="1"/>
  <c r="J2219" i="2"/>
  <c r="K2219" i="2" s="1"/>
  <c r="M2219" i="2" s="1"/>
  <c r="N2219" i="2" s="1"/>
  <c r="O2219" i="2" s="1"/>
  <c r="M2221" i="2"/>
  <c r="N2221" i="2" s="1"/>
  <c r="O2221" i="2" s="1"/>
  <c r="M2232" i="2"/>
  <c r="N2232" i="2" s="1"/>
  <c r="O2232" i="2" s="1"/>
  <c r="M2237" i="2"/>
  <c r="N2237" i="2" s="1"/>
  <c r="O2237" i="2" s="1"/>
  <c r="M2347" i="2"/>
  <c r="N2347" i="2" s="1"/>
  <c r="O2347" i="2" s="1"/>
  <c r="M2417" i="2"/>
  <c r="N2417" i="2" s="1"/>
  <c r="O2417" i="2" s="1"/>
  <c r="J2240" i="2"/>
  <c r="K2240" i="2" s="1"/>
  <c r="J2273" i="2"/>
  <c r="K2273" i="2" s="1"/>
  <c r="M2273" i="2" s="1"/>
  <c r="N2273" i="2" s="1"/>
  <c r="O2273" i="2" s="1"/>
  <c r="M2294" i="2"/>
  <c r="N2294" i="2" s="1"/>
  <c r="O2294" i="2" s="1"/>
  <c r="J2295" i="2"/>
  <c r="K2295" i="2" s="1"/>
  <c r="M2295" i="2" s="1"/>
  <c r="N2295" i="2" s="1"/>
  <c r="O2295" i="2" s="1"/>
  <c r="M2355" i="2"/>
  <c r="N2355" i="2" s="1"/>
  <c r="O2355" i="2" s="1"/>
  <c r="M2386" i="2"/>
  <c r="N2386" i="2" s="1"/>
  <c r="O2386" i="2" s="1"/>
  <c r="M2466" i="2"/>
  <c r="N2466" i="2" s="1"/>
  <c r="O2466" i="2" s="1"/>
  <c r="M2496" i="2"/>
  <c r="N2496" i="2" s="1"/>
  <c r="O2496" i="2" s="1"/>
  <c r="J2264" i="2"/>
  <c r="K2264" i="2" s="1"/>
  <c r="M2264" i="2" s="1"/>
  <c r="N2264" i="2" s="1"/>
  <c r="O2264" i="2" s="1"/>
  <c r="M2299" i="2"/>
  <c r="N2299" i="2" s="1"/>
  <c r="O2299" i="2" s="1"/>
  <c r="M2306" i="2"/>
  <c r="N2306" i="2" s="1"/>
  <c r="O2306" i="2" s="1"/>
  <c r="M2315" i="2"/>
  <c r="N2315" i="2" s="1"/>
  <c r="O2315" i="2" s="1"/>
  <c r="M2324" i="2"/>
  <c r="N2324" i="2" s="1"/>
  <c r="O2324" i="2" s="1"/>
  <c r="M2341" i="2"/>
  <c r="N2341" i="2" s="1"/>
  <c r="O2341" i="2" s="1"/>
  <c r="M2346" i="2"/>
  <c r="N2346" i="2" s="1"/>
  <c r="O2346" i="2" s="1"/>
  <c r="M2353" i="2"/>
  <c r="N2353" i="2" s="1"/>
  <c r="O2353" i="2" s="1"/>
  <c r="M2366" i="2"/>
  <c r="N2366" i="2" s="1"/>
  <c r="O2366" i="2" s="1"/>
  <c r="M2402" i="2"/>
  <c r="N2402" i="2" s="1"/>
  <c r="O2402" i="2" s="1"/>
  <c r="M2434" i="2"/>
  <c r="N2434" i="2" s="1"/>
  <c r="O2434" i="2" s="1"/>
  <c r="M2463" i="2"/>
  <c r="N2463" i="2" s="1"/>
  <c r="O2463" i="2" s="1"/>
  <c r="M2212" i="2"/>
  <c r="N2212" i="2" s="1"/>
  <c r="O2212" i="2" s="1"/>
  <c r="M2228" i="2"/>
  <c r="N2228" i="2" s="1"/>
  <c r="O2228" i="2" s="1"/>
  <c r="J2232" i="2"/>
  <c r="K2232" i="2" s="1"/>
  <c r="M2242" i="2"/>
  <c r="N2242" i="2" s="1"/>
  <c r="O2242" i="2" s="1"/>
  <c r="J2259" i="2"/>
  <c r="K2259" i="2" s="1"/>
  <c r="M2263" i="2"/>
  <c r="N2263" i="2" s="1"/>
  <c r="O2263" i="2" s="1"/>
  <c r="M2277" i="2"/>
  <c r="N2277" i="2" s="1"/>
  <c r="O2277" i="2" s="1"/>
  <c r="J2280" i="2"/>
  <c r="K2280" i="2" s="1"/>
  <c r="M2280" i="2" s="1"/>
  <c r="N2280" i="2" s="1"/>
  <c r="O2280" i="2" s="1"/>
  <c r="M2287" i="2"/>
  <c r="N2287" i="2" s="1"/>
  <c r="O2287" i="2" s="1"/>
  <c r="M2328" i="2"/>
  <c r="N2328" i="2" s="1"/>
  <c r="O2328" i="2" s="1"/>
  <c r="M2373" i="2"/>
  <c r="N2373" i="2" s="1"/>
  <c r="O2373" i="2" s="1"/>
  <c r="M2464" i="2"/>
  <c r="N2464" i="2" s="1"/>
  <c r="O2464" i="2" s="1"/>
  <c r="M2583" i="2"/>
  <c r="N2583" i="2" s="1"/>
  <c r="O2583" i="2" s="1"/>
  <c r="M2588" i="2"/>
  <c r="N2588" i="2" s="1"/>
  <c r="O2588" i="2" s="1"/>
  <c r="J2209" i="2"/>
  <c r="K2209" i="2" s="1"/>
  <c r="M2209" i="2" s="1"/>
  <c r="N2209" i="2" s="1"/>
  <c r="O2209" i="2" s="1"/>
  <c r="M2279" i="2"/>
  <c r="N2279" i="2" s="1"/>
  <c r="O2279" i="2" s="1"/>
  <c r="M2284" i="2"/>
  <c r="N2284" i="2" s="1"/>
  <c r="O2284" i="2" s="1"/>
  <c r="M2311" i="2"/>
  <c r="N2311" i="2" s="1"/>
  <c r="O2311" i="2" s="1"/>
  <c r="M2314" i="2"/>
  <c r="N2314" i="2" s="1"/>
  <c r="O2314" i="2" s="1"/>
  <c r="M2317" i="2"/>
  <c r="N2317" i="2" s="1"/>
  <c r="O2317" i="2" s="1"/>
  <c r="M2400" i="2"/>
  <c r="N2400" i="2" s="1"/>
  <c r="O2400" i="2" s="1"/>
  <c r="M2411" i="2"/>
  <c r="N2411" i="2" s="1"/>
  <c r="O2411" i="2" s="1"/>
  <c r="M2510" i="2"/>
  <c r="N2510" i="2" s="1"/>
  <c r="O2510" i="2" s="1"/>
  <c r="J2224" i="2"/>
  <c r="K2224" i="2" s="1"/>
  <c r="M2224" i="2" s="1"/>
  <c r="N2224" i="2" s="1"/>
  <c r="O2224" i="2" s="1"/>
  <c r="M2234" i="2"/>
  <c r="N2234" i="2" s="1"/>
  <c r="O2234" i="2" s="1"/>
  <c r="J2256" i="2"/>
  <c r="K2256" i="2" s="1"/>
  <c r="M2258" i="2"/>
  <c r="N2258" i="2" s="1"/>
  <c r="O2258" i="2" s="1"/>
  <c r="M2259" i="2"/>
  <c r="N2259" i="2" s="1"/>
  <c r="O2259" i="2" s="1"/>
  <c r="J2275" i="2"/>
  <c r="K2275" i="2" s="1"/>
  <c r="M2275" i="2" s="1"/>
  <c r="N2275" i="2" s="1"/>
  <c r="O2275" i="2" s="1"/>
  <c r="M2281" i="2"/>
  <c r="N2281" i="2" s="1"/>
  <c r="O2281" i="2" s="1"/>
  <c r="M2344" i="2"/>
  <c r="N2344" i="2" s="1"/>
  <c r="O2344" i="2" s="1"/>
  <c r="M2354" i="2"/>
  <c r="N2354" i="2" s="1"/>
  <c r="O2354" i="2" s="1"/>
  <c r="M2399" i="2"/>
  <c r="N2399" i="2" s="1"/>
  <c r="O2399" i="2" s="1"/>
  <c r="M2418" i="2"/>
  <c r="N2418" i="2" s="1"/>
  <c r="O2418" i="2" s="1"/>
  <c r="M2270" i="2"/>
  <c r="N2270" i="2" s="1"/>
  <c r="O2270" i="2" s="1"/>
  <c r="J2283" i="2"/>
  <c r="K2283" i="2" s="1"/>
  <c r="M2283" i="2" s="1"/>
  <c r="N2283" i="2" s="1"/>
  <c r="O2283" i="2" s="1"/>
  <c r="M2288" i="2"/>
  <c r="N2288" i="2" s="1"/>
  <c r="O2288" i="2" s="1"/>
  <c r="M2318" i="2"/>
  <c r="N2318" i="2" s="1"/>
  <c r="O2318" i="2" s="1"/>
  <c r="M2323" i="2"/>
  <c r="N2323" i="2" s="1"/>
  <c r="O2323" i="2" s="1"/>
  <c r="M2335" i="2"/>
  <c r="N2335" i="2" s="1"/>
  <c r="O2335" i="2" s="1"/>
  <c r="M2371" i="2"/>
  <c r="N2371" i="2" s="1"/>
  <c r="O2371" i="2" s="1"/>
  <c r="M2398" i="2"/>
  <c r="N2398" i="2" s="1"/>
  <c r="O2398" i="2" s="1"/>
  <c r="M2532" i="2"/>
  <c r="N2532" i="2" s="1"/>
  <c r="O2532" i="2" s="1"/>
  <c r="J2216" i="2"/>
  <c r="K2216" i="2" s="1"/>
  <c r="M2216" i="2" s="1"/>
  <c r="N2216" i="2" s="1"/>
  <c r="O2216" i="2" s="1"/>
  <c r="J2248" i="2"/>
  <c r="K2248" i="2" s="1"/>
  <c r="M2248" i="2" s="1"/>
  <c r="N2248" i="2" s="1"/>
  <c r="O2248" i="2" s="1"/>
  <c r="J2257" i="2"/>
  <c r="K2257" i="2" s="1"/>
  <c r="M2257" i="2" s="1"/>
  <c r="N2257" i="2" s="1"/>
  <c r="O2257" i="2" s="1"/>
  <c r="J2272" i="2"/>
  <c r="K2272" i="2" s="1"/>
  <c r="M2272" i="2" s="1"/>
  <c r="N2272" i="2" s="1"/>
  <c r="O2272" i="2" s="1"/>
  <c r="M2274" i="2"/>
  <c r="N2274" i="2" s="1"/>
  <c r="O2274" i="2" s="1"/>
  <c r="M2293" i="2"/>
  <c r="N2293" i="2" s="1"/>
  <c r="O2293" i="2" s="1"/>
  <c r="M2367" i="2"/>
  <c r="N2367" i="2" s="1"/>
  <c r="O2367" i="2" s="1"/>
  <c r="M2370" i="2"/>
  <c r="N2370" i="2" s="1"/>
  <c r="O2370" i="2" s="1"/>
  <c r="M2469" i="2"/>
  <c r="N2469" i="2" s="1"/>
  <c r="O2469" i="2" s="1"/>
  <c r="M2481" i="2"/>
  <c r="N2481" i="2" s="1"/>
  <c r="O2481" i="2" s="1"/>
  <c r="M2507" i="2"/>
  <c r="N2507" i="2" s="1"/>
  <c r="O2507" i="2" s="1"/>
  <c r="M2538" i="2"/>
  <c r="N2538" i="2" s="1"/>
  <c r="O2538" i="2" s="1"/>
  <c r="J2312" i="2"/>
  <c r="K2312" i="2" s="1"/>
  <c r="M2312" i="2" s="1"/>
  <c r="N2312" i="2" s="1"/>
  <c r="O2312" i="2" s="1"/>
  <c r="J2344" i="2"/>
  <c r="K2344" i="2" s="1"/>
  <c r="M2369" i="2"/>
  <c r="N2369" i="2" s="1"/>
  <c r="O2369" i="2" s="1"/>
  <c r="M2403" i="2"/>
  <c r="N2403" i="2" s="1"/>
  <c r="O2403" i="2" s="1"/>
  <c r="M2423" i="2"/>
  <c r="N2423" i="2" s="1"/>
  <c r="O2423" i="2" s="1"/>
  <c r="M2426" i="2"/>
  <c r="N2426" i="2" s="1"/>
  <c r="O2426" i="2" s="1"/>
  <c r="M2441" i="2"/>
  <c r="N2441" i="2" s="1"/>
  <c r="O2441" i="2" s="1"/>
  <c r="J2443" i="2"/>
  <c r="K2443" i="2" s="1"/>
  <c r="J2448" i="2"/>
  <c r="K2448" i="2" s="1"/>
  <c r="M2458" i="2"/>
  <c r="N2458" i="2" s="1"/>
  <c r="O2458" i="2" s="1"/>
  <c r="M2473" i="2"/>
  <c r="N2473" i="2" s="1"/>
  <c r="O2473" i="2" s="1"/>
  <c r="M2487" i="2"/>
  <c r="N2487" i="2" s="1"/>
  <c r="O2487" i="2" s="1"/>
  <c r="M2513" i="2"/>
  <c r="N2513" i="2" s="1"/>
  <c r="O2513" i="2" s="1"/>
  <c r="J2321" i="2"/>
  <c r="K2321" i="2" s="1"/>
  <c r="M2321" i="2" s="1"/>
  <c r="N2321" i="2" s="1"/>
  <c r="O2321" i="2" s="1"/>
  <c r="J2359" i="2"/>
  <c r="K2359" i="2" s="1"/>
  <c r="M2359" i="2" s="1"/>
  <c r="N2359" i="2" s="1"/>
  <c r="O2359" i="2" s="1"/>
  <c r="M2377" i="2"/>
  <c r="N2377" i="2" s="1"/>
  <c r="O2377" i="2" s="1"/>
  <c r="J2384" i="2"/>
  <c r="K2384" i="2" s="1"/>
  <c r="M2391" i="2"/>
  <c r="N2391" i="2" s="1"/>
  <c r="O2391" i="2" s="1"/>
  <c r="J2416" i="2"/>
  <c r="K2416" i="2" s="1"/>
  <c r="M2416" i="2" s="1"/>
  <c r="N2416" i="2" s="1"/>
  <c r="O2416" i="2" s="1"/>
  <c r="J2447" i="2"/>
  <c r="K2447" i="2" s="1"/>
  <c r="M2447" i="2" s="1"/>
  <c r="N2447" i="2" s="1"/>
  <c r="O2447" i="2" s="1"/>
  <c r="M2482" i="2"/>
  <c r="N2482" i="2" s="1"/>
  <c r="O2482" i="2" s="1"/>
  <c r="M2498" i="2"/>
  <c r="N2498" i="2" s="1"/>
  <c r="O2498" i="2" s="1"/>
  <c r="J2304" i="2"/>
  <c r="K2304" i="2" s="1"/>
  <c r="J2336" i="2"/>
  <c r="K2336" i="2" s="1"/>
  <c r="J2360" i="2"/>
  <c r="K2360" i="2" s="1"/>
  <c r="J2361" i="2"/>
  <c r="K2361" i="2" s="1"/>
  <c r="M2365" i="2"/>
  <c r="N2365" i="2" s="1"/>
  <c r="O2365" i="2" s="1"/>
  <c r="M2368" i="2"/>
  <c r="N2368" i="2" s="1"/>
  <c r="O2368" i="2" s="1"/>
  <c r="M2388" i="2"/>
  <c r="N2388" i="2" s="1"/>
  <c r="O2388" i="2" s="1"/>
  <c r="M2392" i="2"/>
  <c r="N2392" i="2" s="1"/>
  <c r="O2392" i="2" s="1"/>
  <c r="M2397" i="2"/>
  <c r="N2397" i="2" s="1"/>
  <c r="O2397" i="2" s="1"/>
  <c r="M2420" i="2"/>
  <c r="N2420" i="2" s="1"/>
  <c r="O2420" i="2" s="1"/>
  <c r="J2435" i="2"/>
  <c r="K2435" i="2" s="1"/>
  <c r="M2435" i="2" s="1"/>
  <c r="N2435" i="2" s="1"/>
  <c r="O2435" i="2" s="1"/>
  <c r="J2440" i="2"/>
  <c r="K2440" i="2" s="1"/>
  <c r="M2450" i="2"/>
  <c r="N2450" i="2" s="1"/>
  <c r="O2450" i="2" s="1"/>
  <c r="M2452" i="2"/>
  <c r="N2452" i="2" s="1"/>
  <c r="O2452" i="2" s="1"/>
  <c r="M2459" i="2"/>
  <c r="N2459" i="2" s="1"/>
  <c r="O2459" i="2" s="1"/>
  <c r="J2467" i="2"/>
  <c r="K2467" i="2" s="1"/>
  <c r="J2472" i="2"/>
  <c r="K2472" i="2" s="1"/>
  <c r="M2472" i="2" s="1"/>
  <c r="N2472" i="2" s="1"/>
  <c r="O2472" i="2" s="1"/>
  <c r="M2478" i="2"/>
  <c r="N2478" i="2" s="1"/>
  <c r="O2478" i="2" s="1"/>
  <c r="M2531" i="2"/>
  <c r="N2531" i="2" s="1"/>
  <c r="O2531" i="2" s="1"/>
  <c r="M2555" i="2"/>
  <c r="N2555" i="2" s="1"/>
  <c r="O2555" i="2" s="1"/>
  <c r="M2602" i="2"/>
  <c r="N2602" i="2" s="1"/>
  <c r="O2602" i="2" s="1"/>
  <c r="M2617" i="2"/>
  <c r="N2617" i="2" s="1"/>
  <c r="O2617" i="2" s="1"/>
  <c r="M2383" i="2"/>
  <c r="N2383" i="2" s="1"/>
  <c r="O2383" i="2" s="1"/>
  <c r="M2389" i="2"/>
  <c r="N2389" i="2" s="1"/>
  <c r="O2389" i="2" s="1"/>
  <c r="M2401" i="2"/>
  <c r="N2401" i="2" s="1"/>
  <c r="O2401" i="2" s="1"/>
  <c r="M2415" i="2"/>
  <c r="N2415" i="2" s="1"/>
  <c r="O2415" i="2" s="1"/>
  <c r="M2421" i="2"/>
  <c r="N2421" i="2" s="1"/>
  <c r="O2421" i="2" s="1"/>
  <c r="M2448" i="2"/>
  <c r="N2448" i="2" s="1"/>
  <c r="O2448" i="2" s="1"/>
  <c r="M2483" i="2"/>
  <c r="N2483" i="2" s="1"/>
  <c r="O2483" i="2" s="1"/>
  <c r="M2484" i="2"/>
  <c r="N2484" i="2" s="1"/>
  <c r="O2484" i="2" s="1"/>
  <c r="M2491" i="2"/>
  <c r="N2491" i="2" s="1"/>
  <c r="O2491" i="2" s="1"/>
  <c r="M2506" i="2"/>
  <c r="N2506" i="2" s="1"/>
  <c r="O2506" i="2" s="1"/>
  <c r="M2567" i="2"/>
  <c r="N2567" i="2" s="1"/>
  <c r="O2567" i="2" s="1"/>
  <c r="M2571" i="2"/>
  <c r="N2571" i="2" s="1"/>
  <c r="O2571" i="2" s="1"/>
  <c r="M2362" i="2"/>
  <c r="N2362" i="2" s="1"/>
  <c r="O2362" i="2" s="1"/>
  <c r="M2378" i="2"/>
  <c r="N2378" i="2" s="1"/>
  <c r="O2378" i="2" s="1"/>
  <c r="M2380" i="2"/>
  <c r="N2380" i="2" s="1"/>
  <c r="O2380" i="2" s="1"/>
  <c r="M2387" i="2"/>
  <c r="N2387" i="2" s="1"/>
  <c r="O2387" i="2" s="1"/>
  <c r="M2410" i="2"/>
  <c r="N2410" i="2" s="1"/>
  <c r="O2410" i="2" s="1"/>
  <c r="M2412" i="2"/>
  <c r="N2412" i="2" s="1"/>
  <c r="O2412" i="2" s="1"/>
  <c r="M2419" i="2"/>
  <c r="N2419" i="2" s="1"/>
  <c r="O2419" i="2" s="1"/>
  <c r="M2442" i="2"/>
  <c r="N2442" i="2" s="1"/>
  <c r="O2442" i="2" s="1"/>
  <c r="M2451" i="2"/>
  <c r="N2451" i="2" s="1"/>
  <c r="O2451" i="2" s="1"/>
  <c r="M2471" i="2"/>
  <c r="N2471" i="2" s="1"/>
  <c r="O2471" i="2" s="1"/>
  <c r="M2499" i="2"/>
  <c r="N2499" i="2" s="1"/>
  <c r="O2499" i="2" s="1"/>
  <c r="M2512" i="2"/>
  <c r="N2512" i="2" s="1"/>
  <c r="O2512" i="2" s="1"/>
  <c r="M2517" i="2"/>
  <c r="N2517" i="2" s="1"/>
  <c r="O2517" i="2" s="1"/>
  <c r="M2541" i="2"/>
  <c r="N2541" i="2" s="1"/>
  <c r="O2541" i="2" s="1"/>
  <c r="M2551" i="2"/>
  <c r="N2551" i="2" s="1"/>
  <c r="O2551" i="2" s="1"/>
  <c r="M2552" i="2"/>
  <c r="N2552" i="2" s="1"/>
  <c r="O2552" i="2" s="1"/>
  <c r="M2349" i="2"/>
  <c r="N2349" i="2" s="1"/>
  <c r="O2349" i="2" s="1"/>
  <c r="M2360" i="2"/>
  <c r="N2360" i="2" s="1"/>
  <c r="O2360" i="2" s="1"/>
  <c r="M2375" i="2"/>
  <c r="N2375" i="2" s="1"/>
  <c r="O2375" i="2" s="1"/>
  <c r="M2407" i="2"/>
  <c r="N2407" i="2" s="1"/>
  <c r="O2407" i="2" s="1"/>
  <c r="M2413" i="2"/>
  <c r="N2413" i="2" s="1"/>
  <c r="O2413" i="2" s="1"/>
  <c r="M2445" i="2"/>
  <c r="N2445" i="2" s="1"/>
  <c r="O2445" i="2" s="1"/>
  <c r="M2479" i="2"/>
  <c r="N2479" i="2" s="1"/>
  <c r="O2479" i="2" s="1"/>
  <c r="M2490" i="2"/>
  <c r="N2490" i="2" s="1"/>
  <c r="O2490" i="2" s="1"/>
  <c r="M2549" i="2"/>
  <c r="N2549" i="2" s="1"/>
  <c r="O2549" i="2" s="1"/>
  <c r="M2543" i="2"/>
  <c r="N2543" i="2" s="1"/>
  <c r="O2543" i="2" s="1"/>
  <c r="M2544" i="2"/>
  <c r="N2544" i="2" s="1"/>
  <c r="O2544" i="2" s="1"/>
  <c r="M2563" i="2"/>
  <c r="N2563" i="2" s="1"/>
  <c r="O2563" i="2" s="1"/>
  <c r="J2570" i="2"/>
  <c r="K2570" i="2" s="1"/>
  <c r="J2574" i="2"/>
  <c r="K2574" i="2" s="1"/>
  <c r="M2578" i="2"/>
  <c r="N2578" i="2" s="1"/>
  <c r="O2578" i="2" s="1"/>
  <c r="M2581" i="2"/>
  <c r="N2581" i="2" s="1"/>
  <c r="O2581" i="2" s="1"/>
  <c r="J2492" i="2"/>
  <c r="K2492" i="2" s="1"/>
  <c r="M2492" i="2" s="1"/>
  <c r="N2492" i="2" s="1"/>
  <c r="O2492" i="2" s="1"/>
  <c r="J2502" i="2"/>
  <c r="K2502" i="2" s="1"/>
  <c r="J2526" i="2"/>
  <c r="K2526" i="2" s="1"/>
  <c r="M2526" i="2" s="1"/>
  <c r="N2526" i="2" s="1"/>
  <c r="O2526" i="2" s="1"/>
  <c r="M2535" i="2"/>
  <c r="N2535" i="2" s="1"/>
  <c r="O2535" i="2" s="1"/>
  <c r="M2550" i="2"/>
  <c r="N2550" i="2" s="1"/>
  <c r="O2550" i="2" s="1"/>
  <c r="J2562" i="2"/>
  <c r="K2562" i="2" s="1"/>
  <c r="M2562" i="2" s="1"/>
  <c r="N2562" i="2" s="1"/>
  <c r="O2562" i="2" s="1"/>
  <c r="J2566" i="2"/>
  <c r="K2566" i="2" s="1"/>
  <c r="M2566" i="2" s="1"/>
  <c r="N2566" i="2" s="1"/>
  <c r="O2566" i="2" s="1"/>
  <c r="M2570" i="2"/>
  <c r="N2570" i="2" s="1"/>
  <c r="O2570" i="2" s="1"/>
  <c r="M2580" i="2"/>
  <c r="N2580" i="2" s="1"/>
  <c r="O2580" i="2" s="1"/>
  <c r="M2619" i="2"/>
  <c r="N2619" i="2" s="1"/>
  <c r="O2619" i="2" s="1"/>
  <c r="J2498" i="2"/>
  <c r="K2498" i="2" s="1"/>
  <c r="J2522" i="2"/>
  <c r="K2522" i="2" s="1"/>
  <c r="J2523" i="2"/>
  <c r="K2523" i="2" s="1"/>
  <c r="M2523" i="2" s="1"/>
  <c r="N2523" i="2" s="1"/>
  <c r="O2523" i="2" s="1"/>
  <c r="J2531" i="2"/>
  <c r="K2531" i="2" s="1"/>
  <c r="M2536" i="2"/>
  <c r="N2536" i="2" s="1"/>
  <c r="O2536" i="2" s="1"/>
  <c r="M2542" i="2"/>
  <c r="N2542" i="2" s="1"/>
  <c r="O2542" i="2" s="1"/>
  <c r="J2554" i="2"/>
  <c r="K2554" i="2" s="1"/>
  <c r="M2554" i="2" s="1"/>
  <c r="N2554" i="2" s="1"/>
  <c r="O2554" i="2" s="1"/>
  <c r="J2558" i="2"/>
  <c r="K2558" i="2" s="1"/>
  <c r="M2558" i="2" s="1"/>
  <c r="N2558" i="2" s="1"/>
  <c r="O2558" i="2" s="1"/>
  <c r="M2569" i="2"/>
  <c r="N2569" i="2" s="1"/>
  <c r="O2569" i="2" s="1"/>
  <c r="M2572" i="2"/>
  <c r="N2572" i="2" s="1"/>
  <c r="O2572" i="2" s="1"/>
  <c r="M2597" i="2"/>
  <c r="N2597" i="2" s="1"/>
  <c r="O2597" i="2" s="1"/>
  <c r="M2628" i="2"/>
  <c r="N2628" i="2" s="1"/>
  <c r="O2628" i="2" s="1"/>
  <c r="M2665" i="2"/>
  <c r="N2665" i="2" s="1"/>
  <c r="O2665" i="2" s="1"/>
  <c r="M2680" i="2"/>
  <c r="N2680" i="2" s="1"/>
  <c r="O2680" i="2" s="1"/>
  <c r="J2476" i="2"/>
  <c r="K2476" i="2" s="1"/>
  <c r="M2476" i="2" s="1"/>
  <c r="N2476" i="2" s="1"/>
  <c r="O2476" i="2" s="1"/>
  <c r="M2534" i="2"/>
  <c r="N2534" i="2" s="1"/>
  <c r="O2534" i="2" s="1"/>
  <c r="M2564" i="2"/>
  <c r="N2564" i="2" s="1"/>
  <c r="O2564" i="2" s="1"/>
  <c r="M2590" i="2"/>
  <c r="N2590" i="2" s="1"/>
  <c r="O2590" i="2" s="1"/>
  <c r="M2591" i="2"/>
  <c r="N2591" i="2" s="1"/>
  <c r="O2591" i="2" s="1"/>
  <c r="M2691" i="2"/>
  <c r="N2691" i="2" s="1"/>
  <c r="O2691" i="2" s="1"/>
  <c r="M2692" i="2"/>
  <c r="N2692" i="2" s="1"/>
  <c r="O2692" i="2" s="1"/>
  <c r="M2711" i="2"/>
  <c r="N2711" i="2" s="1"/>
  <c r="O2711" i="2" s="1"/>
  <c r="M2790" i="2"/>
  <c r="N2790" i="2" s="1"/>
  <c r="O2790" i="2" s="1"/>
  <c r="M2488" i="2"/>
  <c r="N2488" i="2" s="1"/>
  <c r="O2488" i="2" s="1"/>
  <c r="M2520" i="2"/>
  <c r="N2520" i="2" s="1"/>
  <c r="O2520" i="2" s="1"/>
  <c r="M2530" i="2"/>
  <c r="N2530" i="2" s="1"/>
  <c r="O2530" i="2" s="1"/>
  <c r="M2546" i="2"/>
  <c r="N2546" i="2" s="1"/>
  <c r="O2546" i="2" s="1"/>
  <c r="M2556" i="2"/>
  <c r="N2556" i="2" s="1"/>
  <c r="O2556" i="2" s="1"/>
  <c r="M2573" i="2"/>
  <c r="N2573" i="2" s="1"/>
  <c r="O2573" i="2" s="1"/>
  <c r="M2575" i="2"/>
  <c r="N2575" i="2" s="1"/>
  <c r="O2575" i="2" s="1"/>
  <c r="M2576" i="2"/>
  <c r="N2576" i="2" s="1"/>
  <c r="O2576" i="2" s="1"/>
  <c r="M2608" i="2"/>
  <c r="N2608" i="2" s="1"/>
  <c r="O2608" i="2" s="1"/>
  <c r="M2610" i="2"/>
  <c r="N2610" i="2" s="1"/>
  <c r="O2610" i="2" s="1"/>
  <c r="M2689" i="2"/>
  <c r="N2689" i="2" s="1"/>
  <c r="O2689" i="2" s="1"/>
  <c r="J2500" i="2"/>
  <c r="K2500" i="2" s="1"/>
  <c r="M2500" i="2" s="1"/>
  <c r="N2500" i="2" s="1"/>
  <c r="O2500" i="2" s="1"/>
  <c r="M2514" i="2"/>
  <c r="N2514" i="2" s="1"/>
  <c r="O2514" i="2" s="1"/>
  <c r="M2516" i="2"/>
  <c r="N2516" i="2" s="1"/>
  <c r="O2516" i="2" s="1"/>
  <c r="M2519" i="2"/>
  <c r="N2519" i="2" s="1"/>
  <c r="O2519" i="2" s="1"/>
  <c r="M2537" i="2"/>
  <c r="N2537" i="2" s="1"/>
  <c r="O2537" i="2" s="1"/>
  <c r="M2540" i="2"/>
  <c r="N2540" i="2" s="1"/>
  <c r="O2540" i="2" s="1"/>
  <c r="M2557" i="2"/>
  <c r="N2557" i="2" s="1"/>
  <c r="O2557" i="2" s="1"/>
  <c r="M2574" i="2"/>
  <c r="N2574" i="2" s="1"/>
  <c r="O2574" i="2" s="1"/>
  <c r="M2589" i="2"/>
  <c r="N2589" i="2" s="1"/>
  <c r="O2589" i="2" s="1"/>
  <c r="M2592" i="2"/>
  <c r="N2592" i="2" s="1"/>
  <c r="O2592" i="2" s="1"/>
  <c r="M2594" i="2"/>
  <c r="N2594" i="2" s="1"/>
  <c r="O2594" i="2" s="1"/>
  <c r="M2612" i="2"/>
  <c r="N2612" i="2" s="1"/>
  <c r="O2612" i="2" s="1"/>
  <c r="M2723" i="2"/>
  <c r="N2723" i="2" s="1"/>
  <c r="O2723" i="2" s="1"/>
  <c r="J2598" i="2"/>
  <c r="K2598" i="2" s="1"/>
  <c r="M2598" i="2" s="1"/>
  <c r="N2598" i="2" s="1"/>
  <c r="O2598" i="2" s="1"/>
  <c r="J2655" i="2"/>
  <c r="K2655" i="2" s="1"/>
  <c r="M2655" i="2" s="1"/>
  <c r="N2655" i="2" s="1"/>
  <c r="O2655" i="2" s="1"/>
  <c r="M2661" i="2"/>
  <c r="N2661" i="2" s="1"/>
  <c r="O2661" i="2" s="1"/>
  <c r="M2662" i="2"/>
  <c r="N2662" i="2" s="1"/>
  <c r="O2662" i="2" s="1"/>
  <c r="M2683" i="2"/>
  <c r="N2683" i="2" s="1"/>
  <c r="O2683" i="2" s="1"/>
  <c r="M2684" i="2"/>
  <c r="N2684" i="2" s="1"/>
  <c r="O2684" i="2" s="1"/>
  <c r="M2697" i="2"/>
  <c r="N2697" i="2" s="1"/>
  <c r="O2697" i="2" s="1"/>
  <c r="M2702" i="2"/>
  <c r="N2702" i="2" s="1"/>
  <c r="O2702" i="2" s="1"/>
  <c r="M2706" i="2"/>
  <c r="N2706" i="2" s="1"/>
  <c r="O2706" i="2" s="1"/>
  <c r="M2771" i="2"/>
  <c r="N2771" i="2" s="1"/>
  <c r="O2771" i="2" s="1"/>
  <c r="M2618" i="2"/>
  <c r="N2618" i="2" s="1"/>
  <c r="O2618" i="2" s="1"/>
  <c r="M2624" i="2"/>
  <c r="N2624" i="2" s="1"/>
  <c r="O2624" i="2" s="1"/>
  <c r="M2627" i="2"/>
  <c r="N2627" i="2" s="1"/>
  <c r="O2627" i="2" s="1"/>
  <c r="M2634" i="2"/>
  <c r="N2634" i="2" s="1"/>
  <c r="O2634" i="2" s="1"/>
  <c r="M2638" i="2"/>
  <c r="N2638" i="2" s="1"/>
  <c r="O2638" i="2" s="1"/>
  <c r="M2649" i="2"/>
  <c r="N2649" i="2" s="1"/>
  <c r="O2649" i="2" s="1"/>
  <c r="M2673" i="2"/>
  <c r="N2673" i="2" s="1"/>
  <c r="O2673" i="2" s="1"/>
  <c r="M2690" i="2"/>
  <c r="N2690" i="2" s="1"/>
  <c r="O2690" i="2" s="1"/>
  <c r="M2700" i="2"/>
  <c r="N2700" i="2" s="1"/>
  <c r="O2700" i="2" s="1"/>
  <c r="J2590" i="2"/>
  <c r="K2590" i="2" s="1"/>
  <c r="J2637" i="2"/>
  <c r="K2637" i="2" s="1"/>
  <c r="M2664" i="2"/>
  <c r="N2664" i="2" s="1"/>
  <c r="O2664" i="2" s="1"/>
  <c r="M2676" i="2"/>
  <c r="N2676" i="2" s="1"/>
  <c r="O2676" i="2" s="1"/>
  <c r="J2679" i="2"/>
  <c r="K2679" i="2" s="1"/>
  <c r="M2679" i="2" s="1"/>
  <c r="N2679" i="2" s="1"/>
  <c r="O2679" i="2" s="1"/>
  <c r="M2694" i="2"/>
  <c r="N2694" i="2" s="1"/>
  <c r="O2694" i="2" s="1"/>
  <c r="M2731" i="2"/>
  <c r="N2731" i="2" s="1"/>
  <c r="O2731" i="2" s="1"/>
  <c r="M2768" i="2"/>
  <c r="N2768" i="2" s="1"/>
  <c r="O2768" i="2" s="1"/>
  <c r="M2604" i="2"/>
  <c r="N2604" i="2" s="1"/>
  <c r="O2604" i="2" s="1"/>
  <c r="J2605" i="2"/>
  <c r="K2605" i="2" s="1"/>
  <c r="M2605" i="2" s="1"/>
  <c r="N2605" i="2" s="1"/>
  <c r="O2605" i="2" s="1"/>
  <c r="M2631" i="2"/>
  <c r="N2631" i="2" s="1"/>
  <c r="O2631" i="2" s="1"/>
  <c r="M2640" i="2"/>
  <c r="N2640" i="2" s="1"/>
  <c r="O2640" i="2" s="1"/>
  <c r="M2643" i="2"/>
  <c r="N2643" i="2" s="1"/>
  <c r="O2643" i="2" s="1"/>
  <c r="J2647" i="2"/>
  <c r="K2647" i="2" s="1"/>
  <c r="M2647" i="2" s="1"/>
  <c r="N2647" i="2" s="1"/>
  <c r="O2647" i="2" s="1"/>
  <c r="M2653" i="2"/>
  <c r="N2653" i="2" s="1"/>
  <c r="O2653" i="2" s="1"/>
  <c r="M2660" i="2"/>
  <c r="N2660" i="2" s="1"/>
  <c r="O2660" i="2" s="1"/>
  <c r="J2671" i="2"/>
  <c r="K2671" i="2" s="1"/>
  <c r="M2671" i="2" s="1"/>
  <c r="N2671" i="2" s="1"/>
  <c r="O2671" i="2" s="1"/>
  <c r="M2687" i="2"/>
  <c r="N2687" i="2" s="1"/>
  <c r="O2687" i="2" s="1"/>
  <c r="M2714" i="2"/>
  <c r="N2714" i="2" s="1"/>
  <c r="O2714" i="2" s="1"/>
  <c r="M2785" i="2"/>
  <c r="N2785" i="2" s="1"/>
  <c r="O2785" i="2" s="1"/>
  <c r="M2816" i="2"/>
  <c r="N2816" i="2" s="1"/>
  <c r="O2816" i="2" s="1"/>
  <c r="J2600" i="2"/>
  <c r="K2600" i="2" s="1"/>
  <c r="M2600" i="2" s="1"/>
  <c r="N2600" i="2" s="1"/>
  <c r="O2600" i="2" s="1"/>
  <c r="J2622" i="2"/>
  <c r="K2622" i="2" s="1"/>
  <c r="M2622" i="2" s="1"/>
  <c r="N2622" i="2" s="1"/>
  <c r="O2622" i="2" s="1"/>
  <c r="M2626" i="2"/>
  <c r="N2626" i="2" s="1"/>
  <c r="O2626" i="2" s="1"/>
  <c r="M2630" i="2"/>
  <c r="N2630" i="2" s="1"/>
  <c r="O2630" i="2" s="1"/>
  <c r="M2685" i="2"/>
  <c r="N2685" i="2" s="1"/>
  <c r="O2685" i="2" s="1"/>
  <c r="M2686" i="2"/>
  <c r="N2686" i="2" s="1"/>
  <c r="O2686" i="2" s="1"/>
  <c r="M2703" i="2"/>
  <c r="N2703" i="2" s="1"/>
  <c r="O2703" i="2" s="1"/>
  <c r="M2707" i="2"/>
  <c r="N2707" i="2" s="1"/>
  <c r="O2707" i="2" s="1"/>
  <c r="M2795" i="2"/>
  <c r="N2795" i="2" s="1"/>
  <c r="O2795" i="2" s="1"/>
  <c r="M2882" i="2"/>
  <c r="N2882" i="2" s="1"/>
  <c r="O2882" i="2" s="1"/>
  <c r="M2656" i="2"/>
  <c r="N2656" i="2" s="1"/>
  <c r="O2656" i="2" s="1"/>
  <c r="M2659" i="2"/>
  <c r="N2659" i="2" s="1"/>
  <c r="O2659" i="2" s="1"/>
  <c r="M2666" i="2"/>
  <c r="N2666" i="2" s="1"/>
  <c r="O2666" i="2" s="1"/>
  <c r="M2722" i="2"/>
  <c r="N2722" i="2" s="1"/>
  <c r="O2722" i="2" s="1"/>
  <c r="M2810" i="2"/>
  <c r="N2810" i="2" s="1"/>
  <c r="O2810" i="2" s="1"/>
  <c r="J2597" i="2"/>
  <c r="K2597" i="2" s="1"/>
  <c r="M2599" i="2"/>
  <c r="N2599" i="2" s="1"/>
  <c r="O2599" i="2" s="1"/>
  <c r="J2615" i="2"/>
  <c r="K2615" i="2" s="1"/>
  <c r="M2615" i="2" s="1"/>
  <c r="N2615" i="2" s="1"/>
  <c r="O2615" i="2" s="1"/>
  <c r="M2620" i="2"/>
  <c r="N2620" i="2" s="1"/>
  <c r="O2620" i="2" s="1"/>
  <c r="M2632" i="2"/>
  <c r="N2632" i="2" s="1"/>
  <c r="O2632" i="2" s="1"/>
  <c r="M2636" i="2"/>
  <c r="N2636" i="2" s="1"/>
  <c r="O2636" i="2" s="1"/>
  <c r="J2639" i="2"/>
  <c r="K2639" i="2" s="1"/>
  <c r="M2639" i="2" s="1"/>
  <c r="N2639" i="2" s="1"/>
  <c r="O2639" i="2" s="1"/>
  <c r="M2642" i="2"/>
  <c r="N2642" i="2" s="1"/>
  <c r="O2642" i="2" s="1"/>
  <c r="M2645" i="2"/>
  <c r="N2645" i="2" s="1"/>
  <c r="O2645" i="2" s="1"/>
  <c r="M2646" i="2"/>
  <c r="N2646" i="2" s="1"/>
  <c r="O2646" i="2" s="1"/>
  <c r="M2652" i="2"/>
  <c r="N2652" i="2" s="1"/>
  <c r="O2652" i="2" s="1"/>
  <c r="M2657" i="2"/>
  <c r="N2657" i="2" s="1"/>
  <c r="O2657" i="2" s="1"/>
  <c r="M2670" i="2"/>
  <c r="N2670" i="2" s="1"/>
  <c r="O2670" i="2" s="1"/>
  <c r="M2688" i="2"/>
  <c r="N2688" i="2" s="1"/>
  <c r="O2688" i="2" s="1"/>
  <c r="J2713" i="2"/>
  <c r="K2713" i="2" s="1"/>
  <c r="M2716" i="2"/>
  <c r="N2716" i="2" s="1"/>
  <c r="O2716" i="2" s="1"/>
  <c r="J2729" i="2"/>
  <c r="K2729" i="2" s="1"/>
  <c r="M2729" i="2" s="1"/>
  <c r="N2729" i="2" s="1"/>
  <c r="O2729" i="2" s="1"/>
  <c r="M2735" i="2"/>
  <c r="N2735" i="2" s="1"/>
  <c r="O2735" i="2" s="1"/>
  <c r="M2745" i="2"/>
  <c r="N2745" i="2" s="1"/>
  <c r="O2745" i="2" s="1"/>
  <c r="M2748" i="2"/>
  <c r="N2748" i="2" s="1"/>
  <c r="O2748" i="2" s="1"/>
  <c r="J2752" i="2"/>
  <c r="K2752" i="2" s="1"/>
  <c r="M2759" i="2"/>
  <c r="N2759" i="2" s="1"/>
  <c r="O2759" i="2" s="1"/>
  <c r="M2760" i="2"/>
  <c r="N2760" i="2" s="1"/>
  <c r="O2760" i="2" s="1"/>
  <c r="J2764" i="2"/>
  <c r="K2764" i="2" s="1"/>
  <c r="M2770" i="2"/>
  <c r="N2770" i="2" s="1"/>
  <c r="O2770" i="2" s="1"/>
  <c r="M2782" i="2"/>
  <c r="N2782" i="2" s="1"/>
  <c r="O2782" i="2" s="1"/>
  <c r="M2787" i="2"/>
  <c r="N2787" i="2" s="1"/>
  <c r="O2787" i="2" s="1"/>
  <c r="J2793" i="2"/>
  <c r="K2793" i="2" s="1"/>
  <c r="M2793" i="2" s="1"/>
  <c r="N2793" i="2" s="1"/>
  <c r="O2793" i="2" s="1"/>
  <c r="M2801" i="2"/>
  <c r="N2801" i="2" s="1"/>
  <c r="O2801" i="2" s="1"/>
  <c r="M2805" i="2"/>
  <c r="N2805" i="2" s="1"/>
  <c r="O2805" i="2" s="1"/>
  <c r="M2822" i="2"/>
  <c r="N2822" i="2" s="1"/>
  <c r="O2822" i="2" s="1"/>
  <c r="M2837" i="2"/>
  <c r="N2837" i="2" s="1"/>
  <c r="O2837" i="2" s="1"/>
  <c r="M2845" i="2"/>
  <c r="N2845" i="2" s="1"/>
  <c r="O2845" i="2" s="1"/>
  <c r="M2881" i="2"/>
  <c r="N2881" i="2" s="1"/>
  <c r="O2881" i="2" s="1"/>
  <c r="J2728" i="2"/>
  <c r="K2728" i="2" s="1"/>
  <c r="M2728" i="2" s="1"/>
  <c r="N2728" i="2" s="1"/>
  <c r="O2728" i="2" s="1"/>
  <c r="M2734" i="2"/>
  <c r="N2734" i="2" s="1"/>
  <c r="O2734" i="2" s="1"/>
  <c r="M2738" i="2"/>
  <c r="N2738" i="2" s="1"/>
  <c r="O2738" i="2" s="1"/>
  <c r="J2740" i="2"/>
  <c r="K2740" i="2" s="1"/>
  <c r="M2740" i="2" s="1"/>
  <c r="N2740" i="2" s="1"/>
  <c r="O2740" i="2" s="1"/>
  <c r="J2744" i="2"/>
  <c r="K2744" i="2" s="1"/>
  <c r="M2752" i="2"/>
  <c r="N2752" i="2" s="1"/>
  <c r="O2752" i="2" s="1"/>
  <c r="J2756" i="2"/>
  <c r="K2756" i="2" s="1"/>
  <c r="M2756" i="2" s="1"/>
  <c r="N2756" i="2" s="1"/>
  <c r="O2756" i="2" s="1"/>
  <c r="M2779" i="2"/>
  <c r="N2779" i="2" s="1"/>
  <c r="O2779" i="2" s="1"/>
  <c r="J2785" i="2"/>
  <c r="K2785" i="2" s="1"/>
  <c r="M2796" i="2"/>
  <c r="N2796" i="2" s="1"/>
  <c r="O2796" i="2" s="1"/>
  <c r="M2812" i="2"/>
  <c r="N2812" i="2" s="1"/>
  <c r="O2812" i="2" s="1"/>
  <c r="M2821" i="2"/>
  <c r="N2821" i="2" s="1"/>
  <c r="O2821" i="2" s="1"/>
  <c r="M2824" i="2"/>
  <c r="N2824" i="2" s="1"/>
  <c r="O2824" i="2" s="1"/>
  <c r="M2851" i="2"/>
  <c r="N2851" i="2" s="1"/>
  <c r="O2851" i="2" s="1"/>
  <c r="M2864" i="2"/>
  <c r="N2864" i="2" s="1"/>
  <c r="O2864" i="2" s="1"/>
  <c r="M2892" i="2"/>
  <c r="N2892" i="2" s="1"/>
  <c r="O2892" i="2" s="1"/>
  <c r="J2705" i="2"/>
  <c r="K2705" i="2" s="1"/>
  <c r="M2744" i="2"/>
  <c r="N2744" i="2" s="1"/>
  <c r="O2744" i="2" s="1"/>
  <c r="J2748" i="2"/>
  <c r="K2748" i="2" s="1"/>
  <c r="M2751" i="2"/>
  <c r="N2751" i="2" s="1"/>
  <c r="O2751" i="2" s="1"/>
  <c r="M2774" i="2"/>
  <c r="N2774" i="2" s="1"/>
  <c r="O2774" i="2" s="1"/>
  <c r="J2777" i="2"/>
  <c r="K2777" i="2" s="1"/>
  <c r="M2788" i="2"/>
  <c r="N2788" i="2" s="1"/>
  <c r="O2788" i="2" s="1"/>
  <c r="J2792" i="2"/>
  <c r="K2792" i="2" s="1"/>
  <c r="M2792" i="2" s="1"/>
  <c r="N2792" i="2" s="1"/>
  <c r="O2792" i="2" s="1"/>
  <c r="M2800" i="2"/>
  <c r="N2800" i="2" s="1"/>
  <c r="O2800" i="2" s="1"/>
  <c r="J2804" i="2"/>
  <c r="K2804" i="2" s="1"/>
  <c r="M2806" i="2"/>
  <c r="N2806" i="2" s="1"/>
  <c r="O2806" i="2" s="1"/>
  <c r="M2807" i="2"/>
  <c r="N2807" i="2" s="1"/>
  <c r="O2807" i="2" s="1"/>
  <c r="M2829" i="2"/>
  <c r="N2829" i="2" s="1"/>
  <c r="O2829" i="2" s="1"/>
  <c r="M2839" i="2"/>
  <c r="N2839" i="2" s="1"/>
  <c r="O2839" i="2" s="1"/>
  <c r="M2861" i="2"/>
  <c r="N2861" i="2" s="1"/>
  <c r="O2861" i="2" s="1"/>
  <c r="M2891" i="2"/>
  <c r="N2891" i="2" s="1"/>
  <c r="O2891" i="2" s="1"/>
  <c r="M2709" i="2"/>
  <c r="N2709" i="2" s="1"/>
  <c r="O2709" i="2" s="1"/>
  <c r="M2718" i="2"/>
  <c r="N2718" i="2" s="1"/>
  <c r="O2718" i="2" s="1"/>
  <c r="M2726" i="2"/>
  <c r="N2726" i="2" s="1"/>
  <c r="O2726" i="2" s="1"/>
  <c r="M2746" i="2"/>
  <c r="N2746" i="2" s="1"/>
  <c r="O2746" i="2" s="1"/>
  <c r="M2766" i="2"/>
  <c r="N2766" i="2" s="1"/>
  <c r="O2766" i="2" s="1"/>
  <c r="M2799" i="2"/>
  <c r="N2799" i="2" s="1"/>
  <c r="O2799" i="2" s="1"/>
  <c r="M2802" i="2"/>
  <c r="N2802" i="2" s="1"/>
  <c r="O2802" i="2" s="1"/>
  <c r="M2815" i="2"/>
  <c r="N2815" i="2" s="1"/>
  <c r="O2815" i="2" s="1"/>
  <c r="M2877" i="2"/>
  <c r="N2877" i="2" s="1"/>
  <c r="O2877" i="2" s="1"/>
  <c r="M2710" i="2"/>
  <c r="N2710" i="2" s="1"/>
  <c r="O2710" i="2" s="1"/>
  <c r="M2717" i="2"/>
  <c r="N2717" i="2" s="1"/>
  <c r="O2717" i="2" s="1"/>
  <c r="M2758" i="2"/>
  <c r="N2758" i="2" s="1"/>
  <c r="O2758" i="2" s="1"/>
  <c r="M2763" i="2"/>
  <c r="N2763" i="2" s="1"/>
  <c r="O2763" i="2" s="1"/>
  <c r="M2765" i="2"/>
  <c r="N2765" i="2" s="1"/>
  <c r="O2765" i="2" s="1"/>
  <c r="M2772" i="2"/>
  <c r="N2772" i="2" s="1"/>
  <c r="O2772" i="2" s="1"/>
  <c r="M2784" i="2"/>
  <c r="N2784" i="2" s="1"/>
  <c r="O2784" i="2" s="1"/>
  <c r="M2794" i="2"/>
  <c r="N2794" i="2" s="1"/>
  <c r="O2794" i="2" s="1"/>
  <c r="M2828" i="2"/>
  <c r="N2828" i="2" s="1"/>
  <c r="O2828" i="2" s="1"/>
  <c r="M2841" i="2"/>
  <c r="N2841" i="2" s="1"/>
  <c r="O2841" i="2" s="1"/>
  <c r="M2725" i="2"/>
  <c r="N2725" i="2" s="1"/>
  <c r="O2725" i="2" s="1"/>
  <c r="M2730" i="2"/>
  <c r="N2730" i="2" s="1"/>
  <c r="O2730" i="2" s="1"/>
  <c r="M2739" i="2"/>
  <c r="N2739" i="2" s="1"/>
  <c r="O2739" i="2" s="1"/>
  <c r="M2755" i="2"/>
  <c r="N2755" i="2" s="1"/>
  <c r="O2755" i="2" s="1"/>
  <c r="M2776" i="2"/>
  <c r="N2776" i="2" s="1"/>
  <c r="O2776" i="2" s="1"/>
  <c r="M2783" i="2"/>
  <c r="N2783" i="2" s="1"/>
  <c r="O2783" i="2" s="1"/>
  <c r="M2809" i="2"/>
  <c r="N2809" i="2" s="1"/>
  <c r="O2809" i="2" s="1"/>
  <c r="M2870" i="2"/>
  <c r="N2870" i="2" s="1"/>
  <c r="O2870" i="2" s="1"/>
  <c r="M2903" i="2"/>
  <c r="N2903" i="2" s="1"/>
  <c r="O2903" i="2" s="1"/>
  <c r="M2701" i="2"/>
  <c r="N2701" i="2" s="1"/>
  <c r="O2701" i="2" s="1"/>
  <c r="M2736" i="2"/>
  <c r="N2736" i="2" s="1"/>
  <c r="O2736" i="2" s="1"/>
  <c r="M2737" i="2"/>
  <c r="N2737" i="2" s="1"/>
  <c r="O2737" i="2" s="1"/>
  <c r="M2741" i="2"/>
  <c r="N2741" i="2" s="1"/>
  <c r="O2741" i="2" s="1"/>
  <c r="M2750" i="2"/>
  <c r="N2750" i="2" s="1"/>
  <c r="O2750" i="2" s="1"/>
  <c r="J2753" i="2"/>
  <c r="K2753" i="2" s="1"/>
  <c r="M2753" i="2" s="1"/>
  <c r="N2753" i="2" s="1"/>
  <c r="O2753" i="2" s="1"/>
  <c r="M2761" i="2"/>
  <c r="N2761" i="2" s="1"/>
  <c r="O2761" i="2" s="1"/>
  <c r="M2764" i="2"/>
  <c r="N2764" i="2" s="1"/>
  <c r="O2764" i="2" s="1"/>
  <c r="M2775" i="2"/>
  <c r="N2775" i="2" s="1"/>
  <c r="O2775" i="2" s="1"/>
  <c r="M2798" i="2"/>
  <c r="N2798" i="2" s="1"/>
  <c r="O2798" i="2" s="1"/>
  <c r="M2803" i="2"/>
  <c r="N2803" i="2" s="1"/>
  <c r="O2803" i="2" s="1"/>
  <c r="M2835" i="2"/>
  <c r="N2835" i="2" s="1"/>
  <c r="O2835" i="2" s="1"/>
  <c r="J2826" i="2"/>
  <c r="K2826" i="2" s="1"/>
  <c r="M2826" i="2" s="1"/>
  <c r="N2826" i="2" s="1"/>
  <c r="O2826" i="2" s="1"/>
  <c r="J2838" i="2"/>
  <c r="K2838" i="2" s="1"/>
  <c r="M2838" i="2" s="1"/>
  <c r="N2838" i="2" s="1"/>
  <c r="O2838" i="2" s="1"/>
  <c r="J2850" i="2"/>
  <c r="K2850" i="2" s="1"/>
  <c r="M2856" i="2"/>
  <c r="N2856" i="2" s="1"/>
  <c r="O2856" i="2" s="1"/>
  <c r="M2863" i="2"/>
  <c r="N2863" i="2" s="1"/>
  <c r="O2863" i="2" s="1"/>
  <c r="J2874" i="2"/>
  <c r="K2874" i="2" s="1"/>
  <c r="M2874" i="2" s="1"/>
  <c r="N2874" i="2" s="1"/>
  <c r="O2874" i="2" s="1"/>
  <c r="J2888" i="2"/>
  <c r="K2888" i="2" s="1"/>
  <c r="M2930" i="2"/>
  <c r="N2930" i="2" s="1"/>
  <c r="O2930" i="2" s="1"/>
  <c r="J2808" i="2"/>
  <c r="K2808" i="2" s="1"/>
  <c r="M2808" i="2" s="1"/>
  <c r="N2808" i="2" s="1"/>
  <c r="O2808" i="2" s="1"/>
  <c r="J2836" i="2"/>
  <c r="K2836" i="2" s="1"/>
  <c r="M2836" i="2" s="1"/>
  <c r="N2836" i="2" s="1"/>
  <c r="O2836" i="2" s="1"/>
  <c r="M2850" i="2"/>
  <c r="N2850" i="2" s="1"/>
  <c r="O2850" i="2" s="1"/>
  <c r="M2867" i="2"/>
  <c r="N2867" i="2" s="1"/>
  <c r="O2867" i="2" s="1"/>
  <c r="J2870" i="2"/>
  <c r="K2870" i="2" s="1"/>
  <c r="J2884" i="2"/>
  <c r="K2884" i="2" s="1"/>
  <c r="M2884" i="2" s="1"/>
  <c r="N2884" i="2" s="1"/>
  <c r="O2884" i="2" s="1"/>
  <c r="J2891" i="2"/>
  <c r="K2891" i="2" s="1"/>
  <c r="M2893" i="2"/>
  <c r="N2893" i="2" s="1"/>
  <c r="O2893" i="2" s="1"/>
  <c r="J2816" i="2"/>
  <c r="K2816" i="2" s="1"/>
  <c r="M2823" i="2"/>
  <c r="N2823" i="2" s="1"/>
  <c r="O2823" i="2" s="1"/>
  <c r="J2830" i="2"/>
  <c r="K2830" i="2" s="1"/>
  <c r="M2830" i="2" s="1"/>
  <c r="N2830" i="2" s="1"/>
  <c r="O2830" i="2" s="1"/>
  <c r="J2834" i="2"/>
  <c r="K2834" i="2" s="1"/>
  <c r="M2834" i="2" s="1"/>
  <c r="N2834" i="2" s="1"/>
  <c r="O2834" i="2" s="1"/>
  <c r="J2854" i="2"/>
  <c r="K2854" i="2" s="1"/>
  <c r="M2854" i="2" s="1"/>
  <c r="N2854" i="2" s="1"/>
  <c r="O2854" i="2" s="1"/>
  <c r="J2866" i="2"/>
  <c r="K2866" i="2" s="1"/>
  <c r="M2866" i="2" s="1"/>
  <c r="N2866" i="2" s="1"/>
  <c r="O2866" i="2" s="1"/>
  <c r="J2880" i="2"/>
  <c r="K2880" i="2" s="1"/>
  <c r="M2880" i="2" s="1"/>
  <c r="N2880" i="2" s="1"/>
  <c r="O2880" i="2" s="1"/>
  <c r="M2888" i="2"/>
  <c r="N2888" i="2" s="1"/>
  <c r="O2888" i="2" s="1"/>
  <c r="M2894" i="2"/>
  <c r="N2894" i="2" s="1"/>
  <c r="O2894" i="2" s="1"/>
  <c r="M2899" i="2"/>
  <c r="N2899" i="2" s="1"/>
  <c r="O2899" i="2" s="1"/>
  <c r="M2914" i="2"/>
  <c r="N2914" i="2" s="1"/>
  <c r="O2914" i="2" s="1"/>
  <c r="M2967" i="2"/>
  <c r="N2967" i="2" s="1"/>
  <c r="O2967" i="2" s="1"/>
  <c r="J2832" i="2"/>
  <c r="K2832" i="2" s="1"/>
  <c r="M2832" i="2" s="1"/>
  <c r="N2832" i="2" s="1"/>
  <c r="O2832" i="2" s="1"/>
  <c r="M2844" i="2"/>
  <c r="N2844" i="2" s="1"/>
  <c r="O2844" i="2" s="1"/>
  <c r="J2848" i="2"/>
  <c r="K2848" i="2" s="1"/>
  <c r="M2859" i="2"/>
  <c r="N2859" i="2" s="1"/>
  <c r="O2859" i="2" s="1"/>
  <c r="J2862" i="2"/>
  <c r="K2862" i="2" s="1"/>
  <c r="M2862" i="2" s="1"/>
  <c r="N2862" i="2" s="1"/>
  <c r="O2862" i="2" s="1"/>
  <c r="J2876" i="2"/>
  <c r="K2876" i="2" s="1"/>
  <c r="M2876" i="2" s="1"/>
  <c r="N2876" i="2" s="1"/>
  <c r="O2876" i="2" s="1"/>
  <c r="M2886" i="2"/>
  <c r="N2886" i="2" s="1"/>
  <c r="O2886" i="2" s="1"/>
  <c r="J2896" i="2"/>
  <c r="K2896" i="2" s="1"/>
  <c r="J2908" i="2"/>
  <c r="K2908" i="2" s="1"/>
  <c r="M2908" i="2" s="1"/>
  <c r="N2908" i="2" s="1"/>
  <c r="O2908" i="2" s="1"/>
  <c r="M2938" i="2"/>
  <c r="N2938" i="2" s="1"/>
  <c r="O2938" i="2" s="1"/>
  <c r="M2966" i="2"/>
  <c r="N2966" i="2" s="1"/>
  <c r="O2966" i="2" s="1"/>
  <c r="J2818" i="2"/>
  <c r="K2818" i="2" s="1"/>
  <c r="J2846" i="2"/>
  <c r="K2846" i="2" s="1"/>
  <c r="M2848" i="2"/>
  <c r="N2848" i="2" s="1"/>
  <c r="O2848" i="2" s="1"/>
  <c r="J2858" i="2"/>
  <c r="K2858" i="2" s="1"/>
  <c r="J2872" i="2"/>
  <c r="K2872" i="2" s="1"/>
  <c r="M2879" i="2"/>
  <c r="N2879" i="2" s="1"/>
  <c r="O2879" i="2" s="1"/>
  <c r="M2895" i="2"/>
  <c r="N2895" i="2" s="1"/>
  <c r="O2895" i="2" s="1"/>
  <c r="M2896" i="2"/>
  <c r="N2896" i="2" s="1"/>
  <c r="O2896" i="2" s="1"/>
  <c r="M2905" i="2"/>
  <c r="N2905" i="2" s="1"/>
  <c r="O2905" i="2" s="1"/>
  <c r="M2910" i="2"/>
  <c r="N2910" i="2" s="1"/>
  <c r="O2910" i="2" s="1"/>
  <c r="M2965" i="2"/>
  <c r="N2965" i="2" s="1"/>
  <c r="O2965" i="2" s="1"/>
  <c r="J2814" i="2"/>
  <c r="K2814" i="2" s="1"/>
  <c r="M2814" i="2" s="1"/>
  <c r="N2814" i="2" s="1"/>
  <c r="O2814" i="2" s="1"/>
  <c r="M2858" i="2"/>
  <c r="N2858" i="2" s="1"/>
  <c r="O2858" i="2" s="1"/>
  <c r="M2890" i="2"/>
  <c r="N2890" i="2" s="1"/>
  <c r="O2890" i="2" s="1"/>
  <c r="M2901" i="2"/>
  <c r="N2901" i="2" s="1"/>
  <c r="O2901" i="2" s="1"/>
  <c r="M2818" i="2"/>
  <c r="N2818" i="2" s="1"/>
  <c r="O2818" i="2" s="1"/>
  <c r="M2820" i="2"/>
  <c r="N2820" i="2" s="1"/>
  <c r="O2820" i="2" s="1"/>
  <c r="M2846" i="2"/>
  <c r="N2846" i="2" s="1"/>
  <c r="O2846" i="2" s="1"/>
  <c r="M2897" i="2"/>
  <c r="N2897" i="2" s="1"/>
  <c r="O2897" i="2" s="1"/>
  <c r="M2906" i="2"/>
  <c r="N2906" i="2" s="1"/>
  <c r="O2906" i="2" s="1"/>
  <c r="M2913" i="2"/>
  <c r="N2913" i="2" s="1"/>
  <c r="O2913" i="2" s="1"/>
  <c r="M2931" i="2"/>
  <c r="N2931" i="2" s="1"/>
  <c r="O2931" i="2" s="1"/>
  <c r="M2961" i="2"/>
  <c r="N2961" i="2" s="1"/>
  <c r="O2961" i="2" s="1"/>
  <c r="J2909" i="2"/>
  <c r="K2909" i="2" s="1"/>
  <c r="M2909" i="2" s="1"/>
  <c r="N2909" i="2" s="1"/>
  <c r="O2909" i="2" s="1"/>
  <c r="J2925" i="2"/>
  <c r="K2925" i="2" s="1"/>
  <c r="M2925" i="2" s="1"/>
  <c r="N2925" i="2" s="1"/>
  <c r="O2925" i="2" s="1"/>
  <c r="M2926" i="2"/>
  <c r="N2926" i="2" s="1"/>
  <c r="O2926" i="2" s="1"/>
  <c r="M2953" i="2"/>
  <c r="N2953" i="2" s="1"/>
  <c r="O2953" i="2" s="1"/>
  <c r="M2958" i="2"/>
  <c r="N2958" i="2" s="1"/>
  <c r="O2958" i="2" s="1"/>
  <c r="M2959" i="2"/>
  <c r="N2959" i="2" s="1"/>
  <c r="O2959" i="2" s="1"/>
  <c r="J2965" i="2"/>
  <c r="K2965" i="2" s="1"/>
  <c r="M3011" i="2"/>
  <c r="N3011" i="2" s="1"/>
  <c r="O3011" i="2" s="1"/>
  <c r="J2893" i="2"/>
  <c r="K2893" i="2" s="1"/>
  <c r="M2950" i="2"/>
  <c r="N2950" i="2" s="1"/>
  <c r="O2950" i="2" s="1"/>
  <c r="M2951" i="2"/>
  <c r="N2951" i="2" s="1"/>
  <c r="O2951" i="2" s="1"/>
  <c r="M2968" i="2"/>
  <c r="N2968" i="2" s="1"/>
  <c r="O2968" i="2" s="1"/>
  <c r="M2980" i="2"/>
  <c r="N2980" i="2" s="1"/>
  <c r="O2980" i="2" s="1"/>
  <c r="M2999" i="2"/>
  <c r="N2999" i="2" s="1"/>
  <c r="O2999" i="2" s="1"/>
  <c r="M3010" i="2"/>
  <c r="N3010" i="2" s="1"/>
  <c r="O3010" i="2" s="1"/>
  <c r="J2901" i="2"/>
  <c r="K2901" i="2" s="1"/>
  <c r="M2911" i="2"/>
  <c r="N2911" i="2" s="1"/>
  <c r="O2911" i="2" s="1"/>
  <c r="M2920" i="2"/>
  <c r="N2920" i="2" s="1"/>
  <c r="O2920" i="2" s="1"/>
  <c r="M2924" i="2"/>
  <c r="N2924" i="2" s="1"/>
  <c r="O2924" i="2" s="1"/>
  <c r="M2942" i="2"/>
  <c r="N2942" i="2" s="1"/>
  <c r="O2942" i="2" s="1"/>
  <c r="J2949" i="2"/>
  <c r="K2949" i="2" s="1"/>
  <c r="M2960" i="2"/>
  <c r="N2960" i="2" s="1"/>
  <c r="O2960" i="2" s="1"/>
  <c r="J2964" i="2"/>
  <c r="K2964" i="2" s="1"/>
  <c r="M2972" i="2"/>
  <c r="N2972" i="2" s="1"/>
  <c r="O2972" i="2" s="1"/>
  <c r="J2976" i="2"/>
  <c r="K2976" i="2" s="1"/>
  <c r="M2976" i="2" s="1"/>
  <c r="N2976" i="2" s="1"/>
  <c r="O2976" i="2" s="1"/>
  <c r="M2978" i="2"/>
  <c r="N2978" i="2" s="1"/>
  <c r="O2978" i="2" s="1"/>
  <c r="J2982" i="2"/>
  <c r="K2982" i="2" s="1"/>
  <c r="M2982" i="2" s="1"/>
  <c r="N2982" i="2" s="1"/>
  <c r="O2982" i="2" s="1"/>
  <c r="J2986" i="2"/>
  <c r="K2986" i="2" s="1"/>
  <c r="M2987" i="2"/>
  <c r="N2987" i="2" s="1"/>
  <c r="O2987" i="2" s="1"/>
  <c r="J2992" i="2"/>
  <c r="K2992" i="2" s="1"/>
  <c r="M2992" i="2" s="1"/>
  <c r="N2992" i="2" s="1"/>
  <c r="O2992" i="2" s="1"/>
  <c r="J2916" i="2"/>
  <c r="K2916" i="2" s="1"/>
  <c r="M2928" i="2"/>
  <c r="N2928" i="2" s="1"/>
  <c r="O2928" i="2" s="1"/>
  <c r="M2934" i="2"/>
  <c r="N2934" i="2" s="1"/>
  <c r="O2934" i="2" s="1"/>
  <c r="M2935" i="2"/>
  <c r="N2935" i="2" s="1"/>
  <c r="O2935" i="2" s="1"/>
  <c r="M2952" i="2"/>
  <c r="N2952" i="2" s="1"/>
  <c r="O2952" i="2" s="1"/>
  <c r="M2964" i="2"/>
  <c r="N2964" i="2" s="1"/>
  <c r="O2964" i="2" s="1"/>
  <c r="M2981" i="2"/>
  <c r="N2981" i="2" s="1"/>
  <c r="O2981" i="2" s="1"/>
  <c r="M2991" i="2"/>
  <c r="N2991" i="2" s="1"/>
  <c r="O2991" i="2" s="1"/>
  <c r="J2917" i="2"/>
  <c r="K2917" i="2" s="1"/>
  <c r="J2920" i="2"/>
  <c r="K2920" i="2" s="1"/>
  <c r="M2922" i="2"/>
  <c r="N2922" i="2" s="1"/>
  <c r="O2922" i="2" s="1"/>
  <c r="J2933" i="2"/>
  <c r="K2933" i="2" s="1"/>
  <c r="M2933" i="2" s="1"/>
  <c r="N2933" i="2" s="1"/>
  <c r="O2933" i="2" s="1"/>
  <c r="M2941" i="2"/>
  <c r="N2941" i="2" s="1"/>
  <c r="O2941" i="2" s="1"/>
  <c r="J2948" i="2"/>
  <c r="K2948" i="2" s="1"/>
  <c r="M2955" i="2"/>
  <c r="N2955" i="2" s="1"/>
  <c r="O2955" i="2" s="1"/>
  <c r="J2960" i="2"/>
  <c r="K2960" i="2" s="1"/>
  <c r="M2962" i="2"/>
  <c r="N2962" i="2" s="1"/>
  <c r="O2962" i="2" s="1"/>
  <c r="M3007" i="2"/>
  <c r="N3007" i="2" s="1"/>
  <c r="O3007" i="2" s="1"/>
  <c r="M2921" i="2"/>
  <c r="N2921" i="2" s="1"/>
  <c r="O2921" i="2" s="1"/>
  <c r="M2929" i="2"/>
  <c r="N2929" i="2" s="1"/>
  <c r="O2929" i="2" s="1"/>
  <c r="M2936" i="2"/>
  <c r="N2936" i="2" s="1"/>
  <c r="O2936" i="2" s="1"/>
  <c r="M2948" i="2"/>
  <c r="N2948" i="2" s="1"/>
  <c r="O2948" i="2" s="1"/>
  <c r="M2977" i="2"/>
  <c r="N2977" i="2" s="1"/>
  <c r="O2977" i="2" s="1"/>
  <c r="M2983" i="2"/>
  <c r="N2983" i="2" s="1"/>
  <c r="O2983" i="2" s="1"/>
  <c r="J2932" i="2"/>
  <c r="K2932" i="2" s="1"/>
  <c r="M2932" i="2" s="1"/>
  <c r="N2932" i="2" s="1"/>
  <c r="O2932" i="2" s="1"/>
  <c r="M2939" i="2"/>
  <c r="N2939" i="2" s="1"/>
  <c r="O2939" i="2" s="1"/>
  <c r="J2944" i="2"/>
  <c r="K2944" i="2" s="1"/>
  <c r="M2944" i="2" s="1"/>
  <c r="N2944" i="2" s="1"/>
  <c r="O2944" i="2" s="1"/>
  <c r="M2946" i="2"/>
  <c r="N2946" i="2" s="1"/>
  <c r="O2946" i="2" s="1"/>
  <c r="M2969" i="2"/>
  <c r="N2969" i="2" s="1"/>
  <c r="O2969" i="2" s="1"/>
  <c r="M2970" i="2"/>
  <c r="N2970" i="2" s="1"/>
  <c r="O2970" i="2" s="1"/>
  <c r="M2975" i="2"/>
  <c r="N2975" i="2" s="1"/>
  <c r="O2975" i="2" s="1"/>
  <c r="M3004" i="2"/>
  <c r="N3004" i="2" s="1"/>
  <c r="O3004" i="2" s="1"/>
  <c r="J2990" i="2"/>
  <c r="K2990" i="2" s="1"/>
  <c r="M2990" i="2" s="1"/>
  <c r="N2990" i="2" s="1"/>
  <c r="O2990" i="2" s="1"/>
  <c r="J3001" i="2"/>
  <c r="K3001" i="2" s="1"/>
  <c r="J3022" i="2"/>
  <c r="K3022" i="2" s="1"/>
  <c r="J3026" i="2"/>
  <c r="K3026" i="2" s="1"/>
  <c r="M3026" i="2" s="1"/>
  <c r="N3026" i="2" s="1"/>
  <c r="O3026" i="2" s="1"/>
  <c r="M3032" i="2"/>
  <c r="N3032" i="2" s="1"/>
  <c r="O3032" i="2" s="1"/>
  <c r="J2983" i="2"/>
  <c r="K2983" i="2" s="1"/>
  <c r="M3036" i="2"/>
  <c r="N3036" i="2" s="1"/>
  <c r="O3036" i="2" s="1"/>
  <c r="M3038" i="2"/>
  <c r="N3038" i="2" s="1"/>
  <c r="O3038" i="2" s="1"/>
  <c r="M3043" i="2"/>
  <c r="N3043" i="2" s="1"/>
  <c r="O3043" i="2" s="1"/>
  <c r="M3059" i="2"/>
  <c r="N3059" i="2" s="1"/>
  <c r="O3059" i="2" s="1"/>
  <c r="M2989" i="2"/>
  <c r="N2989" i="2" s="1"/>
  <c r="O2989" i="2" s="1"/>
  <c r="M3008" i="2"/>
  <c r="N3008" i="2" s="1"/>
  <c r="O3008" i="2" s="1"/>
  <c r="M3021" i="2"/>
  <c r="N3021" i="2" s="1"/>
  <c r="O3021" i="2" s="1"/>
  <c r="M3031" i="2"/>
  <c r="N3031" i="2" s="1"/>
  <c r="O3031" i="2" s="1"/>
  <c r="J2993" i="2"/>
  <c r="K2993" i="2" s="1"/>
  <c r="M2993" i="2" s="1"/>
  <c r="N2993" i="2" s="1"/>
  <c r="O2993" i="2" s="1"/>
  <c r="M3024" i="2"/>
  <c r="N3024" i="2" s="1"/>
  <c r="O3024" i="2" s="1"/>
  <c r="M3027" i="2"/>
  <c r="N3027" i="2" s="1"/>
  <c r="O3027" i="2" s="1"/>
  <c r="M3030" i="2"/>
  <c r="N3030" i="2" s="1"/>
  <c r="O3030" i="2" s="1"/>
  <c r="M3042" i="2"/>
  <c r="N3042" i="2" s="1"/>
  <c r="O3042" i="2" s="1"/>
  <c r="M3073" i="2"/>
  <c r="N3073" i="2" s="1"/>
  <c r="O3073" i="2" s="1"/>
  <c r="M3015" i="2"/>
  <c r="N3015" i="2" s="1"/>
  <c r="O3015" i="2" s="1"/>
  <c r="M3018" i="2"/>
  <c r="N3018" i="2" s="1"/>
  <c r="O3018" i="2" s="1"/>
  <c r="M3023" i="2"/>
  <c r="N3023" i="2" s="1"/>
  <c r="O3023" i="2" s="1"/>
  <c r="M3047" i="2"/>
  <c r="N3047" i="2" s="1"/>
  <c r="O3047" i="2" s="1"/>
  <c r="M2997" i="2"/>
  <c r="N2997" i="2" s="1"/>
  <c r="O2997" i="2" s="1"/>
  <c r="M3013" i="2"/>
  <c r="N3013" i="2" s="1"/>
  <c r="O3013" i="2" s="1"/>
  <c r="M3020" i="2"/>
  <c r="N3020" i="2" s="1"/>
  <c r="O3020" i="2" s="1"/>
  <c r="M3051" i="2"/>
  <c r="N3051" i="2" s="1"/>
  <c r="O3051" i="2" s="1"/>
  <c r="M3070" i="2"/>
  <c r="N3070" i="2" s="1"/>
  <c r="O3070" i="2" s="1"/>
  <c r="M3005" i="2"/>
  <c r="N3005" i="2" s="1"/>
  <c r="O3005" i="2" s="1"/>
  <c r="M3029" i="2"/>
  <c r="N3029" i="2" s="1"/>
  <c r="O3029" i="2" s="1"/>
  <c r="M3057" i="2"/>
  <c r="N3057" i="2" s="1"/>
  <c r="O3057" i="2" s="1"/>
  <c r="M3049" i="2"/>
  <c r="N3049" i="2" s="1"/>
  <c r="O3049" i="2" s="1"/>
  <c r="J3057" i="2"/>
  <c r="K3057" i="2" s="1"/>
  <c r="M3069" i="2"/>
  <c r="N3069" i="2" s="1"/>
  <c r="O3069" i="2" s="1"/>
  <c r="M3074" i="2"/>
  <c r="N3074" i="2" s="1"/>
  <c r="O3074" i="2" s="1"/>
  <c r="J3087" i="2"/>
  <c r="K3087" i="2" s="1"/>
  <c r="J3039" i="2"/>
  <c r="K3039" i="2" s="1"/>
  <c r="M3039" i="2" s="1"/>
  <c r="N3039" i="2" s="1"/>
  <c r="O3039" i="2" s="1"/>
  <c r="M3079" i="2"/>
  <c r="N3079" i="2" s="1"/>
  <c r="O3079" i="2" s="1"/>
  <c r="M3105" i="2"/>
  <c r="N3105" i="2" s="1"/>
  <c r="O3105" i="2" s="1"/>
  <c r="M3056" i="2"/>
  <c r="N3056" i="2" s="1"/>
  <c r="O3056" i="2" s="1"/>
  <c r="M3075" i="2"/>
  <c r="N3075" i="2" s="1"/>
  <c r="O3075" i="2" s="1"/>
  <c r="M3082" i="2"/>
  <c r="N3082" i="2" s="1"/>
  <c r="O3082" i="2" s="1"/>
  <c r="M3083" i="2"/>
  <c r="N3083" i="2" s="1"/>
  <c r="O3083" i="2" s="1"/>
  <c r="M3110" i="2"/>
  <c r="N3110" i="2" s="1"/>
  <c r="O3110" i="2" s="1"/>
  <c r="M3052" i="2"/>
  <c r="N3052" i="2" s="1"/>
  <c r="O3052" i="2" s="1"/>
  <c r="J3062" i="2"/>
  <c r="K3062" i="2" s="1"/>
  <c r="M3062" i="2" s="1"/>
  <c r="N3062" i="2" s="1"/>
  <c r="O3062" i="2" s="1"/>
  <c r="M3080" i="2"/>
  <c r="N3080" i="2" s="1"/>
  <c r="O3080" i="2" s="1"/>
  <c r="M3091" i="2"/>
  <c r="N3091" i="2" s="1"/>
  <c r="O3091" i="2" s="1"/>
  <c r="J3046" i="2"/>
  <c r="K3046" i="2" s="1"/>
  <c r="M3061" i="2"/>
  <c r="N3061" i="2" s="1"/>
  <c r="O3061" i="2" s="1"/>
  <c r="J3065" i="2"/>
  <c r="K3065" i="2" s="1"/>
  <c r="M3065" i="2" s="1"/>
  <c r="N3065" i="2" s="1"/>
  <c r="O3065" i="2" s="1"/>
  <c r="M3085" i="2"/>
  <c r="N3085" i="2" s="1"/>
  <c r="O3085" i="2" s="1"/>
  <c r="M3086" i="2"/>
  <c r="N3086" i="2" s="1"/>
  <c r="O3086" i="2" s="1"/>
  <c r="J3054" i="2"/>
  <c r="K3054" i="2" s="1"/>
  <c r="M3054" i="2" s="1"/>
  <c r="N3054" i="2" s="1"/>
  <c r="O3054" i="2" s="1"/>
  <c r="M3063" i="2"/>
  <c r="N3063" i="2" s="1"/>
  <c r="O3063" i="2" s="1"/>
  <c r="M3077" i="2"/>
  <c r="N3077" i="2" s="1"/>
  <c r="O3077" i="2" s="1"/>
  <c r="M3081" i="2"/>
  <c r="N3081" i="2" s="1"/>
  <c r="O3081" i="2" s="1"/>
  <c r="M3095" i="2"/>
  <c r="N3095" i="2" s="1"/>
  <c r="O3095" i="2" s="1"/>
  <c r="J3038" i="2"/>
  <c r="K3038" i="2" s="1"/>
  <c r="M3064" i="2"/>
  <c r="N3064" i="2" s="1"/>
  <c r="O3064" i="2" s="1"/>
  <c r="M3078" i="2"/>
  <c r="N3078" i="2" s="1"/>
  <c r="O3078" i="2" s="1"/>
  <c r="M3087" i="2"/>
  <c r="N3087" i="2" s="1"/>
  <c r="O3087" i="2" s="1"/>
  <c r="M3097" i="2"/>
  <c r="N3097" i="2" s="1"/>
  <c r="O3097" i="2" s="1"/>
  <c r="M3100" i="2"/>
  <c r="N3100" i="2" s="1"/>
  <c r="O3100" i="2" s="1"/>
  <c r="M3072" i="2"/>
  <c r="N3072" i="2" s="1"/>
  <c r="O3072" i="2" s="1"/>
  <c r="M3092" i="2"/>
  <c r="N3092" i="2" s="1"/>
  <c r="O3092" i="2" s="1"/>
  <c r="M3108" i="2"/>
  <c r="N3108" i="2" s="1"/>
  <c r="O3108" i="2" s="1"/>
  <c r="J3110" i="2"/>
  <c r="K3110" i="2" s="1"/>
  <c r="J3111" i="2"/>
  <c r="K3111" i="2" s="1"/>
  <c r="M3111" i="2" s="1"/>
  <c r="N3111" i="2" s="1"/>
  <c r="O3111" i="2" s="1"/>
  <c r="J3112" i="2"/>
  <c r="K3112" i="2" s="1"/>
  <c r="M3112" i="2" s="1"/>
  <c r="N3112" i="2" s="1"/>
  <c r="O3112" i="2" s="1"/>
  <c r="M3114" i="2"/>
  <c r="N3114" i="2" s="1"/>
  <c r="O3114" i="2" s="1"/>
  <c r="M3122" i="2"/>
  <c r="N3122" i="2" s="1"/>
  <c r="O3122" i="2" s="1"/>
  <c r="M3130" i="2"/>
  <c r="N3130" i="2" s="1"/>
  <c r="O3130" i="2" s="1"/>
  <c r="M3140" i="2"/>
  <c r="N3140" i="2" s="1"/>
  <c r="O3140" i="2" s="1"/>
  <c r="M3148" i="2"/>
  <c r="N3148" i="2" s="1"/>
  <c r="O3148" i="2" s="1"/>
  <c r="J3103" i="2"/>
  <c r="K3103" i="2" s="1"/>
  <c r="M3103" i="2" s="1"/>
  <c r="N3103" i="2" s="1"/>
  <c r="O3103" i="2" s="1"/>
  <c r="J3119" i="2"/>
  <c r="K3119" i="2" s="1"/>
  <c r="J3125" i="2"/>
  <c r="K3125" i="2" s="1"/>
  <c r="M3125" i="2" s="1"/>
  <c r="N3125" i="2" s="1"/>
  <c r="O3125" i="2" s="1"/>
  <c r="M3132" i="2"/>
  <c r="N3132" i="2" s="1"/>
  <c r="O3132" i="2" s="1"/>
  <c r="J3118" i="2"/>
  <c r="K3118" i="2" s="1"/>
  <c r="M3138" i="2"/>
  <c r="N3138" i="2" s="1"/>
  <c r="O3138" i="2" s="1"/>
  <c r="J3095" i="2"/>
  <c r="K3095" i="2" s="1"/>
  <c r="J3101" i="2"/>
  <c r="K3101" i="2" s="1"/>
  <c r="M3101" i="2" s="1"/>
  <c r="N3101" i="2" s="1"/>
  <c r="O3101" i="2" s="1"/>
  <c r="M3115" i="2"/>
  <c r="N3115" i="2" s="1"/>
  <c r="O3115" i="2" s="1"/>
  <c r="M3116" i="2"/>
  <c r="N3116" i="2" s="1"/>
  <c r="O3116" i="2" s="1"/>
  <c r="J3117" i="2"/>
  <c r="K3117" i="2" s="1"/>
  <c r="M3117" i="2" s="1"/>
  <c r="N3117" i="2" s="1"/>
  <c r="O3117" i="2" s="1"/>
  <c r="M3119" i="2"/>
  <c r="N3119" i="2" s="1"/>
  <c r="O3119" i="2" s="1"/>
  <c r="M3135" i="2"/>
  <c r="N3135" i="2" s="1"/>
  <c r="O3135" i="2" s="1"/>
  <c r="M3159" i="2"/>
  <c r="N3159" i="2" s="1"/>
  <c r="O3159" i="2" s="1"/>
  <c r="M3190" i="2"/>
  <c r="N3190" i="2" s="1"/>
  <c r="O3190" i="2" s="1"/>
  <c r="M3118" i="2"/>
  <c r="N3118" i="2" s="1"/>
  <c r="O3118" i="2" s="1"/>
  <c r="M3129" i="2"/>
  <c r="N3129" i="2" s="1"/>
  <c r="O3129" i="2" s="1"/>
  <c r="M3131" i="2"/>
  <c r="N3131" i="2" s="1"/>
  <c r="O3131" i="2" s="1"/>
  <c r="J3137" i="2"/>
  <c r="K3137" i="2" s="1"/>
  <c r="M3137" i="2" s="1"/>
  <c r="N3137" i="2" s="1"/>
  <c r="O3137" i="2" s="1"/>
  <c r="M3107" i="2"/>
  <c r="N3107" i="2" s="1"/>
  <c r="O3107" i="2" s="1"/>
  <c r="M3123" i="2"/>
  <c r="N3123" i="2" s="1"/>
  <c r="O3123" i="2" s="1"/>
  <c r="M3127" i="2"/>
  <c r="N3127" i="2" s="1"/>
  <c r="O3127" i="2" s="1"/>
  <c r="M3134" i="2"/>
  <c r="N3134" i="2" s="1"/>
  <c r="O3134" i="2" s="1"/>
  <c r="M3151" i="2"/>
  <c r="N3151" i="2" s="1"/>
  <c r="O3151" i="2" s="1"/>
  <c r="M3120" i="2"/>
  <c r="N3120" i="2" s="1"/>
  <c r="O3120" i="2" s="1"/>
  <c r="M3121" i="2"/>
  <c r="N3121" i="2" s="1"/>
  <c r="O3121" i="2" s="1"/>
  <c r="M3133" i="2"/>
  <c r="N3133" i="2" s="1"/>
  <c r="O3133" i="2" s="1"/>
  <c r="M3141" i="2"/>
  <c r="N3141" i="2" s="1"/>
  <c r="O3141" i="2" s="1"/>
  <c r="J3109" i="2"/>
  <c r="K3109" i="2" s="1"/>
  <c r="M3109" i="2" s="1"/>
  <c r="N3109" i="2" s="1"/>
  <c r="O3109" i="2" s="1"/>
  <c r="M3126" i="2"/>
  <c r="N3126" i="2" s="1"/>
  <c r="O3126" i="2" s="1"/>
  <c r="M3168" i="2"/>
  <c r="N3168" i="2" s="1"/>
  <c r="O3168" i="2" s="1"/>
  <c r="J3144" i="2"/>
  <c r="K3144" i="2" s="1"/>
  <c r="M3144" i="2" s="1"/>
  <c r="N3144" i="2" s="1"/>
  <c r="O3144" i="2" s="1"/>
  <c r="M3162" i="2"/>
  <c r="N3162" i="2" s="1"/>
  <c r="O3162" i="2" s="1"/>
  <c r="M3174" i="2"/>
  <c r="N3174" i="2" s="1"/>
  <c r="O3174" i="2" s="1"/>
  <c r="M3177" i="2"/>
  <c r="N3177" i="2" s="1"/>
  <c r="O3177" i="2" s="1"/>
  <c r="M3220" i="2"/>
  <c r="N3220" i="2" s="1"/>
  <c r="O3220" i="2" s="1"/>
  <c r="M3169" i="2"/>
  <c r="N3169" i="2" s="1"/>
  <c r="O3169" i="2" s="1"/>
  <c r="M3195" i="2"/>
  <c r="N3195" i="2" s="1"/>
  <c r="O3195" i="2" s="1"/>
  <c r="M3153" i="2"/>
  <c r="N3153" i="2" s="1"/>
  <c r="O3153" i="2" s="1"/>
  <c r="M3165" i="2"/>
  <c r="N3165" i="2" s="1"/>
  <c r="O3165" i="2" s="1"/>
  <c r="M3173" i="2"/>
  <c r="N3173" i="2" s="1"/>
  <c r="O3173" i="2" s="1"/>
  <c r="M3178" i="2"/>
  <c r="N3178" i="2" s="1"/>
  <c r="O3178" i="2" s="1"/>
  <c r="M3180" i="2"/>
  <c r="N3180" i="2" s="1"/>
  <c r="O3180" i="2" s="1"/>
  <c r="M3181" i="2"/>
  <c r="N3181" i="2" s="1"/>
  <c r="O3181" i="2" s="1"/>
  <c r="J3184" i="2"/>
  <c r="K3184" i="2" s="1"/>
  <c r="M3201" i="2"/>
  <c r="N3201" i="2" s="1"/>
  <c r="O3201" i="2" s="1"/>
  <c r="M3213" i="2"/>
  <c r="N3213" i="2" s="1"/>
  <c r="O3213" i="2" s="1"/>
  <c r="M3170" i="2"/>
  <c r="N3170" i="2" s="1"/>
  <c r="O3170" i="2" s="1"/>
  <c r="M3172" i="2"/>
  <c r="N3172" i="2" s="1"/>
  <c r="O3172" i="2" s="1"/>
  <c r="M3142" i="2"/>
  <c r="N3142" i="2" s="1"/>
  <c r="O3142" i="2" s="1"/>
  <c r="J3143" i="2"/>
  <c r="K3143" i="2" s="1"/>
  <c r="M3143" i="2" s="1"/>
  <c r="N3143" i="2" s="1"/>
  <c r="O3143" i="2" s="1"/>
  <c r="J3152" i="2"/>
  <c r="K3152" i="2" s="1"/>
  <c r="M3152" i="2" s="1"/>
  <c r="N3152" i="2" s="1"/>
  <c r="O3152" i="2" s="1"/>
  <c r="J3167" i="2"/>
  <c r="K3167" i="2" s="1"/>
  <c r="M3167" i="2" s="1"/>
  <c r="N3167" i="2" s="1"/>
  <c r="O3167" i="2" s="1"/>
  <c r="M3176" i="2"/>
  <c r="N3176" i="2" s="1"/>
  <c r="O3176" i="2" s="1"/>
  <c r="J3183" i="2"/>
  <c r="K3183" i="2" s="1"/>
  <c r="M3183" i="2" s="1"/>
  <c r="N3183" i="2" s="1"/>
  <c r="O3183" i="2" s="1"/>
  <c r="M3186" i="2"/>
  <c r="N3186" i="2" s="1"/>
  <c r="O3186" i="2" s="1"/>
  <c r="J3175" i="2"/>
  <c r="K3175" i="2" s="1"/>
  <c r="M3188" i="2"/>
  <c r="N3188" i="2" s="1"/>
  <c r="O3188" i="2" s="1"/>
  <c r="J3166" i="2"/>
  <c r="K3166" i="2" s="1"/>
  <c r="M3175" i="2"/>
  <c r="N3175" i="2" s="1"/>
  <c r="O3175" i="2" s="1"/>
  <c r="J3179" i="2"/>
  <c r="K3179" i="2" s="1"/>
  <c r="M3179" i="2" s="1"/>
  <c r="N3179" i="2" s="1"/>
  <c r="O3179" i="2" s="1"/>
  <c r="M3182" i="2"/>
  <c r="N3182" i="2" s="1"/>
  <c r="O3182" i="2" s="1"/>
  <c r="M3196" i="2"/>
  <c r="N3196" i="2" s="1"/>
  <c r="O3196" i="2" s="1"/>
  <c r="M3217" i="2"/>
  <c r="N3217" i="2" s="1"/>
  <c r="O3217" i="2" s="1"/>
  <c r="M3236" i="2"/>
  <c r="N3236" i="2" s="1"/>
  <c r="O3236" i="2" s="1"/>
  <c r="M3252" i="2"/>
  <c r="N3252" i="2" s="1"/>
  <c r="O3252" i="2" s="1"/>
  <c r="J3188" i="2"/>
  <c r="K3188" i="2" s="1"/>
  <c r="J3194" i="2"/>
  <c r="K3194" i="2" s="1"/>
  <c r="J3213" i="2"/>
  <c r="K3213" i="2" s="1"/>
  <c r="M3225" i="2"/>
  <c r="N3225" i="2" s="1"/>
  <c r="O3225" i="2" s="1"/>
  <c r="M3244" i="2"/>
  <c r="N3244" i="2" s="1"/>
  <c r="O3244" i="2" s="1"/>
  <c r="M3208" i="2"/>
  <c r="N3208" i="2" s="1"/>
  <c r="O3208" i="2" s="1"/>
  <c r="J3212" i="2"/>
  <c r="K3212" i="2" s="1"/>
  <c r="M3221" i="2"/>
  <c r="N3221" i="2" s="1"/>
  <c r="O3221" i="2" s="1"/>
  <c r="M3224" i="2"/>
  <c r="N3224" i="2" s="1"/>
  <c r="O3224" i="2" s="1"/>
  <c r="J3229" i="2"/>
  <c r="K3229" i="2" s="1"/>
  <c r="M3238" i="2"/>
  <c r="N3238" i="2" s="1"/>
  <c r="O3238" i="2" s="1"/>
  <c r="M3249" i="2"/>
  <c r="N3249" i="2" s="1"/>
  <c r="O3249" i="2" s="1"/>
  <c r="J3253" i="2"/>
  <c r="K3253" i="2" s="1"/>
  <c r="J3241" i="2"/>
  <c r="K3241" i="2" s="1"/>
  <c r="M3241" i="2" s="1"/>
  <c r="N3241" i="2" s="1"/>
  <c r="O3241" i="2" s="1"/>
  <c r="M3242" i="2"/>
  <c r="N3242" i="2" s="1"/>
  <c r="O3242" i="2" s="1"/>
  <c r="M3245" i="2"/>
  <c r="N3245" i="2" s="1"/>
  <c r="O3245" i="2" s="1"/>
  <c r="M3248" i="2"/>
  <c r="N3248" i="2" s="1"/>
  <c r="O3248" i="2" s="1"/>
  <c r="M3214" i="2"/>
  <c r="N3214" i="2" s="1"/>
  <c r="O3214" i="2" s="1"/>
  <c r="M3230" i="2"/>
  <c r="N3230" i="2" s="1"/>
  <c r="O3230" i="2" s="1"/>
  <c r="M3240" i="2"/>
  <c r="N3240" i="2" s="1"/>
  <c r="O3240" i="2" s="1"/>
  <c r="M3197" i="2"/>
  <c r="N3197" i="2" s="1"/>
  <c r="O3197" i="2" s="1"/>
  <c r="M3227" i="2"/>
  <c r="N3227" i="2" s="1"/>
  <c r="O3227" i="2" s="1"/>
  <c r="M3228" i="2"/>
  <c r="N3228" i="2" s="1"/>
  <c r="O3228" i="2" s="1"/>
  <c r="J3233" i="2"/>
  <c r="K3233" i="2" s="1"/>
  <c r="M3198" i="2"/>
  <c r="N3198" i="2" s="1"/>
  <c r="O3198" i="2" s="1"/>
  <c r="M3200" i="2"/>
  <c r="N3200" i="2" s="1"/>
  <c r="O3200" i="2" s="1"/>
  <c r="M3206" i="2"/>
  <c r="N3206" i="2" s="1"/>
  <c r="O3206" i="2" s="1"/>
  <c r="J3219" i="2"/>
  <c r="K3219" i="2" s="1"/>
  <c r="M3219" i="2" s="1"/>
  <c r="N3219" i="2" s="1"/>
  <c r="O3219" i="2" s="1"/>
  <c r="M3222" i="2"/>
  <c r="N3222" i="2" s="1"/>
  <c r="O3222" i="2" s="1"/>
  <c r="M3223" i="2"/>
  <c r="N3223" i="2" s="1"/>
  <c r="O3223" i="2" s="1"/>
  <c r="M3233" i="2"/>
  <c r="N3233" i="2" s="1"/>
  <c r="O3233" i="2" s="1"/>
  <c r="J3237" i="2"/>
  <c r="K3237" i="2" s="1"/>
  <c r="M3237" i="2" s="1"/>
  <c r="N3237" i="2" s="1"/>
  <c r="O3237" i="2" s="1"/>
  <c r="M3239" i="2"/>
  <c r="N3239" i="2" s="1"/>
  <c r="O3239" i="2" s="1"/>
  <c r="J3250" i="2"/>
  <c r="K3250" i="2" s="1"/>
  <c r="M3250" i="2" s="1"/>
  <c r="N3250" i="2" s="1"/>
  <c r="O3250" i="2" s="1"/>
  <c r="M3251" i="2"/>
  <c r="N3251" i="2" s="1"/>
  <c r="O3251" i="2" s="1"/>
  <c r="M3258" i="2"/>
  <c r="N3258" i="2" s="1"/>
  <c r="O3258" i="2" s="1"/>
  <c r="J3218" i="2"/>
  <c r="K3218" i="2" s="1"/>
  <c r="J3225" i="2"/>
  <c r="K3225" i="2" s="1"/>
  <c r="M3226" i="2"/>
  <c r="N3226" i="2" s="1"/>
  <c r="O3226" i="2" s="1"/>
  <c r="M3229" i="2"/>
  <c r="N3229" i="2" s="1"/>
  <c r="O3229" i="2" s="1"/>
  <c r="M3247" i="2"/>
  <c r="N3247" i="2" s="1"/>
  <c r="O3247" i="2" s="1"/>
  <c r="M3253" i="2"/>
  <c r="N3253" i="2" s="1"/>
  <c r="O3253" i="2" s="1"/>
  <c r="M3257" i="2"/>
  <c r="N3257" i="2" s="1"/>
  <c r="O3257" i="2" s="1"/>
  <c r="J3260" i="2"/>
  <c r="K3260" i="2" s="1"/>
  <c r="M3260" i="2" s="1"/>
  <c r="N3260" i="2" s="1"/>
  <c r="O3260" i="2" s="1"/>
  <c r="M1020" i="2" l="1"/>
  <c r="N1020" i="2" s="1"/>
  <c r="O1020" i="2" s="1"/>
  <c r="M1988" i="2"/>
  <c r="N1988" i="2" s="1"/>
  <c r="O1988" i="2" s="1"/>
  <c r="M2214" i="2"/>
  <c r="N2214" i="2" s="1"/>
  <c r="O2214" i="2" s="1"/>
  <c r="M2917" i="2"/>
  <c r="N2917" i="2" s="1"/>
  <c r="O2917" i="2" s="1"/>
  <c r="M2898" i="2"/>
  <c r="N2898" i="2" s="1"/>
  <c r="O2898" i="2" s="1"/>
  <c r="M1562" i="2"/>
  <c r="N1562" i="2" s="1"/>
  <c r="O1562" i="2" s="1"/>
  <c r="M1055" i="2"/>
  <c r="N1055" i="2" s="1"/>
  <c r="O1055" i="2" s="1"/>
  <c r="M1111" i="2"/>
  <c r="N1111" i="2" s="1"/>
  <c r="O1111" i="2" s="1"/>
  <c r="M3215" i="2"/>
  <c r="N3215" i="2" s="1"/>
  <c r="O3215" i="2" s="1"/>
  <c r="M2742" i="2"/>
  <c r="N2742" i="2" s="1"/>
  <c r="O2742" i="2" s="1"/>
  <c r="M2427" i="2"/>
  <c r="N2427" i="2" s="1"/>
  <c r="O2427" i="2" s="1"/>
  <c r="M2253" i="2"/>
  <c r="N2253" i="2" s="1"/>
  <c r="O2253" i="2" s="1"/>
  <c r="M2207" i="2"/>
  <c r="N2207" i="2" s="1"/>
  <c r="O2207" i="2" s="1"/>
  <c r="M2055" i="2"/>
  <c r="N2055" i="2" s="1"/>
  <c r="O2055" i="2" s="1"/>
  <c r="M832" i="2"/>
  <c r="N832" i="2" s="1"/>
  <c r="O832" i="2" s="1"/>
  <c r="M2432" i="2"/>
  <c r="N2432" i="2" s="1"/>
  <c r="O2432" i="2" s="1"/>
  <c r="M941" i="2"/>
  <c r="N941" i="2" s="1"/>
  <c r="O941" i="2" s="1"/>
  <c r="M353" i="2"/>
  <c r="N353" i="2" s="1"/>
  <c r="O353" i="2" s="1"/>
  <c r="M3216" i="2"/>
  <c r="N3216" i="2" s="1"/>
  <c r="O3216" i="2" s="1"/>
  <c r="M2582" i="2"/>
  <c r="N2582" i="2" s="1"/>
  <c r="O2582" i="2" s="1"/>
  <c r="M2296" i="2"/>
  <c r="N2296" i="2" s="1"/>
  <c r="O2296" i="2" s="1"/>
  <c r="M2334" i="2"/>
  <c r="N2334" i="2" s="1"/>
  <c r="O2334" i="2" s="1"/>
  <c r="M1063" i="2"/>
  <c r="N1063" i="2" s="1"/>
  <c r="O1063" i="2" s="1"/>
  <c r="M1076" i="2"/>
  <c r="N1076" i="2" s="1"/>
  <c r="O1076" i="2" s="1"/>
  <c r="M424" i="2"/>
  <c r="N424" i="2" s="1"/>
  <c r="O424" i="2" s="1"/>
  <c r="M3194" i="2"/>
  <c r="N3194" i="2" s="1"/>
  <c r="O3194" i="2" s="1"/>
  <c r="M3255" i="2"/>
  <c r="N3255" i="2" s="1"/>
  <c r="O3255" i="2" s="1"/>
  <c r="M2504" i="2"/>
  <c r="N2504" i="2" s="1"/>
  <c r="O2504" i="2" s="1"/>
  <c r="M2453" i="2"/>
  <c r="N2453" i="2" s="1"/>
  <c r="O2453" i="2" s="1"/>
  <c r="M1790" i="2"/>
  <c r="N1790" i="2" s="1"/>
  <c r="O1790" i="2" s="1"/>
  <c r="M1090" i="2"/>
  <c r="N1090" i="2" s="1"/>
  <c r="O1090" i="2" s="1"/>
  <c r="M1060" i="2"/>
  <c r="N1060" i="2" s="1"/>
  <c r="O1060" i="2" s="1"/>
  <c r="M1132" i="2"/>
  <c r="N1132" i="2" s="1"/>
  <c r="O1132" i="2" s="1"/>
  <c r="M616" i="2"/>
  <c r="N616" i="2" s="1"/>
  <c r="O616" i="2" s="1"/>
  <c r="M1547" i="2"/>
  <c r="N1547" i="2" s="1"/>
  <c r="O1547" i="2" s="1"/>
  <c r="M2325" i="2"/>
  <c r="N2325" i="2" s="1"/>
  <c r="O2325" i="2" s="1"/>
  <c r="M2724" i="2"/>
  <c r="N2724" i="2" s="1"/>
  <c r="O2724" i="2" s="1"/>
  <c r="M2503" i="2"/>
  <c r="N2503" i="2" s="1"/>
  <c r="O2503" i="2" s="1"/>
  <c r="M1594" i="2"/>
  <c r="N1594" i="2" s="1"/>
  <c r="O1594" i="2" s="1"/>
  <c r="M1327" i="2"/>
  <c r="N1327" i="2" s="1"/>
  <c r="O1327" i="2" s="1"/>
  <c r="M321" i="2"/>
  <c r="N321" i="2" s="1"/>
  <c r="O321" i="2" s="1"/>
  <c r="M3199" i="2"/>
  <c r="N3199" i="2" s="1"/>
  <c r="O3199" i="2" s="1"/>
  <c r="M3124" i="2"/>
  <c r="N3124" i="2" s="1"/>
  <c r="O3124" i="2" s="1"/>
  <c r="M2013" i="2"/>
  <c r="N2013" i="2" s="1"/>
  <c r="O2013" i="2" s="1"/>
  <c r="M1285" i="2"/>
  <c r="N1285" i="2" s="1"/>
  <c r="O1285" i="2" s="1"/>
  <c r="M2384" i="2"/>
  <c r="N2384" i="2" s="1"/>
  <c r="O2384" i="2" s="1"/>
  <c r="M496" i="2"/>
  <c r="N496" i="2" s="1"/>
  <c r="O496" i="2" s="1"/>
  <c r="M3212" i="2"/>
  <c r="N3212" i="2" s="1"/>
  <c r="O3212" i="2" s="1"/>
  <c r="M2715" i="2"/>
  <c r="N2715" i="2" s="1"/>
  <c r="O2715" i="2" s="1"/>
  <c r="M1646" i="2"/>
  <c r="N1646" i="2" s="1"/>
  <c r="O1646" i="2" s="1"/>
  <c r="M696" i="2"/>
  <c r="N696" i="2" s="1"/>
  <c r="O696" i="2" s="1"/>
  <c r="M361" i="2"/>
  <c r="N361" i="2" s="1"/>
  <c r="O361" i="2" s="1"/>
  <c r="M2474" i="2"/>
  <c r="N2474" i="2" s="1"/>
  <c r="O2474" i="2" s="1"/>
  <c r="M1124" i="2"/>
  <c r="N1124" i="2" s="1"/>
  <c r="O1124" i="2" s="1"/>
  <c r="M725" i="2"/>
  <c r="N725" i="2" s="1"/>
  <c r="O725" i="2" s="1"/>
  <c r="M484" i="2"/>
  <c r="N484" i="2" s="1"/>
  <c r="O484" i="2" s="1"/>
  <c r="M317" i="2"/>
  <c r="N317" i="2" s="1"/>
  <c r="O317" i="2" s="1"/>
  <c r="M545" i="2"/>
  <c r="N545" i="2" s="1"/>
  <c r="O545" i="2" s="1"/>
  <c r="M166" i="2"/>
  <c r="N166" i="2" s="1"/>
  <c r="O166" i="2" s="1"/>
  <c r="M1610" i="2"/>
  <c r="N1610" i="2" s="1"/>
  <c r="O1610" i="2" s="1"/>
  <c r="M448" i="2"/>
  <c r="N448" i="2" s="1"/>
  <c r="O448" i="2" s="1"/>
  <c r="M3046" i="2"/>
  <c r="N3046" i="2" s="1"/>
  <c r="O3046" i="2" s="1"/>
  <c r="M2720" i="2"/>
  <c r="N2720" i="2" s="1"/>
  <c r="O2720" i="2" s="1"/>
  <c r="M2949" i="2"/>
  <c r="N2949" i="2" s="1"/>
  <c r="O2949" i="2" s="1"/>
  <c r="M1159" i="2"/>
  <c r="N1159" i="2" s="1"/>
  <c r="O1159" i="2" s="1"/>
  <c r="M440" i="2"/>
  <c r="N440" i="2" s="1"/>
  <c r="O440" i="2" s="1"/>
  <c r="M126" i="2"/>
  <c r="N126" i="2" s="1"/>
  <c r="O126" i="2" s="1"/>
  <c r="M492" i="2"/>
  <c r="N492" i="2" s="1"/>
  <c r="O492" i="2" s="1"/>
  <c r="M396" i="2"/>
  <c r="N396" i="2" s="1"/>
  <c r="O396" i="2" s="1"/>
  <c r="M297" i="2"/>
  <c r="N297" i="2" s="1"/>
  <c r="O297" i="2" s="1"/>
  <c r="M379" i="2"/>
  <c r="N379" i="2" s="1"/>
  <c r="O379" i="2" s="1"/>
  <c r="M1393" i="2"/>
  <c r="N1393" i="2" s="1"/>
  <c r="O1393" i="2" s="1"/>
  <c r="M772" i="2"/>
  <c r="N772" i="2" s="1"/>
  <c r="O772" i="2" s="1"/>
  <c r="M380" i="2"/>
  <c r="N380" i="2" s="1"/>
  <c r="O380" i="2" s="1"/>
  <c r="M5" i="2"/>
  <c r="N5" i="2" s="1"/>
  <c r="O5" i="2" s="1"/>
  <c r="M409" i="2"/>
  <c r="N409" i="2" s="1"/>
  <c r="O409" i="2" s="1"/>
  <c r="M2883" i="2"/>
  <c r="N2883" i="2" s="1"/>
  <c r="O2883" i="2" s="1"/>
  <c r="M1525" i="2"/>
  <c r="N1525" i="2" s="1"/>
  <c r="O1525" i="2" s="1"/>
  <c r="M551" i="2"/>
  <c r="N551" i="2" s="1"/>
  <c r="O551" i="2" s="1"/>
  <c r="M493" i="2"/>
  <c r="N493" i="2" s="1"/>
  <c r="O493" i="2" s="1"/>
  <c r="M517" i="2"/>
  <c r="N517" i="2" s="1"/>
  <c r="O517" i="2" s="1"/>
  <c r="M305" i="2"/>
  <c r="N305" i="2" s="1"/>
  <c r="O305" i="2" s="1"/>
  <c r="M257" i="2"/>
  <c r="N257" i="2" s="1"/>
  <c r="O257" i="2" s="1"/>
  <c r="M337" i="2"/>
  <c r="N337" i="2" s="1"/>
  <c r="O337" i="2" s="1"/>
  <c r="M666" i="2"/>
  <c r="N666" i="2" s="1"/>
  <c r="O666" i="2" s="1"/>
  <c r="M1202" i="2"/>
  <c r="N1202" i="2" s="1"/>
  <c r="O1202" i="2" s="1"/>
  <c r="M2919" i="2"/>
  <c r="N2919" i="2" s="1"/>
  <c r="O2919" i="2" s="1"/>
  <c r="M2614" i="2"/>
  <c r="N2614" i="2" s="1"/>
  <c r="O2614" i="2" s="1"/>
  <c r="M2202" i="2"/>
  <c r="N2202" i="2" s="1"/>
  <c r="O2202" i="2" s="1"/>
  <c r="M1031" i="2"/>
  <c r="N1031" i="2" s="1"/>
  <c r="O1031" i="2" s="1"/>
  <c r="M595" i="2"/>
  <c r="N595" i="2" s="1"/>
  <c r="O595" i="2" s="1"/>
  <c r="M428" i="2"/>
  <c r="N428" i="2" s="1"/>
  <c r="O428" i="2" s="1"/>
  <c r="M411" i="2"/>
  <c r="N411" i="2" s="1"/>
  <c r="O411" i="2" s="1"/>
  <c r="M42" i="2"/>
  <c r="N42" i="2" s="1"/>
  <c r="O42" i="2" s="1"/>
  <c r="M1298" i="2"/>
  <c r="N1298" i="2" s="1"/>
  <c r="O1298" i="2" s="1"/>
  <c r="M3044" i="2"/>
  <c r="N3044" i="2" s="1"/>
  <c r="O3044" i="2" s="1"/>
  <c r="M2696" i="2"/>
  <c r="N2696" i="2" s="1"/>
  <c r="O2696" i="2" s="1"/>
  <c r="M2596" i="2"/>
  <c r="N2596" i="2" s="1"/>
  <c r="O2596" i="2" s="1"/>
  <c r="M2509" i="2"/>
  <c r="N2509" i="2" s="1"/>
  <c r="O2509" i="2" s="1"/>
  <c r="M1294" i="2"/>
  <c r="N1294" i="2" s="1"/>
  <c r="O1294" i="2" s="1"/>
  <c r="M1130" i="2"/>
  <c r="N1130" i="2" s="1"/>
  <c r="O1130" i="2" s="1"/>
  <c r="M2957" i="2"/>
  <c r="N2957" i="2" s="1"/>
  <c r="O2957" i="2" s="1"/>
  <c r="M2732" i="2"/>
  <c r="N2732" i="2" s="1"/>
  <c r="O2732" i="2" s="1"/>
  <c r="M2522" i="2"/>
  <c r="N2522" i="2" s="1"/>
  <c r="O2522" i="2" s="1"/>
  <c r="M2443" i="2"/>
  <c r="N2443" i="2" s="1"/>
  <c r="O2443" i="2" s="1"/>
  <c r="M1961" i="2"/>
  <c r="N1961" i="2" s="1"/>
  <c r="O1961" i="2" s="1"/>
  <c r="M1886" i="2"/>
  <c r="N1886" i="2" s="1"/>
  <c r="O1886" i="2" s="1"/>
  <c r="M1339" i="2"/>
  <c r="N1339" i="2" s="1"/>
  <c r="O1339" i="2" s="1"/>
  <c r="M188" i="2"/>
  <c r="N188" i="2" s="1"/>
  <c r="O188" i="2" s="1"/>
  <c r="M3231" i="2"/>
  <c r="N3231" i="2" s="1"/>
  <c r="O3231" i="2" s="1"/>
  <c r="M1210" i="2"/>
  <c r="N1210" i="2" s="1"/>
  <c r="O1210" i="2" s="1"/>
  <c r="M1218" i="2"/>
  <c r="N1218" i="2" s="1"/>
  <c r="O1218" i="2" s="1"/>
  <c r="M225" i="2"/>
  <c r="N225" i="2" s="1"/>
  <c r="O225" i="2" s="1"/>
  <c r="M2511" i="2"/>
  <c r="N2511" i="2" s="1"/>
  <c r="O2511" i="2" s="1"/>
  <c r="M2291" i="2"/>
  <c r="N2291" i="2" s="1"/>
  <c r="O2291" i="2" s="1"/>
  <c r="M586" i="2"/>
  <c r="N586" i="2" s="1"/>
  <c r="O586" i="2" s="1"/>
  <c r="M2518" i="2"/>
  <c r="N2518" i="2" s="1"/>
  <c r="O2518" i="2" s="1"/>
  <c r="M2199" i="2"/>
  <c r="N2199" i="2" s="1"/>
  <c r="O2199" i="2" s="1"/>
  <c r="M2123" i="2"/>
  <c r="N2123" i="2" s="1"/>
  <c r="O2123" i="2" s="1"/>
  <c r="M1789" i="2"/>
  <c r="N1789" i="2" s="1"/>
  <c r="O1789" i="2" s="1"/>
  <c r="M1636" i="2"/>
  <c r="N1636" i="2" s="1"/>
  <c r="O1636" i="2" s="1"/>
  <c r="M817" i="2"/>
  <c r="N817" i="2" s="1"/>
  <c r="O817" i="2" s="1"/>
  <c r="M610" i="2"/>
  <c r="N610" i="2" s="1"/>
  <c r="O610" i="2" s="1"/>
  <c r="M456" i="2"/>
  <c r="N456" i="2" s="1"/>
  <c r="O456" i="2" s="1"/>
  <c r="M3090" i="2"/>
  <c r="N3090" i="2" s="1"/>
  <c r="O3090" i="2" s="1"/>
  <c r="M2381" i="2"/>
  <c r="N2381" i="2" s="1"/>
  <c r="O2381" i="2" s="1"/>
  <c r="M2044" i="2"/>
  <c r="N2044" i="2" s="1"/>
  <c r="O2044" i="2" s="1"/>
  <c r="M1507" i="2"/>
  <c r="N1507" i="2" s="1"/>
  <c r="O1507" i="2" s="1"/>
  <c r="M873" i="2"/>
  <c r="N873" i="2" s="1"/>
  <c r="O873" i="2" s="1"/>
  <c r="M629" i="2"/>
  <c r="N629" i="2" s="1"/>
  <c r="O629" i="2" s="1"/>
  <c r="M2872" i="2"/>
  <c r="N2872" i="2" s="1"/>
  <c r="O2872" i="2" s="1"/>
  <c r="M2003" i="2"/>
  <c r="N2003" i="2" s="1"/>
  <c r="O2003" i="2" s="1"/>
  <c r="M1836" i="2"/>
  <c r="N1836" i="2" s="1"/>
  <c r="O1836" i="2" s="1"/>
  <c r="M1772" i="2"/>
  <c r="N1772" i="2" s="1"/>
  <c r="O1772" i="2" s="1"/>
  <c r="M1854" i="2"/>
  <c r="N1854" i="2" s="1"/>
  <c r="O1854" i="2" s="1"/>
  <c r="M1407" i="2"/>
  <c r="N1407" i="2" s="1"/>
  <c r="O1407" i="2" s="1"/>
  <c r="M1708" i="2"/>
  <c r="N1708" i="2" s="1"/>
  <c r="O1708" i="2" s="1"/>
  <c r="M2091" i="2"/>
  <c r="N2091" i="2" s="1"/>
  <c r="O2091" i="2" s="1"/>
  <c r="M1674" i="2"/>
  <c r="N1674" i="2" s="1"/>
  <c r="O1674" i="2" s="1"/>
  <c r="M1148" i="2"/>
  <c r="N1148" i="2" s="1"/>
  <c r="O1148" i="2" s="1"/>
  <c r="M600" i="2"/>
  <c r="N600" i="2" s="1"/>
  <c r="O600" i="2" s="1"/>
  <c r="M824" i="2"/>
  <c r="N824" i="2" s="1"/>
  <c r="O824" i="2" s="1"/>
  <c r="M437" i="2"/>
  <c r="N437" i="2" s="1"/>
  <c r="O437" i="2" s="1"/>
  <c r="M729" i="2"/>
  <c r="N729" i="2" s="1"/>
  <c r="O729" i="2" s="1"/>
  <c r="M522" i="2"/>
  <c r="N522" i="2" s="1"/>
  <c r="O522" i="2" s="1"/>
  <c r="M261" i="2"/>
  <c r="N261" i="2" s="1"/>
  <c r="O261" i="2" s="1"/>
  <c r="M709" i="2"/>
  <c r="N709" i="2" s="1"/>
  <c r="O709" i="2" s="1"/>
  <c r="M168" i="2"/>
  <c r="N168" i="2" s="1"/>
  <c r="O168" i="2" s="1"/>
  <c r="M209" i="2"/>
  <c r="N209" i="2" s="1"/>
  <c r="O209" i="2" s="1"/>
  <c r="M1668" i="2"/>
  <c r="N1668" i="2" s="1"/>
  <c r="O1668" i="2" s="1"/>
  <c r="M3155" i="2"/>
  <c r="N3155" i="2" s="1"/>
  <c r="O3155" i="2" s="1"/>
  <c r="M2584" i="2"/>
  <c r="N2584" i="2" s="1"/>
  <c r="O2584" i="2" s="1"/>
  <c r="M1821" i="2"/>
  <c r="N1821" i="2" s="1"/>
  <c r="O1821" i="2" s="1"/>
  <c r="M1418" i="2"/>
  <c r="N1418" i="2" s="1"/>
  <c r="O1418" i="2" s="1"/>
  <c r="M975" i="2"/>
  <c r="N975" i="2" s="1"/>
  <c r="O975" i="2" s="1"/>
  <c r="M557" i="2"/>
  <c r="N557" i="2" s="1"/>
  <c r="O557" i="2" s="1"/>
  <c r="M723" i="2"/>
  <c r="N723" i="2" s="1"/>
  <c r="O723" i="2" s="1"/>
  <c r="M236" i="2"/>
  <c r="N236" i="2" s="1"/>
  <c r="O236" i="2" s="1"/>
  <c r="M67" i="2"/>
  <c r="N67" i="2" s="1"/>
  <c r="O67" i="2" s="1"/>
  <c r="M875" i="2"/>
  <c r="N875" i="2" s="1"/>
  <c r="O875" i="2" s="1"/>
  <c r="M3204" i="2"/>
  <c r="N3204" i="2" s="1"/>
  <c r="O3204" i="2" s="1"/>
  <c r="M2651" i="2"/>
  <c r="N2651" i="2" s="1"/>
  <c r="O2651" i="2" s="1"/>
  <c r="M2475" i="2"/>
  <c r="N2475" i="2" s="1"/>
  <c r="O2475" i="2" s="1"/>
  <c r="M1447" i="2"/>
  <c r="N1447" i="2" s="1"/>
  <c r="O1447" i="2" s="1"/>
  <c r="M2336" i="2"/>
  <c r="N2336" i="2" s="1"/>
  <c r="O2336" i="2" s="1"/>
  <c r="M2162" i="2"/>
  <c r="N2162" i="2" s="1"/>
  <c r="O2162" i="2" s="1"/>
  <c r="M2122" i="2"/>
  <c r="N2122" i="2" s="1"/>
  <c r="O2122" i="2" s="1"/>
  <c r="M1941" i="2"/>
  <c r="N1941" i="2" s="1"/>
  <c r="O1941" i="2" s="1"/>
  <c r="M1278" i="2"/>
  <c r="N1278" i="2" s="1"/>
  <c r="O1278" i="2" s="1"/>
  <c r="M1119" i="2"/>
  <c r="N1119" i="2" s="1"/>
  <c r="O1119" i="2" s="1"/>
  <c r="M882" i="2"/>
  <c r="N882" i="2" s="1"/>
  <c r="O882" i="2" s="1"/>
  <c r="M1700" i="2"/>
  <c r="N1700" i="2" s="1"/>
  <c r="O1700" i="2" s="1"/>
  <c r="M3202" i="2"/>
  <c r="N3202" i="2" s="1"/>
  <c r="O3202" i="2" s="1"/>
  <c r="M2267" i="2"/>
  <c r="N2267" i="2" s="1"/>
  <c r="O2267" i="2" s="1"/>
  <c r="M2304" i="2"/>
  <c r="N2304" i="2" s="1"/>
  <c r="O2304" i="2" s="1"/>
  <c r="M899" i="2"/>
  <c r="N899" i="2" s="1"/>
  <c r="O899" i="2" s="1"/>
  <c r="M193" i="2"/>
  <c r="N193" i="2" s="1"/>
  <c r="O193" i="2" s="1"/>
  <c r="M1255" i="2"/>
  <c r="N1255" i="2" s="1"/>
  <c r="O1255" i="2" s="1"/>
  <c r="M1121" i="2"/>
  <c r="N1121" i="2" s="1"/>
  <c r="O1121" i="2" s="1"/>
  <c r="M376" i="2"/>
  <c r="N376" i="2" s="1"/>
  <c r="O376" i="2" s="1"/>
  <c r="M2486" i="2"/>
  <c r="N2486" i="2" s="1"/>
  <c r="O2486" i="2" s="1"/>
  <c r="M2240" i="2"/>
  <c r="N2240" i="2" s="1"/>
  <c r="O2240" i="2" s="1"/>
  <c r="M1495" i="2"/>
  <c r="N1495" i="2" s="1"/>
  <c r="O1495" i="2" s="1"/>
  <c r="M1457" i="2"/>
  <c r="N1457" i="2" s="1"/>
  <c r="O1457" i="2" s="1"/>
  <c r="M1030" i="2"/>
  <c r="N1030" i="2" s="1"/>
  <c r="O1030" i="2" s="1"/>
  <c r="M1161" i="2"/>
  <c r="N1161" i="2" s="1"/>
  <c r="O1161" i="2" s="1"/>
  <c r="M1825" i="2"/>
  <c r="N1825" i="2" s="1"/>
  <c r="O1825" i="2" s="1"/>
  <c r="M1701" i="2"/>
  <c r="N1701" i="2" s="1"/>
  <c r="O1701" i="2" s="1"/>
  <c r="M1950" i="2"/>
  <c r="N1950" i="2" s="1"/>
  <c r="O1950" i="2" s="1"/>
  <c r="M1487" i="2"/>
  <c r="N1487" i="2" s="1"/>
  <c r="O1487" i="2" s="1"/>
  <c r="M1456" i="2"/>
  <c r="N1456" i="2" s="1"/>
  <c r="O1456" i="2" s="1"/>
  <c r="M1355" i="2"/>
  <c r="N1355" i="2" s="1"/>
  <c r="O1355" i="2" s="1"/>
  <c r="M1251" i="2"/>
  <c r="N1251" i="2" s="1"/>
  <c r="O1251" i="2" s="1"/>
  <c r="M2831" i="2"/>
  <c r="N2831" i="2" s="1"/>
  <c r="O2831" i="2" s="1"/>
  <c r="M3104" i="2"/>
  <c r="N3104" i="2" s="1"/>
  <c r="O3104" i="2" s="1"/>
  <c r="M2539" i="2"/>
  <c r="N2539" i="2" s="1"/>
  <c r="O2539" i="2" s="1"/>
  <c r="M2191" i="2"/>
  <c r="N2191" i="2" s="1"/>
  <c r="O2191" i="2" s="1"/>
  <c r="M1443" i="2"/>
  <c r="N1443" i="2" s="1"/>
  <c r="O1443" i="2" s="1"/>
  <c r="M1108" i="2"/>
  <c r="N1108" i="2" s="1"/>
  <c r="O1108" i="2" s="1"/>
  <c r="M2316" i="2"/>
  <c r="N2316" i="2" s="1"/>
  <c r="O2316" i="2" s="1"/>
  <c r="M2032" i="2"/>
  <c r="N2032" i="2" s="1"/>
  <c r="O2032" i="2" s="1"/>
  <c r="M788" i="2"/>
  <c r="N788" i="2" s="1"/>
  <c r="O788" i="2" s="1"/>
  <c r="M733" i="2"/>
  <c r="N733" i="2" s="1"/>
  <c r="O733" i="2" s="1"/>
  <c r="M330" i="2"/>
  <c r="N330" i="2" s="1"/>
  <c r="O330" i="2" s="1"/>
  <c r="M2847" i="2"/>
  <c r="N2847" i="2" s="1"/>
  <c r="O2847" i="2" s="1"/>
  <c r="M3210" i="2"/>
  <c r="N3210" i="2" s="1"/>
  <c r="O3210" i="2" s="1"/>
  <c r="M1175" i="2"/>
  <c r="N1175" i="2" s="1"/>
  <c r="O1175" i="2" s="1"/>
  <c r="M656" i="2"/>
  <c r="N656" i="2" s="1"/>
  <c r="O656" i="2" s="1"/>
  <c r="M160" i="2"/>
  <c r="N160" i="2" s="1"/>
  <c r="O160" i="2" s="1"/>
  <c r="M2079" i="2"/>
  <c r="N2079" i="2" s="1"/>
  <c r="O2079" i="2" s="1"/>
  <c r="M1768" i="2"/>
  <c r="N1768" i="2" s="1"/>
  <c r="O1768" i="2" s="1"/>
  <c r="M1473" i="2"/>
  <c r="N1473" i="2" s="1"/>
  <c r="O1473" i="2" s="1"/>
  <c r="M584" i="2"/>
  <c r="N584" i="2" s="1"/>
  <c r="O584" i="2" s="1"/>
  <c r="M224" i="2"/>
  <c r="N224" i="2" s="1"/>
  <c r="O224" i="2" s="1"/>
  <c r="M2915" i="2"/>
  <c r="N2915" i="2" s="1"/>
  <c r="O2915" i="2" s="1"/>
  <c r="M1734" i="2"/>
  <c r="N1734" i="2" s="1"/>
  <c r="O1734" i="2" s="1"/>
  <c r="M2173" i="2"/>
  <c r="N2173" i="2" s="1"/>
  <c r="O2173" i="2" s="1"/>
  <c r="M737" i="2"/>
  <c r="N737" i="2" s="1"/>
  <c r="O737" i="2" s="1"/>
  <c r="M2361" i="2"/>
  <c r="N2361" i="2" s="1"/>
  <c r="O2361" i="2" s="1"/>
  <c r="M3001" i="2"/>
  <c r="N3001" i="2" s="1"/>
  <c r="O3001" i="2" s="1"/>
  <c r="M2607" i="2"/>
  <c r="N2607" i="2" s="1"/>
  <c r="O2607" i="2" s="1"/>
  <c r="M1179" i="2"/>
  <c r="N1179" i="2" s="1"/>
  <c r="O1179" i="2" s="1"/>
  <c r="M1615" i="2"/>
  <c r="N1615" i="2" s="1"/>
  <c r="O1615" i="2" s="1"/>
  <c r="M825" i="2"/>
  <c r="N825" i="2" s="1"/>
  <c r="O825" i="2" s="1"/>
  <c r="M987" i="2"/>
  <c r="N987" i="2" s="1"/>
  <c r="O987" i="2" s="1"/>
  <c r="M938" i="2"/>
  <c r="N938" i="2" s="1"/>
  <c r="O938" i="2" s="1"/>
  <c r="M794" i="2"/>
  <c r="N794" i="2" s="1"/>
  <c r="O794" i="2" s="1"/>
  <c r="M2777" i="2"/>
  <c r="N2777" i="2" s="1"/>
  <c r="O2777" i="2" s="1"/>
  <c r="M1478" i="2"/>
  <c r="N1478" i="2" s="1"/>
  <c r="O1478" i="2" s="1"/>
  <c r="M1953" i="2"/>
  <c r="N1953" i="2" s="1"/>
  <c r="O1953" i="2" s="1"/>
  <c r="M1776" i="2"/>
  <c r="N1776" i="2" s="1"/>
  <c r="O1776" i="2" s="1"/>
  <c r="M1390" i="2"/>
  <c r="N1390" i="2" s="1"/>
  <c r="O1390" i="2" s="1"/>
  <c r="M1719" i="2"/>
  <c r="N1719" i="2" s="1"/>
  <c r="O1719" i="2" s="1"/>
  <c r="M1190" i="2"/>
  <c r="N1190" i="2" s="1"/>
  <c r="O1190" i="2" s="1"/>
  <c r="M769" i="2"/>
  <c r="N769" i="2" s="1"/>
  <c r="O769" i="2" s="1"/>
  <c r="M740" i="2"/>
  <c r="N740" i="2" s="1"/>
  <c r="O740" i="2" s="1"/>
  <c r="M688" i="2"/>
  <c r="N688" i="2" s="1"/>
  <c r="O688" i="2" s="1"/>
  <c r="M504" i="2"/>
  <c r="N504" i="2" s="1"/>
  <c r="O504" i="2" s="1"/>
  <c r="M2621" i="2"/>
  <c r="N2621" i="2" s="1"/>
  <c r="O2621" i="2" s="1"/>
  <c r="M2433" i="2"/>
  <c r="N2433" i="2" s="1"/>
  <c r="O2433" i="2" s="1"/>
  <c r="M2502" i="2"/>
  <c r="N2502" i="2" s="1"/>
  <c r="O2502" i="2" s="1"/>
  <c r="M1670" i="2"/>
  <c r="N1670" i="2" s="1"/>
  <c r="O1670" i="2" s="1"/>
  <c r="M650" i="2"/>
  <c r="N650" i="2" s="1"/>
  <c r="O650" i="2" s="1"/>
  <c r="J3262" i="2"/>
  <c r="M3068" i="2"/>
  <c r="N3068" i="2" s="1"/>
  <c r="O3068" i="2" s="1"/>
  <c r="M2973" i="2"/>
  <c r="N2973" i="2" s="1"/>
  <c r="O2973" i="2" s="1"/>
  <c r="M2422" i="2"/>
  <c r="N2422" i="2" s="1"/>
  <c r="O2422" i="2" s="1"/>
  <c r="M2074" i="2"/>
  <c r="N2074" i="2" s="1"/>
  <c r="O2074" i="2" s="1"/>
  <c r="M1715" i="2"/>
  <c r="N1715" i="2" s="1"/>
  <c r="O1715" i="2" s="1"/>
  <c r="M1481" i="2"/>
  <c r="N1481" i="2" s="1"/>
  <c r="O1481" i="2" s="1"/>
  <c r="M1275" i="2"/>
  <c r="N1275" i="2" s="1"/>
  <c r="O1275" i="2" s="1"/>
  <c r="M1066" i="2"/>
  <c r="N1066" i="2" s="1"/>
  <c r="O1066" i="2" s="1"/>
  <c r="M1163" i="2"/>
  <c r="N1163" i="2" s="1"/>
  <c r="O1163" i="2" s="1"/>
  <c r="M653" i="2"/>
  <c r="N653" i="2" s="1"/>
  <c r="O653" i="2" s="1"/>
  <c r="M525" i="2"/>
  <c r="N525" i="2" s="1"/>
  <c r="O525" i="2" s="1"/>
  <c r="M432" i="2"/>
  <c r="N432" i="2" s="1"/>
  <c r="O432" i="2" s="1"/>
  <c r="M389" i="2"/>
  <c r="N389" i="2" s="1"/>
  <c r="O389" i="2" s="1"/>
  <c r="M624" i="2"/>
  <c r="N624" i="2" s="1"/>
  <c r="O624" i="2" s="1"/>
  <c r="M333" i="2"/>
  <c r="N333" i="2" s="1"/>
  <c r="O333" i="2" s="1"/>
  <c r="M229" i="2"/>
  <c r="N229" i="2" s="1"/>
  <c r="O229" i="2" s="1"/>
  <c r="M2467" i="2"/>
  <c r="N2467" i="2" s="1"/>
  <c r="O2467" i="2" s="1"/>
  <c r="M2235" i="2"/>
  <c r="N2235" i="2" s="1"/>
  <c r="O2235" i="2" s="1"/>
  <c r="M2001" i="2"/>
  <c r="N2001" i="2" s="1"/>
  <c r="O2001" i="2" s="1"/>
  <c r="M821" i="2"/>
  <c r="N821" i="2" s="1"/>
  <c r="O821" i="2" s="1"/>
  <c r="M3048" i="2"/>
  <c r="N3048" i="2" s="1"/>
  <c r="O3048" i="2" s="1"/>
  <c r="M2727" i="2"/>
  <c r="N2727" i="2" s="1"/>
  <c r="O2727" i="2" s="1"/>
  <c r="M3166" i="2"/>
  <c r="N3166" i="2" s="1"/>
  <c r="O3166" i="2" s="1"/>
  <c r="M2374" i="2"/>
  <c r="N2374" i="2" s="1"/>
  <c r="O2374" i="2" s="1"/>
  <c r="M1889" i="2"/>
  <c r="N1889" i="2" s="1"/>
  <c r="O1889" i="2" s="1"/>
  <c r="M2071" i="2"/>
  <c r="N2071" i="2" s="1"/>
  <c r="O2071" i="2" s="1"/>
  <c r="M1727" i="2"/>
  <c r="N1727" i="2" s="1"/>
  <c r="O1727" i="2" s="1"/>
  <c r="M1786" i="2"/>
  <c r="N1786" i="2" s="1"/>
  <c r="O1786" i="2" s="1"/>
  <c r="M1449" i="2"/>
  <c r="N1449" i="2" s="1"/>
  <c r="O1449" i="2" s="1"/>
  <c r="M868" i="2"/>
  <c r="N868" i="2" s="1"/>
  <c r="O868" i="2" s="1"/>
  <c r="M1114" i="2"/>
  <c r="N1114" i="2" s="1"/>
  <c r="O1114" i="2" s="1"/>
  <c r="M464" i="2"/>
  <c r="N464" i="2" s="1"/>
  <c r="O464" i="2" s="1"/>
  <c r="M2339" i="2"/>
  <c r="N2339" i="2" s="1"/>
  <c r="O2339" i="2" s="1"/>
  <c r="M2860" i="2"/>
  <c r="N2860" i="2" s="1"/>
  <c r="O2860" i="2" s="1"/>
  <c r="M1884" i="2"/>
  <c r="N1884" i="2" s="1"/>
  <c r="O1884" i="2" s="1"/>
  <c r="M1229" i="2"/>
  <c r="N1229" i="2" s="1"/>
  <c r="O1229" i="2" s="1"/>
  <c r="M1019" i="2"/>
  <c r="N1019" i="2" s="1"/>
  <c r="O1019" i="2" s="1"/>
  <c r="M881" i="2"/>
  <c r="N881" i="2" s="1"/>
  <c r="O881" i="2" s="1"/>
  <c r="M162" i="2"/>
  <c r="N162" i="2" s="1"/>
  <c r="O162" i="2" s="1"/>
  <c r="M3184" i="2"/>
  <c r="N3184" i="2" s="1"/>
  <c r="O3184" i="2" s="1"/>
  <c r="M3045" i="2"/>
  <c r="N3045" i="2" s="1"/>
  <c r="O3045" i="2" s="1"/>
  <c r="M2579" i="2"/>
  <c r="N2579" i="2" s="1"/>
  <c r="O2579" i="2" s="1"/>
  <c r="M2050" i="2"/>
  <c r="N2050" i="2" s="1"/>
  <c r="O2050" i="2" s="1"/>
  <c r="M1873" i="2"/>
  <c r="N1873" i="2" s="1"/>
  <c r="O1873" i="2" s="1"/>
  <c r="M1703" i="2"/>
  <c r="N1703" i="2" s="1"/>
  <c r="O1703" i="2" s="1"/>
  <c r="M1098" i="2"/>
  <c r="N1098" i="2" s="1"/>
  <c r="O1098" i="2" s="1"/>
  <c r="M1026" i="2"/>
  <c r="N1026" i="2" s="1"/>
  <c r="O1026" i="2" s="1"/>
  <c r="M860" i="2"/>
  <c r="N860" i="2" s="1"/>
  <c r="O860" i="2" s="1"/>
  <c r="M1227" i="2"/>
  <c r="N1227" i="2" s="1"/>
  <c r="O1227" i="2" s="1"/>
  <c r="M501" i="2"/>
  <c r="N501" i="2" s="1"/>
  <c r="O501" i="2" s="1"/>
  <c r="M373" i="2"/>
  <c r="N373" i="2" s="1"/>
  <c r="O373" i="2" s="1"/>
  <c r="M597" i="2"/>
  <c r="N597" i="2" s="1"/>
  <c r="O597" i="2" s="1"/>
  <c r="M405" i="2"/>
  <c r="N405" i="2" s="1"/>
  <c r="O405" i="2" s="1"/>
  <c r="M269" i="2"/>
  <c r="N269" i="2" s="1"/>
  <c r="O269" i="2" s="1"/>
  <c r="M2585" i="2"/>
  <c r="N2585" i="2" s="1"/>
  <c r="O2585" i="2" s="1"/>
  <c r="M2181" i="2"/>
  <c r="N2181" i="2" s="1"/>
  <c r="O2181" i="2" s="1"/>
  <c r="M3014" i="2"/>
  <c r="N3014" i="2" s="1"/>
  <c r="O3014" i="2" s="1"/>
  <c r="M2995" i="2"/>
  <c r="N2995" i="2" s="1"/>
  <c r="O2995" i="2" s="1"/>
  <c r="M2827" i="2"/>
  <c r="N2827" i="2" s="1"/>
  <c r="O2827" i="2" s="1"/>
  <c r="M2053" i="2"/>
  <c r="N2053" i="2" s="1"/>
  <c r="O2053" i="2" s="1"/>
  <c r="M2094" i="2"/>
  <c r="N2094" i="2" s="1"/>
  <c r="O2094" i="2" s="1"/>
  <c r="M1600" i="2"/>
  <c r="N1600" i="2" s="1"/>
  <c r="O1600" i="2" s="1"/>
  <c r="M1451" i="2"/>
  <c r="N1451" i="2" s="1"/>
  <c r="O1451" i="2" s="1"/>
  <c r="M833" i="2"/>
  <c r="N833" i="2" s="1"/>
  <c r="O833" i="2" s="1"/>
  <c r="M885" i="2"/>
  <c r="N885" i="2" s="1"/>
  <c r="O885" i="2" s="1"/>
  <c r="M682" i="2"/>
  <c r="N682" i="2" s="1"/>
  <c r="O682" i="2" s="1"/>
  <c r="M1505" i="2"/>
  <c r="N1505" i="2" s="1"/>
  <c r="O1505" i="2" s="1"/>
  <c r="M608" i="2"/>
  <c r="N608" i="2" s="1"/>
  <c r="O608" i="2" s="1"/>
  <c r="M110" i="2"/>
  <c r="N110" i="2" s="1"/>
  <c r="O110" i="2" s="1"/>
  <c r="M3154" i="2"/>
  <c r="N3154" i="2" s="1"/>
  <c r="O3154" i="2" s="1"/>
  <c r="M3150" i="2"/>
  <c r="N3150" i="2" s="1"/>
  <c r="O3150" i="2" s="1"/>
  <c r="M1757" i="2"/>
  <c r="N1757" i="2" s="1"/>
  <c r="O1757" i="2" s="1"/>
  <c r="M1361" i="2"/>
  <c r="N1361" i="2" s="1"/>
  <c r="O1361" i="2" s="1"/>
  <c r="M1307" i="2"/>
  <c r="N1307" i="2" s="1"/>
  <c r="O1307" i="2" s="1"/>
  <c r="M1805" i="2"/>
  <c r="N1805" i="2" s="1"/>
  <c r="O1805" i="2" s="1"/>
  <c r="M804" i="2"/>
  <c r="N804" i="2" s="1"/>
  <c r="O804" i="2" s="1"/>
  <c r="M560" i="2"/>
  <c r="N560" i="2" s="1"/>
  <c r="O560" i="2" s="1"/>
  <c r="M421" i="2"/>
  <c r="N421" i="2" s="1"/>
  <c r="O421" i="2" s="1"/>
  <c r="M664" i="2"/>
  <c r="N664" i="2" s="1"/>
  <c r="O664" i="2" s="1"/>
  <c r="M488" i="2"/>
  <c r="N488" i="2" s="1"/>
  <c r="O488" i="2" s="1"/>
  <c r="M194" i="2"/>
  <c r="N194" i="2" s="1"/>
  <c r="O194" i="2" s="1"/>
  <c r="M1304" i="2"/>
  <c r="N1304" i="2" s="1"/>
  <c r="O1304" i="2" s="1"/>
  <c r="M2363" i="2"/>
  <c r="N2363" i="2" s="1"/>
  <c r="O2363" i="2" s="1"/>
  <c r="M1508" i="2"/>
  <c r="N1508" i="2" s="1"/>
  <c r="O1508" i="2" s="1"/>
  <c r="M565" i="2"/>
  <c r="N565" i="2" s="1"/>
  <c r="O565" i="2" s="1"/>
  <c r="M453" i="2"/>
  <c r="N453" i="2" s="1"/>
  <c r="O453" i="2" s="1"/>
  <c r="M392" i="2"/>
  <c r="N392" i="2" s="1"/>
  <c r="O392" i="2" s="1"/>
  <c r="M250" i="2"/>
  <c r="N250" i="2" s="1"/>
  <c r="O250" i="2" s="1"/>
  <c r="M3035" i="2"/>
  <c r="N3035" i="2" s="1"/>
  <c r="O3035" i="2" s="1"/>
  <c r="M2927" i="2"/>
  <c r="N2927" i="2" s="1"/>
  <c r="O2927" i="2" s="1"/>
  <c r="M2515" i="2"/>
  <c r="N2515" i="2" s="1"/>
  <c r="O2515" i="2" s="1"/>
  <c r="M2414" i="2"/>
  <c r="N2414" i="2" s="1"/>
  <c r="O2414" i="2" s="1"/>
  <c r="M2424" i="2"/>
  <c r="N2424" i="2" s="1"/>
  <c r="O2424" i="2" s="1"/>
  <c r="M2505" i="2"/>
  <c r="N2505" i="2" s="1"/>
  <c r="O2505" i="2" s="1"/>
  <c r="M1921" i="2"/>
  <c r="N1921" i="2" s="1"/>
  <c r="O1921" i="2" s="1"/>
  <c r="M1849" i="2"/>
  <c r="N1849" i="2" s="1"/>
  <c r="O1849" i="2" s="1"/>
  <c r="M1726" i="2"/>
  <c r="N1726" i="2" s="1"/>
  <c r="O1726" i="2" s="1"/>
  <c r="M1082" i="2"/>
  <c r="N1082" i="2" s="1"/>
  <c r="O1082" i="2" s="1"/>
  <c r="M474" i="2"/>
  <c r="N474" i="2" s="1"/>
  <c r="O474" i="2" s="1"/>
  <c r="M354" i="2"/>
  <c r="N354" i="2" s="1"/>
  <c r="O354" i="2" s="1"/>
  <c r="M589" i="2"/>
  <c r="N589" i="2" s="1"/>
  <c r="O589" i="2" s="1"/>
  <c r="M895" i="2"/>
  <c r="N895" i="2" s="1"/>
  <c r="O895" i="2" s="1"/>
  <c r="M2440" i="2"/>
  <c r="N2440" i="2" s="1"/>
  <c r="O2440" i="2" s="1"/>
  <c r="M2658" i="2"/>
  <c r="N2658" i="2" s="1"/>
  <c r="O2658" i="2" s="1"/>
  <c r="M989" i="2"/>
  <c r="N989" i="2" s="1"/>
  <c r="O989" i="2" s="1"/>
  <c r="M634" i="2"/>
  <c r="N634" i="2" s="1"/>
  <c r="O634" i="2" s="1"/>
  <c r="M327" i="2"/>
  <c r="N327" i="2" s="1"/>
  <c r="O327" i="2" s="1"/>
  <c r="M2189" i="2"/>
  <c r="N2189" i="2" s="1"/>
  <c r="O2189" i="2" s="1"/>
  <c r="M2113" i="2"/>
  <c r="N2113" i="2" s="1"/>
  <c r="O2113" i="2" s="1"/>
  <c r="M1671" i="2"/>
  <c r="N1671" i="2" s="1"/>
  <c r="O1671" i="2" s="1"/>
  <c r="M1513" i="2"/>
  <c r="N1513" i="2" s="1"/>
  <c r="O1513" i="2" s="1"/>
  <c r="M1647" i="2"/>
  <c r="N1647" i="2" s="1"/>
  <c r="O1647" i="2" s="1"/>
  <c r="M1211" i="2"/>
  <c r="N1211" i="2" s="1"/>
  <c r="O1211" i="2" s="1"/>
  <c r="M2382" i="2"/>
  <c r="N2382" i="2" s="1"/>
  <c r="O2382" i="2" s="1"/>
  <c r="M1489" i="2"/>
  <c r="N1489" i="2" s="1"/>
  <c r="O1489" i="2" s="1"/>
  <c r="M2923" i="2"/>
  <c r="N2923" i="2" s="1"/>
  <c r="O2923" i="2" s="1"/>
  <c r="M3218" i="2"/>
  <c r="N3218" i="2" s="1"/>
  <c r="O3218" i="2" s="1"/>
  <c r="M2395" i="2"/>
  <c r="N2395" i="2" s="1"/>
  <c r="O2395" i="2" s="1"/>
  <c r="M1335" i="2"/>
  <c r="N1335" i="2" s="1"/>
  <c r="O1335" i="2" s="1"/>
  <c r="M3071" i="2"/>
  <c r="N3071" i="2" s="1"/>
  <c r="O3071" i="2" s="1"/>
  <c r="M2521" i="2"/>
  <c r="N2521" i="2" s="1"/>
  <c r="O2521" i="2" s="1"/>
  <c r="M2529" i="2"/>
  <c r="N2529" i="2" s="1"/>
  <c r="O2529" i="2" s="1"/>
  <c r="M1841" i="2"/>
  <c r="N1841" i="2" s="1"/>
  <c r="O1841" i="2" s="1"/>
  <c r="M1969" i="2"/>
  <c r="N1969" i="2" s="1"/>
  <c r="O1969" i="2" s="1"/>
  <c r="M1985" i="2"/>
  <c r="N1985" i="2" s="1"/>
  <c r="O1985" i="2" s="1"/>
  <c r="M645" i="2"/>
  <c r="N645" i="2" s="1"/>
  <c r="O645" i="2" s="1"/>
  <c r="M2601" i="2"/>
  <c r="N2601" i="2" s="1"/>
  <c r="O2601" i="2" s="1"/>
  <c r="M2372" i="2"/>
  <c r="N2372" i="2" s="1"/>
  <c r="O2372" i="2" s="1"/>
  <c r="M2364" i="2"/>
  <c r="N2364" i="2" s="1"/>
  <c r="O2364" i="2" s="1"/>
  <c r="M2290" i="2"/>
  <c r="N2290" i="2" s="1"/>
  <c r="O2290" i="2" s="1"/>
  <c r="M2109" i="2"/>
  <c r="N2109" i="2" s="1"/>
  <c r="O2109" i="2" s="1"/>
  <c r="M2103" i="2"/>
  <c r="N2103" i="2" s="1"/>
  <c r="O2103" i="2" s="1"/>
  <c r="M2029" i="2"/>
  <c r="N2029" i="2" s="1"/>
  <c r="O2029" i="2" s="1"/>
  <c r="M2037" i="2"/>
  <c r="N2037" i="2" s="1"/>
  <c r="O2037" i="2" s="1"/>
  <c r="M2098" i="2"/>
  <c r="N2098" i="2" s="1"/>
  <c r="O2098" i="2" s="1"/>
  <c r="M1991" i="2"/>
  <c r="N1991" i="2" s="1"/>
  <c r="O1991" i="2" s="1"/>
  <c r="M1975" i="2"/>
  <c r="N1975" i="2" s="1"/>
  <c r="O1975" i="2" s="1"/>
  <c r="M1737" i="2"/>
  <c r="N1737" i="2" s="1"/>
  <c r="O1737" i="2" s="1"/>
  <c r="M1628" i="2"/>
  <c r="N1628" i="2" s="1"/>
  <c r="O1628" i="2" s="1"/>
  <c r="M1532" i="2"/>
  <c r="N1532" i="2" s="1"/>
  <c r="O1532" i="2" s="1"/>
  <c r="M1588" i="2"/>
  <c r="N1588" i="2" s="1"/>
  <c r="O1588" i="2" s="1"/>
  <c r="M1460" i="2"/>
  <c r="N1460" i="2" s="1"/>
  <c r="O1460" i="2" s="1"/>
  <c r="M1412" i="2"/>
  <c r="N1412" i="2" s="1"/>
  <c r="O1412" i="2" s="1"/>
  <c r="M1280" i="2"/>
  <c r="N1280" i="2" s="1"/>
  <c r="O1280" i="2" s="1"/>
  <c r="M1232" i="2"/>
  <c r="N1232" i="2" s="1"/>
  <c r="O1232" i="2" s="1"/>
  <c r="M1016" i="2"/>
  <c r="N1016" i="2" s="1"/>
  <c r="O1016" i="2" s="1"/>
  <c r="M1104" i="2"/>
  <c r="N1104" i="2" s="1"/>
  <c r="O1104" i="2" s="1"/>
  <c r="M791" i="2"/>
  <c r="N791" i="2" s="1"/>
  <c r="O791" i="2" s="1"/>
  <c r="M547" i="2"/>
  <c r="N547" i="2" s="1"/>
  <c r="O547" i="2" s="1"/>
  <c r="M472" i="2"/>
  <c r="N472" i="2" s="1"/>
  <c r="O472" i="2" s="1"/>
  <c r="M507" i="2"/>
  <c r="N507" i="2" s="1"/>
  <c r="O507" i="2" s="1"/>
  <c r="M384" i="2"/>
  <c r="N384" i="2" s="1"/>
  <c r="O384" i="2" s="1"/>
  <c r="M336" i="2"/>
  <c r="N336" i="2" s="1"/>
  <c r="O336" i="2" s="1"/>
  <c r="M272" i="2"/>
  <c r="N272" i="2" s="1"/>
  <c r="O272" i="2" s="1"/>
  <c r="M315" i="2"/>
  <c r="N315" i="2" s="1"/>
  <c r="O315" i="2" s="1"/>
  <c r="M3098" i="2"/>
  <c r="N3098" i="2" s="1"/>
  <c r="O3098" i="2" s="1"/>
  <c r="M3055" i="2"/>
  <c r="N3055" i="2" s="1"/>
  <c r="O3055" i="2" s="1"/>
  <c r="M2988" i="2"/>
  <c r="N2988" i="2" s="1"/>
  <c r="O2988" i="2" s="1"/>
  <c r="M2994" i="2"/>
  <c r="N2994" i="2" s="1"/>
  <c r="O2994" i="2" s="1"/>
  <c r="M2986" i="2"/>
  <c r="N2986" i="2" s="1"/>
  <c r="O2986" i="2" s="1"/>
  <c r="M2889" i="2"/>
  <c r="N2889" i="2" s="1"/>
  <c r="O2889" i="2" s="1"/>
  <c r="M2713" i="2"/>
  <c r="N2713" i="2" s="1"/>
  <c r="O2713" i="2" s="1"/>
  <c r="M2485" i="2"/>
  <c r="N2485" i="2" s="1"/>
  <c r="O2485" i="2" s="1"/>
  <c r="M2462" i="2"/>
  <c r="N2462" i="2" s="1"/>
  <c r="O2462" i="2" s="1"/>
  <c r="M2300" i="2"/>
  <c r="N2300" i="2" s="1"/>
  <c r="O2300" i="2" s="1"/>
  <c r="M2428" i="2"/>
  <c r="N2428" i="2" s="1"/>
  <c r="O2428" i="2" s="1"/>
  <c r="M2348" i="2"/>
  <c r="N2348" i="2" s="1"/>
  <c r="O2348" i="2" s="1"/>
  <c r="M2329" i="2"/>
  <c r="N2329" i="2" s="1"/>
  <c r="O2329" i="2" s="1"/>
  <c r="M2268" i="2"/>
  <c r="N2268" i="2" s="1"/>
  <c r="O2268" i="2" s="1"/>
  <c r="M2286" i="2"/>
  <c r="N2286" i="2" s="1"/>
  <c r="O2286" i="2" s="1"/>
  <c r="M2297" i="2"/>
  <c r="N2297" i="2" s="1"/>
  <c r="O2297" i="2" s="1"/>
  <c r="M2095" i="2"/>
  <c r="N2095" i="2" s="1"/>
  <c r="O2095" i="2" s="1"/>
  <c r="M1729" i="2"/>
  <c r="N1729" i="2" s="1"/>
  <c r="O1729" i="2" s="1"/>
  <c r="M1549" i="2"/>
  <c r="N1549" i="2" s="1"/>
  <c r="O1549" i="2" s="1"/>
  <c r="M1518" i="2"/>
  <c r="N1518" i="2" s="1"/>
  <c r="O1518" i="2" s="1"/>
  <c r="M1395" i="2"/>
  <c r="N1395" i="2" s="1"/>
  <c r="O1395" i="2" s="1"/>
  <c r="M1379" i="2"/>
  <c r="N1379" i="2" s="1"/>
  <c r="O1379" i="2" s="1"/>
  <c r="M1302" i="2"/>
  <c r="N1302" i="2" s="1"/>
  <c r="O1302" i="2" s="1"/>
  <c r="M1238" i="2"/>
  <c r="N1238" i="2" s="1"/>
  <c r="O1238" i="2" s="1"/>
  <c r="M1171" i="2"/>
  <c r="N1171" i="2" s="1"/>
  <c r="O1171" i="2" s="1"/>
  <c r="M912" i="2"/>
  <c r="N912" i="2" s="1"/>
  <c r="O912" i="2" s="1"/>
  <c r="M1136" i="2"/>
  <c r="N1136" i="2" s="1"/>
  <c r="O1136" i="2" s="1"/>
  <c r="M643" i="2"/>
  <c r="N643" i="2" s="1"/>
  <c r="O643" i="2" s="1"/>
  <c r="M515" i="2"/>
  <c r="N515" i="2" s="1"/>
  <c r="O515" i="2" s="1"/>
  <c r="M502" i="2"/>
  <c r="N502" i="2" s="1"/>
  <c r="O502" i="2" s="1"/>
  <c r="M296" i="2"/>
  <c r="N296" i="2" s="1"/>
  <c r="O296" i="2" s="1"/>
  <c r="M347" i="2"/>
  <c r="N347" i="2" s="1"/>
  <c r="O347" i="2" s="1"/>
  <c r="M264" i="2"/>
  <c r="N264" i="2" s="1"/>
  <c r="O264" i="2" s="1"/>
  <c r="M246" i="2"/>
  <c r="N246" i="2" s="1"/>
  <c r="O246" i="2" s="1"/>
  <c r="M178" i="2"/>
  <c r="N178" i="2" s="1"/>
  <c r="O178" i="2" s="1"/>
  <c r="M2857" i="2"/>
  <c r="N2857" i="2" s="1"/>
  <c r="O2857" i="2" s="1"/>
  <c r="M2593" i="2"/>
  <c r="N2593" i="2" s="1"/>
  <c r="O2593" i="2" s="1"/>
  <c r="M2340" i="2"/>
  <c r="N2340" i="2" s="1"/>
  <c r="O2340" i="2" s="1"/>
  <c r="M2436" i="2"/>
  <c r="N2436" i="2" s="1"/>
  <c r="O2436" i="2" s="1"/>
  <c r="M2111" i="2"/>
  <c r="N2111" i="2" s="1"/>
  <c r="O2111" i="2" s="1"/>
  <c r="M2016" i="2"/>
  <c r="N2016" i="2" s="1"/>
  <c r="O2016" i="2" s="1"/>
  <c r="M2024" i="2"/>
  <c r="N2024" i="2" s="1"/>
  <c r="O2024" i="2" s="1"/>
  <c r="M2080" i="2"/>
  <c r="N2080" i="2" s="1"/>
  <c r="O2080" i="2" s="1"/>
  <c r="M2040" i="2"/>
  <c r="N2040" i="2" s="1"/>
  <c r="O2040" i="2" s="1"/>
  <c r="M1959" i="2"/>
  <c r="N1959" i="2" s="1"/>
  <c r="O1959" i="2" s="1"/>
  <c r="M1927" i="2"/>
  <c r="N1927" i="2" s="1"/>
  <c r="O1927" i="2" s="1"/>
  <c r="M1855" i="2"/>
  <c r="N1855" i="2" s="1"/>
  <c r="O1855" i="2" s="1"/>
  <c r="M1607" i="2"/>
  <c r="N1607" i="2" s="1"/>
  <c r="O1607" i="2" s="1"/>
  <c r="M1919" i="2"/>
  <c r="N1919" i="2" s="1"/>
  <c r="O1919" i="2" s="1"/>
  <c r="M1657" i="2"/>
  <c r="N1657" i="2" s="1"/>
  <c r="O1657" i="2" s="1"/>
  <c r="M1676" i="2"/>
  <c r="N1676" i="2" s="1"/>
  <c r="O1676" i="2" s="1"/>
  <c r="M1623" i="2"/>
  <c r="N1623" i="2" s="1"/>
  <c r="O1623" i="2" s="1"/>
  <c r="M1705" i="2"/>
  <c r="N1705" i="2" s="1"/>
  <c r="O1705" i="2" s="1"/>
  <c r="M1569" i="2"/>
  <c r="N1569" i="2" s="1"/>
  <c r="O1569" i="2" s="1"/>
  <c r="M1363" i="2"/>
  <c r="N1363" i="2" s="1"/>
  <c r="O1363" i="2" s="1"/>
  <c r="M1168" i="2"/>
  <c r="N1168" i="2" s="1"/>
  <c r="O1168" i="2" s="1"/>
  <c r="M1312" i="2"/>
  <c r="N1312" i="2" s="1"/>
  <c r="O1312" i="2" s="1"/>
  <c r="M1216" i="2"/>
  <c r="N1216" i="2" s="1"/>
  <c r="O1216" i="2" s="1"/>
  <c r="M1120" i="2"/>
  <c r="N1120" i="2" s="1"/>
  <c r="O1120" i="2" s="1"/>
  <c r="M1128" i="2"/>
  <c r="N1128" i="2" s="1"/>
  <c r="O1128" i="2" s="1"/>
  <c r="M555" i="2"/>
  <c r="N555" i="2" s="1"/>
  <c r="O555" i="2" s="1"/>
  <c r="M691" i="2"/>
  <c r="N691" i="2" s="1"/>
  <c r="O691" i="2" s="1"/>
  <c r="M611" i="2"/>
  <c r="N611" i="2" s="1"/>
  <c r="O611" i="2" s="1"/>
  <c r="M635" i="2"/>
  <c r="N635" i="2" s="1"/>
  <c r="O635" i="2" s="1"/>
  <c r="M320" i="2"/>
  <c r="N320" i="2" s="1"/>
  <c r="O320" i="2" s="1"/>
  <c r="M254" i="2"/>
  <c r="N254" i="2" s="1"/>
  <c r="O254" i="2" s="1"/>
  <c r="M331" i="2"/>
  <c r="N331" i="2" s="1"/>
  <c r="O331" i="2" s="1"/>
  <c r="M3050" i="2"/>
  <c r="N3050" i="2" s="1"/>
  <c r="O3050" i="2" s="1"/>
  <c r="M2849" i="2"/>
  <c r="N2849" i="2" s="1"/>
  <c r="O2849" i="2" s="1"/>
  <c r="M2721" i="2"/>
  <c r="N2721" i="2" s="1"/>
  <c r="O2721" i="2" s="1"/>
  <c r="M2501" i="2"/>
  <c r="N2501" i="2" s="1"/>
  <c r="O2501" i="2" s="1"/>
  <c r="M2430" i="2"/>
  <c r="N2430" i="2" s="1"/>
  <c r="O2430" i="2" s="1"/>
  <c r="M2308" i="2"/>
  <c r="N2308" i="2" s="1"/>
  <c r="O2308" i="2" s="1"/>
  <c r="M2404" i="2"/>
  <c r="N2404" i="2" s="1"/>
  <c r="O2404" i="2" s="1"/>
  <c r="M2141" i="2"/>
  <c r="N2141" i="2" s="1"/>
  <c r="O2141" i="2" s="1"/>
  <c r="M2021" i="2"/>
  <c r="N2021" i="2" s="1"/>
  <c r="O2021" i="2" s="1"/>
  <c r="M1815" i="2"/>
  <c r="N1815" i="2" s="1"/>
  <c r="O1815" i="2" s="1"/>
  <c r="M1903" i="2"/>
  <c r="N1903" i="2" s="1"/>
  <c r="O1903" i="2" s="1"/>
  <c r="M1580" i="2"/>
  <c r="N1580" i="2" s="1"/>
  <c r="O1580" i="2" s="1"/>
  <c r="M1673" i="2"/>
  <c r="N1673" i="2" s="1"/>
  <c r="O1673" i="2" s="1"/>
  <c r="M1791" i="2"/>
  <c r="N1791" i="2" s="1"/>
  <c r="O1791" i="2" s="1"/>
  <c r="M1420" i="2"/>
  <c r="N1420" i="2" s="1"/>
  <c r="O1420" i="2" s="1"/>
  <c r="M1516" i="2"/>
  <c r="N1516" i="2" s="1"/>
  <c r="O1516" i="2" s="1"/>
  <c r="M1452" i="2"/>
  <c r="N1452" i="2" s="1"/>
  <c r="O1452" i="2" s="1"/>
  <c r="M1192" i="2"/>
  <c r="N1192" i="2" s="1"/>
  <c r="O1192" i="2" s="1"/>
  <c r="M1342" i="2"/>
  <c r="N1342" i="2" s="1"/>
  <c r="O1342" i="2" s="1"/>
  <c r="M1286" i="2"/>
  <c r="N1286" i="2" s="1"/>
  <c r="O1286" i="2" s="1"/>
  <c r="M1350" i="2"/>
  <c r="N1350" i="2" s="1"/>
  <c r="O1350" i="2" s="1"/>
  <c r="M1264" i="2"/>
  <c r="N1264" i="2" s="1"/>
  <c r="O1264" i="2" s="1"/>
  <c r="M1032" i="2"/>
  <c r="N1032" i="2" s="1"/>
  <c r="O1032" i="2" s="1"/>
  <c r="M510" i="2"/>
  <c r="N510" i="2" s="1"/>
  <c r="O510" i="2" s="1"/>
  <c r="M750" i="2"/>
  <c r="N750" i="2" s="1"/>
  <c r="O750" i="2" s="1"/>
  <c r="M344" i="2"/>
  <c r="N344" i="2" s="1"/>
  <c r="O344" i="2" s="1"/>
  <c r="M499" i="2"/>
  <c r="N499" i="2" s="1"/>
  <c r="O499" i="2" s="1"/>
  <c r="M368" i="2"/>
  <c r="N368" i="2" s="1"/>
  <c r="O368" i="2" s="1"/>
  <c r="M2791" i="2"/>
  <c r="N2791" i="2" s="1"/>
  <c r="O2791" i="2" s="1"/>
  <c r="M3147" i="2"/>
  <c r="N3147" i="2" s="1"/>
  <c r="O3147" i="2" s="1"/>
  <c r="M2865" i="2"/>
  <c r="N2865" i="2" s="1"/>
  <c r="O2865" i="2" s="1"/>
  <c r="M2527" i="2"/>
  <c r="N2527" i="2" s="1"/>
  <c r="O2527" i="2" s="1"/>
  <c r="M2470" i="2"/>
  <c r="N2470" i="2" s="1"/>
  <c r="O2470" i="2" s="1"/>
  <c r="M2262" i="2"/>
  <c r="N2262" i="2" s="1"/>
  <c r="O2262" i="2" s="1"/>
  <c r="M2077" i="2"/>
  <c r="N2077" i="2" s="1"/>
  <c r="O2077" i="2" s="1"/>
  <c r="M2048" i="2"/>
  <c r="N2048" i="2" s="1"/>
  <c r="O2048" i="2" s="1"/>
  <c r="M2005" i="2"/>
  <c r="N2005" i="2" s="1"/>
  <c r="O2005" i="2" s="1"/>
  <c r="M2056" i="2"/>
  <c r="N2056" i="2" s="1"/>
  <c r="O2056" i="2" s="1"/>
  <c r="M1596" i="2"/>
  <c r="N1596" i="2" s="1"/>
  <c r="O1596" i="2" s="1"/>
  <c r="M1633" i="2"/>
  <c r="N1633" i="2" s="1"/>
  <c r="O1633" i="2" s="1"/>
  <c r="M1556" i="2"/>
  <c r="N1556" i="2" s="1"/>
  <c r="O1556" i="2" s="1"/>
  <c r="M1208" i="2"/>
  <c r="N1208" i="2" s="1"/>
  <c r="O1208" i="2" s="1"/>
  <c r="M1200" i="2"/>
  <c r="N1200" i="2" s="1"/>
  <c r="O1200" i="2" s="1"/>
  <c r="M960" i="2"/>
  <c r="N960" i="2" s="1"/>
  <c r="O960" i="2" s="1"/>
  <c r="M1141" i="2"/>
  <c r="N1141" i="2" s="1"/>
  <c r="O1141" i="2" s="1"/>
  <c r="M1072" i="2"/>
  <c r="N1072" i="2" s="1"/>
  <c r="O1072" i="2" s="1"/>
  <c r="M957" i="2"/>
  <c r="N957" i="2" s="1"/>
  <c r="O957" i="2" s="1"/>
  <c r="M766" i="2"/>
  <c r="N766" i="2" s="1"/>
  <c r="O766" i="2" s="1"/>
  <c r="M619" i="2"/>
  <c r="N619" i="2" s="1"/>
  <c r="O619" i="2" s="1"/>
  <c r="M494" i="2"/>
  <c r="N494" i="2" s="1"/>
  <c r="O494" i="2" s="1"/>
  <c r="M486" i="2"/>
  <c r="N486" i="2" s="1"/>
  <c r="O486" i="2" s="1"/>
  <c r="M450" i="2"/>
  <c r="N450" i="2" s="1"/>
  <c r="O450" i="2" s="1"/>
  <c r="M304" i="2"/>
  <c r="N304" i="2" s="1"/>
  <c r="O304" i="2" s="1"/>
  <c r="M283" i="2"/>
  <c r="N283" i="2" s="1"/>
  <c r="O283" i="2" s="1"/>
  <c r="M3058" i="2"/>
  <c r="N3058" i="2" s="1"/>
  <c r="O3058" i="2" s="1"/>
  <c r="M2947" i="2"/>
  <c r="N2947" i="2" s="1"/>
  <c r="O2947" i="2" s="1"/>
  <c r="M2819" i="2"/>
  <c r="N2819" i="2" s="1"/>
  <c r="O2819" i="2" s="1"/>
  <c r="M2356" i="2"/>
  <c r="N2356" i="2" s="1"/>
  <c r="O2356" i="2" s="1"/>
  <c r="M2444" i="2"/>
  <c r="N2444" i="2" s="1"/>
  <c r="O2444" i="2" s="1"/>
  <c r="M2292" i="2"/>
  <c r="N2292" i="2" s="1"/>
  <c r="O2292" i="2" s="1"/>
  <c r="M2092" i="2"/>
  <c r="N2092" i="2" s="1"/>
  <c r="O2092" i="2" s="1"/>
  <c r="M2008" i="2"/>
  <c r="N2008" i="2" s="1"/>
  <c r="O2008" i="2" s="1"/>
  <c r="M1871" i="2"/>
  <c r="N1871" i="2" s="1"/>
  <c r="O1871" i="2" s="1"/>
  <c r="M1591" i="2"/>
  <c r="N1591" i="2" s="1"/>
  <c r="O1591" i="2" s="1"/>
  <c r="M1625" i="2"/>
  <c r="N1625" i="2" s="1"/>
  <c r="O1625" i="2" s="1"/>
  <c r="M1270" i="2"/>
  <c r="N1270" i="2" s="1"/>
  <c r="O1270" i="2" s="1"/>
  <c r="M1326" i="2"/>
  <c r="N1326" i="2" s="1"/>
  <c r="O1326" i="2" s="1"/>
  <c r="M1296" i="2"/>
  <c r="N1296" i="2" s="1"/>
  <c r="O1296" i="2" s="1"/>
  <c r="M944" i="2"/>
  <c r="N944" i="2" s="1"/>
  <c r="O944" i="2" s="1"/>
  <c r="M726" i="2"/>
  <c r="N726" i="2" s="1"/>
  <c r="O726" i="2" s="1"/>
  <c r="M751" i="2"/>
  <c r="N751" i="2" s="1"/>
  <c r="O751" i="2" s="1"/>
  <c r="M478" i="2"/>
  <c r="N478" i="2" s="1"/>
  <c r="O478" i="2" s="1"/>
  <c r="M627" i="2"/>
  <c r="N627" i="2" s="1"/>
  <c r="O627" i="2" s="1"/>
  <c r="M675" i="2"/>
  <c r="N675" i="2" s="1"/>
  <c r="O675" i="2" s="1"/>
  <c r="M606" i="2"/>
  <c r="N606" i="2" s="1"/>
  <c r="O606" i="2" s="1"/>
  <c r="M328" i="2"/>
  <c r="N328" i="2" s="1"/>
  <c r="O328" i="2" s="1"/>
  <c r="M400" i="2"/>
  <c r="N400" i="2" s="1"/>
  <c r="O400" i="2" s="1"/>
  <c r="M3191" i="2"/>
  <c r="N3191" i="2" s="1"/>
  <c r="O3191" i="2" s="1"/>
  <c r="M3088" i="2"/>
  <c r="N3088" i="2" s="1"/>
  <c r="O3088" i="2" s="1"/>
  <c r="M3096" i="2"/>
  <c r="N3096" i="2" s="1"/>
  <c r="O3096" i="2" s="1"/>
  <c r="M3002" i="2"/>
  <c r="N3002" i="2" s="1"/>
  <c r="O3002" i="2" s="1"/>
  <c r="M2825" i="2"/>
  <c r="N2825" i="2" s="1"/>
  <c r="O2825" i="2" s="1"/>
  <c r="M2705" i="2"/>
  <c r="N2705" i="2" s="1"/>
  <c r="O2705" i="2" s="1"/>
  <c r="M2278" i="2"/>
  <c r="N2278" i="2" s="1"/>
  <c r="O2278" i="2" s="1"/>
  <c r="M2149" i="2"/>
  <c r="N2149" i="2" s="1"/>
  <c r="O2149" i="2" s="1"/>
  <c r="M2119" i="2"/>
  <c r="N2119" i="2" s="1"/>
  <c r="O2119" i="2" s="1"/>
  <c r="M2045" i="2"/>
  <c r="N2045" i="2" s="1"/>
  <c r="O2045" i="2" s="1"/>
  <c r="M1839" i="2"/>
  <c r="N1839" i="2" s="1"/>
  <c r="O1839" i="2" s="1"/>
  <c r="M1755" i="2"/>
  <c r="N1755" i="2" s="1"/>
  <c r="O1755" i="2" s="1"/>
  <c r="M1540" i="2"/>
  <c r="N1540" i="2" s="1"/>
  <c r="O1540" i="2" s="1"/>
  <c r="M1774" i="2"/>
  <c r="N1774" i="2" s="1"/>
  <c r="O1774" i="2" s="1"/>
  <c r="M1601" i="2"/>
  <c r="N1601" i="2" s="1"/>
  <c r="O1601" i="2" s="1"/>
  <c r="M1371" i="2"/>
  <c r="N1371" i="2" s="1"/>
  <c r="O1371" i="2" s="1"/>
  <c r="M1318" i="2"/>
  <c r="N1318" i="2" s="1"/>
  <c r="O1318" i="2" s="1"/>
  <c r="M1713" i="2"/>
  <c r="N1713" i="2" s="1"/>
  <c r="O1713" i="2" s="1"/>
  <c r="M1524" i="2"/>
  <c r="N1524" i="2" s="1"/>
  <c r="O1524" i="2" s="1"/>
  <c r="M1248" i="2"/>
  <c r="N1248" i="2" s="1"/>
  <c r="O1248" i="2" s="1"/>
  <c r="M1048" i="2"/>
  <c r="N1048" i="2" s="1"/>
  <c r="O1048" i="2" s="1"/>
  <c r="M984" i="2"/>
  <c r="N984" i="2" s="1"/>
  <c r="O984" i="2" s="1"/>
  <c r="M992" i="2"/>
  <c r="N992" i="2" s="1"/>
  <c r="O992" i="2" s="1"/>
  <c r="M702" i="2"/>
  <c r="N702" i="2" s="1"/>
  <c r="O702" i="2" s="1"/>
  <c r="M579" i="2"/>
  <c r="N579" i="2" s="1"/>
  <c r="O579" i="2" s="1"/>
  <c r="M571" i="2"/>
  <c r="N571" i="2" s="1"/>
  <c r="O571" i="2" s="1"/>
  <c r="M475" i="2"/>
  <c r="N475" i="2" s="1"/>
  <c r="O475" i="2" s="1"/>
  <c r="M352" i="2"/>
  <c r="N352" i="2" s="1"/>
  <c r="O352" i="2" s="1"/>
  <c r="M288" i="2"/>
  <c r="N288" i="2" s="1"/>
  <c r="O288" i="2" s="1"/>
  <c r="M3066" i="2"/>
  <c r="N3066" i="2" s="1"/>
  <c r="O3066" i="2" s="1"/>
  <c r="M2811" i="2"/>
  <c r="N2811" i="2" s="1"/>
  <c r="O2811" i="2" s="1"/>
  <c r="M2963" i="2"/>
  <c r="N2963" i="2" s="1"/>
  <c r="O2963" i="2" s="1"/>
  <c r="M2603" i="2"/>
  <c r="N2603" i="2" s="1"/>
  <c r="O2603" i="2" s="1"/>
  <c r="M2495" i="2"/>
  <c r="N2495" i="2" s="1"/>
  <c r="O2495" i="2" s="1"/>
  <c r="M2332" i="2"/>
  <c r="N2332" i="2" s="1"/>
  <c r="O2332" i="2" s="1"/>
  <c r="M2438" i="2"/>
  <c r="N2438" i="2" s="1"/>
  <c r="O2438" i="2" s="1"/>
  <c r="M2460" i="2"/>
  <c r="N2460" i="2" s="1"/>
  <c r="O2460" i="2" s="1"/>
  <c r="M2396" i="2"/>
  <c r="N2396" i="2" s="1"/>
  <c r="O2396" i="2" s="1"/>
  <c r="M2064" i="2"/>
  <c r="N2064" i="2" s="1"/>
  <c r="O2064" i="2" s="1"/>
  <c r="M2061" i="2"/>
  <c r="N2061" i="2" s="1"/>
  <c r="O2061" i="2" s="1"/>
  <c r="M1758" i="2"/>
  <c r="N1758" i="2" s="1"/>
  <c r="O1758" i="2" s="1"/>
  <c r="M1697" i="2"/>
  <c r="N1697" i="2" s="1"/>
  <c r="O1697" i="2" s="1"/>
  <c r="M1644" i="2"/>
  <c r="N1644" i="2" s="1"/>
  <c r="O1644" i="2" s="1"/>
  <c r="M1609" i="2"/>
  <c r="N1609" i="2" s="1"/>
  <c r="O1609" i="2" s="1"/>
  <c r="M1320" i="2"/>
  <c r="N1320" i="2" s="1"/>
  <c r="O1320" i="2" s="1"/>
  <c r="M1254" i="2"/>
  <c r="N1254" i="2" s="1"/>
  <c r="O1254" i="2" s="1"/>
  <c r="M1328" i="2"/>
  <c r="N1328" i="2" s="1"/>
  <c r="O1328" i="2" s="1"/>
  <c r="M1334" i="2"/>
  <c r="N1334" i="2" s="1"/>
  <c r="O1334" i="2" s="1"/>
  <c r="M1184" i="2"/>
  <c r="N1184" i="2" s="1"/>
  <c r="O1184" i="2" s="1"/>
  <c r="M880" i="2"/>
  <c r="N880" i="2" s="1"/>
  <c r="O880" i="2" s="1"/>
  <c r="M920" i="2"/>
  <c r="N920" i="2" s="1"/>
  <c r="O920" i="2" s="1"/>
  <c r="M734" i="2"/>
  <c r="N734" i="2" s="1"/>
  <c r="O734" i="2" s="1"/>
  <c r="M563" i="2"/>
  <c r="N563" i="2" s="1"/>
  <c r="O563" i="2" s="1"/>
  <c r="M480" i="2"/>
  <c r="N480" i="2" s="1"/>
  <c r="O480" i="2" s="1"/>
  <c r="M312" i="2"/>
  <c r="N312" i="2" s="1"/>
  <c r="O312" i="2" s="1"/>
  <c r="K3262" i="2" l="1"/>
  <c r="M210" i="2"/>
  <c r="N210" i="2" s="1"/>
  <c r="O210" i="2" s="1"/>
  <c r="L3262" i="2"/>
  <c r="M2" i="2"/>
  <c r="M3262" i="2" l="1"/>
  <c r="N2" i="2"/>
  <c r="N3262" i="2" l="1"/>
  <c r="O2" i="2"/>
  <c r="O3262" i="2" s="1"/>
</calcChain>
</file>

<file path=xl/sharedStrings.xml><?xml version="1.0" encoding="utf-8"?>
<sst xmlns="http://schemas.openxmlformats.org/spreadsheetml/2006/main" count="4024" uniqueCount="236">
  <si>
    <t>Scientific Name</t>
  </si>
  <si>
    <t>Wood Density (g/cm3)</t>
  </si>
  <si>
    <t>Abutilon indicum</t>
  </si>
  <si>
    <t>Acacia auriculiformis</t>
  </si>
  <si>
    <t>Acacia concinna</t>
  </si>
  <si>
    <t>Acalypha wilkesiana</t>
  </si>
  <si>
    <t>Adansonia digitata</t>
  </si>
  <si>
    <t>Adhatoda vasica</t>
  </si>
  <si>
    <t>Aegle marmelos</t>
  </si>
  <si>
    <t>Ailanthus excelsa</t>
  </si>
  <si>
    <t>Albizia lebbeck</t>
  </si>
  <si>
    <t>Alstonia scholaris</t>
  </si>
  <si>
    <t>Annona squamosa</t>
  </si>
  <si>
    <t>Araucaria columnaris</t>
  </si>
  <si>
    <t>Archidendron microcarpum</t>
  </si>
  <si>
    <t>Azadirachta indica</t>
  </si>
  <si>
    <t>Bauhinia acuminata</t>
  </si>
  <si>
    <t>Bauhinia purpurea</t>
  </si>
  <si>
    <t>Bauhinia tomentosa</t>
  </si>
  <si>
    <t>Bauhinia variegata</t>
  </si>
  <si>
    <t>Berrya cordifolia</t>
  </si>
  <si>
    <t>Bixa orellana</t>
  </si>
  <si>
    <t>Bombax ceiba</t>
  </si>
  <si>
    <t>Boswellia serrata</t>
  </si>
  <si>
    <t>Bougainvillea spectabilis</t>
  </si>
  <si>
    <t>Butea monosperma</t>
  </si>
  <si>
    <t>Caesalpinia pulcherrima</t>
  </si>
  <si>
    <t>Calliandra surinamensis</t>
  </si>
  <si>
    <t>Callistemon lanceolatus</t>
  </si>
  <si>
    <t>Calophyllum inophyllum</t>
  </si>
  <si>
    <t>Carica papaya</t>
  </si>
  <si>
    <t>Cassia fistula</t>
  </si>
  <si>
    <t>Cassia grandis</t>
  </si>
  <si>
    <t>Cassia javanica</t>
  </si>
  <si>
    <t>Cassia leptophylla</t>
  </si>
  <si>
    <t>Cassia roxburghii</t>
  </si>
  <si>
    <t>Casuarina equisetifolia</t>
  </si>
  <si>
    <t>Ceiba pentandra</t>
  </si>
  <si>
    <t>Ceiba speciosa</t>
  </si>
  <si>
    <t>Cestrum diurnum</t>
  </si>
  <si>
    <t>Citrus limon</t>
  </si>
  <si>
    <t>Citrus medica</t>
  </si>
  <si>
    <t>Conocarpus erectus</t>
  </si>
  <si>
    <t>Cordia dichotoma</t>
  </si>
  <si>
    <t>Cordia myxa</t>
  </si>
  <si>
    <t>Cordia sebestena</t>
  </si>
  <si>
    <t>Couroupita guianensis</t>
  </si>
  <si>
    <t>Crescentia alata</t>
  </si>
  <si>
    <t>Cryptostegia madagascariensis</t>
  </si>
  <si>
    <t>Dalbergia sissoo</t>
  </si>
  <si>
    <t>Delonix regia</t>
  </si>
  <si>
    <t>Drypetes roxburghii</t>
  </si>
  <si>
    <t>Duranta erecta</t>
  </si>
  <si>
    <t>Erythrina sandwicensis</t>
  </si>
  <si>
    <t>Erythrina variegata</t>
  </si>
  <si>
    <t>Eucalyptus globulus</t>
  </si>
  <si>
    <t>Eucalyptus oleifera</t>
  </si>
  <si>
    <t>Fernandoa adenophylla</t>
  </si>
  <si>
    <t>Ficus amplissima</t>
  </si>
  <si>
    <t>Ficus benghalensis</t>
  </si>
  <si>
    <t>Ficus lyrata</t>
  </si>
  <si>
    <t>Ficus racemosa</t>
  </si>
  <si>
    <t>Ficus religiosa</t>
  </si>
  <si>
    <t>Ficus virens</t>
  </si>
  <si>
    <t>Gleditsia triacanthos</t>
  </si>
  <si>
    <t>Gliricidia sepium</t>
  </si>
  <si>
    <t>Gmelina arborea</t>
  </si>
  <si>
    <t>Guaiacum officinale</t>
  </si>
  <si>
    <t>Guazuma ulmifolia</t>
  </si>
  <si>
    <t>Hamelia patens</t>
  </si>
  <si>
    <t>Heterophragma adenophyllum</t>
  </si>
  <si>
    <t>Hibiscus mutabilis</t>
  </si>
  <si>
    <t>Holoptelea integrifolia</t>
  </si>
  <si>
    <t>Ixora brachiata</t>
  </si>
  <si>
    <t>Jacaranda mimosifolia</t>
  </si>
  <si>
    <t>Jatropha curcas</t>
  </si>
  <si>
    <t>Jatropha gossypifolia</t>
  </si>
  <si>
    <t>Khaya senegalensis</t>
  </si>
  <si>
    <t>Kigelia africana</t>
  </si>
  <si>
    <t>Lannea coromandelica</t>
  </si>
  <si>
    <t>Lantana camara</t>
  </si>
  <si>
    <t>Lawsonia inermis</t>
  </si>
  <si>
    <t>Leucaena leucocephala</t>
  </si>
  <si>
    <t>Limonia acidissima</t>
  </si>
  <si>
    <t>Madhuca indica</t>
  </si>
  <si>
    <t>Mangifera indica</t>
  </si>
  <si>
    <t>Manilkara hexandra</t>
  </si>
  <si>
    <t>Manilkara zapota</t>
  </si>
  <si>
    <t>Mansonia gagei</t>
  </si>
  <si>
    <t>Melicoccus bijugatus</t>
  </si>
  <si>
    <t>Millettia peguensis</t>
  </si>
  <si>
    <t>Millingtonia hortensis</t>
  </si>
  <si>
    <t>Mimosa nilotica</t>
  </si>
  <si>
    <t>Mimusops elengi</t>
  </si>
  <si>
    <t>Mitragyna parvifolia</t>
  </si>
  <si>
    <t>Moringa oleifera</t>
  </si>
  <si>
    <t>Morus alba</t>
  </si>
  <si>
    <t>Morus indica</t>
  </si>
  <si>
    <t>Muntingia calabura</t>
  </si>
  <si>
    <t>Murraya koenigii</t>
  </si>
  <si>
    <t>Murraya paniculata</t>
  </si>
  <si>
    <t>Musa paradisiaca</t>
  </si>
  <si>
    <t>Neolamarckia cadamba</t>
  </si>
  <si>
    <t>Nerium indicum</t>
  </si>
  <si>
    <t>Nyctanthes arbor-tristis</t>
  </si>
  <si>
    <t>Parkia biglobosa</t>
  </si>
  <si>
    <t>Paulownia tomentosa</t>
  </si>
  <si>
    <t>Peltophorum pterocarpum</t>
  </si>
  <si>
    <t>Phyllanthus acidus</t>
  </si>
  <si>
    <t>Phyllanthus emblica</t>
  </si>
  <si>
    <t>Pithecellobium dulce</t>
  </si>
  <si>
    <t>Plumeria alba</t>
  </si>
  <si>
    <t>Plumeria pudica</t>
  </si>
  <si>
    <t>Plumeria rubra</t>
  </si>
  <si>
    <t>Polyalthia longifolia</t>
  </si>
  <si>
    <t>Pongamia pinnata</t>
  </si>
  <si>
    <t>Prosopis cineraria</t>
  </si>
  <si>
    <t>Prosopis juliflora</t>
  </si>
  <si>
    <t>Psidium guajava</t>
  </si>
  <si>
    <t>Pterospermum acerifolium</t>
  </si>
  <si>
    <t>Putranjiva roxburghii</t>
  </si>
  <si>
    <t>Quercus polymorpha</t>
  </si>
  <si>
    <t>Robinia pseudoacacia</t>
  </si>
  <si>
    <t>Salvadora persica</t>
  </si>
  <si>
    <t>Samanea saman</t>
  </si>
  <si>
    <t>Santalum album</t>
  </si>
  <si>
    <t>Sapindus mukorossi</t>
  </si>
  <si>
    <t>Saraca asoca</t>
  </si>
  <si>
    <t>Senna siamea</t>
  </si>
  <si>
    <t>Spathodea campanulata</t>
  </si>
  <si>
    <t>Sterculia foetida</t>
  </si>
  <si>
    <t>Sterculia urens</t>
  </si>
  <si>
    <t>Streblus asper</t>
  </si>
  <si>
    <t>Swietenia macrophylla</t>
  </si>
  <si>
    <t>Swietenia mahagoni</t>
  </si>
  <si>
    <t>Syzygium cumini</t>
  </si>
  <si>
    <t>Tabebuia aurea</t>
  </si>
  <si>
    <t>Tabebuia rosea</t>
  </si>
  <si>
    <t>Tabernaemontana divaricata</t>
  </si>
  <si>
    <t>Tamarindus indica</t>
  </si>
  <si>
    <t>Tecoma stans</t>
  </si>
  <si>
    <t>Tecomaria capensis</t>
  </si>
  <si>
    <t>Tectona grandis</t>
  </si>
  <si>
    <t>Terminalia arjuna</t>
  </si>
  <si>
    <t>Terminalia bellirica</t>
  </si>
  <si>
    <t>Terminalia catappa</t>
  </si>
  <si>
    <t>Terminalia mantaly</t>
  </si>
  <si>
    <t>Thespesia populnea</t>
  </si>
  <si>
    <t>Thevetia peruviana</t>
  </si>
  <si>
    <t>Triplaris americana</t>
  </si>
  <si>
    <t>Vitex negundo</t>
  </si>
  <si>
    <t>Ziziphus jujuba</t>
  </si>
  <si>
    <t>Ziziphus mauritiana</t>
  </si>
  <si>
    <t>Sr_No</t>
  </si>
  <si>
    <t>On-site Name</t>
  </si>
  <si>
    <t>Girth (in)</t>
  </si>
  <si>
    <t>Girth (cm)</t>
  </si>
  <si>
    <t>DBH (cm)</t>
  </si>
  <si>
    <t>DBH (in)</t>
  </si>
  <si>
    <t>Height (m)</t>
  </si>
  <si>
    <t>Height (ft)</t>
  </si>
  <si>
    <t>AGB_Chave2014_WD (kg)</t>
  </si>
  <si>
    <t>BGB (kg)</t>
  </si>
  <si>
    <t>TB (kg)</t>
  </si>
  <si>
    <t>TDW (kg)</t>
  </si>
  <si>
    <t>TC (kg)</t>
  </si>
  <si>
    <t>CO2e (kg)</t>
  </si>
  <si>
    <t>X (Longitude)</t>
  </si>
  <si>
    <t>Y (Latitude)</t>
  </si>
  <si>
    <t>Scientific Name (as recorded)</t>
  </si>
  <si>
    <t>Reason for Exclusion</t>
  </si>
  <si>
    <t>cyphophoenix elegans</t>
  </si>
  <si>
    <t>Cyphophoenix elegans</t>
  </si>
  <si>
    <t>Palm - no wood density applicable</t>
  </si>
  <si>
    <t>hyophorbe lagenicaulis</t>
  </si>
  <si>
    <t>Hyophorbe lagenicaulis</t>
  </si>
  <si>
    <t>livistona chinasis</t>
  </si>
  <si>
    <t>Livistona chinensis</t>
  </si>
  <si>
    <t>myxa bichotoma</t>
  </si>
  <si>
    <t>Myxa bichotoma</t>
  </si>
  <si>
    <t>Not a valid scientific name - identity unverified</t>
  </si>
  <si>
    <t>roystonia oleracaea</t>
  </si>
  <si>
    <t>Roystonea oleracea</t>
  </si>
  <si>
    <t>cocos nucifera</t>
  </si>
  <si>
    <t>Cocos nucifera</t>
  </si>
  <si>
    <t>roystonea oleracea</t>
  </si>
  <si>
    <t>prajubaea cocoides</t>
  </si>
  <si>
    <t>Parajubaea cocoides</t>
  </si>
  <si>
    <t>phoenix dactylifera</t>
  </si>
  <si>
    <t>Phoenix dactylifera</t>
  </si>
  <si>
    <t>bismarckia nobilis</t>
  </si>
  <si>
    <t>Bismarckia nobilis</t>
  </si>
  <si>
    <t>chamaerops humilis</t>
  </si>
  <si>
    <t>Chamaerops humilis</t>
  </si>
  <si>
    <t>ceratozamia mexicana</t>
  </si>
  <si>
    <t>Ceratozamia mexicana</t>
  </si>
  <si>
    <t>Cycad, not an angiosperm tree</t>
  </si>
  <si>
    <t>dypsis decaryi</t>
  </si>
  <si>
    <t>Dypsis decaryi</t>
  </si>
  <si>
    <t>Sabal palmetto</t>
  </si>
  <si>
    <t xml:space="preserve">hyophorbe lagenicaulis
</t>
  </si>
  <si>
    <t>Dypsis madagascariensis</t>
  </si>
  <si>
    <t>terminalia indica</t>
  </si>
  <si>
    <t>Terminalia indica</t>
  </si>
  <si>
    <t>Not a currently accepted species name</t>
  </si>
  <si>
    <t>corypha umbraculifera</t>
  </si>
  <si>
    <t>Corypha umbraculifera</t>
  </si>
  <si>
    <t>terminalia anogeissius</t>
  </si>
  <si>
    <t>Terminalia anogeissus</t>
  </si>
  <si>
    <t>Invalid binomial - Terminalia and Anogeissus are different genera</t>
  </si>
  <si>
    <t>livingstonia chinensis</t>
  </si>
  <si>
    <t>livistona chinensis</t>
  </si>
  <si>
    <t>pritchardia pacifica</t>
  </si>
  <si>
    <t>Pritchardia pacifica</t>
  </si>
  <si>
    <t>Pandanus odorifer</t>
  </si>
  <si>
    <t>Screw pine, monocot - no wood density applicable</t>
  </si>
  <si>
    <t xml:space="preserve">hyophorbe lagenicaulis
</t>
  </si>
  <si>
    <t>pandanus odorifer</t>
  </si>
  <si>
    <t>pitchardia pacifica</t>
  </si>
  <si>
    <t>borassus flabellifer</t>
  </si>
  <si>
    <t>Borassus flabellifer</t>
  </si>
  <si>
    <t>roystonea regia</t>
  </si>
  <si>
    <t>Roystonea regia</t>
  </si>
  <si>
    <t>caryota urens</t>
  </si>
  <si>
    <t>Caryota urens</t>
  </si>
  <si>
    <t>Name as Recorded</t>
  </si>
  <si>
    <t>Canonical Name Used</t>
  </si>
  <si>
    <t>Basis</t>
  </si>
  <si>
    <t>Bauhinia variagata</t>
  </si>
  <si>
    <t>Typo correction</t>
  </si>
  <si>
    <t>Polyalthia longifolia Linn</t>
  </si>
  <si>
    <t>Author citation removed, not a distinct variety</t>
  </si>
  <si>
    <t>Polyalthia longifolia Roxb</t>
  </si>
  <si>
    <t>Chorisia speciosa</t>
  </si>
  <si>
    <t>Taxonomic synonym</t>
  </si>
  <si>
    <t>Erythrina indica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</si>
</sst>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wrapText="1"/>
    </xf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0.45</v>
      </c>
    </row>
    <row r="3" spans="1:2" x14ac:dyDescent="0.25">
      <c r="A3" s="2" t="s">
        <v>3</v>
      </c>
      <c r="B3" s="2">
        <v>0.62</v>
      </c>
    </row>
    <row r="4" spans="1:2" x14ac:dyDescent="0.25">
      <c r="A4" s="2" t="s">
        <v>4</v>
      </c>
      <c r="B4" s="2">
        <v>0.6</v>
      </c>
    </row>
    <row r="5" spans="1:2" x14ac:dyDescent="0.25">
      <c r="A5" s="2" t="s">
        <v>5</v>
      </c>
      <c r="B5" s="2">
        <v>0.45</v>
      </c>
    </row>
    <row r="6" spans="1:2" x14ac:dyDescent="0.25">
      <c r="A6" s="2" t="s">
        <v>6</v>
      </c>
      <c r="B6" s="2">
        <v>0.28000000000000003</v>
      </c>
    </row>
    <row r="7" spans="1:2" x14ac:dyDescent="0.25">
      <c r="A7" s="2" t="s">
        <v>7</v>
      </c>
      <c r="B7" s="2">
        <v>0.5</v>
      </c>
    </row>
    <row r="8" spans="1:2" x14ac:dyDescent="0.25">
      <c r="A8" s="2" t="s">
        <v>8</v>
      </c>
      <c r="B8" s="2">
        <v>0.75</v>
      </c>
    </row>
    <row r="9" spans="1:2" x14ac:dyDescent="0.25">
      <c r="A9" s="2" t="s">
        <v>9</v>
      </c>
      <c r="B9" s="2">
        <v>0.42</v>
      </c>
    </row>
    <row r="10" spans="1:2" x14ac:dyDescent="0.25">
      <c r="A10" s="2" t="s">
        <v>10</v>
      </c>
      <c r="B10" s="2">
        <v>0.65</v>
      </c>
    </row>
    <row r="11" spans="1:2" x14ac:dyDescent="0.25">
      <c r="A11" s="2" t="s">
        <v>11</v>
      </c>
      <c r="B11" s="2">
        <v>0.45</v>
      </c>
    </row>
    <row r="12" spans="1:2" x14ac:dyDescent="0.25">
      <c r="A12" s="2" t="s">
        <v>12</v>
      </c>
      <c r="B12" s="2">
        <v>0.6</v>
      </c>
    </row>
    <row r="13" spans="1:2" x14ac:dyDescent="0.25">
      <c r="A13" s="2" t="s">
        <v>13</v>
      </c>
      <c r="B13" s="2">
        <v>0.46</v>
      </c>
    </row>
    <row r="14" spans="1:2" x14ac:dyDescent="0.25">
      <c r="A14" s="2" t="s">
        <v>14</v>
      </c>
      <c r="B14" s="2">
        <v>0.6</v>
      </c>
    </row>
    <row r="15" spans="1:2" x14ac:dyDescent="0.25">
      <c r="A15" s="2" t="s">
        <v>15</v>
      </c>
      <c r="B15" s="2">
        <v>0.75</v>
      </c>
    </row>
    <row r="16" spans="1:2" x14ac:dyDescent="0.25">
      <c r="A16" s="2" t="s">
        <v>16</v>
      </c>
      <c r="B16" s="2">
        <v>0.65</v>
      </c>
    </row>
    <row r="17" spans="1:2" x14ac:dyDescent="0.25">
      <c r="A17" s="2" t="s">
        <v>17</v>
      </c>
      <c r="B17" s="2">
        <v>0.75</v>
      </c>
    </row>
    <row r="18" spans="1:2" x14ac:dyDescent="0.25">
      <c r="A18" s="2" t="s">
        <v>18</v>
      </c>
      <c r="B18" s="2">
        <v>0.65</v>
      </c>
    </row>
    <row r="19" spans="1:2" x14ac:dyDescent="0.25">
      <c r="A19" s="2" t="s">
        <v>19</v>
      </c>
      <c r="B19" s="2">
        <v>0.75</v>
      </c>
    </row>
    <row r="20" spans="1:2" x14ac:dyDescent="0.25">
      <c r="A20" s="2" t="s">
        <v>20</v>
      </c>
      <c r="B20" s="2">
        <v>0.7</v>
      </c>
    </row>
    <row r="21" spans="1:2" x14ac:dyDescent="0.25">
      <c r="A21" s="2" t="s">
        <v>21</v>
      </c>
      <c r="B21" s="2">
        <v>0.45</v>
      </c>
    </row>
    <row r="22" spans="1:2" x14ac:dyDescent="0.25">
      <c r="A22" s="2" t="s">
        <v>22</v>
      </c>
      <c r="B22" s="2">
        <v>0.37</v>
      </c>
    </row>
    <row r="23" spans="1:2" x14ac:dyDescent="0.25">
      <c r="A23" s="2" t="s">
        <v>23</v>
      </c>
      <c r="B23" s="2">
        <v>0.65</v>
      </c>
    </row>
    <row r="24" spans="1:2" x14ac:dyDescent="0.25">
      <c r="A24" s="2" t="s">
        <v>24</v>
      </c>
      <c r="B24" s="2">
        <v>0.55000000000000004</v>
      </c>
    </row>
    <row r="25" spans="1:2" x14ac:dyDescent="0.25">
      <c r="A25" s="2" t="s">
        <v>25</v>
      </c>
      <c r="B25" s="2">
        <v>0.65</v>
      </c>
    </row>
    <row r="26" spans="1:2" x14ac:dyDescent="0.25">
      <c r="A26" s="2" t="s">
        <v>26</v>
      </c>
      <c r="B26" s="2">
        <v>0.7</v>
      </c>
    </row>
    <row r="27" spans="1:2" x14ac:dyDescent="0.25">
      <c r="A27" s="2" t="s">
        <v>27</v>
      </c>
      <c r="B27" s="2">
        <v>0.6</v>
      </c>
    </row>
    <row r="28" spans="1:2" x14ac:dyDescent="0.25">
      <c r="A28" s="2" t="s">
        <v>28</v>
      </c>
      <c r="B28" s="2">
        <v>0.7</v>
      </c>
    </row>
    <row r="29" spans="1:2" x14ac:dyDescent="0.25">
      <c r="A29" s="2" t="s">
        <v>29</v>
      </c>
      <c r="B29" s="2">
        <v>0.65</v>
      </c>
    </row>
    <row r="30" spans="1:2" x14ac:dyDescent="0.25">
      <c r="A30" s="2" t="s">
        <v>30</v>
      </c>
      <c r="B30" s="2">
        <v>0.2</v>
      </c>
    </row>
    <row r="31" spans="1:2" x14ac:dyDescent="0.25">
      <c r="A31" s="2" t="s">
        <v>31</v>
      </c>
      <c r="B31" s="2">
        <v>0.78</v>
      </c>
    </row>
    <row r="32" spans="1:2" x14ac:dyDescent="0.25">
      <c r="A32" s="2" t="s">
        <v>32</v>
      </c>
      <c r="B32" s="2">
        <v>0.7</v>
      </c>
    </row>
    <row r="33" spans="1:2" x14ac:dyDescent="0.25">
      <c r="A33" s="2" t="s">
        <v>33</v>
      </c>
      <c r="B33" s="2">
        <v>0.65</v>
      </c>
    </row>
    <row r="34" spans="1:2" x14ac:dyDescent="0.25">
      <c r="A34" s="2" t="s">
        <v>34</v>
      </c>
      <c r="B34" s="2">
        <v>0.6</v>
      </c>
    </row>
    <row r="35" spans="1:2" x14ac:dyDescent="0.25">
      <c r="A35" s="2" t="s">
        <v>35</v>
      </c>
      <c r="B35" s="2">
        <v>0.75</v>
      </c>
    </row>
    <row r="36" spans="1:2" x14ac:dyDescent="0.25">
      <c r="A36" s="2" t="s">
        <v>36</v>
      </c>
      <c r="B36" s="2">
        <v>0.9</v>
      </c>
    </row>
    <row r="37" spans="1:2" x14ac:dyDescent="0.25">
      <c r="A37" s="2" t="s">
        <v>37</v>
      </c>
      <c r="B37" s="2">
        <v>0.27</v>
      </c>
    </row>
    <row r="38" spans="1:2" x14ac:dyDescent="0.25">
      <c r="A38" s="2" t="s">
        <v>38</v>
      </c>
      <c r="B38" s="2">
        <v>0.4</v>
      </c>
    </row>
    <row r="39" spans="1:2" x14ac:dyDescent="0.25">
      <c r="A39" s="2" t="s">
        <v>39</v>
      </c>
      <c r="B39" s="2">
        <v>0.5</v>
      </c>
    </row>
    <row r="40" spans="1:2" x14ac:dyDescent="0.25">
      <c r="A40" s="2" t="s">
        <v>40</v>
      </c>
      <c r="B40" s="2">
        <v>0.8</v>
      </c>
    </row>
    <row r="41" spans="1:2" x14ac:dyDescent="0.25">
      <c r="A41" s="2" t="s">
        <v>41</v>
      </c>
      <c r="B41" s="2">
        <v>0.75</v>
      </c>
    </row>
    <row r="42" spans="1:2" x14ac:dyDescent="0.25">
      <c r="A42" s="2" t="s">
        <v>42</v>
      </c>
      <c r="B42" s="2">
        <v>0.9</v>
      </c>
    </row>
    <row r="43" spans="1:2" x14ac:dyDescent="0.25">
      <c r="A43" s="2" t="s">
        <v>43</v>
      </c>
      <c r="B43" s="2">
        <v>0.6</v>
      </c>
    </row>
    <row r="44" spans="1:2" x14ac:dyDescent="0.25">
      <c r="A44" s="2" t="s">
        <v>44</v>
      </c>
      <c r="B44" s="2">
        <v>0.55000000000000004</v>
      </c>
    </row>
    <row r="45" spans="1:2" x14ac:dyDescent="0.25">
      <c r="A45" s="2" t="s">
        <v>45</v>
      </c>
      <c r="B45" s="2">
        <v>0.6</v>
      </c>
    </row>
    <row r="46" spans="1:2" x14ac:dyDescent="0.25">
      <c r="A46" s="2" t="s">
        <v>46</v>
      </c>
      <c r="B46" s="2">
        <v>0.6</v>
      </c>
    </row>
    <row r="47" spans="1:2" x14ac:dyDescent="0.25">
      <c r="A47" s="2" t="s">
        <v>47</v>
      </c>
      <c r="B47" s="2">
        <v>0.5</v>
      </c>
    </row>
    <row r="48" spans="1:2" x14ac:dyDescent="0.25">
      <c r="A48" s="2" t="s">
        <v>48</v>
      </c>
      <c r="B48" s="2">
        <v>0.5</v>
      </c>
    </row>
    <row r="49" spans="1:2" x14ac:dyDescent="0.25">
      <c r="A49" s="2" t="s">
        <v>49</v>
      </c>
      <c r="B49" s="2">
        <v>0.78</v>
      </c>
    </row>
    <row r="50" spans="1:2" x14ac:dyDescent="0.25">
      <c r="A50" s="2" t="s">
        <v>50</v>
      </c>
      <c r="B50" s="2">
        <v>0.5</v>
      </c>
    </row>
    <row r="51" spans="1:2" x14ac:dyDescent="0.25">
      <c r="A51" s="2" t="s">
        <v>51</v>
      </c>
      <c r="B51" s="2">
        <v>0.7</v>
      </c>
    </row>
    <row r="52" spans="1:2" x14ac:dyDescent="0.25">
      <c r="A52" s="2" t="s">
        <v>52</v>
      </c>
      <c r="B52" s="2">
        <v>0.5</v>
      </c>
    </row>
    <row r="53" spans="1:2" x14ac:dyDescent="0.25">
      <c r="A53" s="2" t="s">
        <v>53</v>
      </c>
      <c r="B53" s="2">
        <v>0.3</v>
      </c>
    </row>
    <row r="54" spans="1:2" x14ac:dyDescent="0.25">
      <c r="A54" s="2" t="s">
        <v>54</v>
      </c>
      <c r="B54" s="2">
        <v>0.3</v>
      </c>
    </row>
    <row r="55" spans="1:2" x14ac:dyDescent="0.25">
      <c r="A55" s="2" t="s">
        <v>55</v>
      </c>
      <c r="B55" s="2">
        <v>0.75</v>
      </c>
    </row>
    <row r="56" spans="1:2" x14ac:dyDescent="0.25">
      <c r="A56" s="2" t="s">
        <v>56</v>
      </c>
      <c r="B56" s="2">
        <v>0.65</v>
      </c>
    </row>
    <row r="57" spans="1:2" x14ac:dyDescent="0.25">
      <c r="A57" s="2" t="s">
        <v>57</v>
      </c>
      <c r="B57" s="2">
        <v>0.6</v>
      </c>
    </row>
    <row r="58" spans="1:2" x14ac:dyDescent="0.25">
      <c r="A58" s="2" t="s">
        <v>58</v>
      </c>
      <c r="B58" s="2">
        <v>0.5</v>
      </c>
    </row>
    <row r="59" spans="1:2" x14ac:dyDescent="0.25">
      <c r="A59" s="2" t="s">
        <v>59</v>
      </c>
      <c r="B59" s="2">
        <v>0.45</v>
      </c>
    </row>
    <row r="60" spans="1:2" x14ac:dyDescent="0.25">
      <c r="A60" s="2" t="s">
        <v>60</v>
      </c>
      <c r="B60" s="2">
        <v>0.45</v>
      </c>
    </row>
    <row r="61" spans="1:2" x14ac:dyDescent="0.25">
      <c r="A61" s="2" t="s">
        <v>61</v>
      </c>
      <c r="B61" s="2">
        <v>0.5</v>
      </c>
    </row>
    <row r="62" spans="1:2" x14ac:dyDescent="0.25">
      <c r="A62" s="2" t="s">
        <v>62</v>
      </c>
      <c r="B62" s="2">
        <v>0.47</v>
      </c>
    </row>
    <row r="63" spans="1:2" x14ac:dyDescent="0.25">
      <c r="A63" s="2" t="s">
        <v>63</v>
      </c>
      <c r="B63" s="2">
        <v>0.5</v>
      </c>
    </row>
    <row r="64" spans="1:2" x14ac:dyDescent="0.25">
      <c r="A64" s="2" t="s">
        <v>64</v>
      </c>
      <c r="B64" s="2">
        <v>0.7</v>
      </c>
    </row>
    <row r="65" spans="1:2" x14ac:dyDescent="0.25">
      <c r="A65" s="2" t="s">
        <v>65</v>
      </c>
      <c r="B65" s="2">
        <v>0.7</v>
      </c>
    </row>
    <row r="66" spans="1:2" x14ac:dyDescent="0.25">
      <c r="A66" s="2" t="s">
        <v>66</v>
      </c>
      <c r="B66" s="2">
        <v>0.5</v>
      </c>
    </row>
    <row r="67" spans="1:2" x14ac:dyDescent="0.25">
      <c r="A67" s="2" t="s">
        <v>67</v>
      </c>
      <c r="B67" s="2">
        <v>1.28</v>
      </c>
    </row>
    <row r="68" spans="1:2" x14ac:dyDescent="0.25">
      <c r="A68" s="2" t="s">
        <v>68</v>
      </c>
      <c r="B68" s="2">
        <v>0.6</v>
      </c>
    </row>
    <row r="69" spans="1:2" x14ac:dyDescent="0.25">
      <c r="A69" s="2" t="s">
        <v>69</v>
      </c>
      <c r="B69" s="2">
        <v>0.55000000000000004</v>
      </c>
    </row>
    <row r="70" spans="1:2" x14ac:dyDescent="0.25">
      <c r="A70" s="2" t="s">
        <v>70</v>
      </c>
      <c r="B70" s="2">
        <v>0.6</v>
      </c>
    </row>
    <row r="71" spans="1:2" x14ac:dyDescent="0.25">
      <c r="A71" s="2" t="s">
        <v>71</v>
      </c>
      <c r="B71" s="2">
        <v>0.45</v>
      </c>
    </row>
    <row r="72" spans="1:2" x14ac:dyDescent="0.25">
      <c r="A72" s="2" t="s">
        <v>72</v>
      </c>
      <c r="B72" s="2">
        <v>0.65</v>
      </c>
    </row>
    <row r="73" spans="1:2" x14ac:dyDescent="0.25">
      <c r="A73" s="2" t="s">
        <v>73</v>
      </c>
      <c r="B73" s="2">
        <v>0.7</v>
      </c>
    </row>
    <row r="74" spans="1:2" x14ac:dyDescent="0.25">
      <c r="A74" s="2" t="s">
        <v>74</v>
      </c>
      <c r="B74" s="2">
        <v>0.5</v>
      </c>
    </row>
    <row r="75" spans="1:2" x14ac:dyDescent="0.25">
      <c r="A75" s="2" t="s">
        <v>75</v>
      </c>
      <c r="B75" s="2">
        <v>0.3</v>
      </c>
    </row>
    <row r="76" spans="1:2" x14ac:dyDescent="0.25">
      <c r="A76" s="2" t="s">
        <v>76</v>
      </c>
      <c r="B76" s="2">
        <v>0.35</v>
      </c>
    </row>
    <row r="77" spans="1:2" x14ac:dyDescent="0.25">
      <c r="A77" s="2" t="s">
        <v>77</v>
      </c>
      <c r="B77" s="2">
        <v>0.65</v>
      </c>
    </row>
    <row r="78" spans="1:2" x14ac:dyDescent="0.25">
      <c r="A78" s="2" t="s">
        <v>78</v>
      </c>
      <c r="B78" s="2">
        <v>0.55000000000000004</v>
      </c>
    </row>
    <row r="79" spans="1:2" x14ac:dyDescent="0.25">
      <c r="A79" s="2" t="s">
        <v>79</v>
      </c>
      <c r="B79" s="2">
        <v>0.45</v>
      </c>
    </row>
    <row r="80" spans="1:2" x14ac:dyDescent="0.25">
      <c r="A80" s="2" t="s">
        <v>80</v>
      </c>
      <c r="B80" s="2">
        <v>0.65</v>
      </c>
    </row>
    <row r="81" spans="1:2" x14ac:dyDescent="0.25">
      <c r="A81" s="2" t="s">
        <v>81</v>
      </c>
      <c r="B81" s="2">
        <v>0.6</v>
      </c>
    </row>
    <row r="82" spans="1:2" x14ac:dyDescent="0.25">
      <c r="A82" s="2" t="s">
        <v>82</v>
      </c>
      <c r="B82" s="2">
        <v>0.7</v>
      </c>
    </row>
    <row r="83" spans="1:2" x14ac:dyDescent="0.25">
      <c r="A83" s="2" t="s">
        <v>83</v>
      </c>
      <c r="B83" s="2">
        <v>0.85</v>
      </c>
    </row>
    <row r="84" spans="1:2" x14ac:dyDescent="0.25">
      <c r="A84" s="2" t="s">
        <v>84</v>
      </c>
      <c r="B84" s="2">
        <v>0.9</v>
      </c>
    </row>
    <row r="85" spans="1:2" x14ac:dyDescent="0.25">
      <c r="A85" s="2" t="s">
        <v>85</v>
      </c>
      <c r="B85" s="2">
        <v>0.6</v>
      </c>
    </row>
    <row r="86" spans="1:2" x14ac:dyDescent="0.25">
      <c r="A86" s="2" t="s">
        <v>86</v>
      </c>
      <c r="B86" s="2">
        <v>0.95</v>
      </c>
    </row>
    <row r="87" spans="1:2" x14ac:dyDescent="0.25">
      <c r="A87" s="2" t="s">
        <v>87</v>
      </c>
      <c r="B87" s="2">
        <v>0.9</v>
      </c>
    </row>
    <row r="88" spans="1:2" x14ac:dyDescent="0.25">
      <c r="A88" s="2" t="s">
        <v>88</v>
      </c>
      <c r="B88" s="2">
        <v>0.6</v>
      </c>
    </row>
    <row r="89" spans="1:2" x14ac:dyDescent="0.25">
      <c r="A89" s="2" t="s">
        <v>89</v>
      </c>
      <c r="B89" s="2">
        <v>0.7</v>
      </c>
    </row>
    <row r="90" spans="1:2" x14ac:dyDescent="0.25">
      <c r="A90" s="2" t="s">
        <v>90</v>
      </c>
      <c r="B90" s="2">
        <v>0.7</v>
      </c>
    </row>
    <row r="91" spans="1:2" x14ac:dyDescent="0.25">
      <c r="A91" s="2" t="s">
        <v>91</v>
      </c>
      <c r="B91" s="2">
        <v>0.5</v>
      </c>
    </row>
    <row r="92" spans="1:2" x14ac:dyDescent="0.25">
      <c r="A92" s="2" t="s">
        <v>92</v>
      </c>
      <c r="B92" s="2">
        <v>0.85</v>
      </c>
    </row>
    <row r="93" spans="1:2" x14ac:dyDescent="0.25">
      <c r="A93" s="2" t="s">
        <v>93</v>
      </c>
      <c r="B93" s="2">
        <v>0.9</v>
      </c>
    </row>
    <row r="94" spans="1:2" x14ac:dyDescent="0.25">
      <c r="A94" s="2" t="s">
        <v>94</v>
      </c>
      <c r="B94" s="2">
        <v>0.65</v>
      </c>
    </row>
    <row r="95" spans="1:2" x14ac:dyDescent="0.25">
      <c r="A95" s="2" t="s">
        <v>95</v>
      </c>
      <c r="B95" s="2">
        <v>0.3</v>
      </c>
    </row>
    <row r="96" spans="1:2" x14ac:dyDescent="0.25">
      <c r="A96" s="2" t="s">
        <v>96</v>
      </c>
      <c r="B96" s="2">
        <v>0.65</v>
      </c>
    </row>
    <row r="97" spans="1:2" x14ac:dyDescent="0.25">
      <c r="A97" s="2" t="s">
        <v>97</v>
      </c>
      <c r="B97" s="2">
        <v>0.65</v>
      </c>
    </row>
    <row r="98" spans="1:2" x14ac:dyDescent="0.25">
      <c r="A98" s="2" t="s">
        <v>98</v>
      </c>
      <c r="B98" s="2">
        <v>0.35</v>
      </c>
    </row>
    <row r="99" spans="1:2" x14ac:dyDescent="0.25">
      <c r="A99" s="2" t="s">
        <v>99</v>
      </c>
      <c r="B99" s="2">
        <v>0.6</v>
      </c>
    </row>
    <row r="100" spans="1:2" x14ac:dyDescent="0.25">
      <c r="A100" s="2" t="s">
        <v>100</v>
      </c>
      <c r="B100" s="2">
        <v>0.7</v>
      </c>
    </row>
    <row r="101" spans="1:2" x14ac:dyDescent="0.25">
      <c r="A101" s="2" t="s">
        <v>101</v>
      </c>
      <c r="B101" s="2">
        <v>0.2</v>
      </c>
    </row>
    <row r="102" spans="1:2" x14ac:dyDescent="0.25">
      <c r="A102" s="2" t="s">
        <v>102</v>
      </c>
      <c r="B102" s="2">
        <v>0.45</v>
      </c>
    </row>
    <row r="103" spans="1:2" x14ac:dyDescent="0.25">
      <c r="A103" s="2" t="s">
        <v>103</v>
      </c>
      <c r="B103" s="2">
        <v>0.6</v>
      </c>
    </row>
    <row r="104" spans="1:2" x14ac:dyDescent="0.25">
      <c r="A104" s="2" t="s">
        <v>104</v>
      </c>
      <c r="B104" s="2">
        <v>0.6</v>
      </c>
    </row>
    <row r="105" spans="1:2" x14ac:dyDescent="0.25">
      <c r="A105" s="2" t="s">
        <v>105</v>
      </c>
      <c r="B105" s="2">
        <v>0.65</v>
      </c>
    </row>
    <row r="106" spans="1:2" x14ac:dyDescent="0.25">
      <c r="A106" s="2" t="s">
        <v>106</v>
      </c>
      <c r="B106" s="2">
        <v>0.3</v>
      </c>
    </row>
    <row r="107" spans="1:2" x14ac:dyDescent="0.25">
      <c r="A107" s="2" t="s">
        <v>107</v>
      </c>
      <c r="B107" s="2">
        <v>0.65</v>
      </c>
    </row>
    <row r="108" spans="1:2" x14ac:dyDescent="0.25">
      <c r="A108" s="2" t="s">
        <v>108</v>
      </c>
      <c r="B108" s="2">
        <v>0.6</v>
      </c>
    </row>
    <row r="109" spans="1:2" x14ac:dyDescent="0.25">
      <c r="A109" s="2" t="s">
        <v>109</v>
      </c>
      <c r="B109" s="2">
        <v>0.7</v>
      </c>
    </row>
    <row r="110" spans="1:2" x14ac:dyDescent="0.25">
      <c r="A110" s="2" t="s">
        <v>110</v>
      </c>
      <c r="B110" s="2">
        <v>0.75</v>
      </c>
    </row>
    <row r="111" spans="1:2" x14ac:dyDescent="0.25">
      <c r="A111" s="2" t="s">
        <v>111</v>
      </c>
      <c r="B111" s="2">
        <v>0.4</v>
      </c>
    </row>
    <row r="112" spans="1:2" x14ac:dyDescent="0.25">
      <c r="A112" s="2" t="s">
        <v>112</v>
      </c>
      <c r="B112" s="2">
        <v>0.4</v>
      </c>
    </row>
    <row r="113" spans="1:2" x14ac:dyDescent="0.25">
      <c r="A113" s="2" t="s">
        <v>113</v>
      </c>
      <c r="B113" s="2">
        <v>0.4</v>
      </c>
    </row>
    <row r="114" spans="1:2" x14ac:dyDescent="0.25">
      <c r="A114" s="2" t="s">
        <v>114</v>
      </c>
      <c r="B114" s="2">
        <v>0.55000000000000004</v>
      </c>
    </row>
    <row r="115" spans="1:2" x14ac:dyDescent="0.25">
      <c r="A115" s="2" t="s">
        <v>115</v>
      </c>
      <c r="B115" s="2">
        <v>0.65</v>
      </c>
    </row>
    <row r="116" spans="1:2" x14ac:dyDescent="0.25">
      <c r="A116" s="2" t="s">
        <v>116</v>
      </c>
      <c r="B116" s="2">
        <v>0.85</v>
      </c>
    </row>
    <row r="117" spans="1:2" x14ac:dyDescent="0.25">
      <c r="A117" s="2" t="s">
        <v>117</v>
      </c>
      <c r="B117" s="2">
        <v>0.75</v>
      </c>
    </row>
    <row r="118" spans="1:2" x14ac:dyDescent="0.25">
      <c r="A118" s="2" t="s">
        <v>118</v>
      </c>
      <c r="B118" s="2">
        <v>0.7</v>
      </c>
    </row>
    <row r="119" spans="1:2" x14ac:dyDescent="0.25">
      <c r="A119" s="2" t="s">
        <v>119</v>
      </c>
      <c r="B119" s="2">
        <v>0.6</v>
      </c>
    </row>
    <row r="120" spans="1:2" x14ac:dyDescent="0.25">
      <c r="A120" s="2" t="s">
        <v>120</v>
      </c>
      <c r="B120" s="2">
        <v>0.8</v>
      </c>
    </row>
    <row r="121" spans="1:2" x14ac:dyDescent="0.25">
      <c r="A121" s="2" t="s">
        <v>121</v>
      </c>
      <c r="B121" s="2">
        <v>0.75</v>
      </c>
    </row>
    <row r="122" spans="1:2" x14ac:dyDescent="0.25">
      <c r="A122" s="2" t="s">
        <v>122</v>
      </c>
      <c r="B122" s="2">
        <v>0.75</v>
      </c>
    </row>
    <row r="123" spans="1:2" x14ac:dyDescent="0.25">
      <c r="A123" s="2" t="s">
        <v>123</v>
      </c>
      <c r="B123" s="2">
        <v>0.85</v>
      </c>
    </row>
    <row r="124" spans="1:2" x14ac:dyDescent="0.25">
      <c r="A124" s="2" t="s">
        <v>124</v>
      </c>
      <c r="B124" s="2">
        <v>0.55000000000000004</v>
      </c>
    </row>
    <row r="125" spans="1:2" x14ac:dyDescent="0.25">
      <c r="A125" s="2" t="s">
        <v>125</v>
      </c>
      <c r="B125" s="2">
        <v>1.05</v>
      </c>
    </row>
    <row r="126" spans="1:2" x14ac:dyDescent="0.25">
      <c r="A126" s="2" t="s">
        <v>126</v>
      </c>
      <c r="B126" s="2">
        <v>0.7</v>
      </c>
    </row>
    <row r="127" spans="1:2" x14ac:dyDescent="0.25">
      <c r="A127" s="2" t="s">
        <v>127</v>
      </c>
      <c r="B127" s="2">
        <v>0.8</v>
      </c>
    </row>
    <row r="128" spans="1:2" x14ac:dyDescent="0.25">
      <c r="A128" s="2" t="s">
        <v>128</v>
      </c>
      <c r="B128" s="2">
        <v>0.75</v>
      </c>
    </row>
    <row r="129" spans="1:2" x14ac:dyDescent="0.25">
      <c r="A129" s="2" t="s">
        <v>129</v>
      </c>
      <c r="B129" s="2">
        <v>0.4</v>
      </c>
    </row>
    <row r="130" spans="1:2" x14ac:dyDescent="0.25">
      <c r="A130" s="2" t="s">
        <v>130</v>
      </c>
      <c r="B130" s="2">
        <v>0.45</v>
      </c>
    </row>
    <row r="131" spans="1:2" x14ac:dyDescent="0.25">
      <c r="A131" s="2" t="s">
        <v>131</v>
      </c>
      <c r="B131" s="2">
        <v>0.4</v>
      </c>
    </row>
    <row r="132" spans="1:2" x14ac:dyDescent="0.25">
      <c r="A132" s="2" t="s">
        <v>132</v>
      </c>
      <c r="B132" s="2">
        <v>0.85</v>
      </c>
    </row>
    <row r="133" spans="1:2" x14ac:dyDescent="0.25">
      <c r="A133" s="2" t="s">
        <v>133</v>
      </c>
      <c r="B133" s="2">
        <v>0.55000000000000004</v>
      </c>
    </row>
    <row r="134" spans="1:2" x14ac:dyDescent="0.25">
      <c r="A134" s="2" t="s">
        <v>134</v>
      </c>
      <c r="B134" s="2">
        <v>0.65</v>
      </c>
    </row>
    <row r="135" spans="1:2" x14ac:dyDescent="0.25">
      <c r="A135" s="2" t="s">
        <v>135</v>
      </c>
      <c r="B135" s="2">
        <v>0.8</v>
      </c>
    </row>
    <row r="136" spans="1:2" x14ac:dyDescent="0.25">
      <c r="A136" s="2" t="s">
        <v>136</v>
      </c>
      <c r="B136" s="2">
        <v>0.7</v>
      </c>
    </row>
    <row r="137" spans="1:2" x14ac:dyDescent="0.25">
      <c r="A137" s="2" t="s">
        <v>137</v>
      </c>
      <c r="B137" s="2">
        <v>0.55000000000000004</v>
      </c>
    </row>
    <row r="138" spans="1:2" x14ac:dyDescent="0.25">
      <c r="A138" s="2" t="s">
        <v>138</v>
      </c>
      <c r="B138" s="2">
        <v>0.5</v>
      </c>
    </row>
    <row r="139" spans="1:2" x14ac:dyDescent="0.25">
      <c r="A139" s="2" t="s">
        <v>139</v>
      </c>
      <c r="B139" s="2">
        <v>0.9</v>
      </c>
    </row>
    <row r="140" spans="1:2" x14ac:dyDescent="0.25">
      <c r="A140" s="2" t="s">
        <v>140</v>
      </c>
      <c r="B140" s="2">
        <v>0.6</v>
      </c>
    </row>
    <row r="141" spans="1:2" x14ac:dyDescent="0.25">
      <c r="A141" s="2" t="s">
        <v>141</v>
      </c>
      <c r="B141" s="2">
        <v>0.6</v>
      </c>
    </row>
    <row r="142" spans="1:2" x14ac:dyDescent="0.25">
      <c r="A142" s="2" t="s">
        <v>142</v>
      </c>
      <c r="B142" s="2">
        <v>0.68</v>
      </c>
    </row>
    <row r="143" spans="1:2" x14ac:dyDescent="0.25">
      <c r="A143" s="2" t="s">
        <v>143</v>
      </c>
      <c r="B143" s="2">
        <v>0.75</v>
      </c>
    </row>
    <row r="144" spans="1:2" x14ac:dyDescent="0.25">
      <c r="A144" s="2" t="s">
        <v>144</v>
      </c>
      <c r="B144" s="2">
        <v>0.65</v>
      </c>
    </row>
    <row r="145" spans="1:2" x14ac:dyDescent="0.25">
      <c r="A145" s="2" t="s">
        <v>145</v>
      </c>
      <c r="B145" s="2">
        <v>0.55000000000000004</v>
      </c>
    </row>
    <row r="146" spans="1:2" x14ac:dyDescent="0.25">
      <c r="A146" s="2" t="s">
        <v>146</v>
      </c>
      <c r="B146" s="2">
        <v>0.55000000000000004</v>
      </c>
    </row>
    <row r="147" spans="1:2" x14ac:dyDescent="0.25">
      <c r="A147" s="2" t="s">
        <v>147</v>
      </c>
      <c r="B147" s="2">
        <v>0.65</v>
      </c>
    </row>
    <row r="148" spans="1:2" x14ac:dyDescent="0.25">
      <c r="A148" s="2" t="s">
        <v>148</v>
      </c>
      <c r="B148" s="2">
        <v>0.5</v>
      </c>
    </row>
    <row r="149" spans="1:2" x14ac:dyDescent="0.25">
      <c r="A149" s="2" t="s">
        <v>149</v>
      </c>
      <c r="B149" s="2">
        <v>0.45</v>
      </c>
    </row>
    <row r="150" spans="1:2" x14ac:dyDescent="0.25">
      <c r="A150" s="2" t="s">
        <v>150</v>
      </c>
      <c r="B150" s="2">
        <v>0.65</v>
      </c>
    </row>
    <row r="151" spans="1:2" x14ac:dyDescent="0.25">
      <c r="A151" s="2" t="s">
        <v>151</v>
      </c>
      <c r="B151" s="2">
        <v>0.8</v>
      </c>
    </row>
    <row r="152" spans="1:2" x14ac:dyDescent="0.25">
      <c r="A152" s="2" t="s">
        <v>152</v>
      </c>
      <c r="B152" s="2">
        <v>0.8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62"/>
  <sheetViews>
    <sheetView tabSelected="1" topLeftCell="F1" zoomScaleNormal="100" workbookViewId="0">
      <selection activeCell="O2" sqref="O2"/>
    </sheetView>
  </sheetViews>
  <sheetFormatPr defaultColWidth="8.7109375" defaultRowHeight="15" x14ac:dyDescent="0.25"/>
  <cols>
    <col min="1" max="1" width="8" customWidth="1"/>
    <col min="2" max="2" width="16" customWidth="1"/>
    <col min="3" max="8" width="10" customWidth="1"/>
    <col min="9" max="9" width="14" customWidth="1"/>
    <col min="10" max="10" width="18" customWidth="1"/>
    <col min="11" max="15" width="12" customWidth="1"/>
    <col min="16" max="17" width="14" customWidth="1"/>
  </cols>
  <sheetData>
    <row r="1" spans="1:17" x14ac:dyDescent="0.25">
      <c r="A1" s="3" t="s">
        <v>153</v>
      </c>
      <c r="B1" s="3" t="s">
        <v>0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</row>
    <row r="2" spans="1:17" x14ac:dyDescent="0.25">
      <c r="A2" s="2">
        <v>1</v>
      </c>
      <c r="B2" s="2" t="s">
        <v>22</v>
      </c>
      <c r="C2" s="2">
        <v>33</v>
      </c>
      <c r="D2" s="2">
        <f t="shared" ref="D2:D65" si="0">C2*2.54</f>
        <v>83.820000000000007</v>
      </c>
      <c r="E2" s="2">
        <f t="shared" ref="E2:E65" si="1">D2/PI()</f>
        <v>26.680734659925339</v>
      </c>
      <c r="F2" s="2">
        <f>C2/PI()</f>
        <v>10.504226244065093</v>
      </c>
      <c r="G2" s="2">
        <v>7.6698060000000003</v>
      </c>
      <c r="H2" s="2">
        <f t="shared" ref="H2:H65" si="2">G2*3.28084</f>
        <v>25.16340631704</v>
      </c>
      <c r="I2" s="2">
        <f>INDEX('Wood Density Lookup'!$B$2:$B$152,MATCH(B2,'Wood Density Lookup'!$A$2:$A$152,0))</f>
        <v>0.37</v>
      </c>
      <c r="J2" s="2">
        <f>0.0673*POWER(I2*E2^2*G2,0.976)</f>
        <v>113.25765748608391</v>
      </c>
      <c r="K2" s="2">
        <f>0.28*J2</f>
        <v>31.712144096103501</v>
      </c>
      <c r="L2" s="2">
        <f>J2+K2</f>
        <v>144.96980158218742</v>
      </c>
      <c r="M2" s="2">
        <f t="shared" ref="M2:M65" si="3">0.725*L2</f>
        <v>105.10310614708587</v>
      </c>
      <c r="N2" s="2">
        <f t="shared" ref="N2:N65" si="4">0.5*M2</f>
        <v>52.551553073542934</v>
      </c>
      <c r="O2" s="2">
        <f t="shared" ref="O2:O65" si="5">3.67*N2</f>
        <v>192.86419977990255</v>
      </c>
      <c r="P2" s="2">
        <v>72.548867000000001</v>
      </c>
      <c r="Q2" s="2">
        <v>23.035948999999999</v>
      </c>
    </row>
    <row r="3" spans="1:17" x14ac:dyDescent="0.25">
      <c r="A3" s="2">
        <v>2</v>
      </c>
      <c r="B3" s="2" t="s">
        <v>88</v>
      </c>
      <c r="C3" s="2">
        <v>42</v>
      </c>
      <c r="D3" s="2">
        <f t="shared" si="0"/>
        <v>106.68</v>
      </c>
      <c r="E3" s="2">
        <f t="shared" si="1"/>
        <v>33.957298658086792</v>
      </c>
      <c r="F3" s="2">
        <f t="shared" ref="F3:F65" si="6">C3/PI()</f>
        <v>13.369015219719209</v>
      </c>
      <c r="G3" s="2">
        <v>10.69295</v>
      </c>
      <c r="H3" s="2">
        <f t="shared" si="2"/>
        <v>35.081858077999996</v>
      </c>
      <c r="I3" s="2">
        <f>INDEX('Wood Density Lookup'!$B$2:$B$152,MATCH(B3,'Wood Density Lookup'!$A$2:$A$152,0))</f>
        <v>0.6</v>
      </c>
      <c r="J3" s="2">
        <f t="shared" ref="J3:J65" si="7">0.0673*POWER(I3*E3^2*G3,0.976)</f>
        <v>402.0419382020869</v>
      </c>
      <c r="K3" s="2">
        <f t="shared" ref="K3:K66" si="8">0.28*J3</f>
        <v>112.57174269658434</v>
      </c>
      <c r="L3" s="2">
        <f t="shared" ref="L3:L66" si="9">J3+K3</f>
        <v>514.61368089867119</v>
      </c>
      <c r="M3" s="2">
        <f t="shared" si="3"/>
        <v>373.0949186515366</v>
      </c>
      <c r="N3" s="2">
        <f t="shared" si="4"/>
        <v>186.5474593257683</v>
      </c>
      <c r="O3" s="2">
        <f t="shared" si="5"/>
        <v>684.62917572556967</v>
      </c>
      <c r="P3" s="2">
        <v>72.548871000000005</v>
      </c>
      <c r="Q3" s="2">
        <v>23.036843999999999</v>
      </c>
    </row>
    <row r="4" spans="1:17" x14ac:dyDescent="0.25">
      <c r="A4" s="2">
        <v>3</v>
      </c>
      <c r="B4" s="2" t="s">
        <v>3</v>
      </c>
      <c r="C4" s="2">
        <v>23</v>
      </c>
      <c r="D4" s="2">
        <f t="shared" si="0"/>
        <v>58.42</v>
      </c>
      <c r="E4" s="2">
        <f t="shared" si="1"/>
        <v>18.595663550857051</v>
      </c>
      <c r="F4" s="2">
        <f t="shared" si="6"/>
        <v>7.3211273822271856</v>
      </c>
      <c r="G4" s="2">
        <v>8.4743139999999997</v>
      </c>
      <c r="H4" s="2">
        <f t="shared" si="2"/>
        <v>27.80286834376</v>
      </c>
      <c r="I4" s="2">
        <f>INDEX('Wood Density Lookup'!$B$2:$B$152,MATCH(B4,'Wood Density Lookup'!$A$2:$A$152,0))</f>
        <v>0.62</v>
      </c>
      <c r="J4" s="2">
        <f t="shared" si="7"/>
        <v>102.12004443800411</v>
      </c>
      <c r="K4" s="2">
        <f t="shared" si="8"/>
        <v>28.593612442641156</v>
      </c>
      <c r="L4" s="2">
        <f t="shared" si="9"/>
        <v>130.71365688064526</v>
      </c>
      <c r="M4" s="2">
        <f t="shared" si="3"/>
        <v>94.767401238467812</v>
      </c>
      <c r="N4" s="2">
        <f t="shared" si="4"/>
        <v>47.383700619233906</v>
      </c>
      <c r="O4" s="2">
        <f t="shared" si="5"/>
        <v>173.89818127258843</v>
      </c>
      <c r="P4" s="2">
        <v>72.548882000000006</v>
      </c>
      <c r="Q4" s="2">
        <v>23.036224000000001</v>
      </c>
    </row>
    <row r="5" spans="1:17" x14ac:dyDescent="0.25">
      <c r="A5" s="2">
        <v>4</v>
      </c>
      <c r="B5" s="2" t="s">
        <v>15</v>
      </c>
      <c r="C5" s="2">
        <v>31</v>
      </c>
      <c r="D5" s="2">
        <f t="shared" si="0"/>
        <v>78.739999999999995</v>
      </c>
      <c r="E5" s="2">
        <f t="shared" si="1"/>
        <v>25.063720438111677</v>
      </c>
      <c r="F5" s="2">
        <f t="shared" si="6"/>
        <v>9.8676064716975116</v>
      </c>
      <c r="G5" s="2">
        <v>9.2987450000000003</v>
      </c>
      <c r="H5" s="2">
        <f t="shared" si="2"/>
        <v>30.5076945458</v>
      </c>
      <c r="I5" s="2">
        <f>INDEX('Wood Density Lookup'!$B$2:$B$152,MATCH(B5,'Wood Density Lookup'!$A$2:$A$152,0))</f>
        <v>0.75</v>
      </c>
      <c r="J5" s="2">
        <f t="shared" si="7"/>
        <v>241.09816283895381</v>
      </c>
      <c r="K5" s="2">
        <f t="shared" si="8"/>
        <v>67.507485594907067</v>
      </c>
      <c r="L5" s="2">
        <f t="shared" si="9"/>
        <v>308.60564843386089</v>
      </c>
      <c r="M5" s="2">
        <f t="shared" si="3"/>
        <v>223.73909511454914</v>
      </c>
      <c r="N5" s="2">
        <f t="shared" si="4"/>
        <v>111.86954755727457</v>
      </c>
      <c r="O5" s="2">
        <f t="shared" si="5"/>
        <v>410.56123953519767</v>
      </c>
      <c r="P5" s="2">
        <v>72.548886999999993</v>
      </c>
      <c r="Q5" s="2">
        <v>23.038067999999999</v>
      </c>
    </row>
    <row r="6" spans="1:17" x14ac:dyDescent="0.25">
      <c r="A6" s="2">
        <v>5</v>
      </c>
      <c r="B6" s="2" t="s">
        <v>72</v>
      </c>
      <c r="C6" s="2">
        <v>47</v>
      </c>
      <c r="D6" s="2">
        <f t="shared" si="0"/>
        <v>119.38</v>
      </c>
      <c r="E6" s="2">
        <f t="shared" si="1"/>
        <v>37.999834212620932</v>
      </c>
      <c r="F6" s="2">
        <f t="shared" si="6"/>
        <v>14.960564650638162</v>
      </c>
      <c r="G6" s="2">
        <v>13.067190999999999</v>
      </c>
      <c r="H6" s="2">
        <f t="shared" si="2"/>
        <v>42.871362920439999</v>
      </c>
      <c r="I6" s="2">
        <f>INDEX('Wood Density Lookup'!$B$2:$B$152,MATCH(B6,'Wood Density Lookup'!$A$2:$A$152,0))</f>
        <v>0.65</v>
      </c>
      <c r="J6" s="2">
        <f t="shared" si="7"/>
        <v>658.48554789293041</v>
      </c>
      <c r="K6" s="2">
        <f t="shared" si="8"/>
        <v>184.37595341002054</v>
      </c>
      <c r="L6" s="2">
        <f t="shared" si="9"/>
        <v>842.86150130295096</v>
      </c>
      <c r="M6" s="2">
        <f t="shared" si="3"/>
        <v>611.0745884446394</v>
      </c>
      <c r="N6" s="2">
        <f t="shared" si="4"/>
        <v>305.5372942223197</v>
      </c>
      <c r="O6" s="2">
        <f t="shared" si="5"/>
        <v>1121.3218697959132</v>
      </c>
      <c r="P6" s="2">
        <v>72.54889</v>
      </c>
      <c r="Q6" s="2">
        <v>23.037295</v>
      </c>
    </row>
    <row r="7" spans="1:17" x14ac:dyDescent="0.25">
      <c r="A7" s="2">
        <v>6</v>
      </c>
      <c r="B7" s="2" t="s">
        <v>143</v>
      </c>
      <c r="C7" s="2">
        <v>13</v>
      </c>
      <c r="D7" s="2">
        <f t="shared" si="0"/>
        <v>33.020000000000003</v>
      </c>
      <c r="E7" s="2">
        <f t="shared" si="1"/>
        <v>10.51059244178877</v>
      </c>
      <c r="F7" s="2">
        <f t="shared" si="6"/>
        <v>4.1380285203892786</v>
      </c>
      <c r="G7" s="2">
        <v>12.771523</v>
      </c>
      <c r="H7" s="2">
        <f t="shared" si="2"/>
        <v>41.901323519320002</v>
      </c>
      <c r="I7" s="2">
        <f>INDEX('Wood Density Lookup'!$B$2:$B$152,MATCH(B7,'Wood Density Lookup'!$A$2:$A$152,0))</f>
        <v>0.75</v>
      </c>
      <c r="J7" s="2">
        <f t="shared" si="7"/>
        <v>60.253740070483111</v>
      </c>
      <c r="K7" s="2">
        <f t="shared" si="8"/>
        <v>16.871047219735274</v>
      </c>
      <c r="L7" s="2">
        <f t="shared" si="9"/>
        <v>77.124787290218393</v>
      </c>
      <c r="M7" s="2">
        <f t="shared" si="3"/>
        <v>55.915470785408331</v>
      </c>
      <c r="N7" s="2">
        <f t="shared" si="4"/>
        <v>27.957735392704166</v>
      </c>
      <c r="O7" s="2">
        <f t="shared" si="5"/>
        <v>102.60488889122429</v>
      </c>
      <c r="P7" s="2">
        <v>72.548895999999999</v>
      </c>
      <c r="Q7" s="2">
        <v>23.036000999999999</v>
      </c>
    </row>
    <row r="8" spans="1:17" x14ac:dyDescent="0.25">
      <c r="A8" s="2">
        <v>7</v>
      </c>
      <c r="B8" s="2" t="s">
        <v>10</v>
      </c>
      <c r="C8" s="2">
        <v>64</v>
      </c>
      <c r="D8" s="2">
        <f t="shared" si="0"/>
        <v>162.56</v>
      </c>
      <c r="E8" s="2">
        <f t="shared" si="1"/>
        <v>51.744455098037015</v>
      </c>
      <c r="F8" s="2">
        <f t="shared" si="6"/>
        <v>20.371832715762604</v>
      </c>
      <c r="G8" s="2">
        <v>10.441041999999999</v>
      </c>
      <c r="H8" s="2">
        <f t="shared" si="2"/>
        <v>34.255388235280002</v>
      </c>
      <c r="I8" s="2">
        <f>INDEX('Wood Density Lookup'!$B$2:$B$152,MATCH(B8,'Wood Density Lookup'!$A$2:$A$152,0))</f>
        <v>0.65</v>
      </c>
      <c r="J8" s="2">
        <f t="shared" si="7"/>
        <v>966.43948088920922</v>
      </c>
      <c r="K8" s="2">
        <f t="shared" si="8"/>
        <v>270.60305464897863</v>
      </c>
      <c r="L8" s="2">
        <f t="shared" si="9"/>
        <v>1237.0425355381878</v>
      </c>
      <c r="M8" s="2">
        <f t="shared" si="3"/>
        <v>896.85583826518621</v>
      </c>
      <c r="N8" s="2">
        <f t="shared" si="4"/>
        <v>448.4279191325931</v>
      </c>
      <c r="O8" s="2">
        <f t="shared" si="5"/>
        <v>1645.7304632166167</v>
      </c>
      <c r="P8" s="2">
        <v>72.548901999999998</v>
      </c>
      <c r="Q8" s="2">
        <v>23.036154</v>
      </c>
    </row>
    <row r="9" spans="1:17" x14ac:dyDescent="0.25">
      <c r="A9" s="2">
        <v>8</v>
      </c>
      <c r="B9" s="2" t="s">
        <v>15</v>
      </c>
      <c r="C9" s="2">
        <v>36</v>
      </c>
      <c r="D9" s="2">
        <f t="shared" si="0"/>
        <v>91.44</v>
      </c>
      <c r="E9" s="2">
        <f t="shared" si="1"/>
        <v>29.106255992645821</v>
      </c>
      <c r="F9" s="2">
        <f t="shared" si="6"/>
        <v>11.459155902616464</v>
      </c>
      <c r="G9" s="2">
        <v>7.5761989999999999</v>
      </c>
      <c r="H9" s="2">
        <f t="shared" si="2"/>
        <v>24.85629672716</v>
      </c>
      <c r="I9" s="2">
        <f>INDEX('Wood Density Lookup'!$B$2:$B$152,MATCH(B9,'Wood Density Lookup'!$A$2:$A$152,0))</f>
        <v>0.75</v>
      </c>
      <c r="J9" s="2">
        <f t="shared" si="7"/>
        <v>264.31435028281669</v>
      </c>
      <c r="K9" s="2">
        <f t="shared" si="8"/>
        <v>74.008018079188673</v>
      </c>
      <c r="L9" s="2">
        <f t="shared" si="9"/>
        <v>338.32236836200536</v>
      </c>
      <c r="M9" s="2">
        <f t="shared" si="3"/>
        <v>245.28371706245389</v>
      </c>
      <c r="N9" s="2">
        <f t="shared" si="4"/>
        <v>122.64185853122694</v>
      </c>
      <c r="O9" s="2">
        <f t="shared" si="5"/>
        <v>450.09562080960285</v>
      </c>
      <c r="P9" s="2">
        <v>72.548903999999993</v>
      </c>
      <c r="Q9" s="2">
        <v>23.037428999999999</v>
      </c>
    </row>
    <row r="10" spans="1:17" x14ac:dyDescent="0.25">
      <c r="A10" s="2">
        <v>9</v>
      </c>
      <c r="B10" s="2" t="s">
        <v>15</v>
      </c>
      <c r="C10" s="2">
        <v>21</v>
      </c>
      <c r="D10" s="2">
        <f t="shared" si="0"/>
        <v>53.34</v>
      </c>
      <c r="E10" s="2">
        <f t="shared" si="1"/>
        <v>16.978649329043396</v>
      </c>
      <c r="F10" s="2">
        <f t="shared" si="6"/>
        <v>6.6845076098596046</v>
      </c>
      <c r="G10" s="2">
        <v>12.162647</v>
      </c>
      <c r="H10" s="2">
        <f t="shared" si="2"/>
        <v>39.903698783479996</v>
      </c>
      <c r="I10" s="2">
        <f>INDEX('Wood Density Lookup'!$B$2:$B$152,MATCH(B10,'Wood Density Lookup'!$A$2:$A$152,0))</f>
        <v>0.75</v>
      </c>
      <c r="J10" s="2">
        <f t="shared" si="7"/>
        <v>146.49851140458836</v>
      </c>
      <c r="K10" s="2">
        <f t="shared" si="8"/>
        <v>41.019583193284745</v>
      </c>
      <c r="L10" s="2">
        <f t="shared" si="9"/>
        <v>187.5180945978731</v>
      </c>
      <c r="M10" s="2">
        <f t="shared" si="3"/>
        <v>135.95061858345798</v>
      </c>
      <c r="N10" s="2">
        <f t="shared" si="4"/>
        <v>67.975309291728991</v>
      </c>
      <c r="O10" s="2">
        <f t="shared" si="5"/>
        <v>249.46938510064538</v>
      </c>
      <c r="P10" s="2">
        <v>72.548906000000002</v>
      </c>
      <c r="Q10" s="2">
        <v>23.037479000000001</v>
      </c>
    </row>
    <row r="11" spans="1:17" x14ac:dyDescent="0.25">
      <c r="A11" s="2">
        <v>10</v>
      </c>
      <c r="B11" s="2" t="s">
        <v>55</v>
      </c>
      <c r="C11" s="2">
        <v>38</v>
      </c>
      <c r="D11" s="2">
        <f t="shared" si="0"/>
        <v>96.52</v>
      </c>
      <c r="E11" s="2">
        <f t="shared" si="1"/>
        <v>30.723270214459475</v>
      </c>
      <c r="F11" s="2">
        <f t="shared" si="6"/>
        <v>12.095775674984045</v>
      </c>
      <c r="G11" s="2">
        <v>12.002105999999999</v>
      </c>
      <c r="H11" s="2">
        <f t="shared" si="2"/>
        <v>39.376989449039996</v>
      </c>
      <c r="I11" s="2">
        <f>INDEX('Wood Density Lookup'!$B$2:$B$152,MATCH(B11,'Wood Density Lookup'!$A$2:$A$152,0))</f>
        <v>0.75</v>
      </c>
      <c r="J11" s="2">
        <f t="shared" si="7"/>
        <v>460.22115739806026</v>
      </c>
      <c r="K11" s="2">
        <f t="shared" si="8"/>
        <v>128.86192407145688</v>
      </c>
      <c r="L11" s="2">
        <f t="shared" si="9"/>
        <v>589.08308146951708</v>
      </c>
      <c r="M11" s="2">
        <f t="shared" si="3"/>
        <v>427.08523406539985</v>
      </c>
      <c r="N11" s="2">
        <f t="shared" si="4"/>
        <v>213.54261703269992</v>
      </c>
      <c r="O11" s="2">
        <f t="shared" si="5"/>
        <v>783.70140451000873</v>
      </c>
      <c r="P11" s="2">
        <v>72.548906000000002</v>
      </c>
      <c r="Q11" s="2">
        <v>23.036916000000002</v>
      </c>
    </row>
    <row r="12" spans="1:17" x14ac:dyDescent="0.25">
      <c r="A12" s="2">
        <v>11</v>
      </c>
      <c r="B12" s="2" t="s">
        <v>72</v>
      </c>
      <c r="C12" s="2">
        <v>9</v>
      </c>
      <c r="D12" s="2">
        <f t="shared" si="0"/>
        <v>22.86</v>
      </c>
      <c r="E12" s="2">
        <f t="shared" si="1"/>
        <v>7.2765639981614552</v>
      </c>
      <c r="F12" s="2">
        <f t="shared" si="6"/>
        <v>2.8647889756541161</v>
      </c>
      <c r="G12" s="2">
        <v>6.3446680000000004</v>
      </c>
      <c r="H12" s="2">
        <f t="shared" si="2"/>
        <v>20.815840561120002</v>
      </c>
      <c r="I12" s="2">
        <f>INDEX('Wood Density Lookup'!$B$2:$B$152,MATCH(B12,'Wood Density Lookup'!$A$2:$A$152,0))</f>
        <v>0.65</v>
      </c>
      <c r="J12" s="2">
        <f t="shared" si="7"/>
        <v>12.913674336798902</v>
      </c>
      <c r="K12" s="2">
        <f t="shared" si="8"/>
        <v>3.615828814303693</v>
      </c>
      <c r="L12" s="2">
        <f t="shared" si="9"/>
        <v>16.529503151102595</v>
      </c>
      <c r="M12" s="2">
        <f t="shared" si="3"/>
        <v>11.983889784549381</v>
      </c>
      <c r="N12" s="2">
        <f t="shared" si="4"/>
        <v>5.9919448922746907</v>
      </c>
      <c r="O12" s="2">
        <f t="shared" si="5"/>
        <v>21.990437754648113</v>
      </c>
      <c r="P12" s="2">
        <v>72.548907</v>
      </c>
      <c r="Q12" s="2">
        <v>23.037334000000001</v>
      </c>
    </row>
    <row r="13" spans="1:17" x14ac:dyDescent="0.25">
      <c r="A13" s="2">
        <v>12</v>
      </c>
      <c r="B13" s="2" t="s">
        <v>107</v>
      </c>
      <c r="C13" s="2">
        <v>12</v>
      </c>
      <c r="D13" s="2">
        <f t="shared" si="0"/>
        <v>30.48</v>
      </c>
      <c r="E13" s="2">
        <f t="shared" si="1"/>
        <v>9.7020853308819408</v>
      </c>
      <c r="F13" s="2">
        <f t="shared" si="6"/>
        <v>3.8197186342054881</v>
      </c>
      <c r="G13" s="2">
        <v>2.24586</v>
      </c>
      <c r="H13" s="2">
        <f t="shared" si="2"/>
        <v>7.3683073223999997</v>
      </c>
      <c r="I13" s="2">
        <f>INDEX('Wood Density Lookup'!$B$2:$B$152,MATCH(B13,'Wood Density Lookup'!$A$2:$A$152,0))</f>
        <v>0.65</v>
      </c>
      <c r="J13" s="2">
        <f t="shared" si="7"/>
        <v>8.2172907128876069</v>
      </c>
      <c r="K13" s="2">
        <f t="shared" si="8"/>
        <v>2.30084139960853</v>
      </c>
      <c r="L13" s="2">
        <f t="shared" si="9"/>
        <v>10.518132112496136</v>
      </c>
      <c r="M13" s="2">
        <f t="shared" si="3"/>
        <v>7.6256457815596983</v>
      </c>
      <c r="N13" s="2">
        <f t="shared" si="4"/>
        <v>3.8128228907798491</v>
      </c>
      <c r="O13" s="2">
        <f t="shared" si="5"/>
        <v>13.993060009162047</v>
      </c>
      <c r="P13" s="2">
        <v>72.548907999999997</v>
      </c>
      <c r="Q13" s="2">
        <v>23.036767999999999</v>
      </c>
    </row>
    <row r="14" spans="1:17" x14ac:dyDescent="0.25">
      <c r="A14" s="2">
        <v>13</v>
      </c>
      <c r="B14" s="2" t="s">
        <v>148</v>
      </c>
      <c r="C14" s="2">
        <v>5</v>
      </c>
      <c r="D14" s="2">
        <f t="shared" si="0"/>
        <v>12.7</v>
      </c>
      <c r="E14" s="2">
        <f t="shared" si="1"/>
        <v>4.0425355545341413</v>
      </c>
      <c r="F14" s="2">
        <f t="shared" si="6"/>
        <v>1.5915494309189535</v>
      </c>
      <c r="G14" s="2">
        <v>2.2971180000000002</v>
      </c>
      <c r="H14" s="2">
        <f t="shared" si="2"/>
        <v>7.536476619120001</v>
      </c>
      <c r="I14" s="2">
        <f>INDEX('Wood Density Lookup'!$B$2:$B$152,MATCH(B14,'Wood Density Lookup'!$A$2:$A$152,0))</f>
        <v>0.5</v>
      </c>
      <c r="J14" s="2">
        <f t="shared" si="7"/>
        <v>1.1773701092386795</v>
      </c>
      <c r="K14" s="2">
        <f t="shared" si="8"/>
        <v>0.32966363058683029</v>
      </c>
      <c r="L14" s="2">
        <f t="shared" si="9"/>
        <v>1.5070337398255098</v>
      </c>
      <c r="M14" s="2">
        <f t="shared" si="3"/>
        <v>1.0925994613734946</v>
      </c>
      <c r="N14" s="2">
        <f t="shared" si="4"/>
        <v>0.54629973068674731</v>
      </c>
      <c r="O14" s="2">
        <f t="shared" si="5"/>
        <v>2.0049200116203627</v>
      </c>
      <c r="P14" s="2">
        <v>72.548907999999997</v>
      </c>
      <c r="Q14" s="2">
        <v>23.036784000000001</v>
      </c>
    </row>
    <row r="15" spans="1:17" x14ac:dyDescent="0.25">
      <c r="A15" s="2">
        <v>14</v>
      </c>
      <c r="B15" s="2" t="s">
        <v>148</v>
      </c>
      <c r="C15" s="2">
        <v>5</v>
      </c>
      <c r="D15" s="2">
        <f t="shared" si="0"/>
        <v>12.7</v>
      </c>
      <c r="E15" s="2">
        <f t="shared" si="1"/>
        <v>4.0425355545341413</v>
      </c>
      <c r="F15" s="2">
        <f t="shared" si="6"/>
        <v>1.5915494309189535</v>
      </c>
      <c r="G15" s="2">
        <v>2.3528980000000002</v>
      </c>
      <c r="H15" s="2">
        <f t="shared" si="2"/>
        <v>7.7194818743200004</v>
      </c>
      <c r="I15" s="2">
        <f>INDEX('Wood Density Lookup'!$B$2:$B$152,MATCH(B15,'Wood Density Lookup'!$A$2:$A$152,0))</f>
        <v>0.5</v>
      </c>
      <c r="J15" s="2">
        <f t="shared" si="7"/>
        <v>1.20526550305596</v>
      </c>
      <c r="K15" s="2">
        <f t="shared" si="8"/>
        <v>0.33747434085566885</v>
      </c>
      <c r="L15" s="2">
        <f t="shared" si="9"/>
        <v>1.5427398439116289</v>
      </c>
      <c r="M15" s="2">
        <f t="shared" si="3"/>
        <v>1.1184863868359309</v>
      </c>
      <c r="N15" s="2">
        <f t="shared" si="4"/>
        <v>0.55924319341796547</v>
      </c>
      <c r="O15" s="2">
        <f t="shared" si="5"/>
        <v>2.0524225198439332</v>
      </c>
      <c r="P15" s="2">
        <v>72.548907999999997</v>
      </c>
      <c r="Q15" s="2">
        <v>23.036753000000001</v>
      </c>
    </row>
    <row r="16" spans="1:17" x14ac:dyDescent="0.25">
      <c r="A16" s="2">
        <v>15</v>
      </c>
      <c r="B16" s="2" t="s">
        <v>93</v>
      </c>
      <c r="C16" s="2">
        <v>8</v>
      </c>
      <c r="D16" s="2">
        <f t="shared" si="0"/>
        <v>20.32</v>
      </c>
      <c r="E16" s="2">
        <f t="shared" si="1"/>
        <v>6.4680568872546269</v>
      </c>
      <c r="F16" s="2">
        <f t="shared" si="6"/>
        <v>2.5464790894703255</v>
      </c>
      <c r="G16" s="2">
        <v>11.424583999999999</v>
      </c>
      <c r="H16" s="2">
        <f t="shared" si="2"/>
        <v>37.482232170559996</v>
      </c>
      <c r="I16" s="2">
        <f>INDEX('Wood Density Lookup'!$B$2:$B$152,MATCH(B16,'Wood Density Lookup'!$A$2:$A$152,0))</f>
        <v>0.9</v>
      </c>
      <c r="J16" s="2">
        <f t="shared" si="7"/>
        <v>25.028711775103407</v>
      </c>
      <c r="K16" s="2">
        <f t="shared" si="8"/>
        <v>7.0080392970289545</v>
      </c>
      <c r="L16" s="2">
        <f t="shared" si="9"/>
        <v>32.036751072132361</v>
      </c>
      <c r="M16" s="2">
        <f t="shared" si="3"/>
        <v>23.22664452729596</v>
      </c>
      <c r="N16" s="2">
        <f t="shared" si="4"/>
        <v>11.61332226364798</v>
      </c>
      <c r="O16" s="2">
        <f t="shared" si="5"/>
        <v>42.620892707588084</v>
      </c>
      <c r="P16" s="2">
        <v>72.548907999999997</v>
      </c>
      <c r="Q16" s="2">
        <v>23.036652</v>
      </c>
    </row>
    <row r="17" spans="1:17" x14ac:dyDescent="0.25">
      <c r="A17" s="2">
        <v>16</v>
      </c>
      <c r="B17" s="2" t="s">
        <v>31</v>
      </c>
      <c r="C17" s="2">
        <v>26</v>
      </c>
      <c r="D17" s="2">
        <f t="shared" si="0"/>
        <v>66.040000000000006</v>
      </c>
      <c r="E17" s="2">
        <f t="shared" si="1"/>
        <v>21.02118488357754</v>
      </c>
      <c r="F17" s="2">
        <f t="shared" si="6"/>
        <v>8.2760570407785572</v>
      </c>
      <c r="G17" s="2">
        <v>7.9853519999999998</v>
      </c>
      <c r="H17" s="2">
        <f t="shared" si="2"/>
        <v>26.198662255679999</v>
      </c>
      <c r="I17" s="2">
        <f>INDEX('Wood Density Lookup'!$B$2:$B$152,MATCH(B17,'Wood Density Lookup'!$A$2:$A$152,0))</f>
        <v>0.78</v>
      </c>
      <c r="J17" s="2">
        <f t="shared" si="7"/>
        <v>153.16701277882268</v>
      </c>
      <c r="K17" s="2">
        <f t="shared" si="8"/>
        <v>42.886763578070358</v>
      </c>
      <c r="L17" s="2">
        <f t="shared" si="9"/>
        <v>196.05377635689302</v>
      </c>
      <c r="M17" s="2">
        <f t="shared" si="3"/>
        <v>142.13898785874744</v>
      </c>
      <c r="N17" s="2">
        <f t="shared" si="4"/>
        <v>71.069493929373721</v>
      </c>
      <c r="O17" s="2">
        <f t="shared" si="5"/>
        <v>260.82504272080155</v>
      </c>
      <c r="P17" s="2">
        <v>72.548908999999995</v>
      </c>
      <c r="Q17" s="2">
        <v>23.037178000000001</v>
      </c>
    </row>
    <row r="18" spans="1:17" x14ac:dyDescent="0.25">
      <c r="A18" s="2">
        <v>17</v>
      </c>
      <c r="B18" s="2" t="s">
        <v>15</v>
      </c>
      <c r="C18" s="2">
        <v>12</v>
      </c>
      <c r="D18" s="2">
        <f t="shared" si="0"/>
        <v>30.48</v>
      </c>
      <c r="E18" s="2">
        <f t="shared" si="1"/>
        <v>9.7020853308819408</v>
      </c>
      <c r="F18" s="2">
        <f t="shared" si="6"/>
        <v>3.8197186342054881</v>
      </c>
      <c r="G18" s="2">
        <v>4.3026390000000001</v>
      </c>
      <c r="H18" s="2">
        <f t="shared" si="2"/>
        <v>14.116270136760001</v>
      </c>
      <c r="I18" s="2">
        <f>INDEX('Wood Density Lookup'!$B$2:$B$152,MATCH(B18,'Wood Density Lookup'!$A$2:$A$152,0))</f>
        <v>0.75</v>
      </c>
      <c r="J18" s="2">
        <f t="shared" si="7"/>
        <v>17.822178313488202</v>
      </c>
      <c r="K18" s="2">
        <f t="shared" si="8"/>
        <v>4.9902099277766974</v>
      </c>
      <c r="L18" s="2">
        <f t="shared" si="9"/>
        <v>22.812388241264898</v>
      </c>
      <c r="M18" s="2">
        <f t="shared" si="3"/>
        <v>16.538981474917051</v>
      </c>
      <c r="N18" s="2">
        <f t="shared" si="4"/>
        <v>8.2694907374585256</v>
      </c>
      <c r="O18" s="2">
        <f t="shared" si="5"/>
        <v>30.349031006472789</v>
      </c>
      <c r="P18" s="2">
        <v>72.548908999999995</v>
      </c>
      <c r="Q18" s="2">
        <v>23.037541999999998</v>
      </c>
    </row>
    <row r="19" spans="1:17" x14ac:dyDescent="0.25">
      <c r="A19" s="2">
        <v>18</v>
      </c>
      <c r="B19" s="2" t="s">
        <v>134</v>
      </c>
      <c r="C19" s="2">
        <v>53</v>
      </c>
      <c r="D19" s="2">
        <f t="shared" si="0"/>
        <v>134.62</v>
      </c>
      <c r="E19" s="2">
        <f t="shared" si="1"/>
        <v>42.850876878061904</v>
      </c>
      <c r="F19" s="2">
        <f t="shared" si="6"/>
        <v>16.870423967740905</v>
      </c>
      <c r="G19" s="2">
        <v>8.0190350000000006</v>
      </c>
      <c r="H19" s="2">
        <f t="shared" si="2"/>
        <v>26.309170789400003</v>
      </c>
      <c r="I19" s="2">
        <f>INDEX('Wood Density Lookup'!$B$2:$B$152,MATCH(B19,'Wood Density Lookup'!$A$2:$A$152,0))</f>
        <v>0.65</v>
      </c>
      <c r="J19" s="2">
        <f t="shared" si="7"/>
        <v>516.92440853537016</v>
      </c>
      <c r="K19" s="2">
        <f t="shared" si="8"/>
        <v>144.73883438990367</v>
      </c>
      <c r="L19" s="2">
        <f t="shared" si="9"/>
        <v>661.66324292527383</v>
      </c>
      <c r="M19" s="2">
        <f t="shared" si="3"/>
        <v>479.70585112082352</v>
      </c>
      <c r="N19" s="2">
        <f t="shared" si="4"/>
        <v>239.85292556041176</v>
      </c>
      <c r="O19" s="2">
        <f t="shared" si="5"/>
        <v>880.26023680671119</v>
      </c>
      <c r="P19" s="2">
        <v>72.548908999999995</v>
      </c>
      <c r="Q19" s="2">
        <v>23.037496999999998</v>
      </c>
    </row>
    <row r="20" spans="1:17" x14ac:dyDescent="0.25">
      <c r="A20" s="2">
        <v>19</v>
      </c>
      <c r="B20" s="2" t="s">
        <v>148</v>
      </c>
      <c r="C20" s="2">
        <v>6</v>
      </c>
      <c r="D20" s="2">
        <f t="shared" si="0"/>
        <v>15.24</v>
      </c>
      <c r="E20" s="2">
        <f t="shared" si="1"/>
        <v>4.8510426654409704</v>
      </c>
      <c r="F20" s="2">
        <f t="shared" si="6"/>
        <v>1.909859317102744</v>
      </c>
      <c r="G20" s="2">
        <v>2.648755</v>
      </c>
      <c r="H20" s="2">
        <f t="shared" si="2"/>
        <v>8.6901413541999997</v>
      </c>
      <c r="I20" s="2">
        <f>INDEX('Wood Density Lookup'!$B$2:$B$152,MATCH(B20,'Wood Density Lookup'!$A$2:$A$152,0))</f>
        <v>0.5</v>
      </c>
      <c r="J20" s="2">
        <f t="shared" si="7"/>
        <v>1.9312952801304537</v>
      </c>
      <c r="K20" s="2">
        <f t="shared" si="8"/>
        <v>0.54076267843652714</v>
      </c>
      <c r="L20" s="2">
        <f t="shared" si="9"/>
        <v>2.4720579585669809</v>
      </c>
      <c r="M20" s="2">
        <f t="shared" si="3"/>
        <v>1.7922420199610611</v>
      </c>
      <c r="N20" s="2">
        <f t="shared" si="4"/>
        <v>0.89612100998053057</v>
      </c>
      <c r="O20" s="2">
        <f t="shared" si="5"/>
        <v>3.2887641066285473</v>
      </c>
      <c r="P20" s="2">
        <v>72.548908999999995</v>
      </c>
      <c r="Q20" s="2">
        <v>23.036763000000001</v>
      </c>
    </row>
    <row r="21" spans="1:17" x14ac:dyDescent="0.25">
      <c r="A21" s="2">
        <v>20</v>
      </c>
      <c r="B21" s="2" t="s">
        <v>148</v>
      </c>
      <c r="C21" s="2">
        <v>6</v>
      </c>
      <c r="D21" s="2">
        <f t="shared" si="0"/>
        <v>15.24</v>
      </c>
      <c r="E21" s="2">
        <f t="shared" si="1"/>
        <v>4.8510426654409704</v>
      </c>
      <c r="F21" s="2">
        <f t="shared" si="6"/>
        <v>1.909859317102744</v>
      </c>
      <c r="G21" s="2">
        <v>3.4646460000000001</v>
      </c>
      <c r="H21" s="2">
        <f t="shared" si="2"/>
        <v>11.366949182640001</v>
      </c>
      <c r="I21" s="2">
        <f>INDEX('Wood Density Lookup'!$B$2:$B$152,MATCH(B21,'Wood Density Lookup'!$A$2:$A$152,0))</f>
        <v>0.5</v>
      </c>
      <c r="J21" s="2">
        <f t="shared" si="7"/>
        <v>2.5099608469041539</v>
      </c>
      <c r="K21" s="2">
        <f t="shared" si="8"/>
        <v>0.70278903713316321</v>
      </c>
      <c r="L21" s="2">
        <f t="shared" si="9"/>
        <v>3.2127498840373172</v>
      </c>
      <c r="M21" s="2">
        <f t="shared" si="3"/>
        <v>2.3292436659270548</v>
      </c>
      <c r="N21" s="2">
        <f t="shared" si="4"/>
        <v>1.1646218329635274</v>
      </c>
      <c r="O21" s="2">
        <f t="shared" si="5"/>
        <v>4.2741621269761456</v>
      </c>
      <c r="P21" s="2">
        <v>72.548908999999995</v>
      </c>
      <c r="Q21" s="2">
        <v>23.036745</v>
      </c>
    </row>
    <row r="22" spans="1:17" x14ac:dyDescent="0.25">
      <c r="A22" s="2">
        <v>21</v>
      </c>
      <c r="B22" s="2" t="s">
        <v>148</v>
      </c>
      <c r="C22" s="2">
        <v>4</v>
      </c>
      <c r="D22" s="2">
        <f t="shared" si="0"/>
        <v>10.16</v>
      </c>
      <c r="E22" s="2">
        <f t="shared" si="1"/>
        <v>3.2340284436273135</v>
      </c>
      <c r="F22" s="2">
        <f t="shared" si="6"/>
        <v>1.2732395447351628</v>
      </c>
      <c r="G22" s="2">
        <v>3.7115200000000002</v>
      </c>
      <c r="H22" s="2">
        <f t="shared" si="2"/>
        <v>12.176903276800001</v>
      </c>
      <c r="I22" s="2">
        <f>INDEX('Wood Density Lookup'!$B$2:$B$152,MATCH(B22,'Wood Density Lookup'!$A$2:$A$152,0))</f>
        <v>0.5</v>
      </c>
      <c r="J22" s="2">
        <f t="shared" si="7"/>
        <v>1.2165005698192197</v>
      </c>
      <c r="K22" s="2">
        <f t="shared" si="8"/>
        <v>0.34062015954938157</v>
      </c>
      <c r="L22" s="2">
        <f t="shared" si="9"/>
        <v>1.5571207293686014</v>
      </c>
      <c r="M22" s="2">
        <f t="shared" si="3"/>
        <v>1.1289125287922359</v>
      </c>
      <c r="N22" s="2">
        <f t="shared" si="4"/>
        <v>0.56445626439611796</v>
      </c>
      <c r="O22" s="2">
        <f t="shared" si="5"/>
        <v>2.0715544903337531</v>
      </c>
      <c r="P22" s="2">
        <v>72.548908999999995</v>
      </c>
      <c r="Q22" s="2">
        <v>23.036739000000001</v>
      </c>
    </row>
    <row r="23" spans="1:17" x14ac:dyDescent="0.25">
      <c r="A23" s="2">
        <v>22</v>
      </c>
      <c r="B23" s="2" t="s">
        <v>15</v>
      </c>
      <c r="C23" s="2">
        <v>88</v>
      </c>
      <c r="D23" s="2">
        <f t="shared" si="0"/>
        <v>223.52</v>
      </c>
      <c r="E23" s="2">
        <f t="shared" si="1"/>
        <v>71.148625759800893</v>
      </c>
      <c r="F23" s="2">
        <f t="shared" si="6"/>
        <v>28.01126998417358</v>
      </c>
      <c r="G23" s="2">
        <v>13.550902000000001</v>
      </c>
      <c r="H23" s="2">
        <f t="shared" si="2"/>
        <v>44.458341317680002</v>
      </c>
      <c r="I23" s="2">
        <f>INDEX('Wood Density Lookup'!$B$2:$B$152,MATCH(B23,'Wood Density Lookup'!$A$2:$A$152,0))</f>
        <v>0.75</v>
      </c>
      <c r="J23" s="2">
        <f t="shared" si="7"/>
        <v>2668.7313921743644</v>
      </c>
      <c r="K23" s="2">
        <f t="shared" si="8"/>
        <v>747.24478980882213</v>
      </c>
      <c r="L23" s="2">
        <f t="shared" si="9"/>
        <v>3415.9761819831865</v>
      </c>
      <c r="M23" s="2">
        <f t="shared" si="3"/>
        <v>2476.58273193781</v>
      </c>
      <c r="N23" s="2">
        <f t="shared" si="4"/>
        <v>1238.291365968905</v>
      </c>
      <c r="O23" s="2">
        <f t="shared" si="5"/>
        <v>4544.5293131058816</v>
      </c>
      <c r="P23" s="2">
        <v>72.548910000000006</v>
      </c>
      <c r="Q23" s="2">
        <v>23.036446000000002</v>
      </c>
    </row>
    <row r="24" spans="1:17" x14ac:dyDescent="0.25">
      <c r="A24" s="2">
        <v>23</v>
      </c>
      <c r="B24" s="2" t="s">
        <v>148</v>
      </c>
      <c r="C24" s="2">
        <v>7</v>
      </c>
      <c r="D24" s="2">
        <f t="shared" si="0"/>
        <v>17.78</v>
      </c>
      <c r="E24" s="2">
        <f t="shared" si="1"/>
        <v>5.6595497763477987</v>
      </c>
      <c r="F24" s="2">
        <f t="shared" si="6"/>
        <v>2.228169203286535</v>
      </c>
      <c r="G24" s="2">
        <v>2.1009500000000001</v>
      </c>
      <c r="H24" s="2">
        <f t="shared" si="2"/>
        <v>6.8928807980000002</v>
      </c>
      <c r="I24" s="2">
        <f>INDEX('Wood Density Lookup'!$B$2:$B$152,MATCH(B24,'Wood Density Lookup'!$A$2:$A$152,0))</f>
        <v>0.5</v>
      </c>
      <c r="J24" s="2">
        <f t="shared" si="7"/>
        <v>2.0812189210752692</v>
      </c>
      <c r="K24" s="2">
        <f t="shared" si="8"/>
        <v>0.58274129790107543</v>
      </c>
      <c r="L24" s="2">
        <f t="shared" si="9"/>
        <v>2.6639602189763445</v>
      </c>
      <c r="M24" s="2">
        <f t="shared" si="3"/>
        <v>1.9313711587578497</v>
      </c>
      <c r="N24" s="2">
        <f t="shared" si="4"/>
        <v>0.96568557937892485</v>
      </c>
      <c r="O24" s="2">
        <f t="shared" si="5"/>
        <v>3.5440660763206542</v>
      </c>
      <c r="P24" s="2">
        <v>72.548911000000004</v>
      </c>
      <c r="Q24" s="2">
        <v>23.036771000000002</v>
      </c>
    </row>
    <row r="25" spans="1:17" x14ac:dyDescent="0.25">
      <c r="A25" s="2">
        <v>24</v>
      </c>
      <c r="B25" s="2" t="s">
        <v>93</v>
      </c>
      <c r="C25" s="2">
        <v>9</v>
      </c>
      <c r="D25" s="2">
        <f t="shared" si="0"/>
        <v>22.86</v>
      </c>
      <c r="E25" s="2">
        <f t="shared" si="1"/>
        <v>7.2765639981614552</v>
      </c>
      <c r="F25" s="2">
        <f t="shared" si="6"/>
        <v>2.8647889756541161</v>
      </c>
      <c r="G25" s="2">
        <v>3.9456950000000002</v>
      </c>
      <c r="H25" s="2">
        <f t="shared" si="2"/>
        <v>12.945193983800001</v>
      </c>
      <c r="I25" s="2">
        <f>INDEX('Wood Density Lookup'!$B$2:$B$152,MATCH(B25,'Wood Density Lookup'!$A$2:$A$152,0))</f>
        <v>0.9</v>
      </c>
      <c r="J25" s="2">
        <f t="shared" si="7"/>
        <v>11.159700579774951</v>
      </c>
      <c r="K25" s="2">
        <f t="shared" si="8"/>
        <v>3.1247161623369863</v>
      </c>
      <c r="L25" s="2">
        <f t="shared" si="9"/>
        <v>14.284416742111937</v>
      </c>
      <c r="M25" s="2">
        <f t="shared" si="3"/>
        <v>10.356202138031154</v>
      </c>
      <c r="N25" s="2">
        <f t="shared" si="4"/>
        <v>5.1781010690155771</v>
      </c>
      <c r="O25" s="2">
        <f t="shared" si="5"/>
        <v>19.003630923287169</v>
      </c>
      <c r="P25" s="2">
        <v>72.548911000000004</v>
      </c>
      <c r="Q25" s="2">
        <v>23.036714</v>
      </c>
    </row>
    <row r="26" spans="1:17" x14ac:dyDescent="0.25">
      <c r="A26" s="2">
        <v>25</v>
      </c>
      <c r="B26" s="2" t="s">
        <v>107</v>
      </c>
      <c r="C26" s="2">
        <v>10</v>
      </c>
      <c r="D26" s="2">
        <f t="shared" si="0"/>
        <v>25.4</v>
      </c>
      <c r="E26" s="2">
        <f t="shared" si="1"/>
        <v>8.0850711090682825</v>
      </c>
      <c r="F26" s="2">
        <f t="shared" si="6"/>
        <v>3.183098861837907</v>
      </c>
      <c r="G26" s="2">
        <v>3.3485909999999999</v>
      </c>
      <c r="H26" s="2">
        <f t="shared" si="2"/>
        <v>10.986191296439999</v>
      </c>
      <c r="I26" s="2">
        <f>INDEX('Wood Density Lookup'!$B$2:$B$152,MATCH(B26,'Wood Density Lookup'!$A$2:$A$152,0))</f>
        <v>0.65</v>
      </c>
      <c r="J26" s="2">
        <f t="shared" si="7"/>
        <v>8.5012498220720687</v>
      </c>
      <c r="K26" s="2">
        <f t="shared" si="8"/>
        <v>2.3803499501801793</v>
      </c>
      <c r="L26" s="2">
        <f t="shared" si="9"/>
        <v>10.881599772252248</v>
      </c>
      <c r="M26" s="2">
        <f t="shared" si="3"/>
        <v>7.8891598348828795</v>
      </c>
      <c r="N26" s="2">
        <f t="shared" si="4"/>
        <v>3.9445799174414398</v>
      </c>
      <c r="O26" s="2">
        <f t="shared" si="5"/>
        <v>14.476608297010083</v>
      </c>
      <c r="P26" s="2">
        <v>72.548912000000001</v>
      </c>
      <c r="Q26" s="2">
        <v>23.036735</v>
      </c>
    </row>
    <row r="27" spans="1:17" x14ac:dyDescent="0.25">
      <c r="A27" s="2">
        <v>26</v>
      </c>
      <c r="B27" s="2" t="s">
        <v>107</v>
      </c>
      <c r="C27" s="2">
        <v>8</v>
      </c>
      <c r="D27" s="2">
        <f t="shared" si="0"/>
        <v>20.32</v>
      </c>
      <c r="E27" s="2">
        <f t="shared" si="1"/>
        <v>6.4680568872546269</v>
      </c>
      <c r="F27" s="2">
        <f t="shared" si="6"/>
        <v>2.5464790894703255</v>
      </c>
      <c r="G27" s="2">
        <v>3.6837789999999999</v>
      </c>
      <c r="H27" s="2">
        <f t="shared" si="2"/>
        <v>12.08588949436</v>
      </c>
      <c r="I27" s="2">
        <f>INDEX('Wood Density Lookup'!$B$2:$B$152,MATCH(B27,'Wood Density Lookup'!$A$2:$A$152,0))</f>
        <v>0.65</v>
      </c>
      <c r="J27" s="2">
        <f t="shared" si="7"/>
        <v>6.0360320959220921</v>
      </c>
      <c r="K27" s="2">
        <f t="shared" si="8"/>
        <v>1.6900889868581859</v>
      </c>
      <c r="L27" s="2">
        <f t="shared" si="9"/>
        <v>7.7261210827802778</v>
      </c>
      <c r="M27" s="2">
        <f t="shared" si="3"/>
        <v>5.6014377850157011</v>
      </c>
      <c r="N27" s="2">
        <f t="shared" si="4"/>
        <v>2.8007188925078506</v>
      </c>
      <c r="O27" s="2">
        <f t="shared" si="5"/>
        <v>10.27863833550381</v>
      </c>
      <c r="P27" s="2">
        <v>72.548912000000001</v>
      </c>
      <c r="Q27" s="2">
        <v>23.036725000000001</v>
      </c>
    </row>
    <row r="28" spans="1:17" x14ac:dyDescent="0.25">
      <c r="A28" s="2">
        <v>27</v>
      </c>
      <c r="B28" s="2" t="s">
        <v>15</v>
      </c>
      <c r="C28" s="2">
        <v>70</v>
      </c>
      <c r="D28" s="2">
        <f t="shared" si="0"/>
        <v>177.8</v>
      </c>
      <c r="E28" s="2">
        <f t="shared" si="1"/>
        <v>56.595497763477987</v>
      </c>
      <c r="F28" s="2">
        <f t="shared" si="6"/>
        <v>22.281692032865347</v>
      </c>
      <c r="G28" s="2">
        <v>11.470034999999999</v>
      </c>
      <c r="H28" s="2">
        <f t="shared" si="2"/>
        <v>37.631349629399999</v>
      </c>
      <c r="I28" s="2">
        <f>INDEX('Wood Density Lookup'!$B$2:$B$152,MATCH(B28,'Wood Density Lookup'!$A$2:$A$152,0))</f>
        <v>0.75</v>
      </c>
      <c r="J28" s="2">
        <f t="shared" si="7"/>
        <v>1450.9093654461919</v>
      </c>
      <c r="K28" s="2">
        <f t="shared" si="8"/>
        <v>406.25462232493379</v>
      </c>
      <c r="L28" s="2">
        <f t="shared" si="9"/>
        <v>1857.1639877711257</v>
      </c>
      <c r="M28" s="2">
        <f t="shared" si="3"/>
        <v>1346.443891134066</v>
      </c>
      <c r="N28" s="2">
        <f t="shared" si="4"/>
        <v>673.221945567033</v>
      </c>
      <c r="O28" s="2">
        <f t="shared" si="5"/>
        <v>2470.7245402310109</v>
      </c>
      <c r="P28" s="2">
        <v>72.548916000000006</v>
      </c>
      <c r="Q28" s="2">
        <v>23.036653000000001</v>
      </c>
    </row>
    <row r="29" spans="1:17" x14ac:dyDescent="0.25">
      <c r="A29" s="2">
        <v>28</v>
      </c>
      <c r="B29" s="2" t="s">
        <v>15</v>
      </c>
      <c r="C29" s="2">
        <v>22</v>
      </c>
      <c r="D29" s="2">
        <f t="shared" si="0"/>
        <v>55.88</v>
      </c>
      <c r="E29" s="2">
        <f t="shared" si="1"/>
        <v>17.787156439950223</v>
      </c>
      <c r="F29" s="2">
        <f t="shared" si="6"/>
        <v>7.0028174960433951</v>
      </c>
      <c r="G29" s="2">
        <v>6.6412779999999998</v>
      </c>
      <c r="H29" s="2">
        <f t="shared" si="2"/>
        <v>21.788970513519999</v>
      </c>
      <c r="I29" s="2">
        <f>INDEX('Wood Density Lookup'!$B$2:$B$152,MATCH(B29,'Wood Density Lookup'!$A$2:$A$152,0))</f>
        <v>0.75</v>
      </c>
      <c r="J29" s="2">
        <f t="shared" si="7"/>
        <v>88.879256652084351</v>
      </c>
      <c r="K29" s="2">
        <f t="shared" si="8"/>
        <v>24.886191862583619</v>
      </c>
      <c r="L29" s="2">
        <f t="shared" si="9"/>
        <v>113.76544851466797</v>
      </c>
      <c r="M29" s="2">
        <f t="shared" si="3"/>
        <v>82.47995017313427</v>
      </c>
      <c r="N29" s="2">
        <f t="shared" si="4"/>
        <v>41.239975086567135</v>
      </c>
      <c r="O29" s="2">
        <f t="shared" si="5"/>
        <v>151.35070856770139</v>
      </c>
      <c r="P29" s="2">
        <v>72.548916000000006</v>
      </c>
      <c r="Q29" s="2">
        <v>23.037151999999999</v>
      </c>
    </row>
    <row r="30" spans="1:17" x14ac:dyDescent="0.25">
      <c r="A30" s="2">
        <v>29</v>
      </c>
      <c r="B30" s="2" t="s">
        <v>59</v>
      </c>
      <c r="C30" s="2">
        <v>97</v>
      </c>
      <c r="D30" s="2">
        <f t="shared" si="0"/>
        <v>246.38</v>
      </c>
      <c r="E30" s="2">
        <f t="shared" si="1"/>
        <v>78.425189757962343</v>
      </c>
      <c r="F30" s="2">
        <f t="shared" si="6"/>
        <v>30.876058959827695</v>
      </c>
      <c r="G30" s="2">
        <v>6.4057709999999997</v>
      </c>
      <c r="H30" s="2">
        <f t="shared" si="2"/>
        <v>21.016309727639999</v>
      </c>
      <c r="I30" s="2">
        <f>INDEX('Wood Density Lookup'!$B$2:$B$152,MATCH(B30,'Wood Density Lookup'!$A$2:$A$152,0))</f>
        <v>0.45</v>
      </c>
      <c r="J30" s="2">
        <f t="shared" si="7"/>
        <v>943.49903756201707</v>
      </c>
      <c r="K30" s="2">
        <f t="shared" si="8"/>
        <v>264.17973051736482</v>
      </c>
      <c r="L30" s="2">
        <f t="shared" si="9"/>
        <v>1207.6787680793818</v>
      </c>
      <c r="M30" s="2">
        <f t="shared" si="3"/>
        <v>875.56710685755183</v>
      </c>
      <c r="N30" s="2">
        <f t="shared" si="4"/>
        <v>437.78355342877592</v>
      </c>
      <c r="O30" s="2">
        <f t="shared" si="5"/>
        <v>1606.6656410836076</v>
      </c>
      <c r="P30" s="2">
        <v>72.548917000000003</v>
      </c>
      <c r="Q30" s="2">
        <v>23.035837999999998</v>
      </c>
    </row>
    <row r="31" spans="1:17" x14ac:dyDescent="0.25">
      <c r="A31" s="2">
        <v>31</v>
      </c>
      <c r="B31" s="2" t="s">
        <v>31</v>
      </c>
      <c r="C31" s="2">
        <v>9</v>
      </c>
      <c r="D31" s="2">
        <f t="shared" si="0"/>
        <v>22.86</v>
      </c>
      <c r="E31" s="2">
        <f t="shared" si="1"/>
        <v>7.2765639981614552</v>
      </c>
      <c r="F31" s="2">
        <f t="shared" si="6"/>
        <v>2.8647889756541161</v>
      </c>
      <c r="G31" s="2">
        <v>11.699126</v>
      </c>
      <c r="H31" s="2">
        <f t="shared" si="2"/>
        <v>38.38296054584</v>
      </c>
      <c r="I31" s="2">
        <f>INDEX('Wood Density Lookup'!$B$2:$B$152,MATCH(B31,'Wood Density Lookup'!$A$2:$A$152,0))</f>
        <v>0.78</v>
      </c>
      <c r="J31" s="2">
        <f t="shared" si="7"/>
        <v>28.034794342000122</v>
      </c>
      <c r="K31" s="2">
        <f t="shared" si="8"/>
        <v>7.8497424157600353</v>
      </c>
      <c r="L31" s="2">
        <f t="shared" si="9"/>
        <v>35.884536757760159</v>
      </c>
      <c r="M31" s="2">
        <f t="shared" si="3"/>
        <v>26.016289149376114</v>
      </c>
      <c r="N31" s="2">
        <f t="shared" si="4"/>
        <v>13.008144574688057</v>
      </c>
      <c r="O31" s="2">
        <f t="shared" si="5"/>
        <v>47.739890589105165</v>
      </c>
      <c r="P31" s="2">
        <v>72.548919999999995</v>
      </c>
      <c r="Q31" s="2">
        <v>23.036887</v>
      </c>
    </row>
    <row r="32" spans="1:17" x14ac:dyDescent="0.25">
      <c r="A32" s="2">
        <v>32</v>
      </c>
      <c r="B32" s="2" t="s">
        <v>50</v>
      </c>
      <c r="C32" s="2">
        <v>38</v>
      </c>
      <c r="D32" s="2">
        <f t="shared" si="0"/>
        <v>96.52</v>
      </c>
      <c r="E32" s="2">
        <f t="shared" si="1"/>
        <v>30.723270214459475</v>
      </c>
      <c r="F32" s="2">
        <f t="shared" si="6"/>
        <v>12.095775674984045</v>
      </c>
      <c r="G32" s="2">
        <v>12.01947</v>
      </c>
      <c r="H32" s="2">
        <f t="shared" si="2"/>
        <v>39.4339579548</v>
      </c>
      <c r="I32" s="2">
        <f>INDEX('Wood Density Lookup'!$B$2:$B$152,MATCH(B32,'Wood Density Lookup'!$A$2:$A$152,0))</f>
        <v>0.5</v>
      </c>
      <c r="J32" s="2">
        <f t="shared" si="7"/>
        <v>310.2517948183667</v>
      </c>
      <c r="K32" s="2">
        <f t="shared" si="8"/>
        <v>86.870502549142685</v>
      </c>
      <c r="L32" s="2">
        <f t="shared" si="9"/>
        <v>397.12229736750942</v>
      </c>
      <c r="M32" s="2">
        <f t="shared" si="3"/>
        <v>287.91366559144433</v>
      </c>
      <c r="N32" s="2">
        <f t="shared" si="4"/>
        <v>143.95683279572216</v>
      </c>
      <c r="O32" s="2">
        <f t="shared" si="5"/>
        <v>528.32157636030036</v>
      </c>
      <c r="P32" s="2">
        <v>72.548921000000007</v>
      </c>
      <c r="Q32" s="2">
        <v>23.037755000000001</v>
      </c>
    </row>
    <row r="33" spans="1:17" x14ac:dyDescent="0.25">
      <c r="A33" s="2">
        <v>33</v>
      </c>
      <c r="B33" s="2" t="s">
        <v>15</v>
      </c>
      <c r="C33" s="2">
        <v>28</v>
      </c>
      <c r="D33" s="2">
        <f t="shared" si="0"/>
        <v>71.12</v>
      </c>
      <c r="E33" s="2">
        <f t="shared" si="1"/>
        <v>22.638199105391195</v>
      </c>
      <c r="F33" s="2">
        <f t="shared" si="6"/>
        <v>8.91267681314614</v>
      </c>
      <c r="G33" s="2">
        <v>8.4837199999999999</v>
      </c>
      <c r="H33" s="2">
        <f t="shared" si="2"/>
        <v>27.833727924799998</v>
      </c>
      <c r="I33" s="2">
        <f>INDEX('Wood Density Lookup'!$B$2:$B$152,MATCH(B33,'Wood Density Lookup'!$A$2:$A$152,0))</f>
        <v>0.75</v>
      </c>
      <c r="J33" s="2">
        <f t="shared" si="7"/>
        <v>180.72842025182331</v>
      </c>
      <c r="K33" s="2">
        <f t="shared" si="8"/>
        <v>50.603957670510532</v>
      </c>
      <c r="L33" s="2">
        <f t="shared" si="9"/>
        <v>231.33237792233385</v>
      </c>
      <c r="M33" s="2">
        <f t="shared" si="3"/>
        <v>167.71597399369205</v>
      </c>
      <c r="N33" s="2">
        <f t="shared" si="4"/>
        <v>83.857986996846023</v>
      </c>
      <c r="O33" s="2">
        <f t="shared" si="5"/>
        <v>307.7588122784249</v>
      </c>
      <c r="P33" s="2">
        <v>72.548923000000002</v>
      </c>
      <c r="Q33" s="2">
        <v>23.036974000000001</v>
      </c>
    </row>
    <row r="34" spans="1:17" x14ac:dyDescent="0.25">
      <c r="A34" s="2">
        <v>34</v>
      </c>
      <c r="B34" s="2" t="s">
        <v>59</v>
      </c>
      <c r="C34" s="2">
        <v>210</v>
      </c>
      <c r="D34" s="2">
        <f t="shared" si="0"/>
        <v>533.4</v>
      </c>
      <c r="E34" s="2">
        <f t="shared" si="1"/>
        <v>169.78649329043395</v>
      </c>
      <c r="F34" s="2">
        <f t="shared" si="6"/>
        <v>66.845076098596039</v>
      </c>
      <c r="G34" s="2">
        <v>8.5190680000000008</v>
      </c>
      <c r="H34" s="2">
        <f t="shared" si="2"/>
        <v>27.949699057120004</v>
      </c>
      <c r="I34" s="2">
        <f>INDEX('Wood Density Lookup'!$B$2:$B$152,MATCH(B34,'Wood Density Lookup'!$A$2:$A$152,0))</f>
        <v>0.45</v>
      </c>
      <c r="J34" s="2">
        <f t="shared" si="7"/>
        <v>5628.3886571064913</v>
      </c>
      <c r="K34" s="2">
        <f t="shared" si="8"/>
        <v>1575.9488239898178</v>
      </c>
      <c r="L34" s="2">
        <f t="shared" si="9"/>
        <v>7204.3374810963087</v>
      </c>
      <c r="M34" s="2">
        <f t="shared" si="3"/>
        <v>5223.1446737948236</v>
      </c>
      <c r="N34" s="2">
        <f t="shared" si="4"/>
        <v>2611.5723368974118</v>
      </c>
      <c r="O34" s="2">
        <f t="shared" si="5"/>
        <v>9584.4704764135004</v>
      </c>
      <c r="P34" s="2">
        <v>72.548927000000006</v>
      </c>
      <c r="Q34" s="2">
        <v>23.038316999999999</v>
      </c>
    </row>
    <row r="35" spans="1:17" x14ac:dyDescent="0.25">
      <c r="A35" s="2">
        <v>35</v>
      </c>
      <c r="B35" s="2" t="s">
        <v>115</v>
      </c>
      <c r="C35" s="2">
        <v>10</v>
      </c>
      <c r="D35" s="2">
        <f t="shared" si="0"/>
        <v>25.4</v>
      </c>
      <c r="E35" s="2">
        <f t="shared" si="1"/>
        <v>8.0850711090682825</v>
      </c>
      <c r="F35" s="2">
        <f t="shared" si="6"/>
        <v>3.183098861837907</v>
      </c>
      <c r="G35" s="2">
        <v>13.237923</v>
      </c>
      <c r="H35" s="2">
        <f t="shared" si="2"/>
        <v>43.431507295320003</v>
      </c>
      <c r="I35" s="2">
        <f>INDEX('Wood Density Lookup'!$B$2:$B$152,MATCH(B35,'Wood Density Lookup'!$A$2:$A$152,0))</f>
        <v>0.65</v>
      </c>
      <c r="J35" s="2">
        <f t="shared" si="7"/>
        <v>32.517229626349675</v>
      </c>
      <c r="K35" s="2">
        <f t="shared" si="8"/>
        <v>9.1048242953779095</v>
      </c>
      <c r="L35" s="2">
        <f t="shared" si="9"/>
        <v>41.622053921727584</v>
      </c>
      <c r="M35" s="2">
        <f t="shared" si="3"/>
        <v>30.175989093252497</v>
      </c>
      <c r="N35" s="2">
        <f t="shared" si="4"/>
        <v>15.087994546626248</v>
      </c>
      <c r="O35" s="2">
        <f t="shared" si="5"/>
        <v>55.372939986118332</v>
      </c>
      <c r="P35" s="2">
        <v>72.548929000000001</v>
      </c>
      <c r="Q35" s="2">
        <v>23.036193000000001</v>
      </c>
    </row>
    <row r="36" spans="1:17" x14ac:dyDescent="0.25">
      <c r="A36" s="2">
        <v>36</v>
      </c>
      <c r="B36" s="2" t="s">
        <v>115</v>
      </c>
      <c r="C36" s="2">
        <v>11</v>
      </c>
      <c r="D36" s="2">
        <f t="shared" si="0"/>
        <v>27.94</v>
      </c>
      <c r="E36" s="2">
        <f t="shared" si="1"/>
        <v>8.8935782199751117</v>
      </c>
      <c r="F36" s="2">
        <f t="shared" si="6"/>
        <v>3.5014087480216975</v>
      </c>
      <c r="G36" s="2">
        <v>11.798169</v>
      </c>
      <c r="H36" s="2">
        <f t="shared" si="2"/>
        <v>38.707904781959996</v>
      </c>
      <c r="I36" s="2">
        <f>INDEX('Wood Density Lookup'!$B$2:$B$152,MATCH(B36,'Wood Density Lookup'!$A$2:$A$152,0))</f>
        <v>0.65</v>
      </c>
      <c r="J36" s="2">
        <f t="shared" si="7"/>
        <v>35.0031353392828</v>
      </c>
      <c r="K36" s="2">
        <f t="shared" si="8"/>
        <v>9.8008778949991839</v>
      </c>
      <c r="L36" s="2">
        <f t="shared" si="9"/>
        <v>44.804013234281982</v>
      </c>
      <c r="M36" s="2">
        <f t="shared" si="3"/>
        <v>32.482909594854434</v>
      </c>
      <c r="N36" s="2">
        <f t="shared" si="4"/>
        <v>16.241454797427217</v>
      </c>
      <c r="O36" s="2">
        <f t="shared" si="5"/>
        <v>59.606139106557883</v>
      </c>
      <c r="P36" s="2">
        <v>72.548929999999999</v>
      </c>
      <c r="Q36" s="2">
        <v>23.036169999999998</v>
      </c>
    </row>
    <row r="37" spans="1:17" x14ac:dyDescent="0.25">
      <c r="A37" s="2">
        <v>37</v>
      </c>
      <c r="B37" s="2" t="s">
        <v>107</v>
      </c>
      <c r="C37" s="2">
        <v>42</v>
      </c>
      <c r="D37" s="2">
        <f t="shared" si="0"/>
        <v>106.68</v>
      </c>
      <c r="E37" s="2">
        <f t="shared" si="1"/>
        <v>33.957298658086792</v>
      </c>
      <c r="F37" s="2">
        <f t="shared" si="6"/>
        <v>13.369015219719209</v>
      </c>
      <c r="G37" s="2">
        <v>12.872063000000001</v>
      </c>
      <c r="H37" s="2">
        <f t="shared" si="2"/>
        <v>42.231179172920001</v>
      </c>
      <c r="I37" s="2">
        <f>INDEX('Wood Density Lookup'!$B$2:$B$152,MATCH(B37,'Wood Density Lookup'!$A$2:$A$152,0))</f>
        <v>0.65</v>
      </c>
      <c r="J37" s="2">
        <f t="shared" si="7"/>
        <v>520.97463542889307</v>
      </c>
      <c r="K37" s="2">
        <f t="shared" si="8"/>
        <v>145.87289792009008</v>
      </c>
      <c r="L37" s="2">
        <f t="shared" si="9"/>
        <v>666.84753334898312</v>
      </c>
      <c r="M37" s="2">
        <f t="shared" si="3"/>
        <v>483.46446167801275</v>
      </c>
      <c r="N37" s="2">
        <f t="shared" si="4"/>
        <v>241.73223083900638</v>
      </c>
      <c r="O37" s="2">
        <f t="shared" si="5"/>
        <v>887.1572871791534</v>
      </c>
      <c r="P37" s="2">
        <v>72.548930999999996</v>
      </c>
      <c r="Q37" s="2">
        <v>23.036837999999999</v>
      </c>
    </row>
    <row r="38" spans="1:17" x14ac:dyDescent="0.25">
      <c r="A38" s="2">
        <v>38</v>
      </c>
      <c r="B38" s="2" t="s">
        <v>115</v>
      </c>
      <c r="C38" s="2">
        <v>8</v>
      </c>
      <c r="D38" s="2">
        <f t="shared" si="0"/>
        <v>20.32</v>
      </c>
      <c r="E38" s="2">
        <f t="shared" si="1"/>
        <v>6.4680568872546269</v>
      </c>
      <c r="F38" s="2">
        <f t="shared" si="6"/>
        <v>2.5464790894703255</v>
      </c>
      <c r="G38" s="2">
        <v>8.7986380000000004</v>
      </c>
      <c r="H38" s="2">
        <f t="shared" si="2"/>
        <v>28.866923495920002</v>
      </c>
      <c r="I38" s="2">
        <f>INDEX('Wood Density Lookup'!$B$2:$B$152,MATCH(B38,'Wood Density Lookup'!$A$2:$A$152,0))</f>
        <v>0.65</v>
      </c>
      <c r="J38" s="2">
        <f t="shared" si="7"/>
        <v>14.118823120860226</v>
      </c>
      <c r="K38" s="2">
        <f t="shared" si="8"/>
        <v>3.9532704738408637</v>
      </c>
      <c r="L38" s="2">
        <f t="shared" si="9"/>
        <v>18.072093594701091</v>
      </c>
      <c r="M38" s="2">
        <f t="shared" si="3"/>
        <v>13.10226785615829</v>
      </c>
      <c r="N38" s="2">
        <f t="shared" si="4"/>
        <v>6.5511339280791452</v>
      </c>
      <c r="O38" s="2">
        <f t="shared" si="5"/>
        <v>24.042661516050462</v>
      </c>
      <c r="P38" s="2">
        <v>72.548930999999996</v>
      </c>
      <c r="Q38" s="2">
        <v>23.036152000000001</v>
      </c>
    </row>
    <row r="39" spans="1:17" x14ac:dyDescent="0.25">
      <c r="A39" s="2">
        <v>39</v>
      </c>
      <c r="B39" s="2" t="s">
        <v>115</v>
      </c>
      <c r="C39" s="2">
        <v>10</v>
      </c>
      <c r="D39" s="2">
        <f t="shared" si="0"/>
        <v>25.4</v>
      </c>
      <c r="E39" s="2">
        <f t="shared" si="1"/>
        <v>8.0850711090682825</v>
      </c>
      <c r="F39" s="2">
        <f t="shared" si="6"/>
        <v>3.183098861837907</v>
      </c>
      <c r="G39" s="2">
        <v>8.2493590000000001</v>
      </c>
      <c r="H39" s="2">
        <f t="shared" si="2"/>
        <v>27.06482698156</v>
      </c>
      <c r="I39" s="2">
        <f>INDEX('Wood Density Lookup'!$B$2:$B$152,MATCH(B39,'Wood Density Lookup'!$A$2:$A$152,0))</f>
        <v>0.65</v>
      </c>
      <c r="J39" s="2">
        <f t="shared" si="7"/>
        <v>20.494790469895715</v>
      </c>
      <c r="K39" s="2">
        <f t="shared" si="8"/>
        <v>5.7385413315708007</v>
      </c>
      <c r="L39" s="2">
        <f t="shared" si="9"/>
        <v>26.233331801466516</v>
      </c>
      <c r="M39" s="2">
        <f t="shared" si="3"/>
        <v>19.019165556063225</v>
      </c>
      <c r="N39" s="2">
        <f t="shared" si="4"/>
        <v>9.5095827780316124</v>
      </c>
      <c r="O39" s="2">
        <f t="shared" si="5"/>
        <v>34.900168795376018</v>
      </c>
      <c r="P39" s="2">
        <v>72.548933000000005</v>
      </c>
      <c r="Q39" s="2">
        <v>23.036134000000001</v>
      </c>
    </row>
    <row r="40" spans="1:17" x14ac:dyDescent="0.25">
      <c r="A40" s="2">
        <v>40</v>
      </c>
      <c r="B40" s="2" t="s">
        <v>72</v>
      </c>
      <c r="C40" s="2">
        <v>16</v>
      </c>
      <c r="D40" s="2">
        <f t="shared" si="0"/>
        <v>40.64</v>
      </c>
      <c r="E40" s="2">
        <f t="shared" si="1"/>
        <v>12.936113774509254</v>
      </c>
      <c r="F40" s="2">
        <f t="shared" si="6"/>
        <v>5.0929581789406511</v>
      </c>
      <c r="G40" s="2">
        <v>15.320715999999999</v>
      </c>
      <c r="H40" s="2">
        <f t="shared" si="2"/>
        <v>50.264817881439996</v>
      </c>
      <c r="I40" s="2">
        <f>INDEX('Wood Density Lookup'!$B$2:$B$152,MATCH(B40,'Wood Density Lookup'!$A$2:$A$152,0))</f>
        <v>0.65</v>
      </c>
      <c r="J40" s="2">
        <f t="shared" si="7"/>
        <v>93.862460471338949</v>
      </c>
      <c r="K40" s="2">
        <f t="shared" si="8"/>
        <v>26.281488931974909</v>
      </c>
      <c r="L40" s="2">
        <f t="shared" si="9"/>
        <v>120.14394940331385</v>
      </c>
      <c r="M40" s="2">
        <f t="shared" si="3"/>
        <v>87.104363317402544</v>
      </c>
      <c r="N40" s="2">
        <f t="shared" si="4"/>
        <v>43.552181658701272</v>
      </c>
      <c r="O40" s="2">
        <f t="shared" si="5"/>
        <v>159.83650668743365</v>
      </c>
      <c r="P40" s="2">
        <v>72.548935</v>
      </c>
      <c r="Q40" s="2">
        <v>23.038492999999999</v>
      </c>
    </row>
    <row r="41" spans="1:17" x14ac:dyDescent="0.25">
      <c r="A41" s="2">
        <v>41</v>
      </c>
      <c r="B41" s="2" t="s">
        <v>72</v>
      </c>
      <c r="C41" s="2">
        <v>75</v>
      </c>
      <c r="D41" s="2">
        <f t="shared" si="0"/>
        <v>190.5</v>
      </c>
      <c r="E41" s="2">
        <f t="shared" si="1"/>
        <v>60.638033318012127</v>
      </c>
      <c r="F41" s="2">
        <f t="shared" si="6"/>
        <v>23.8732414637843</v>
      </c>
      <c r="G41" s="2">
        <v>16.586964999999999</v>
      </c>
      <c r="H41" s="2">
        <f t="shared" si="2"/>
        <v>54.419178250599998</v>
      </c>
      <c r="I41" s="2">
        <f>INDEX('Wood Density Lookup'!$B$2:$B$152,MATCH(B41,'Wood Density Lookup'!$A$2:$A$152,0))</f>
        <v>0.65</v>
      </c>
      <c r="J41" s="2">
        <f t="shared" si="7"/>
        <v>2069.3286554381607</v>
      </c>
      <c r="K41" s="2">
        <f t="shared" si="8"/>
        <v>579.4120235226851</v>
      </c>
      <c r="L41" s="2">
        <f t="shared" si="9"/>
        <v>2648.7406789608458</v>
      </c>
      <c r="M41" s="2">
        <f t="shared" si="3"/>
        <v>1920.3369922466131</v>
      </c>
      <c r="N41" s="2">
        <f t="shared" si="4"/>
        <v>960.16849612330657</v>
      </c>
      <c r="O41" s="2">
        <f t="shared" si="5"/>
        <v>3523.818380772535</v>
      </c>
      <c r="P41" s="2">
        <v>72.548935</v>
      </c>
      <c r="Q41" s="2">
        <v>23.03726</v>
      </c>
    </row>
    <row r="42" spans="1:17" x14ac:dyDescent="0.25">
      <c r="A42" s="2">
        <v>42</v>
      </c>
      <c r="B42" s="2" t="s">
        <v>142</v>
      </c>
      <c r="C42" s="2">
        <v>1</v>
      </c>
      <c r="D42" s="2">
        <f t="shared" si="0"/>
        <v>2.54</v>
      </c>
      <c r="E42" s="2">
        <f t="shared" si="1"/>
        <v>0.80850711090682836</v>
      </c>
      <c r="F42" s="2">
        <f t="shared" si="6"/>
        <v>0.31830988618379069</v>
      </c>
      <c r="G42" s="2">
        <v>14.833862999999999</v>
      </c>
      <c r="H42" s="2">
        <f t="shared" si="2"/>
        <v>48.66753108492</v>
      </c>
      <c r="I42" s="2">
        <f>INDEX('Wood Density Lookup'!$B$2:$B$152,MATCH(B42,'Wood Density Lookup'!$A$2:$A$152,0))</f>
        <v>0.68</v>
      </c>
      <c r="J42" s="2">
        <f t="shared" si="7"/>
        <v>0.42411808105650789</v>
      </c>
      <c r="K42" s="2">
        <f t="shared" si="8"/>
        <v>0.11875306269582223</v>
      </c>
      <c r="L42" s="2">
        <f t="shared" si="9"/>
        <v>0.54287114375233014</v>
      </c>
      <c r="M42" s="2">
        <f t="shared" si="3"/>
        <v>0.39358157922043935</v>
      </c>
      <c r="N42" s="2">
        <f t="shared" si="4"/>
        <v>0.19679078961021967</v>
      </c>
      <c r="O42" s="2">
        <f t="shared" si="5"/>
        <v>0.72222219786950614</v>
      </c>
      <c r="P42" s="2">
        <v>72.548935</v>
      </c>
      <c r="Q42" s="2">
        <v>23.036000999999999</v>
      </c>
    </row>
    <row r="43" spans="1:17" x14ac:dyDescent="0.25">
      <c r="A43" s="2">
        <v>43</v>
      </c>
      <c r="B43" s="2" t="s">
        <v>31</v>
      </c>
      <c r="C43" s="2">
        <v>68</v>
      </c>
      <c r="D43" s="2">
        <f t="shared" si="0"/>
        <v>172.72</v>
      </c>
      <c r="E43" s="2">
        <f t="shared" si="1"/>
        <v>54.978483541664325</v>
      </c>
      <c r="F43" s="2">
        <f t="shared" si="6"/>
        <v>21.645072260497766</v>
      </c>
      <c r="G43" s="2">
        <v>16.852004000000001</v>
      </c>
      <c r="H43" s="2">
        <f t="shared" si="2"/>
        <v>55.288728803360002</v>
      </c>
      <c r="I43" s="2">
        <f>INDEX('Wood Density Lookup'!$B$2:$B$152,MATCH(B43,'Wood Density Lookup'!$A$2:$A$152,0))</f>
        <v>0.78</v>
      </c>
      <c r="J43" s="2">
        <f t="shared" si="7"/>
        <v>2073.8033593265136</v>
      </c>
      <c r="K43" s="2">
        <f t="shared" si="8"/>
        <v>580.66494061142384</v>
      </c>
      <c r="L43" s="2">
        <f t="shared" si="9"/>
        <v>2654.4682999379374</v>
      </c>
      <c r="M43" s="2">
        <f t="shared" si="3"/>
        <v>1924.4895174550045</v>
      </c>
      <c r="N43" s="2">
        <f t="shared" si="4"/>
        <v>962.24475872750224</v>
      </c>
      <c r="O43" s="2">
        <f t="shared" si="5"/>
        <v>3531.4382645299333</v>
      </c>
      <c r="P43" s="2">
        <v>72.548936999999995</v>
      </c>
      <c r="Q43" s="2">
        <v>23.037246</v>
      </c>
    </row>
    <row r="44" spans="1:17" x14ac:dyDescent="0.25">
      <c r="A44" s="2">
        <v>44</v>
      </c>
      <c r="B44" s="2" t="s">
        <v>49</v>
      </c>
      <c r="C44" s="2">
        <v>26</v>
      </c>
      <c r="D44" s="2">
        <f t="shared" si="0"/>
        <v>66.040000000000006</v>
      </c>
      <c r="E44" s="2">
        <f t="shared" si="1"/>
        <v>21.02118488357754</v>
      </c>
      <c r="F44" s="2">
        <f t="shared" si="6"/>
        <v>8.2760570407785572</v>
      </c>
      <c r="G44" s="2">
        <v>13.386832</v>
      </c>
      <c r="H44" s="2">
        <f t="shared" si="2"/>
        <v>43.920053898879999</v>
      </c>
      <c r="I44" s="2">
        <f>INDEX('Wood Density Lookup'!$B$2:$B$152,MATCH(B44,'Wood Density Lookup'!$A$2:$A$152,0))</f>
        <v>0.78</v>
      </c>
      <c r="J44" s="2">
        <f t="shared" si="7"/>
        <v>253.60848559403124</v>
      </c>
      <c r="K44" s="2">
        <f t="shared" si="8"/>
        <v>71.010375966328752</v>
      </c>
      <c r="L44" s="2">
        <f t="shared" si="9"/>
        <v>324.61886156035996</v>
      </c>
      <c r="M44" s="2">
        <f t="shared" si="3"/>
        <v>235.34867463126096</v>
      </c>
      <c r="N44" s="2">
        <f t="shared" si="4"/>
        <v>117.67433731563048</v>
      </c>
      <c r="O44" s="2">
        <f t="shared" si="5"/>
        <v>431.86481794836385</v>
      </c>
      <c r="P44" s="2">
        <v>72.548939000000004</v>
      </c>
      <c r="Q44" s="2">
        <v>23.036235000000001</v>
      </c>
    </row>
    <row r="45" spans="1:17" x14ac:dyDescent="0.25">
      <c r="A45" s="2">
        <v>45</v>
      </c>
      <c r="B45" s="2" t="s">
        <v>3</v>
      </c>
      <c r="C45" s="2">
        <v>34</v>
      </c>
      <c r="D45" s="2">
        <f t="shared" si="0"/>
        <v>86.36</v>
      </c>
      <c r="E45" s="2">
        <f t="shared" si="1"/>
        <v>27.489241770832162</v>
      </c>
      <c r="F45" s="2">
        <f t="shared" si="6"/>
        <v>10.822536130248883</v>
      </c>
      <c r="G45" s="2">
        <v>8.2777659999999997</v>
      </c>
      <c r="H45" s="2">
        <f t="shared" si="2"/>
        <v>27.158025803439998</v>
      </c>
      <c r="I45" s="2">
        <f>INDEX('Wood Density Lookup'!$B$2:$B$152,MATCH(B45,'Wood Density Lookup'!$A$2:$A$152,0))</f>
        <v>0.62</v>
      </c>
      <c r="J45" s="2">
        <f t="shared" si="7"/>
        <v>214.05150833547066</v>
      </c>
      <c r="K45" s="2">
        <f t="shared" si="8"/>
        <v>59.934422333931792</v>
      </c>
      <c r="L45" s="2">
        <f t="shared" si="9"/>
        <v>273.98593066940248</v>
      </c>
      <c r="M45" s="2">
        <f t="shared" si="3"/>
        <v>198.63979973531679</v>
      </c>
      <c r="N45" s="2">
        <f t="shared" si="4"/>
        <v>99.319899867658393</v>
      </c>
      <c r="O45" s="2">
        <f t="shared" si="5"/>
        <v>364.50403251430629</v>
      </c>
      <c r="P45" s="2">
        <v>72.548940000000002</v>
      </c>
      <c r="Q45" s="2">
        <v>23.036332999999999</v>
      </c>
    </row>
    <row r="46" spans="1:17" x14ac:dyDescent="0.25">
      <c r="A46" s="2">
        <v>46</v>
      </c>
      <c r="B46" s="2" t="s">
        <v>49</v>
      </c>
      <c r="C46" s="2">
        <v>12</v>
      </c>
      <c r="D46" s="2">
        <f t="shared" si="0"/>
        <v>30.48</v>
      </c>
      <c r="E46" s="2">
        <f t="shared" si="1"/>
        <v>9.7020853308819408</v>
      </c>
      <c r="F46" s="2">
        <f t="shared" si="6"/>
        <v>3.8197186342054881</v>
      </c>
      <c r="G46" s="2">
        <v>12.225212000000001</v>
      </c>
      <c r="H46" s="2">
        <f t="shared" si="2"/>
        <v>40.108964538080002</v>
      </c>
      <c r="I46" s="2">
        <f>INDEX('Wood Density Lookup'!$B$2:$B$152,MATCH(B46,'Wood Density Lookup'!$A$2:$A$152,0))</f>
        <v>0.78</v>
      </c>
      <c r="J46" s="2">
        <f t="shared" si="7"/>
        <v>51.312396392092182</v>
      </c>
      <c r="K46" s="2">
        <f t="shared" si="8"/>
        <v>14.367470989785813</v>
      </c>
      <c r="L46" s="2">
        <f t="shared" si="9"/>
        <v>65.679867381877997</v>
      </c>
      <c r="M46" s="2">
        <f t="shared" si="3"/>
        <v>47.617903851861549</v>
      </c>
      <c r="N46" s="2">
        <f t="shared" si="4"/>
        <v>23.808951925930774</v>
      </c>
      <c r="O46" s="2">
        <f t="shared" si="5"/>
        <v>87.378853568165937</v>
      </c>
      <c r="P46" s="2">
        <v>72.548944000000006</v>
      </c>
      <c r="Q46" s="2">
        <v>23.036076000000001</v>
      </c>
    </row>
    <row r="47" spans="1:17" x14ac:dyDescent="0.25">
      <c r="A47" s="2">
        <v>47</v>
      </c>
      <c r="B47" s="2" t="s">
        <v>82</v>
      </c>
      <c r="C47" s="2">
        <v>26</v>
      </c>
      <c r="D47" s="2">
        <f t="shared" si="0"/>
        <v>66.040000000000006</v>
      </c>
      <c r="E47" s="2">
        <f t="shared" si="1"/>
        <v>21.02118488357754</v>
      </c>
      <c r="F47" s="2">
        <f t="shared" si="6"/>
        <v>8.2760570407785572</v>
      </c>
      <c r="G47" s="2">
        <v>15.722835999999999</v>
      </c>
      <c r="H47" s="2">
        <f t="shared" si="2"/>
        <v>51.584109262239998</v>
      </c>
      <c r="I47" s="2">
        <f>INDEX('Wood Density Lookup'!$B$2:$B$152,MATCH(B47,'Wood Density Lookup'!$A$2:$A$152,0))</f>
        <v>0.7</v>
      </c>
      <c r="J47" s="2">
        <f t="shared" si="7"/>
        <v>266.97569950849368</v>
      </c>
      <c r="K47" s="2">
        <f t="shared" si="8"/>
        <v>74.753195862378234</v>
      </c>
      <c r="L47" s="2">
        <f t="shared" si="9"/>
        <v>341.7288953708719</v>
      </c>
      <c r="M47" s="2">
        <f t="shared" si="3"/>
        <v>247.75344914388211</v>
      </c>
      <c r="N47" s="2">
        <f t="shared" si="4"/>
        <v>123.87672457194105</v>
      </c>
      <c r="O47" s="2">
        <f t="shared" si="5"/>
        <v>454.62757917902366</v>
      </c>
      <c r="P47" s="2">
        <v>72.548947999999996</v>
      </c>
      <c r="Q47" s="2">
        <v>23.038602000000001</v>
      </c>
    </row>
    <row r="48" spans="1:17" x14ac:dyDescent="0.25">
      <c r="A48" s="2">
        <v>48</v>
      </c>
      <c r="B48" s="2" t="s">
        <v>115</v>
      </c>
      <c r="C48" s="2">
        <v>9</v>
      </c>
      <c r="D48" s="2">
        <f t="shared" si="0"/>
        <v>22.86</v>
      </c>
      <c r="E48" s="2">
        <f t="shared" si="1"/>
        <v>7.2765639981614552</v>
      </c>
      <c r="F48" s="2">
        <f t="shared" si="6"/>
        <v>2.8647889756541161</v>
      </c>
      <c r="G48" s="2">
        <v>7.0062280000000001</v>
      </c>
      <c r="H48" s="2">
        <f t="shared" si="2"/>
        <v>22.986313071520001</v>
      </c>
      <c r="I48" s="2">
        <f>INDEX('Wood Density Lookup'!$B$2:$B$152,MATCH(B48,'Wood Density Lookup'!$A$2:$A$152,0))</f>
        <v>0.65</v>
      </c>
      <c r="J48" s="2">
        <f t="shared" si="7"/>
        <v>14.226281105092431</v>
      </c>
      <c r="K48" s="2">
        <f t="shared" si="8"/>
        <v>3.9833587094258811</v>
      </c>
      <c r="L48" s="2">
        <f t="shared" si="9"/>
        <v>18.209639814518312</v>
      </c>
      <c r="M48" s="2">
        <f t="shared" si="3"/>
        <v>13.201988865525776</v>
      </c>
      <c r="N48" s="2">
        <f t="shared" si="4"/>
        <v>6.6009944327628878</v>
      </c>
      <c r="O48" s="2">
        <f t="shared" si="5"/>
        <v>24.225649568239799</v>
      </c>
      <c r="P48" s="2">
        <v>72.548947999999996</v>
      </c>
      <c r="Q48" s="2">
        <v>23.036166999999999</v>
      </c>
    </row>
    <row r="49" spans="1:17" x14ac:dyDescent="0.25">
      <c r="A49" s="2">
        <v>49</v>
      </c>
      <c r="B49" s="2" t="s">
        <v>10</v>
      </c>
      <c r="C49" s="2">
        <v>8</v>
      </c>
      <c r="D49" s="2">
        <f t="shared" si="0"/>
        <v>20.32</v>
      </c>
      <c r="E49" s="2">
        <f t="shared" si="1"/>
        <v>6.4680568872546269</v>
      </c>
      <c r="F49" s="2">
        <f t="shared" si="6"/>
        <v>2.5464790894703255</v>
      </c>
      <c r="G49" s="2">
        <v>7.2924939999999996</v>
      </c>
      <c r="H49" s="2">
        <f t="shared" si="2"/>
        <v>23.92550601496</v>
      </c>
      <c r="I49" s="2">
        <f>INDEX('Wood Density Lookup'!$B$2:$B$152,MATCH(B49,'Wood Density Lookup'!$A$2:$A$152,0))</f>
        <v>0.65</v>
      </c>
      <c r="J49" s="2">
        <f t="shared" si="7"/>
        <v>11.754822424658219</v>
      </c>
      <c r="K49" s="2">
        <f t="shared" si="8"/>
        <v>3.2913502789043014</v>
      </c>
      <c r="L49" s="2">
        <f t="shared" si="9"/>
        <v>15.046172703562521</v>
      </c>
      <c r="M49" s="2">
        <f t="shared" si="3"/>
        <v>10.908475210082827</v>
      </c>
      <c r="N49" s="2">
        <f t="shared" si="4"/>
        <v>5.4542376050414134</v>
      </c>
      <c r="O49" s="2">
        <f t="shared" si="5"/>
        <v>20.017052010501988</v>
      </c>
      <c r="P49" s="2">
        <v>72.548947999999996</v>
      </c>
      <c r="Q49" s="2">
        <v>23.036047</v>
      </c>
    </row>
    <row r="50" spans="1:17" x14ac:dyDescent="0.25">
      <c r="A50" s="2">
        <v>50</v>
      </c>
      <c r="B50" s="2" t="s">
        <v>49</v>
      </c>
      <c r="C50" s="2">
        <v>14</v>
      </c>
      <c r="D50" s="2">
        <f t="shared" si="0"/>
        <v>35.56</v>
      </c>
      <c r="E50" s="2">
        <f t="shared" si="1"/>
        <v>11.319099552695597</v>
      </c>
      <c r="F50" s="2">
        <f t="shared" si="6"/>
        <v>4.45633840657307</v>
      </c>
      <c r="G50" s="2">
        <v>12.237823000000001</v>
      </c>
      <c r="H50" s="2">
        <f t="shared" si="2"/>
        <v>40.150339211320002</v>
      </c>
      <c r="I50" s="2">
        <f>INDEX('Wood Density Lookup'!$B$2:$B$152,MATCH(B50,'Wood Density Lookup'!$A$2:$A$152,0))</f>
        <v>0.78</v>
      </c>
      <c r="J50" s="2">
        <f t="shared" si="7"/>
        <v>69.396801290868311</v>
      </c>
      <c r="K50" s="2">
        <f t="shared" si="8"/>
        <v>19.431104361443129</v>
      </c>
      <c r="L50" s="2">
        <f t="shared" si="9"/>
        <v>88.827905652311443</v>
      </c>
      <c r="M50" s="2">
        <f t="shared" si="3"/>
        <v>64.400231597925796</v>
      </c>
      <c r="N50" s="2">
        <f t="shared" si="4"/>
        <v>32.200115798962898</v>
      </c>
      <c r="O50" s="2">
        <f t="shared" si="5"/>
        <v>118.17442498219383</v>
      </c>
      <c r="P50" s="2">
        <v>72.548951000000002</v>
      </c>
      <c r="Q50" s="2">
        <v>23.036089</v>
      </c>
    </row>
    <row r="51" spans="1:17" x14ac:dyDescent="0.25">
      <c r="A51" s="2">
        <v>51</v>
      </c>
      <c r="B51" s="2" t="s">
        <v>143</v>
      </c>
      <c r="C51" s="2">
        <v>37</v>
      </c>
      <c r="D51" s="2">
        <f t="shared" si="0"/>
        <v>93.98</v>
      </c>
      <c r="E51" s="2">
        <f t="shared" si="1"/>
        <v>29.914763103552648</v>
      </c>
      <c r="F51" s="2">
        <f t="shared" si="6"/>
        <v>11.777465788800255</v>
      </c>
      <c r="G51" s="2">
        <v>15.508077</v>
      </c>
      <c r="H51" s="2">
        <f t="shared" si="2"/>
        <v>50.879519344679998</v>
      </c>
      <c r="I51" s="2">
        <f>INDEX('Wood Density Lookup'!$B$2:$B$152,MATCH(B51,'Wood Density Lookup'!$A$2:$A$152,0))</f>
        <v>0.75</v>
      </c>
      <c r="J51" s="2">
        <f t="shared" si="7"/>
        <v>561.03253066504749</v>
      </c>
      <c r="K51" s="2">
        <f t="shared" si="8"/>
        <v>157.08910858621331</v>
      </c>
      <c r="L51" s="2">
        <f t="shared" si="9"/>
        <v>718.12163925126083</v>
      </c>
      <c r="M51" s="2">
        <f t="shared" si="3"/>
        <v>520.63818845716412</v>
      </c>
      <c r="N51" s="2">
        <f t="shared" si="4"/>
        <v>260.31909422858206</v>
      </c>
      <c r="O51" s="2">
        <f t="shared" si="5"/>
        <v>955.37107581889609</v>
      </c>
      <c r="P51" s="2">
        <v>72.548956000000004</v>
      </c>
      <c r="Q51" s="2">
        <v>23.035999</v>
      </c>
    </row>
    <row r="52" spans="1:17" x14ac:dyDescent="0.25">
      <c r="A52" s="2">
        <v>52</v>
      </c>
      <c r="B52" s="2" t="s">
        <v>143</v>
      </c>
      <c r="C52" s="2">
        <v>60</v>
      </c>
      <c r="D52" s="2">
        <f t="shared" si="0"/>
        <v>152.4</v>
      </c>
      <c r="E52" s="2">
        <f t="shared" si="1"/>
        <v>48.510426654409699</v>
      </c>
      <c r="F52" s="2">
        <f t="shared" si="6"/>
        <v>19.098593171027442</v>
      </c>
      <c r="G52" s="2">
        <v>18.752099999999999</v>
      </c>
      <c r="H52" s="2">
        <f t="shared" si="2"/>
        <v>61.522639763999997</v>
      </c>
      <c r="I52" s="2">
        <f>INDEX('Wood Density Lookup'!$B$2:$B$152,MATCH(B52,'Wood Density Lookup'!$A$2:$A$152,0))</f>
        <v>0.75</v>
      </c>
      <c r="J52" s="2">
        <f t="shared" si="7"/>
        <v>1735.0886698970307</v>
      </c>
      <c r="K52" s="2">
        <f t="shared" si="8"/>
        <v>485.82482757116867</v>
      </c>
      <c r="L52" s="2">
        <f t="shared" si="9"/>
        <v>2220.9134974681992</v>
      </c>
      <c r="M52" s="2">
        <f t="shared" si="3"/>
        <v>1610.1622856644444</v>
      </c>
      <c r="N52" s="2">
        <f t="shared" si="4"/>
        <v>805.08114283222221</v>
      </c>
      <c r="O52" s="2">
        <f t="shared" si="5"/>
        <v>2954.6477941942553</v>
      </c>
      <c r="P52" s="2">
        <v>72.548958999999996</v>
      </c>
      <c r="Q52" s="2">
        <v>23.038706999999999</v>
      </c>
    </row>
    <row r="53" spans="1:17" x14ac:dyDescent="0.25">
      <c r="A53" s="2">
        <v>53</v>
      </c>
      <c r="B53" s="2" t="s">
        <v>15</v>
      </c>
      <c r="C53" s="2">
        <v>22</v>
      </c>
      <c r="D53" s="2">
        <f t="shared" si="0"/>
        <v>55.88</v>
      </c>
      <c r="E53" s="2">
        <f t="shared" si="1"/>
        <v>17.787156439950223</v>
      </c>
      <c r="F53" s="2">
        <f t="shared" si="6"/>
        <v>7.0028174960433951</v>
      </c>
      <c r="G53" s="2">
        <v>7.487876</v>
      </c>
      <c r="H53" s="2">
        <f t="shared" si="2"/>
        <v>24.566523095840001</v>
      </c>
      <c r="I53" s="2">
        <f>INDEX('Wood Density Lookup'!$B$2:$B$152,MATCH(B53,'Wood Density Lookup'!$A$2:$A$152,0))</f>
        <v>0.75</v>
      </c>
      <c r="J53" s="2">
        <f t="shared" si="7"/>
        <v>99.921013393300683</v>
      </c>
      <c r="K53" s="2">
        <f t="shared" si="8"/>
        <v>27.977883750124192</v>
      </c>
      <c r="L53" s="2">
        <f t="shared" si="9"/>
        <v>127.89889714342488</v>
      </c>
      <c r="M53" s="2">
        <f t="shared" si="3"/>
        <v>92.726700428983037</v>
      </c>
      <c r="N53" s="2">
        <f t="shared" si="4"/>
        <v>46.363350214491518</v>
      </c>
      <c r="O53" s="2">
        <f t="shared" si="5"/>
        <v>170.15349528718386</v>
      </c>
      <c r="P53" s="2">
        <v>72.548958999999996</v>
      </c>
      <c r="Q53" s="2">
        <v>23.037165000000002</v>
      </c>
    </row>
    <row r="54" spans="1:17" x14ac:dyDescent="0.25">
      <c r="A54" s="2">
        <v>54</v>
      </c>
      <c r="B54" s="2" t="s">
        <v>15</v>
      </c>
      <c r="C54" s="2">
        <v>97</v>
      </c>
      <c r="D54" s="2">
        <f t="shared" si="0"/>
        <v>246.38</v>
      </c>
      <c r="E54" s="2">
        <f t="shared" si="1"/>
        <v>78.425189757962343</v>
      </c>
      <c r="F54" s="2">
        <f t="shared" si="6"/>
        <v>30.876058959827695</v>
      </c>
      <c r="G54" s="2">
        <v>2.6478030000000001</v>
      </c>
      <c r="H54" s="2">
        <f t="shared" si="2"/>
        <v>8.6870179945199997</v>
      </c>
      <c r="I54" s="2">
        <f>INDEX('Wood Density Lookup'!$B$2:$B$152,MATCH(B54,'Wood Density Lookup'!$A$2:$A$152,0))</f>
        <v>0.75</v>
      </c>
      <c r="J54" s="2">
        <f t="shared" si="7"/>
        <v>655.82589370197809</v>
      </c>
      <c r="K54" s="2">
        <f t="shared" si="8"/>
        <v>183.63125023655388</v>
      </c>
      <c r="L54" s="2">
        <f t="shared" si="9"/>
        <v>839.457143938532</v>
      </c>
      <c r="M54" s="2">
        <f t="shared" si="3"/>
        <v>608.60642935543569</v>
      </c>
      <c r="N54" s="2">
        <f t="shared" si="4"/>
        <v>304.30321467771785</v>
      </c>
      <c r="O54" s="2">
        <f t="shared" si="5"/>
        <v>1116.7927978672244</v>
      </c>
      <c r="P54" s="2">
        <v>72.548961000000006</v>
      </c>
      <c r="Q54" s="2">
        <v>23.038025000000001</v>
      </c>
    </row>
    <row r="55" spans="1:17" x14ac:dyDescent="0.25">
      <c r="A55" s="2">
        <v>55</v>
      </c>
      <c r="B55" s="2" t="s">
        <v>72</v>
      </c>
      <c r="C55" s="2">
        <v>22</v>
      </c>
      <c r="D55" s="2">
        <f t="shared" si="0"/>
        <v>55.88</v>
      </c>
      <c r="E55" s="2">
        <f t="shared" si="1"/>
        <v>17.787156439950223</v>
      </c>
      <c r="F55" s="2">
        <f t="shared" si="6"/>
        <v>7.0028174960433951</v>
      </c>
      <c r="G55" s="2">
        <v>10.838345</v>
      </c>
      <c r="H55" s="2">
        <f t="shared" si="2"/>
        <v>35.5588758098</v>
      </c>
      <c r="I55" s="2">
        <f>INDEX('Wood Density Lookup'!$B$2:$B$152,MATCH(B55,'Wood Density Lookup'!$A$2:$A$152,0))</f>
        <v>0.65</v>
      </c>
      <c r="J55" s="2">
        <f t="shared" si="7"/>
        <v>124.66665200904924</v>
      </c>
      <c r="K55" s="2">
        <f t="shared" si="8"/>
        <v>34.906662562533789</v>
      </c>
      <c r="L55" s="2">
        <f t="shared" si="9"/>
        <v>159.57331457158304</v>
      </c>
      <c r="M55" s="2">
        <f t="shared" si="3"/>
        <v>115.69065306439771</v>
      </c>
      <c r="N55" s="2">
        <f t="shared" si="4"/>
        <v>57.845326532198854</v>
      </c>
      <c r="O55" s="2">
        <f t="shared" si="5"/>
        <v>212.2923483731698</v>
      </c>
      <c r="P55" s="2">
        <v>72.548961000000006</v>
      </c>
      <c r="Q55" s="2">
        <v>23.038530000000002</v>
      </c>
    </row>
    <row r="56" spans="1:17" x14ac:dyDescent="0.25">
      <c r="A56" s="2">
        <v>56</v>
      </c>
      <c r="B56" s="2" t="s">
        <v>49</v>
      </c>
      <c r="C56" s="2">
        <v>39</v>
      </c>
      <c r="D56" s="2">
        <f t="shared" si="0"/>
        <v>99.06</v>
      </c>
      <c r="E56" s="2">
        <f t="shared" si="1"/>
        <v>31.531777325366306</v>
      </c>
      <c r="F56" s="2">
        <f t="shared" si="6"/>
        <v>12.414085561167836</v>
      </c>
      <c r="G56" s="2">
        <v>9.0745400000000007</v>
      </c>
      <c r="H56" s="2">
        <f t="shared" si="2"/>
        <v>29.772113813600001</v>
      </c>
      <c r="I56" s="2">
        <f>INDEX('Wood Density Lookup'!$B$2:$B$152,MATCH(B56,'Wood Density Lookup'!$A$2:$A$152,0))</f>
        <v>0.78</v>
      </c>
      <c r="J56" s="2">
        <f t="shared" si="7"/>
        <v>382.9069077106127</v>
      </c>
      <c r="K56" s="2">
        <f t="shared" si="8"/>
        <v>107.21393415897157</v>
      </c>
      <c r="L56" s="2">
        <f t="shared" si="9"/>
        <v>490.1208418695843</v>
      </c>
      <c r="M56" s="2">
        <f t="shared" si="3"/>
        <v>355.33761035544859</v>
      </c>
      <c r="N56" s="2">
        <f t="shared" si="4"/>
        <v>177.66880517772429</v>
      </c>
      <c r="O56" s="2">
        <f t="shared" si="5"/>
        <v>652.0445150022482</v>
      </c>
      <c r="P56" s="2">
        <v>72.548962000000003</v>
      </c>
      <c r="Q56" s="2">
        <v>23.036217000000001</v>
      </c>
    </row>
    <row r="57" spans="1:17" x14ac:dyDescent="0.25">
      <c r="A57" s="2">
        <v>57</v>
      </c>
      <c r="B57" s="2" t="s">
        <v>114</v>
      </c>
      <c r="C57" s="2">
        <v>4</v>
      </c>
      <c r="D57" s="2">
        <f t="shared" si="0"/>
        <v>10.16</v>
      </c>
      <c r="E57" s="2">
        <f t="shared" si="1"/>
        <v>3.2340284436273135</v>
      </c>
      <c r="F57" s="2">
        <f t="shared" si="6"/>
        <v>1.2732395447351628</v>
      </c>
      <c r="G57" s="2">
        <v>5.7885429999999998</v>
      </c>
      <c r="H57" s="2">
        <f t="shared" si="2"/>
        <v>18.991283416119998</v>
      </c>
      <c r="I57" s="2">
        <f>INDEX('Wood Density Lookup'!$B$2:$B$152,MATCH(B57,'Wood Density Lookup'!$A$2:$A$152,0))</f>
        <v>0.55000000000000004</v>
      </c>
      <c r="J57" s="2">
        <f t="shared" si="7"/>
        <v>2.0601394426735582</v>
      </c>
      <c r="K57" s="2">
        <f t="shared" si="8"/>
        <v>0.57683904394859631</v>
      </c>
      <c r="L57" s="2">
        <f t="shared" si="9"/>
        <v>2.6369784866221546</v>
      </c>
      <c r="M57" s="2">
        <f t="shared" si="3"/>
        <v>1.9118094028010619</v>
      </c>
      <c r="N57" s="2">
        <f t="shared" si="4"/>
        <v>0.95590470140053097</v>
      </c>
      <c r="O57" s="2">
        <f t="shared" si="5"/>
        <v>3.5081702541399484</v>
      </c>
      <c r="P57" s="2">
        <v>72.548967000000005</v>
      </c>
      <c r="Q57" s="2">
        <v>23.035900999999999</v>
      </c>
    </row>
    <row r="58" spans="1:17" x14ac:dyDescent="0.25">
      <c r="A58" s="2">
        <v>58</v>
      </c>
      <c r="B58" s="2" t="s">
        <v>15</v>
      </c>
      <c r="C58" s="2">
        <v>43</v>
      </c>
      <c r="D58" s="2">
        <f t="shared" si="0"/>
        <v>109.22</v>
      </c>
      <c r="E58" s="2">
        <f t="shared" si="1"/>
        <v>34.765805768993616</v>
      </c>
      <c r="F58" s="2">
        <f t="shared" si="6"/>
        <v>13.687325105903</v>
      </c>
      <c r="G58" s="2">
        <v>10.889742999999999</v>
      </c>
      <c r="H58" s="2">
        <f t="shared" si="2"/>
        <v>35.727504424119999</v>
      </c>
      <c r="I58" s="2">
        <f>INDEX('Wood Density Lookup'!$B$2:$B$152,MATCH(B58,'Wood Density Lookup'!$A$2:$A$152,0))</f>
        <v>0.75</v>
      </c>
      <c r="J58" s="2">
        <f t="shared" si="7"/>
        <v>532.7621381805601</v>
      </c>
      <c r="K58" s="2">
        <f t="shared" si="8"/>
        <v>149.17339869055684</v>
      </c>
      <c r="L58" s="2">
        <f t="shared" si="9"/>
        <v>681.93553687111694</v>
      </c>
      <c r="M58" s="2">
        <f t="shared" si="3"/>
        <v>494.40326423155977</v>
      </c>
      <c r="N58" s="2">
        <f t="shared" si="4"/>
        <v>247.20163211577989</v>
      </c>
      <c r="O58" s="2">
        <f t="shared" si="5"/>
        <v>907.22998986491211</v>
      </c>
      <c r="P58" s="2">
        <v>72.548968000000002</v>
      </c>
      <c r="Q58" s="2">
        <v>23.035454000000001</v>
      </c>
    </row>
    <row r="59" spans="1:17" x14ac:dyDescent="0.25">
      <c r="A59" s="2">
        <v>59</v>
      </c>
      <c r="B59" s="2" t="s">
        <v>3</v>
      </c>
      <c r="C59" s="2">
        <v>25</v>
      </c>
      <c r="D59" s="2">
        <f t="shared" si="0"/>
        <v>63.5</v>
      </c>
      <c r="E59" s="2">
        <f t="shared" si="1"/>
        <v>20.212677772670709</v>
      </c>
      <c r="F59" s="2">
        <f t="shared" si="6"/>
        <v>7.9577471545947667</v>
      </c>
      <c r="G59" s="2">
        <v>9.8382190000000005</v>
      </c>
      <c r="H59" s="2">
        <f t="shared" si="2"/>
        <v>32.277622423960004</v>
      </c>
      <c r="I59" s="2">
        <f>INDEX('Wood Density Lookup'!$B$2:$B$152,MATCH(B59,'Wood Density Lookup'!$A$2:$A$152,0))</f>
        <v>0.62</v>
      </c>
      <c r="J59" s="2">
        <f t="shared" si="7"/>
        <v>139.01241991726661</v>
      </c>
      <c r="K59" s="2">
        <f t="shared" si="8"/>
        <v>38.923477576834657</v>
      </c>
      <c r="L59" s="2">
        <f t="shared" si="9"/>
        <v>177.93589749410125</v>
      </c>
      <c r="M59" s="2">
        <f t="shared" si="3"/>
        <v>129.00352568322342</v>
      </c>
      <c r="N59" s="2">
        <f t="shared" si="4"/>
        <v>64.501762841611708</v>
      </c>
      <c r="O59" s="2">
        <f t="shared" si="5"/>
        <v>236.72146962871497</v>
      </c>
      <c r="P59" s="2">
        <v>72.548968000000002</v>
      </c>
      <c r="Q59" s="2">
        <v>23.036252000000001</v>
      </c>
    </row>
    <row r="60" spans="1:17" x14ac:dyDescent="0.25">
      <c r="A60" s="2">
        <v>60</v>
      </c>
      <c r="B60" s="2" t="s">
        <v>31</v>
      </c>
      <c r="C60" s="2">
        <v>36</v>
      </c>
      <c r="D60" s="2">
        <f t="shared" si="0"/>
        <v>91.44</v>
      </c>
      <c r="E60" s="2">
        <f t="shared" si="1"/>
        <v>29.106255992645821</v>
      </c>
      <c r="F60" s="2">
        <f t="shared" si="6"/>
        <v>11.459155902616464</v>
      </c>
      <c r="G60" s="2">
        <v>7.0250000000000004</v>
      </c>
      <c r="H60" s="2">
        <f t="shared" si="2"/>
        <v>23.047901</v>
      </c>
      <c r="I60" s="2">
        <f>INDEX('Wood Density Lookup'!$B$2:$B$152,MATCH(B60,'Wood Density Lookup'!$A$2:$A$152,0))</f>
        <v>0.78</v>
      </c>
      <c r="J60" s="2">
        <f t="shared" si="7"/>
        <v>255.11004418873299</v>
      </c>
      <c r="K60" s="2">
        <f t="shared" si="8"/>
        <v>71.430812372845239</v>
      </c>
      <c r="L60" s="2">
        <f t="shared" si="9"/>
        <v>326.54085656157821</v>
      </c>
      <c r="M60" s="2">
        <f t="shared" si="3"/>
        <v>236.74212100714419</v>
      </c>
      <c r="N60" s="2">
        <f t="shared" si="4"/>
        <v>118.3710605035721</v>
      </c>
      <c r="O60" s="2">
        <f t="shared" si="5"/>
        <v>434.42179204810958</v>
      </c>
      <c r="P60" s="2">
        <v>72.548974999999999</v>
      </c>
      <c r="Q60" s="2">
        <v>23.037118</v>
      </c>
    </row>
    <row r="61" spans="1:17" x14ac:dyDescent="0.25">
      <c r="A61" s="2">
        <v>61</v>
      </c>
      <c r="B61" s="2" t="s">
        <v>15</v>
      </c>
      <c r="C61" s="2">
        <v>48</v>
      </c>
      <c r="D61" s="2">
        <f t="shared" si="0"/>
        <v>121.92</v>
      </c>
      <c r="E61" s="2">
        <f t="shared" si="1"/>
        <v>38.808341323527763</v>
      </c>
      <c r="F61" s="2">
        <f t="shared" si="6"/>
        <v>15.278874536821952</v>
      </c>
      <c r="G61" s="2">
        <v>8.0192530000000009</v>
      </c>
      <c r="H61" s="2">
        <f t="shared" si="2"/>
        <v>26.309886012520003</v>
      </c>
      <c r="I61" s="2">
        <f>INDEX('Wood Density Lookup'!$B$2:$B$152,MATCH(B61,'Wood Density Lookup'!$A$2:$A$152,0))</f>
        <v>0.75</v>
      </c>
      <c r="J61" s="2">
        <f t="shared" si="7"/>
        <v>489.88181396747433</v>
      </c>
      <c r="K61" s="2">
        <f t="shared" si="8"/>
        <v>137.16690791089283</v>
      </c>
      <c r="L61" s="2">
        <f t="shared" si="9"/>
        <v>627.04872187836713</v>
      </c>
      <c r="M61" s="2">
        <f t="shared" si="3"/>
        <v>454.61032336181614</v>
      </c>
      <c r="N61" s="2">
        <f t="shared" si="4"/>
        <v>227.30516168090807</v>
      </c>
      <c r="O61" s="2">
        <f t="shared" si="5"/>
        <v>834.20994336893261</v>
      </c>
      <c r="P61" s="2">
        <v>72.548976999999994</v>
      </c>
      <c r="Q61" s="2">
        <v>23.036987</v>
      </c>
    </row>
    <row r="62" spans="1:17" x14ac:dyDescent="0.25">
      <c r="A62" s="2">
        <v>62</v>
      </c>
      <c r="B62" s="2" t="s">
        <v>10</v>
      </c>
      <c r="C62" s="2">
        <v>13</v>
      </c>
      <c r="D62" s="2">
        <f t="shared" si="0"/>
        <v>33.020000000000003</v>
      </c>
      <c r="E62" s="2">
        <f t="shared" si="1"/>
        <v>10.51059244178877</v>
      </c>
      <c r="F62" s="2">
        <f t="shared" si="6"/>
        <v>4.1380285203892786</v>
      </c>
      <c r="G62" s="2">
        <v>7.8532630000000001</v>
      </c>
      <c r="H62" s="2">
        <f t="shared" si="2"/>
        <v>25.765299380920002</v>
      </c>
      <c r="I62" s="2">
        <f>INDEX('Wood Density Lookup'!$B$2:$B$152,MATCH(B62,'Wood Density Lookup'!$A$2:$A$152,0))</f>
        <v>0.65</v>
      </c>
      <c r="J62" s="2">
        <f t="shared" si="7"/>
        <v>32.598958558274937</v>
      </c>
      <c r="K62" s="2">
        <f t="shared" si="8"/>
        <v>9.1277083963169829</v>
      </c>
      <c r="L62" s="2">
        <f t="shared" si="9"/>
        <v>41.72666695459192</v>
      </c>
      <c r="M62" s="2">
        <f t="shared" si="3"/>
        <v>30.25183354207914</v>
      </c>
      <c r="N62" s="2">
        <f t="shared" si="4"/>
        <v>15.12591677103957</v>
      </c>
      <c r="O62" s="2">
        <f t="shared" si="5"/>
        <v>55.512114549715221</v>
      </c>
      <c r="P62" s="2">
        <v>72.548978000000005</v>
      </c>
      <c r="Q62" s="2">
        <v>23.035513000000002</v>
      </c>
    </row>
    <row r="63" spans="1:17" x14ac:dyDescent="0.25">
      <c r="A63" s="2">
        <v>63</v>
      </c>
      <c r="B63" s="2" t="s">
        <v>3</v>
      </c>
      <c r="C63" s="2">
        <v>21</v>
      </c>
      <c r="D63" s="2">
        <f t="shared" si="0"/>
        <v>53.34</v>
      </c>
      <c r="E63" s="2">
        <f t="shared" si="1"/>
        <v>16.978649329043396</v>
      </c>
      <c r="F63" s="2">
        <f t="shared" si="6"/>
        <v>6.6845076098596046</v>
      </c>
      <c r="G63" s="2">
        <v>7.0417430000000003</v>
      </c>
      <c r="H63" s="2">
        <f t="shared" si="2"/>
        <v>23.102832104120001</v>
      </c>
      <c r="I63" s="2">
        <f>INDEX('Wood Density Lookup'!$B$2:$B$152,MATCH(B63,'Wood Density Lookup'!$A$2:$A$152,0))</f>
        <v>0.62</v>
      </c>
      <c r="J63" s="2">
        <f t="shared" si="7"/>
        <v>71.366783979943293</v>
      </c>
      <c r="K63" s="2">
        <f t="shared" si="8"/>
        <v>19.982699514384123</v>
      </c>
      <c r="L63" s="2">
        <f t="shared" si="9"/>
        <v>91.349483494327416</v>
      </c>
      <c r="M63" s="2">
        <f t="shared" si="3"/>
        <v>66.228375533387378</v>
      </c>
      <c r="N63" s="2">
        <f t="shared" si="4"/>
        <v>33.114187766693689</v>
      </c>
      <c r="O63" s="2">
        <f t="shared" si="5"/>
        <v>121.52906910376583</v>
      </c>
      <c r="P63" s="2">
        <v>72.548980999999998</v>
      </c>
      <c r="Q63" s="2">
        <v>23.036255000000001</v>
      </c>
    </row>
    <row r="64" spans="1:17" x14ac:dyDescent="0.25">
      <c r="A64" s="2">
        <v>64</v>
      </c>
      <c r="B64" s="2" t="s">
        <v>59</v>
      </c>
      <c r="C64" s="2">
        <v>80</v>
      </c>
      <c r="D64" s="2">
        <f t="shared" si="0"/>
        <v>203.2</v>
      </c>
      <c r="E64" s="2">
        <f t="shared" si="1"/>
        <v>64.68056887254626</v>
      </c>
      <c r="F64" s="2">
        <f t="shared" si="6"/>
        <v>25.464790894703256</v>
      </c>
      <c r="G64" s="2">
        <v>11.161030999999999</v>
      </c>
      <c r="H64" s="2">
        <f t="shared" si="2"/>
        <v>36.617556946039997</v>
      </c>
      <c r="I64" s="2">
        <f>INDEX('Wood Density Lookup'!$B$2:$B$152,MATCH(B64,'Wood Density Lookup'!$A$2:$A$152,0))</f>
        <v>0.45</v>
      </c>
      <c r="J64" s="2">
        <f t="shared" si="7"/>
        <v>1113.6286784496087</v>
      </c>
      <c r="K64" s="2">
        <f t="shared" si="8"/>
        <v>311.81602996589049</v>
      </c>
      <c r="L64" s="2">
        <f t="shared" si="9"/>
        <v>1425.4447084154992</v>
      </c>
      <c r="M64" s="2">
        <f t="shared" si="3"/>
        <v>1033.4474136012368</v>
      </c>
      <c r="N64" s="2">
        <f t="shared" si="4"/>
        <v>516.7237068006184</v>
      </c>
      <c r="O64" s="2">
        <f t="shared" si="5"/>
        <v>1896.3760039582694</v>
      </c>
      <c r="P64" s="2">
        <v>72.548981999999995</v>
      </c>
      <c r="Q64" s="2">
        <v>23.038392000000002</v>
      </c>
    </row>
    <row r="65" spans="1:17" x14ac:dyDescent="0.25">
      <c r="A65" s="2">
        <v>65</v>
      </c>
      <c r="B65" s="2" t="s">
        <v>37</v>
      </c>
      <c r="C65" s="2">
        <v>32</v>
      </c>
      <c r="D65" s="2">
        <f t="shared" si="0"/>
        <v>81.28</v>
      </c>
      <c r="E65" s="2">
        <f t="shared" si="1"/>
        <v>25.872227549018508</v>
      </c>
      <c r="F65" s="2">
        <f t="shared" si="6"/>
        <v>10.185916357881302</v>
      </c>
      <c r="G65" s="2">
        <v>16.532955999999999</v>
      </c>
      <c r="H65" s="2">
        <f t="shared" si="2"/>
        <v>54.241983363039992</v>
      </c>
      <c r="I65" s="2">
        <f>INDEX('Wood Density Lookup'!$B$2:$B$152,MATCH(B65,'Wood Density Lookup'!$A$2:$A$152,0))</f>
        <v>0.27</v>
      </c>
      <c r="J65" s="2">
        <f t="shared" si="7"/>
        <v>165.95403518060112</v>
      </c>
      <c r="K65" s="2">
        <f t="shared" si="8"/>
        <v>46.46712985056832</v>
      </c>
      <c r="L65" s="2">
        <f t="shared" si="9"/>
        <v>212.42116503116944</v>
      </c>
      <c r="M65" s="2">
        <f t="shared" si="3"/>
        <v>154.00534464759784</v>
      </c>
      <c r="N65" s="2">
        <f t="shared" si="4"/>
        <v>77.002672323798919</v>
      </c>
      <c r="O65" s="2">
        <f t="shared" si="5"/>
        <v>282.59980742834205</v>
      </c>
      <c r="P65" s="2">
        <v>72.548981999999995</v>
      </c>
      <c r="Q65" s="2">
        <v>23.036156999999999</v>
      </c>
    </row>
    <row r="66" spans="1:17" x14ac:dyDescent="0.25">
      <c r="A66" s="2">
        <v>66</v>
      </c>
      <c r="B66" s="2" t="s">
        <v>15</v>
      </c>
      <c r="C66" s="2">
        <v>8</v>
      </c>
      <c r="D66" s="2">
        <f t="shared" ref="D66:D128" si="10">C66*2.54</f>
        <v>20.32</v>
      </c>
      <c r="E66" s="2">
        <f t="shared" ref="E66:E128" si="11">D66/PI()</f>
        <v>6.4680568872546269</v>
      </c>
      <c r="F66" s="2">
        <f t="shared" ref="F66:F128" si="12">C66/PI()</f>
        <v>2.5464790894703255</v>
      </c>
      <c r="G66" s="2">
        <v>6.9609899999999998</v>
      </c>
      <c r="H66" s="2">
        <f t="shared" ref="H66:H128" si="13">G66*3.28084</f>
        <v>22.837894431599999</v>
      </c>
      <c r="I66" s="2">
        <f>INDEX('Wood Density Lookup'!$B$2:$B$152,MATCH(B66,'Wood Density Lookup'!$A$2:$A$152,0))</f>
        <v>0.75</v>
      </c>
      <c r="J66" s="2">
        <f t="shared" ref="J66:J128" si="14">0.0673*POWER(I66*E66^2*G66,0.976)</f>
        <v>12.916721056958608</v>
      </c>
      <c r="K66" s="2">
        <f t="shared" si="8"/>
        <v>3.6166818959484104</v>
      </c>
      <c r="L66" s="2">
        <f t="shared" si="9"/>
        <v>16.533402952907018</v>
      </c>
      <c r="M66" s="2">
        <f t="shared" ref="M66:M128" si="15">0.725*L66</f>
        <v>11.986717140857587</v>
      </c>
      <c r="N66" s="2">
        <f t="shared" ref="N66:N128" si="16">0.5*M66</f>
        <v>5.9933585704287937</v>
      </c>
      <c r="O66" s="2">
        <f t="shared" ref="O66:O128" si="17">3.67*N66</f>
        <v>21.995625953473674</v>
      </c>
      <c r="P66" s="2">
        <v>72.548986999999997</v>
      </c>
      <c r="Q66" s="2">
        <v>23.03697</v>
      </c>
    </row>
    <row r="67" spans="1:17" x14ac:dyDescent="0.25">
      <c r="A67" s="2">
        <v>67</v>
      </c>
      <c r="B67" s="2" t="s">
        <v>114</v>
      </c>
      <c r="C67" s="2">
        <v>21</v>
      </c>
      <c r="D67" s="2">
        <f t="shared" si="10"/>
        <v>53.34</v>
      </c>
      <c r="E67" s="2">
        <f t="shared" si="11"/>
        <v>16.978649329043396</v>
      </c>
      <c r="F67" s="2">
        <f t="shared" si="12"/>
        <v>6.6845076098596046</v>
      </c>
      <c r="G67" s="2">
        <v>5.8445980000000004</v>
      </c>
      <c r="H67" s="2">
        <f t="shared" si="13"/>
        <v>19.175190902320001</v>
      </c>
      <c r="I67" s="2">
        <f>INDEX('Wood Density Lookup'!$B$2:$B$152,MATCH(B67,'Wood Density Lookup'!$A$2:$A$152,0))</f>
        <v>0.55000000000000004</v>
      </c>
      <c r="J67" s="2">
        <f t="shared" si="14"/>
        <v>52.933731417971771</v>
      </c>
      <c r="K67" s="2">
        <f t="shared" ref="K67:K130" si="18">0.28*J67</f>
        <v>14.821444797032097</v>
      </c>
      <c r="L67" s="2">
        <f t="shared" ref="L67:L130" si="19">J67+K67</f>
        <v>67.755176215003871</v>
      </c>
      <c r="M67" s="2">
        <f t="shared" si="15"/>
        <v>49.122502755877804</v>
      </c>
      <c r="N67" s="2">
        <f t="shared" si="16"/>
        <v>24.561251377938902</v>
      </c>
      <c r="O67" s="2">
        <f t="shared" si="17"/>
        <v>90.139792557035761</v>
      </c>
      <c r="P67" s="2">
        <v>72.548989000000006</v>
      </c>
      <c r="Q67" s="2">
        <v>23.037177</v>
      </c>
    </row>
    <row r="68" spans="1:17" x14ac:dyDescent="0.25">
      <c r="A68" s="2">
        <v>68</v>
      </c>
      <c r="B68" s="2" t="s">
        <v>108</v>
      </c>
      <c r="C68" s="2">
        <v>33</v>
      </c>
      <c r="D68" s="2">
        <f t="shared" si="10"/>
        <v>83.820000000000007</v>
      </c>
      <c r="E68" s="2">
        <f t="shared" si="11"/>
        <v>26.680734659925339</v>
      </c>
      <c r="F68" s="2">
        <f t="shared" si="12"/>
        <v>10.504226244065093</v>
      </c>
      <c r="G68" s="2">
        <v>13.127971000000001</v>
      </c>
      <c r="H68" s="2">
        <f t="shared" si="13"/>
        <v>43.070772375640004</v>
      </c>
      <c r="I68" s="2">
        <f>INDEX('Wood Density Lookup'!$B$2:$B$152,MATCH(B68,'Wood Density Lookup'!$A$2:$A$152,0))</f>
        <v>0.6</v>
      </c>
      <c r="J68" s="2">
        <f t="shared" si="14"/>
        <v>306.753569225712</v>
      </c>
      <c r="K68" s="2">
        <f t="shared" si="18"/>
        <v>85.890999383199372</v>
      </c>
      <c r="L68" s="2">
        <f t="shared" si="19"/>
        <v>392.64456860891136</v>
      </c>
      <c r="M68" s="2">
        <f t="shared" si="15"/>
        <v>284.66731224146071</v>
      </c>
      <c r="N68" s="2">
        <f t="shared" si="16"/>
        <v>142.33365612073035</v>
      </c>
      <c r="O68" s="2">
        <f t="shared" si="17"/>
        <v>522.3645179630804</v>
      </c>
      <c r="P68" s="2">
        <v>72.548990000000003</v>
      </c>
      <c r="Q68" s="2">
        <v>23.038485999999999</v>
      </c>
    </row>
    <row r="69" spans="1:17" x14ac:dyDescent="0.25">
      <c r="A69" s="2">
        <v>69</v>
      </c>
      <c r="B69" s="2" t="s">
        <v>15</v>
      </c>
      <c r="C69" s="2">
        <v>92</v>
      </c>
      <c r="D69" s="2">
        <f t="shared" si="10"/>
        <v>233.68</v>
      </c>
      <c r="E69" s="2">
        <f t="shared" si="11"/>
        <v>74.382654203428203</v>
      </c>
      <c r="F69" s="2">
        <f t="shared" si="12"/>
        <v>29.284509528908742</v>
      </c>
      <c r="G69" s="2">
        <v>16.047529000000001</v>
      </c>
      <c r="H69" s="2">
        <f t="shared" si="13"/>
        <v>52.649375044359999</v>
      </c>
      <c r="I69" s="2">
        <f>INDEX('Wood Density Lookup'!$B$2:$B$152,MATCH(B69,'Wood Density Lookup'!$A$2:$A$152,0))</f>
        <v>0.75</v>
      </c>
      <c r="J69" s="2">
        <f t="shared" si="14"/>
        <v>3432.9377845662893</v>
      </c>
      <c r="K69" s="2">
        <f t="shared" si="18"/>
        <v>961.22257967856115</v>
      </c>
      <c r="L69" s="2">
        <f t="shared" si="19"/>
        <v>4394.1603642448508</v>
      </c>
      <c r="M69" s="2">
        <f t="shared" si="15"/>
        <v>3185.7662640775166</v>
      </c>
      <c r="N69" s="2">
        <f t="shared" si="16"/>
        <v>1592.8831320387583</v>
      </c>
      <c r="O69" s="2">
        <f t="shared" si="17"/>
        <v>5845.8810945822424</v>
      </c>
      <c r="P69" s="2">
        <v>72.548991999999998</v>
      </c>
      <c r="Q69" s="2">
        <v>23.035793000000002</v>
      </c>
    </row>
    <row r="70" spans="1:17" x14ac:dyDescent="0.25">
      <c r="A70" s="2">
        <v>70</v>
      </c>
      <c r="B70" s="2" t="s">
        <v>59</v>
      </c>
      <c r="C70" s="2">
        <v>33</v>
      </c>
      <c r="D70" s="2">
        <f t="shared" si="10"/>
        <v>83.820000000000007</v>
      </c>
      <c r="E70" s="2">
        <f t="shared" si="11"/>
        <v>26.680734659925339</v>
      </c>
      <c r="F70" s="2">
        <f t="shared" si="12"/>
        <v>10.504226244065093</v>
      </c>
      <c r="G70" s="2">
        <v>9.3943560000000002</v>
      </c>
      <c r="H70" s="2">
        <f t="shared" si="13"/>
        <v>30.821378939039999</v>
      </c>
      <c r="I70" s="2">
        <f>INDEX('Wood Density Lookup'!$B$2:$B$152,MATCH(B70,'Wood Density Lookup'!$A$2:$A$152,0))</f>
        <v>0.45</v>
      </c>
      <c r="J70" s="2">
        <f t="shared" si="14"/>
        <v>167.11166147188311</v>
      </c>
      <c r="K70" s="2">
        <f t="shared" si="18"/>
        <v>46.791265212127279</v>
      </c>
      <c r="L70" s="2">
        <f t="shared" si="19"/>
        <v>213.9029266840104</v>
      </c>
      <c r="M70" s="2">
        <f t="shared" si="15"/>
        <v>155.07962184590752</v>
      </c>
      <c r="N70" s="2">
        <f t="shared" si="16"/>
        <v>77.539810922953762</v>
      </c>
      <c r="O70" s="2">
        <f t="shared" si="17"/>
        <v>284.57110608724031</v>
      </c>
      <c r="P70" s="2">
        <v>72.548992999999996</v>
      </c>
      <c r="Q70" s="2">
        <v>23.038257999999999</v>
      </c>
    </row>
    <row r="71" spans="1:17" x14ac:dyDescent="0.25">
      <c r="A71" s="2">
        <v>71</v>
      </c>
      <c r="B71" s="2" t="s">
        <v>93</v>
      </c>
      <c r="C71" s="2">
        <v>8</v>
      </c>
      <c r="D71" s="2">
        <f t="shared" si="10"/>
        <v>20.32</v>
      </c>
      <c r="E71" s="2">
        <f t="shared" si="11"/>
        <v>6.4680568872546269</v>
      </c>
      <c r="F71" s="2">
        <f t="shared" si="12"/>
        <v>2.5464790894703255</v>
      </c>
      <c r="G71" s="2">
        <v>3.591593</v>
      </c>
      <c r="H71" s="2">
        <f t="shared" si="13"/>
        <v>11.783441978120001</v>
      </c>
      <c r="I71" s="2">
        <f>INDEX('Wood Density Lookup'!$B$2:$B$152,MATCH(B71,'Wood Density Lookup'!$A$2:$A$152,0))</f>
        <v>0.9</v>
      </c>
      <c r="J71" s="2">
        <f t="shared" si="14"/>
        <v>8.0899622866030398</v>
      </c>
      <c r="K71" s="2">
        <f t="shared" si="18"/>
        <v>2.2651894402488515</v>
      </c>
      <c r="L71" s="2">
        <f t="shared" si="19"/>
        <v>10.355151726851892</v>
      </c>
      <c r="M71" s="2">
        <f t="shared" si="15"/>
        <v>7.5074850019676216</v>
      </c>
      <c r="N71" s="2">
        <f t="shared" si="16"/>
        <v>3.7537425009838108</v>
      </c>
      <c r="O71" s="2">
        <f t="shared" si="17"/>
        <v>13.776234978610585</v>
      </c>
      <c r="P71" s="2">
        <v>72.548992999999996</v>
      </c>
      <c r="Q71" s="2">
        <v>23.038561000000001</v>
      </c>
    </row>
    <row r="72" spans="1:17" x14ac:dyDescent="0.25">
      <c r="A72" s="2">
        <v>72</v>
      </c>
      <c r="B72" s="2" t="s">
        <v>50</v>
      </c>
      <c r="C72" s="2">
        <v>42</v>
      </c>
      <c r="D72" s="2">
        <f t="shared" si="10"/>
        <v>106.68</v>
      </c>
      <c r="E72" s="2">
        <f t="shared" si="11"/>
        <v>33.957298658086792</v>
      </c>
      <c r="F72" s="2">
        <f t="shared" si="12"/>
        <v>13.369015219719209</v>
      </c>
      <c r="G72" s="2">
        <v>4.632987</v>
      </c>
      <c r="H72" s="2">
        <f t="shared" si="13"/>
        <v>15.200089069080001</v>
      </c>
      <c r="I72" s="2">
        <f>INDEX('Wood Density Lookup'!$B$2:$B$152,MATCH(B72,'Wood Density Lookup'!$A$2:$A$152,0))</f>
        <v>0.5</v>
      </c>
      <c r="J72" s="2">
        <f t="shared" si="14"/>
        <v>148.75503767671984</v>
      </c>
      <c r="K72" s="2">
        <f t="shared" si="18"/>
        <v>41.651410549481561</v>
      </c>
      <c r="L72" s="2">
        <f t="shared" si="19"/>
        <v>190.40644822620141</v>
      </c>
      <c r="M72" s="2">
        <f t="shared" si="15"/>
        <v>138.04467496399602</v>
      </c>
      <c r="N72" s="2">
        <f t="shared" si="16"/>
        <v>69.022337481998008</v>
      </c>
      <c r="O72" s="2">
        <f t="shared" si="17"/>
        <v>253.31197855893268</v>
      </c>
      <c r="P72" s="2">
        <v>72.548993999999993</v>
      </c>
      <c r="Q72" s="2">
        <v>23.03772</v>
      </c>
    </row>
    <row r="73" spans="1:17" x14ac:dyDescent="0.25">
      <c r="A73" s="2">
        <v>74</v>
      </c>
      <c r="B73" s="2" t="s">
        <v>145</v>
      </c>
      <c r="C73" s="2">
        <v>8</v>
      </c>
      <c r="D73" s="2">
        <f t="shared" si="10"/>
        <v>20.32</v>
      </c>
      <c r="E73" s="2">
        <f t="shared" si="11"/>
        <v>6.4680568872546269</v>
      </c>
      <c r="F73" s="2">
        <f t="shared" si="12"/>
        <v>2.5464790894703255</v>
      </c>
      <c r="G73" s="2">
        <v>5.8879080000000004</v>
      </c>
      <c r="H73" s="2">
        <f t="shared" si="13"/>
        <v>19.317284082720001</v>
      </c>
      <c r="I73" s="2">
        <f>INDEX('Wood Density Lookup'!$B$2:$B$152,MATCH(B73,'Wood Density Lookup'!$A$2:$A$152,0))</f>
        <v>0.55000000000000004</v>
      </c>
      <c r="J73" s="2">
        <f t="shared" si="14"/>
        <v>8.1044121352688752</v>
      </c>
      <c r="K73" s="2">
        <f t="shared" si="18"/>
        <v>2.2692353978752853</v>
      </c>
      <c r="L73" s="2">
        <f t="shared" si="19"/>
        <v>10.37364753314416</v>
      </c>
      <c r="M73" s="2">
        <f t="shared" si="15"/>
        <v>7.5208944615295161</v>
      </c>
      <c r="N73" s="2">
        <f t="shared" si="16"/>
        <v>3.7604472307647581</v>
      </c>
      <c r="O73" s="2">
        <f t="shared" si="17"/>
        <v>13.800841336906663</v>
      </c>
      <c r="P73" s="2">
        <v>72.548997</v>
      </c>
      <c r="Q73" s="2">
        <v>23.036971000000001</v>
      </c>
    </row>
    <row r="74" spans="1:17" x14ac:dyDescent="0.25">
      <c r="A74" s="2">
        <v>75</v>
      </c>
      <c r="B74" s="2" t="s">
        <v>148</v>
      </c>
      <c r="C74" s="2">
        <v>7</v>
      </c>
      <c r="D74" s="2">
        <f t="shared" si="10"/>
        <v>17.78</v>
      </c>
      <c r="E74" s="2">
        <f t="shared" si="11"/>
        <v>5.6595497763477987</v>
      </c>
      <c r="F74" s="2">
        <f t="shared" si="12"/>
        <v>2.228169203286535</v>
      </c>
      <c r="G74" s="2">
        <v>2.08284</v>
      </c>
      <c r="H74" s="2">
        <f t="shared" si="13"/>
        <v>6.8334647856000004</v>
      </c>
      <c r="I74" s="2">
        <f>INDEX('Wood Density Lookup'!$B$2:$B$152,MATCH(B74,'Wood Density Lookup'!$A$2:$A$152,0))</f>
        <v>0.5</v>
      </c>
      <c r="J74" s="2">
        <f t="shared" si="14"/>
        <v>2.063707742775875</v>
      </c>
      <c r="K74" s="2">
        <f t="shared" si="18"/>
        <v>0.57783816797724508</v>
      </c>
      <c r="L74" s="2">
        <f t="shared" si="19"/>
        <v>2.6415459107531198</v>
      </c>
      <c r="M74" s="2">
        <f t="shared" si="15"/>
        <v>1.9151207852960119</v>
      </c>
      <c r="N74" s="2">
        <f t="shared" si="16"/>
        <v>0.95756039264800596</v>
      </c>
      <c r="O74" s="2">
        <f t="shared" si="17"/>
        <v>3.5142466410181816</v>
      </c>
      <c r="P74" s="2">
        <v>72.549000000000007</v>
      </c>
      <c r="Q74" s="2">
        <v>23.036787</v>
      </c>
    </row>
    <row r="75" spans="1:17" x14ac:dyDescent="0.25">
      <c r="A75" s="2">
        <v>76</v>
      </c>
      <c r="B75" s="2" t="s">
        <v>42</v>
      </c>
      <c r="C75" s="2">
        <v>5</v>
      </c>
      <c r="D75" s="2">
        <f t="shared" si="10"/>
        <v>12.7</v>
      </c>
      <c r="E75" s="2">
        <f t="shared" si="11"/>
        <v>4.0425355545341413</v>
      </c>
      <c r="F75" s="2">
        <f t="shared" si="12"/>
        <v>1.5915494309189535</v>
      </c>
      <c r="G75" s="2">
        <v>3.9162180000000002</v>
      </c>
      <c r="H75" s="2">
        <f t="shared" si="13"/>
        <v>12.848484663120001</v>
      </c>
      <c r="I75" s="2">
        <f>INDEX('Wood Density Lookup'!$B$2:$B$152,MATCH(B75,'Wood Density Lookup'!$A$2:$A$152,0))</f>
        <v>0.9</v>
      </c>
      <c r="J75" s="2">
        <f t="shared" si="14"/>
        <v>3.5170789706065455</v>
      </c>
      <c r="K75" s="2">
        <f t="shared" si="18"/>
        <v>0.98478211176983288</v>
      </c>
      <c r="L75" s="2">
        <f t="shared" si="19"/>
        <v>4.5018610823763785</v>
      </c>
      <c r="M75" s="2">
        <f t="shared" si="15"/>
        <v>3.2638492847228742</v>
      </c>
      <c r="N75" s="2">
        <f t="shared" si="16"/>
        <v>1.6319246423614371</v>
      </c>
      <c r="O75" s="2">
        <f t="shared" si="17"/>
        <v>5.9891634374664742</v>
      </c>
      <c r="P75" s="2">
        <v>72.549001000000004</v>
      </c>
      <c r="Q75" s="2">
        <v>23.036756</v>
      </c>
    </row>
    <row r="76" spans="1:17" x14ac:dyDescent="0.25">
      <c r="A76" s="2">
        <v>77</v>
      </c>
      <c r="B76" s="2" t="s">
        <v>3</v>
      </c>
      <c r="C76" s="2">
        <v>6</v>
      </c>
      <c r="D76" s="2">
        <f t="shared" si="10"/>
        <v>15.24</v>
      </c>
      <c r="E76" s="2">
        <f t="shared" si="11"/>
        <v>4.8510426654409704</v>
      </c>
      <c r="F76" s="2">
        <f t="shared" si="12"/>
        <v>1.909859317102744</v>
      </c>
      <c r="G76" s="2">
        <v>11.855183</v>
      </c>
      <c r="H76" s="2">
        <f t="shared" si="13"/>
        <v>38.894958593719998</v>
      </c>
      <c r="I76" s="2">
        <f>INDEX('Wood Density Lookup'!$B$2:$B$152,MATCH(B76,'Wood Density Lookup'!$A$2:$A$152,0))</f>
        <v>0.62</v>
      </c>
      <c r="J76" s="2">
        <f t="shared" si="14"/>
        <v>10.286649002300422</v>
      </c>
      <c r="K76" s="2">
        <f t="shared" si="18"/>
        <v>2.8802617206441186</v>
      </c>
      <c r="L76" s="2">
        <f t="shared" si="19"/>
        <v>13.166910722944539</v>
      </c>
      <c r="M76" s="2">
        <f t="shared" si="15"/>
        <v>9.5460102741347903</v>
      </c>
      <c r="N76" s="2">
        <f t="shared" si="16"/>
        <v>4.7730051370673952</v>
      </c>
      <c r="O76" s="2">
        <f t="shared" si="17"/>
        <v>17.516928853037339</v>
      </c>
      <c r="P76" s="2">
        <v>72.549001000000004</v>
      </c>
      <c r="Q76" s="2">
        <v>23.035615</v>
      </c>
    </row>
    <row r="77" spans="1:17" x14ac:dyDescent="0.25">
      <c r="A77" s="2">
        <v>78</v>
      </c>
      <c r="B77" s="2" t="s">
        <v>42</v>
      </c>
      <c r="C77" s="2">
        <v>5</v>
      </c>
      <c r="D77" s="2">
        <f t="shared" si="10"/>
        <v>12.7</v>
      </c>
      <c r="E77" s="2">
        <f t="shared" si="11"/>
        <v>4.0425355545341413</v>
      </c>
      <c r="F77" s="2">
        <f t="shared" si="12"/>
        <v>1.5915494309189535</v>
      </c>
      <c r="G77" s="2">
        <v>4.896941</v>
      </c>
      <c r="H77" s="2">
        <f t="shared" si="13"/>
        <v>16.066079910439999</v>
      </c>
      <c r="I77" s="2">
        <f>INDEX('Wood Density Lookup'!$B$2:$B$152,MATCH(B77,'Wood Density Lookup'!$A$2:$A$152,0))</f>
        <v>0.9</v>
      </c>
      <c r="J77" s="2">
        <f t="shared" si="14"/>
        <v>4.374321908784407</v>
      </c>
      <c r="K77" s="2">
        <f t="shared" si="18"/>
        <v>1.224810134459634</v>
      </c>
      <c r="L77" s="2">
        <f t="shared" si="19"/>
        <v>5.5991320432440412</v>
      </c>
      <c r="M77" s="2">
        <f t="shared" si="15"/>
        <v>4.0593707313519296</v>
      </c>
      <c r="N77" s="2">
        <f t="shared" si="16"/>
        <v>2.0296853656759648</v>
      </c>
      <c r="O77" s="2">
        <f t="shared" si="17"/>
        <v>7.4489452920307908</v>
      </c>
      <c r="P77" s="2">
        <v>72.549002000000002</v>
      </c>
      <c r="Q77" s="2">
        <v>23.036743000000001</v>
      </c>
    </row>
    <row r="78" spans="1:17" x14ac:dyDescent="0.25">
      <c r="A78" s="2">
        <v>79</v>
      </c>
      <c r="B78" s="2" t="s">
        <v>115</v>
      </c>
      <c r="C78" s="2">
        <v>36</v>
      </c>
      <c r="D78" s="2">
        <f t="shared" si="10"/>
        <v>91.44</v>
      </c>
      <c r="E78" s="2">
        <f t="shared" si="11"/>
        <v>29.106255992645821</v>
      </c>
      <c r="F78" s="2">
        <f t="shared" si="12"/>
        <v>11.459155902616464</v>
      </c>
      <c r="G78" s="2">
        <v>11.051542</v>
      </c>
      <c r="H78" s="2">
        <f t="shared" si="13"/>
        <v>36.258341055279999</v>
      </c>
      <c r="I78" s="2">
        <f>INDEX('Wood Density Lookup'!$B$2:$B$152,MATCH(B78,'Wood Density Lookup'!$A$2:$A$152,0))</f>
        <v>0.65</v>
      </c>
      <c r="J78" s="2">
        <f t="shared" si="14"/>
        <v>332.27722481323258</v>
      </c>
      <c r="K78" s="2">
        <f t="shared" si="18"/>
        <v>93.037622947705131</v>
      </c>
      <c r="L78" s="2">
        <f t="shared" si="19"/>
        <v>425.31484776093771</v>
      </c>
      <c r="M78" s="2">
        <f t="shared" si="15"/>
        <v>308.35326462667985</v>
      </c>
      <c r="N78" s="2">
        <f t="shared" si="16"/>
        <v>154.17663231333992</v>
      </c>
      <c r="O78" s="2">
        <f t="shared" si="17"/>
        <v>565.82824058995755</v>
      </c>
      <c r="P78" s="2">
        <v>72.549002999999999</v>
      </c>
      <c r="Q78" s="2">
        <v>23.036645</v>
      </c>
    </row>
    <row r="79" spans="1:17" x14ac:dyDescent="0.25">
      <c r="A79" s="2">
        <v>80</v>
      </c>
      <c r="B79" s="2" t="s">
        <v>15</v>
      </c>
      <c r="C79" s="2">
        <v>31</v>
      </c>
      <c r="D79" s="2">
        <f t="shared" si="10"/>
        <v>78.739999999999995</v>
      </c>
      <c r="E79" s="2">
        <f t="shared" si="11"/>
        <v>25.063720438111677</v>
      </c>
      <c r="F79" s="2">
        <f t="shared" si="12"/>
        <v>9.8676064716975116</v>
      </c>
      <c r="G79" s="2">
        <v>16.5898</v>
      </c>
      <c r="H79" s="2">
        <f t="shared" si="13"/>
        <v>54.428479432000003</v>
      </c>
      <c r="I79" s="2">
        <f>INDEX('Wood Density Lookup'!$B$2:$B$152,MATCH(B79,'Wood Density Lookup'!$A$2:$A$152,0))</f>
        <v>0.75</v>
      </c>
      <c r="J79" s="2">
        <f t="shared" si="14"/>
        <v>424.20590510864537</v>
      </c>
      <c r="K79" s="2">
        <f t="shared" si="18"/>
        <v>118.77765343042071</v>
      </c>
      <c r="L79" s="2">
        <f t="shared" si="19"/>
        <v>542.98355853906605</v>
      </c>
      <c r="M79" s="2">
        <f t="shared" si="15"/>
        <v>393.66307994082285</v>
      </c>
      <c r="N79" s="2">
        <f t="shared" si="16"/>
        <v>196.83153997041143</v>
      </c>
      <c r="O79" s="2">
        <f t="shared" si="17"/>
        <v>722.37175169140994</v>
      </c>
      <c r="P79" s="2">
        <v>72.549002999999999</v>
      </c>
      <c r="Q79" s="2">
        <v>23.035869000000002</v>
      </c>
    </row>
    <row r="80" spans="1:17" x14ac:dyDescent="0.25">
      <c r="A80" s="2">
        <v>81</v>
      </c>
      <c r="B80" s="2" t="s">
        <v>53</v>
      </c>
      <c r="C80" s="2">
        <v>23</v>
      </c>
      <c r="D80" s="2">
        <f t="shared" si="10"/>
        <v>58.42</v>
      </c>
      <c r="E80" s="2">
        <f t="shared" si="11"/>
        <v>18.595663550857051</v>
      </c>
      <c r="F80" s="2">
        <f t="shared" si="12"/>
        <v>7.3211273822271856</v>
      </c>
      <c r="G80" s="2">
        <v>10.988205000000001</v>
      </c>
      <c r="H80" s="2">
        <f t="shared" si="13"/>
        <v>36.050542492200002</v>
      </c>
      <c r="I80" s="2">
        <f>INDEX('Wood Density Lookup'!$B$2:$B$152,MATCH(B80,'Wood Density Lookup'!$A$2:$A$152,0))</f>
        <v>0.3</v>
      </c>
      <c r="J80" s="2">
        <f t="shared" si="14"/>
        <v>64.79201987609224</v>
      </c>
      <c r="K80" s="2">
        <f t="shared" si="18"/>
        <v>18.141765565305828</v>
      </c>
      <c r="L80" s="2">
        <f t="shared" si="19"/>
        <v>82.933785441398072</v>
      </c>
      <c r="M80" s="2">
        <f t="shared" si="15"/>
        <v>60.126994445013601</v>
      </c>
      <c r="N80" s="2">
        <f t="shared" si="16"/>
        <v>30.0634972225068</v>
      </c>
      <c r="O80" s="2">
        <f t="shared" si="17"/>
        <v>110.33303480659995</v>
      </c>
      <c r="P80" s="2">
        <v>72.549003999999996</v>
      </c>
      <c r="Q80" s="2">
        <v>23.038506000000002</v>
      </c>
    </row>
    <row r="81" spans="1:17" x14ac:dyDescent="0.25">
      <c r="A81" s="2">
        <v>82</v>
      </c>
      <c r="B81" s="2" t="s">
        <v>42</v>
      </c>
      <c r="C81" s="2">
        <v>6</v>
      </c>
      <c r="D81" s="2">
        <f t="shared" si="10"/>
        <v>15.24</v>
      </c>
      <c r="E81" s="2">
        <f t="shared" si="11"/>
        <v>4.8510426654409704</v>
      </c>
      <c r="F81" s="2">
        <f t="shared" si="12"/>
        <v>1.909859317102744</v>
      </c>
      <c r="G81" s="2">
        <v>4.2206549999999998</v>
      </c>
      <c r="H81" s="2">
        <f t="shared" si="13"/>
        <v>13.847293750199999</v>
      </c>
      <c r="I81" s="2">
        <f>INDEX('Wood Density Lookup'!$B$2:$B$152,MATCH(B81,'Wood Density Lookup'!$A$2:$A$152,0))</f>
        <v>0.9</v>
      </c>
      <c r="J81" s="2">
        <f t="shared" si="14"/>
        <v>5.4010300678475343</v>
      </c>
      <c r="K81" s="2">
        <f t="shared" si="18"/>
        <v>1.5122884189973098</v>
      </c>
      <c r="L81" s="2">
        <f t="shared" si="19"/>
        <v>6.9133184868448438</v>
      </c>
      <c r="M81" s="2">
        <f t="shared" si="15"/>
        <v>5.0121559029625118</v>
      </c>
      <c r="N81" s="2">
        <f t="shared" si="16"/>
        <v>2.5060779514812559</v>
      </c>
      <c r="O81" s="2">
        <f t="shared" si="17"/>
        <v>9.1973060819362082</v>
      </c>
      <c r="P81" s="2">
        <v>72.549004999999994</v>
      </c>
      <c r="Q81" s="2">
        <v>23.036725000000001</v>
      </c>
    </row>
    <row r="82" spans="1:17" x14ac:dyDescent="0.25">
      <c r="A82" s="2">
        <v>83</v>
      </c>
      <c r="B82" s="2" t="s">
        <v>42</v>
      </c>
      <c r="C82" s="2">
        <v>5</v>
      </c>
      <c r="D82" s="2">
        <f t="shared" si="10"/>
        <v>12.7</v>
      </c>
      <c r="E82" s="2">
        <f t="shared" si="11"/>
        <v>4.0425355545341413</v>
      </c>
      <c r="F82" s="2">
        <f t="shared" si="12"/>
        <v>1.5915494309189535</v>
      </c>
      <c r="G82" s="2">
        <v>3.7274029999999998</v>
      </c>
      <c r="H82" s="2">
        <f t="shared" si="13"/>
        <v>12.229012858519999</v>
      </c>
      <c r="I82" s="2">
        <f>INDEX('Wood Density Lookup'!$B$2:$B$152,MATCH(B82,'Wood Density Lookup'!$A$2:$A$152,0))</f>
        <v>0.9</v>
      </c>
      <c r="J82" s="2">
        <f t="shared" si="14"/>
        <v>3.3514802405584092</v>
      </c>
      <c r="K82" s="2">
        <f t="shared" si="18"/>
        <v>0.9384144673563547</v>
      </c>
      <c r="L82" s="2">
        <f t="shared" si="19"/>
        <v>4.2898947079147636</v>
      </c>
      <c r="M82" s="2">
        <f t="shared" si="15"/>
        <v>3.1101736632382035</v>
      </c>
      <c r="N82" s="2">
        <f t="shared" si="16"/>
        <v>1.5550868316191018</v>
      </c>
      <c r="O82" s="2">
        <f t="shared" si="17"/>
        <v>5.7071686720421031</v>
      </c>
      <c r="P82" s="2">
        <v>72.549004999999994</v>
      </c>
      <c r="Q82" s="2">
        <v>23.036760999999998</v>
      </c>
    </row>
    <row r="83" spans="1:17" x14ac:dyDescent="0.25">
      <c r="A83" s="2">
        <v>84</v>
      </c>
      <c r="B83" s="2" t="s">
        <v>42</v>
      </c>
      <c r="C83" s="2">
        <v>5</v>
      </c>
      <c r="D83" s="2">
        <f t="shared" si="10"/>
        <v>12.7</v>
      </c>
      <c r="E83" s="2">
        <f t="shared" si="11"/>
        <v>4.0425355545341413</v>
      </c>
      <c r="F83" s="2">
        <f t="shared" si="12"/>
        <v>1.5915494309189535</v>
      </c>
      <c r="G83" s="2">
        <v>2.7834050000000001</v>
      </c>
      <c r="H83" s="2">
        <f t="shared" si="13"/>
        <v>9.1319064601999997</v>
      </c>
      <c r="I83" s="2">
        <f>INDEX('Wood Density Lookup'!$B$2:$B$152,MATCH(B83,'Wood Density Lookup'!$A$2:$A$152,0))</f>
        <v>0.9</v>
      </c>
      <c r="J83" s="2">
        <f t="shared" si="14"/>
        <v>2.5202906870043185</v>
      </c>
      <c r="K83" s="2">
        <f t="shared" si="18"/>
        <v>0.70568139236120919</v>
      </c>
      <c r="L83" s="2">
        <f t="shared" si="19"/>
        <v>3.2259720793655275</v>
      </c>
      <c r="M83" s="2">
        <f t="shared" si="15"/>
        <v>2.3388297575400072</v>
      </c>
      <c r="N83" s="2">
        <f t="shared" si="16"/>
        <v>1.1694148787700036</v>
      </c>
      <c r="O83" s="2">
        <f t="shared" si="17"/>
        <v>4.2917526050859127</v>
      </c>
      <c r="P83" s="2">
        <v>72.549006000000006</v>
      </c>
      <c r="Q83" s="2">
        <v>23.036750999999999</v>
      </c>
    </row>
    <row r="84" spans="1:17" x14ac:dyDescent="0.25">
      <c r="A84" s="2">
        <v>85</v>
      </c>
      <c r="B84" s="2" t="s">
        <v>114</v>
      </c>
      <c r="C84" s="2">
        <v>8</v>
      </c>
      <c r="D84" s="2">
        <f t="shared" si="10"/>
        <v>20.32</v>
      </c>
      <c r="E84" s="2">
        <f t="shared" si="11"/>
        <v>6.4680568872546269</v>
      </c>
      <c r="F84" s="2">
        <f t="shared" si="12"/>
        <v>2.5464790894703255</v>
      </c>
      <c r="G84" s="2">
        <v>3.9644020000000002</v>
      </c>
      <c r="H84" s="2">
        <f t="shared" si="13"/>
        <v>13.006568657680001</v>
      </c>
      <c r="I84" s="2">
        <f>INDEX('Wood Density Lookup'!$B$2:$B$152,MATCH(B84,'Wood Density Lookup'!$A$2:$A$152,0))</f>
        <v>0.55000000000000004</v>
      </c>
      <c r="J84" s="2">
        <f t="shared" si="14"/>
        <v>5.5088505332510822</v>
      </c>
      <c r="K84" s="2">
        <f t="shared" si="18"/>
        <v>1.5424781493103032</v>
      </c>
      <c r="L84" s="2">
        <f t="shared" si="19"/>
        <v>7.051328682561385</v>
      </c>
      <c r="M84" s="2">
        <f t="shared" si="15"/>
        <v>5.1122132948570043</v>
      </c>
      <c r="N84" s="2">
        <f t="shared" si="16"/>
        <v>2.5561066474285021</v>
      </c>
      <c r="O84" s="2">
        <f t="shared" si="17"/>
        <v>9.3809113960626025</v>
      </c>
      <c r="P84" s="2">
        <v>72.549006000000006</v>
      </c>
      <c r="Q84" s="2">
        <v>23.036769</v>
      </c>
    </row>
    <row r="85" spans="1:17" x14ac:dyDescent="0.25">
      <c r="A85" s="2">
        <v>86</v>
      </c>
      <c r="B85" s="2" t="s">
        <v>115</v>
      </c>
      <c r="C85" s="2">
        <v>11</v>
      </c>
      <c r="D85" s="2">
        <f t="shared" si="10"/>
        <v>27.94</v>
      </c>
      <c r="E85" s="2">
        <f t="shared" si="11"/>
        <v>8.8935782199751117</v>
      </c>
      <c r="F85" s="2">
        <f t="shared" si="12"/>
        <v>3.5014087480216975</v>
      </c>
      <c r="G85" s="2">
        <v>15.270101</v>
      </c>
      <c r="H85" s="2">
        <f t="shared" si="13"/>
        <v>50.09875816484</v>
      </c>
      <c r="I85" s="2">
        <f>INDEX('Wood Density Lookup'!$B$2:$B$152,MATCH(B85,'Wood Density Lookup'!$A$2:$A$152,0))</f>
        <v>0.65</v>
      </c>
      <c r="J85" s="2">
        <f t="shared" si="14"/>
        <v>45.024156864228537</v>
      </c>
      <c r="K85" s="2">
        <f t="shared" si="18"/>
        <v>12.606763921983992</v>
      </c>
      <c r="L85" s="2">
        <f t="shared" si="19"/>
        <v>57.630920786212528</v>
      </c>
      <c r="M85" s="2">
        <f t="shared" si="15"/>
        <v>41.782417570004078</v>
      </c>
      <c r="N85" s="2">
        <f t="shared" si="16"/>
        <v>20.891208785002039</v>
      </c>
      <c r="O85" s="2">
        <f t="shared" si="17"/>
        <v>76.670736240957481</v>
      </c>
      <c r="P85" s="2">
        <v>72.549008000000001</v>
      </c>
      <c r="Q85" s="2">
        <v>23.036190999999999</v>
      </c>
    </row>
    <row r="86" spans="1:17" x14ac:dyDescent="0.25">
      <c r="A86" s="2">
        <v>87</v>
      </c>
      <c r="B86" s="2" t="s">
        <v>107</v>
      </c>
      <c r="C86" s="2">
        <v>46</v>
      </c>
      <c r="D86" s="2">
        <f t="shared" si="10"/>
        <v>116.84</v>
      </c>
      <c r="E86" s="2">
        <f t="shared" si="11"/>
        <v>37.191327101714101</v>
      </c>
      <c r="F86" s="2">
        <f t="shared" si="12"/>
        <v>14.642254764454371</v>
      </c>
      <c r="G86" s="2">
        <v>3.200272</v>
      </c>
      <c r="H86" s="2">
        <f t="shared" si="13"/>
        <v>10.49958038848</v>
      </c>
      <c r="I86" s="2">
        <f>INDEX('Wood Density Lookup'!$B$2:$B$152,MATCH(B86,'Wood Density Lookup'!$A$2:$A$152,0))</f>
        <v>0.65</v>
      </c>
      <c r="J86" s="2">
        <f t="shared" si="14"/>
        <v>159.9495628495122</v>
      </c>
      <c r="K86" s="2">
        <f t="shared" si="18"/>
        <v>44.785877597863418</v>
      </c>
      <c r="L86" s="2">
        <f t="shared" si="19"/>
        <v>204.73544044737562</v>
      </c>
      <c r="M86" s="2">
        <f t="shared" si="15"/>
        <v>148.43319432434731</v>
      </c>
      <c r="N86" s="2">
        <f t="shared" si="16"/>
        <v>74.216597162173656</v>
      </c>
      <c r="O86" s="2">
        <f t="shared" si="17"/>
        <v>272.3749115851773</v>
      </c>
      <c r="P86" s="2">
        <v>72.549010999999993</v>
      </c>
      <c r="Q86" s="2">
        <v>23.036576</v>
      </c>
    </row>
    <row r="87" spans="1:17" x14ac:dyDescent="0.25">
      <c r="A87" s="2">
        <v>88</v>
      </c>
      <c r="B87" s="2" t="s">
        <v>40</v>
      </c>
      <c r="C87" s="2">
        <v>12</v>
      </c>
      <c r="D87" s="2">
        <f t="shared" si="10"/>
        <v>30.48</v>
      </c>
      <c r="E87" s="2">
        <f t="shared" si="11"/>
        <v>9.7020853308819408</v>
      </c>
      <c r="F87" s="2">
        <f t="shared" si="12"/>
        <v>3.8197186342054881</v>
      </c>
      <c r="G87" s="2">
        <v>2.4845649999999999</v>
      </c>
      <c r="H87" s="2">
        <f t="shared" si="13"/>
        <v>8.1514602346</v>
      </c>
      <c r="I87" s="2">
        <f>INDEX('Wood Density Lookup'!$B$2:$B$152,MATCH(B87,'Wood Density Lookup'!$A$2:$A$152,0))</f>
        <v>0.8</v>
      </c>
      <c r="J87" s="2">
        <f t="shared" si="14"/>
        <v>11.105954796623573</v>
      </c>
      <c r="K87" s="2">
        <f t="shared" si="18"/>
        <v>3.1096673430546007</v>
      </c>
      <c r="L87" s="2">
        <f t="shared" si="19"/>
        <v>14.215622139678175</v>
      </c>
      <c r="M87" s="2">
        <f t="shared" si="15"/>
        <v>10.306326051266677</v>
      </c>
      <c r="N87" s="2">
        <f t="shared" si="16"/>
        <v>5.1531630256333383</v>
      </c>
      <c r="O87" s="2">
        <f t="shared" si="17"/>
        <v>18.912108304074351</v>
      </c>
      <c r="P87" s="2">
        <v>72.549010999999993</v>
      </c>
      <c r="Q87" s="2">
        <v>23.036801000000001</v>
      </c>
    </row>
    <row r="88" spans="1:17" x14ac:dyDescent="0.25">
      <c r="A88" s="2">
        <v>89</v>
      </c>
      <c r="B88" s="2" t="s">
        <v>93</v>
      </c>
      <c r="C88" s="2">
        <v>3</v>
      </c>
      <c r="D88" s="2">
        <f t="shared" si="10"/>
        <v>7.62</v>
      </c>
      <c r="E88" s="2">
        <f t="shared" si="11"/>
        <v>2.4255213327204852</v>
      </c>
      <c r="F88" s="2">
        <f t="shared" si="12"/>
        <v>0.95492965855137202</v>
      </c>
      <c r="G88" s="2">
        <v>1.1852469999999999</v>
      </c>
      <c r="H88" s="2">
        <f t="shared" si="13"/>
        <v>3.8886057674799996</v>
      </c>
      <c r="I88" s="2">
        <f>INDEX('Wood Density Lookup'!$B$2:$B$152,MATCH(B88,'Wood Density Lookup'!$A$2:$A$152,0))</f>
        <v>0.9</v>
      </c>
      <c r="J88" s="2">
        <f t="shared" si="14"/>
        <v>0.4041408569158047</v>
      </c>
      <c r="K88" s="2">
        <f t="shared" si="18"/>
        <v>0.11315943993642533</v>
      </c>
      <c r="L88" s="2">
        <f t="shared" si="19"/>
        <v>0.51730029685223</v>
      </c>
      <c r="M88" s="2">
        <f t="shared" si="15"/>
        <v>0.37504271521786675</v>
      </c>
      <c r="N88" s="2">
        <f t="shared" si="16"/>
        <v>0.18752135760893338</v>
      </c>
      <c r="O88" s="2">
        <f t="shared" si="17"/>
        <v>0.68820338242478551</v>
      </c>
      <c r="P88" s="2">
        <v>72.549013000000002</v>
      </c>
      <c r="Q88" s="2">
        <v>23.036587999999998</v>
      </c>
    </row>
    <row r="89" spans="1:17" x14ac:dyDescent="0.25">
      <c r="A89" s="2">
        <v>90</v>
      </c>
      <c r="B89" s="2" t="s">
        <v>114</v>
      </c>
      <c r="C89" s="2">
        <v>4</v>
      </c>
      <c r="D89" s="2">
        <f t="shared" si="10"/>
        <v>10.16</v>
      </c>
      <c r="E89" s="2">
        <f t="shared" si="11"/>
        <v>3.2340284436273135</v>
      </c>
      <c r="F89" s="2">
        <f t="shared" si="12"/>
        <v>1.2732395447351628</v>
      </c>
      <c r="G89" s="2">
        <v>1.7025809999999999</v>
      </c>
      <c r="H89" s="2">
        <f t="shared" si="13"/>
        <v>5.5858958480399998</v>
      </c>
      <c r="I89" s="2">
        <f>INDEX('Wood Density Lookup'!$B$2:$B$152,MATCH(B89,'Wood Density Lookup'!$A$2:$A$152,0))</f>
        <v>0.55000000000000004</v>
      </c>
      <c r="J89" s="2">
        <f t="shared" si="14"/>
        <v>0.62400807736126529</v>
      </c>
      <c r="K89" s="2">
        <f t="shared" si="18"/>
        <v>0.17472226166115429</v>
      </c>
      <c r="L89" s="2">
        <f t="shared" si="19"/>
        <v>0.79873033902241963</v>
      </c>
      <c r="M89" s="2">
        <f t="shared" si="15"/>
        <v>0.57907949579125417</v>
      </c>
      <c r="N89" s="2">
        <f t="shared" si="16"/>
        <v>0.28953974789562709</v>
      </c>
      <c r="O89" s="2">
        <f t="shared" si="17"/>
        <v>1.0626108747769514</v>
      </c>
      <c r="P89" s="2">
        <v>72.549014</v>
      </c>
      <c r="Q89" s="2">
        <v>23.036560000000001</v>
      </c>
    </row>
    <row r="90" spans="1:17" x14ac:dyDescent="0.25">
      <c r="A90" s="2">
        <v>91</v>
      </c>
      <c r="B90" s="2" t="s">
        <v>10</v>
      </c>
      <c r="C90" s="2">
        <v>36</v>
      </c>
      <c r="D90" s="2">
        <f t="shared" si="10"/>
        <v>91.44</v>
      </c>
      <c r="E90" s="2">
        <f t="shared" si="11"/>
        <v>29.106255992645821</v>
      </c>
      <c r="F90" s="2">
        <f t="shared" si="12"/>
        <v>11.459155902616464</v>
      </c>
      <c r="G90" s="2">
        <v>12.273434999999999</v>
      </c>
      <c r="H90" s="2">
        <f t="shared" si="13"/>
        <v>40.2671764854</v>
      </c>
      <c r="I90" s="2">
        <f>INDEX('Wood Density Lookup'!$B$2:$B$152,MATCH(B90,'Wood Density Lookup'!$A$2:$A$152,0))</f>
        <v>0.65</v>
      </c>
      <c r="J90" s="2">
        <f t="shared" si="14"/>
        <v>368.08725902269094</v>
      </c>
      <c r="K90" s="2">
        <f t="shared" si="18"/>
        <v>103.06443252635347</v>
      </c>
      <c r="L90" s="2">
        <f t="shared" si="19"/>
        <v>471.15169154904441</v>
      </c>
      <c r="M90" s="2">
        <f t="shared" si="15"/>
        <v>341.5849763730572</v>
      </c>
      <c r="N90" s="2">
        <f t="shared" si="16"/>
        <v>170.7924881865286</v>
      </c>
      <c r="O90" s="2">
        <f t="shared" si="17"/>
        <v>626.80843164455996</v>
      </c>
      <c r="P90" s="2">
        <v>72.549018000000004</v>
      </c>
      <c r="Q90" s="2">
        <v>23.035428</v>
      </c>
    </row>
    <row r="91" spans="1:17" x14ac:dyDescent="0.25">
      <c r="A91" s="2">
        <v>92</v>
      </c>
      <c r="B91" s="2" t="s">
        <v>145</v>
      </c>
      <c r="C91" s="2">
        <v>2</v>
      </c>
      <c r="D91" s="2">
        <f t="shared" si="10"/>
        <v>5.08</v>
      </c>
      <c r="E91" s="2">
        <f t="shared" si="11"/>
        <v>1.6170142218136567</v>
      </c>
      <c r="F91" s="2">
        <f t="shared" si="12"/>
        <v>0.63661977236758138</v>
      </c>
      <c r="G91" s="2">
        <v>3.3492389999999999</v>
      </c>
      <c r="H91" s="2">
        <f t="shared" si="13"/>
        <v>10.988317280759999</v>
      </c>
      <c r="I91" s="2">
        <f>INDEX('Wood Density Lookup'!$B$2:$B$152,MATCH(B91,'Wood Density Lookup'!$A$2:$A$152,0))</f>
        <v>0.55000000000000004</v>
      </c>
      <c r="J91" s="2">
        <f t="shared" si="14"/>
        <v>0.3121518379332438</v>
      </c>
      <c r="K91" s="2">
        <f t="shared" si="18"/>
        <v>8.7402514621308269E-2</v>
      </c>
      <c r="L91" s="2">
        <f t="shared" si="19"/>
        <v>0.39955435255455207</v>
      </c>
      <c r="M91" s="2">
        <f t="shared" si="15"/>
        <v>0.28967690560205023</v>
      </c>
      <c r="N91" s="2">
        <f t="shared" si="16"/>
        <v>0.14483845280102511</v>
      </c>
      <c r="O91" s="2">
        <f t="shared" si="17"/>
        <v>0.53155712177976211</v>
      </c>
      <c r="P91" s="2">
        <v>72.549023000000005</v>
      </c>
      <c r="Q91" s="2">
        <v>23.036964999999999</v>
      </c>
    </row>
    <row r="92" spans="1:17" x14ac:dyDescent="0.25">
      <c r="A92" s="2">
        <v>93</v>
      </c>
      <c r="B92" s="2" t="s">
        <v>22</v>
      </c>
      <c r="C92" s="2">
        <v>47</v>
      </c>
      <c r="D92" s="2">
        <f t="shared" si="10"/>
        <v>119.38</v>
      </c>
      <c r="E92" s="2">
        <f t="shared" si="11"/>
        <v>37.999834212620932</v>
      </c>
      <c r="F92" s="2">
        <f t="shared" si="12"/>
        <v>14.960564650638162</v>
      </c>
      <c r="G92" s="2">
        <v>6.5800369999999999</v>
      </c>
      <c r="H92" s="2">
        <f t="shared" si="13"/>
        <v>21.58804859108</v>
      </c>
      <c r="I92" s="2">
        <f>INDEX('Wood Density Lookup'!$B$2:$B$152,MATCH(B92,'Wood Density Lookup'!$A$2:$A$152,0))</f>
        <v>0.37</v>
      </c>
      <c r="J92" s="2">
        <f t="shared" si="14"/>
        <v>194.49331766612991</v>
      </c>
      <c r="K92" s="2">
        <f t="shared" si="18"/>
        <v>54.458128946516382</v>
      </c>
      <c r="L92" s="2">
        <f t="shared" si="19"/>
        <v>248.95144661264629</v>
      </c>
      <c r="M92" s="2">
        <f t="shared" si="15"/>
        <v>180.48979879416856</v>
      </c>
      <c r="N92" s="2">
        <f t="shared" si="16"/>
        <v>90.244899397084282</v>
      </c>
      <c r="O92" s="2">
        <f t="shared" si="17"/>
        <v>331.19878078729931</v>
      </c>
      <c r="P92" s="2">
        <v>72.549023000000005</v>
      </c>
      <c r="Q92" s="2">
        <v>23.036000999999999</v>
      </c>
    </row>
    <row r="93" spans="1:17" x14ac:dyDescent="0.25">
      <c r="A93" s="2">
        <v>94</v>
      </c>
      <c r="B93" s="2" t="s">
        <v>89</v>
      </c>
      <c r="C93" s="2">
        <v>42</v>
      </c>
      <c r="D93" s="2">
        <f t="shared" si="10"/>
        <v>106.68</v>
      </c>
      <c r="E93" s="2">
        <f t="shared" si="11"/>
        <v>33.957298658086792</v>
      </c>
      <c r="F93" s="2">
        <f t="shared" si="12"/>
        <v>13.369015219719209</v>
      </c>
      <c r="G93" s="2">
        <v>7.3895609999999996</v>
      </c>
      <c r="H93" s="2">
        <f t="shared" si="13"/>
        <v>24.243967311239999</v>
      </c>
      <c r="I93" s="2">
        <f>INDEX('Wood Density Lookup'!$B$2:$B$152,MATCH(B93,'Wood Density Lookup'!$A$2:$A$152,0))</f>
        <v>0.7</v>
      </c>
      <c r="J93" s="2">
        <f t="shared" si="14"/>
        <v>325.82471247865584</v>
      </c>
      <c r="K93" s="2">
        <f t="shared" si="18"/>
        <v>91.230919494023638</v>
      </c>
      <c r="L93" s="2">
        <f t="shared" si="19"/>
        <v>417.05563197267946</v>
      </c>
      <c r="M93" s="2">
        <f t="shared" si="15"/>
        <v>302.36533318019258</v>
      </c>
      <c r="N93" s="2">
        <f t="shared" si="16"/>
        <v>151.18266659009629</v>
      </c>
      <c r="O93" s="2">
        <f t="shared" si="17"/>
        <v>554.84038638565335</v>
      </c>
      <c r="P93" s="2">
        <v>72.549024000000003</v>
      </c>
      <c r="Q93" s="2">
        <v>23.037334999999999</v>
      </c>
    </row>
    <row r="94" spans="1:17" x14ac:dyDescent="0.25">
      <c r="A94" s="2">
        <v>95</v>
      </c>
      <c r="B94" s="2" t="s">
        <v>115</v>
      </c>
      <c r="C94" s="2">
        <v>2</v>
      </c>
      <c r="D94" s="2">
        <f t="shared" si="10"/>
        <v>5.08</v>
      </c>
      <c r="E94" s="2">
        <f t="shared" si="11"/>
        <v>1.6170142218136567</v>
      </c>
      <c r="F94" s="2">
        <f t="shared" si="12"/>
        <v>0.63661977236758138</v>
      </c>
      <c r="G94" s="2">
        <v>14.215604000000001</v>
      </c>
      <c r="H94" s="2">
        <f t="shared" si="13"/>
        <v>46.639122227360005</v>
      </c>
      <c r="I94" s="2">
        <f>INDEX('Wood Density Lookup'!$B$2:$B$152,MATCH(B94,'Wood Density Lookup'!$A$2:$A$152,0))</f>
        <v>0.65</v>
      </c>
      <c r="J94" s="2">
        <f t="shared" si="14"/>
        <v>1.5063533739458788</v>
      </c>
      <c r="K94" s="2">
        <f t="shared" si="18"/>
        <v>0.42177894470484611</v>
      </c>
      <c r="L94" s="2">
        <f t="shared" si="19"/>
        <v>1.9281323186507249</v>
      </c>
      <c r="M94" s="2">
        <f t="shared" si="15"/>
        <v>1.3978959310217756</v>
      </c>
      <c r="N94" s="2">
        <f t="shared" si="16"/>
        <v>0.69894796551088778</v>
      </c>
      <c r="O94" s="2">
        <f t="shared" si="17"/>
        <v>2.5651390334249582</v>
      </c>
      <c r="P94" s="2">
        <v>72.549024000000003</v>
      </c>
      <c r="Q94" s="2">
        <v>23.036192</v>
      </c>
    </row>
    <row r="95" spans="1:17" x14ac:dyDescent="0.25">
      <c r="A95" s="2">
        <v>96</v>
      </c>
      <c r="B95" s="2" t="s">
        <v>25</v>
      </c>
      <c r="C95" s="2">
        <v>21</v>
      </c>
      <c r="D95" s="2">
        <f t="shared" si="10"/>
        <v>53.34</v>
      </c>
      <c r="E95" s="2">
        <f t="shared" si="11"/>
        <v>16.978649329043396</v>
      </c>
      <c r="F95" s="2">
        <f t="shared" si="12"/>
        <v>6.6845076098596046</v>
      </c>
      <c r="G95" s="2">
        <v>9.837097</v>
      </c>
      <c r="H95" s="2">
        <f t="shared" si="13"/>
        <v>32.273941321480002</v>
      </c>
      <c r="I95" s="2">
        <f>INDEX('Wood Density Lookup'!$B$2:$B$152,MATCH(B95,'Wood Density Lookup'!$A$2:$A$152,0))</f>
        <v>0.65</v>
      </c>
      <c r="J95" s="2">
        <f t="shared" si="14"/>
        <v>103.56847318954945</v>
      </c>
      <c r="K95" s="2">
        <f t="shared" si="18"/>
        <v>28.99917249307385</v>
      </c>
      <c r="L95" s="2">
        <f t="shared" si="19"/>
        <v>132.56764568262329</v>
      </c>
      <c r="M95" s="2">
        <f t="shared" si="15"/>
        <v>96.111543119901881</v>
      </c>
      <c r="N95" s="2">
        <f t="shared" si="16"/>
        <v>48.055771559950941</v>
      </c>
      <c r="O95" s="2">
        <f t="shared" si="17"/>
        <v>176.36468162501995</v>
      </c>
      <c r="P95" s="2">
        <v>72.549025</v>
      </c>
      <c r="Q95" s="2">
        <v>23.036048000000001</v>
      </c>
    </row>
    <row r="96" spans="1:17" x14ac:dyDescent="0.25">
      <c r="A96" s="2">
        <v>97</v>
      </c>
      <c r="B96" s="2" t="s">
        <v>134</v>
      </c>
      <c r="C96" s="2">
        <v>63</v>
      </c>
      <c r="D96" s="2">
        <f t="shared" si="10"/>
        <v>160.02000000000001</v>
      </c>
      <c r="E96" s="2">
        <f t="shared" si="11"/>
        <v>50.935947987130191</v>
      </c>
      <c r="F96" s="2">
        <f t="shared" si="12"/>
        <v>20.053522829578814</v>
      </c>
      <c r="G96" s="2">
        <v>6.2329220000000003</v>
      </c>
      <c r="H96" s="2">
        <f t="shared" si="13"/>
        <v>20.449219814479999</v>
      </c>
      <c r="I96" s="2">
        <f>INDEX('Wood Density Lookup'!$B$2:$B$152,MATCH(B96,'Wood Density Lookup'!$A$2:$A$152,0))</f>
        <v>0.65</v>
      </c>
      <c r="J96" s="2">
        <f t="shared" si="14"/>
        <v>566.43386151069319</v>
      </c>
      <c r="K96" s="2">
        <f t="shared" si="18"/>
        <v>158.6014812229941</v>
      </c>
      <c r="L96" s="2">
        <f t="shared" si="19"/>
        <v>725.03534273368723</v>
      </c>
      <c r="M96" s="2">
        <f t="shared" si="15"/>
        <v>525.65062348192328</v>
      </c>
      <c r="N96" s="2">
        <f t="shared" si="16"/>
        <v>262.82531174096164</v>
      </c>
      <c r="O96" s="2">
        <f t="shared" si="17"/>
        <v>964.56889408932921</v>
      </c>
      <c r="P96" s="2">
        <v>72.549031999999997</v>
      </c>
      <c r="Q96" s="2">
        <v>23.035533999999998</v>
      </c>
    </row>
    <row r="97" spans="1:17" x14ac:dyDescent="0.25">
      <c r="A97" s="2">
        <v>98</v>
      </c>
      <c r="B97" s="2" t="s">
        <v>145</v>
      </c>
      <c r="C97" s="2">
        <v>7</v>
      </c>
      <c r="D97" s="2">
        <f t="shared" si="10"/>
        <v>17.78</v>
      </c>
      <c r="E97" s="2">
        <f t="shared" si="11"/>
        <v>5.6595497763477987</v>
      </c>
      <c r="F97" s="2">
        <f t="shared" si="12"/>
        <v>2.228169203286535</v>
      </c>
      <c r="G97" s="2">
        <v>5.7687730000000004</v>
      </c>
      <c r="H97" s="2">
        <f t="shared" si="13"/>
        <v>18.926421209320001</v>
      </c>
      <c r="I97" s="2">
        <f>INDEX('Wood Density Lookup'!$B$2:$B$152,MATCH(B97,'Wood Density Lookup'!$A$2:$A$152,0))</f>
        <v>0.55000000000000004</v>
      </c>
      <c r="J97" s="2">
        <f t="shared" si="14"/>
        <v>6.1214842118047654</v>
      </c>
      <c r="K97" s="2">
        <f t="shared" si="18"/>
        <v>1.7140155793053344</v>
      </c>
      <c r="L97" s="2">
        <f t="shared" si="19"/>
        <v>7.8354997911100996</v>
      </c>
      <c r="M97" s="2">
        <f t="shared" si="15"/>
        <v>5.680737348554822</v>
      </c>
      <c r="N97" s="2">
        <f t="shared" si="16"/>
        <v>2.840368674277411</v>
      </c>
      <c r="O97" s="2">
        <f t="shared" si="17"/>
        <v>10.424153034598099</v>
      </c>
      <c r="P97" s="2">
        <v>72.549031999999997</v>
      </c>
      <c r="Q97" s="2">
        <v>23.036964999999999</v>
      </c>
    </row>
    <row r="98" spans="1:17" x14ac:dyDescent="0.25">
      <c r="A98" s="2">
        <v>100</v>
      </c>
      <c r="B98" s="2" t="s">
        <v>123</v>
      </c>
      <c r="C98" s="2">
        <v>57</v>
      </c>
      <c r="D98" s="2">
        <f t="shared" si="10"/>
        <v>144.78</v>
      </c>
      <c r="E98" s="2">
        <f t="shared" si="11"/>
        <v>46.084905321689213</v>
      </c>
      <c r="F98" s="2">
        <f t="shared" si="12"/>
        <v>18.143663512476071</v>
      </c>
      <c r="G98" s="2">
        <v>7.4940540000000002</v>
      </c>
      <c r="H98" s="2">
        <f t="shared" si="13"/>
        <v>24.586792125359999</v>
      </c>
      <c r="I98" s="2">
        <f>INDEX('Wood Density Lookup'!$B$2:$B$152,MATCH(B98,'Wood Density Lookup'!$A$2:$A$152,0))</f>
        <v>0.85</v>
      </c>
      <c r="J98" s="2">
        <f t="shared" si="14"/>
        <v>724.63303975083352</v>
      </c>
      <c r="K98" s="2">
        <f t="shared" si="18"/>
        <v>202.8972511302334</v>
      </c>
      <c r="L98" s="2">
        <f t="shared" si="19"/>
        <v>927.53029088106689</v>
      </c>
      <c r="M98" s="2">
        <f t="shared" si="15"/>
        <v>672.45946088877349</v>
      </c>
      <c r="N98" s="2">
        <f t="shared" si="16"/>
        <v>336.22973044438675</v>
      </c>
      <c r="O98" s="2">
        <f t="shared" si="17"/>
        <v>1233.9631107308994</v>
      </c>
      <c r="P98" s="2">
        <v>72.549032999999994</v>
      </c>
      <c r="Q98" s="2">
        <v>23.035307</v>
      </c>
    </row>
    <row r="99" spans="1:17" x14ac:dyDescent="0.25">
      <c r="A99" s="2">
        <v>101</v>
      </c>
      <c r="B99" s="2" t="s">
        <v>115</v>
      </c>
      <c r="C99" s="2">
        <v>1</v>
      </c>
      <c r="D99" s="2">
        <f t="shared" si="10"/>
        <v>2.54</v>
      </c>
      <c r="E99" s="2">
        <f t="shared" si="11"/>
        <v>0.80850711090682836</v>
      </c>
      <c r="F99" s="2">
        <f t="shared" si="12"/>
        <v>0.31830988618379069</v>
      </c>
      <c r="G99" s="2">
        <v>13.843622999999999</v>
      </c>
      <c r="H99" s="2">
        <f t="shared" si="13"/>
        <v>45.418712083319996</v>
      </c>
      <c r="I99" s="2">
        <f>INDEX('Wood Density Lookup'!$B$2:$B$152,MATCH(B99,'Wood Density Lookup'!$A$2:$A$152,0))</f>
        <v>0.65</v>
      </c>
      <c r="J99" s="2">
        <f t="shared" si="14"/>
        <v>0.37938235936638876</v>
      </c>
      <c r="K99" s="2">
        <f t="shared" si="18"/>
        <v>0.10622706062258887</v>
      </c>
      <c r="L99" s="2">
        <f t="shared" si="19"/>
        <v>0.48560941998897761</v>
      </c>
      <c r="M99" s="2">
        <f t="shared" si="15"/>
        <v>0.35206682949200874</v>
      </c>
      <c r="N99" s="2">
        <f t="shared" si="16"/>
        <v>0.17603341474600437</v>
      </c>
      <c r="O99" s="2">
        <f t="shared" si="17"/>
        <v>0.64604263211783597</v>
      </c>
      <c r="P99" s="2">
        <v>72.549032999999994</v>
      </c>
      <c r="Q99" s="2">
        <v>23.036178</v>
      </c>
    </row>
    <row r="100" spans="1:17" x14ac:dyDescent="0.25">
      <c r="A100" s="2">
        <v>102</v>
      </c>
      <c r="B100" s="2" t="s">
        <v>107</v>
      </c>
      <c r="C100" s="2">
        <v>3</v>
      </c>
      <c r="D100" s="2">
        <f t="shared" si="10"/>
        <v>7.62</v>
      </c>
      <c r="E100" s="2">
        <f t="shared" si="11"/>
        <v>2.4255213327204852</v>
      </c>
      <c r="F100" s="2">
        <f t="shared" si="12"/>
        <v>0.95492965855137202</v>
      </c>
      <c r="G100" s="2">
        <v>1.663988</v>
      </c>
      <c r="H100" s="2">
        <f t="shared" si="13"/>
        <v>5.4592783899199997</v>
      </c>
      <c r="I100" s="2">
        <f>INDEX('Wood Density Lookup'!$B$2:$B$152,MATCH(B100,'Wood Density Lookup'!$A$2:$A$152,0))</f>
        <v>0.65</v>
      </c>
      <c r="J100" s="2">
        <f t="shared" si="14"/>
        <v>0.40963837844543372</v>
      </c>
      <c r="K100" s="2">
        <f t="shared" si="18"/>
        <v>0.11469874596472145</v>
      </c>
      <c r="L100" s="2">
        <f t="shared" si="19"/>
        <v>0.52433712441015512</v>
      </c>
      <c r="M100" s="2">
        <f t="shared" si="15"/>
        <v>0.38014441519736247</v>
      </c>
      <c r="N100" s="2">
        <f t="shared" si="16"/>
        <v>0.19007220759868124</v>
      </c>
      <c r="O100" s="2">
        <f t="shared" si="17"/>
        <v>0.69756500188716009</v>
      </c>
      <c r="P100" s="2">
        <v>72.549035000000003</v>
      </c>
      <c r="Q100" s="2">
        <v>23.035212999999999</v>
      </c>
    </row>
    <row r="101" spans="1:17" x14ac:dyDescent="0.25">
      <c r="A101" s="2">
        <v>104</v>
      </c>
      <c r="B101" s="2" t="s">
        <v>107</v>
      </c>
      <c r="C101" s="2">
        <v>28</v>
      </c>
      <c r="D101" s="2">
        <f t="shared" si="10"/>
        <v>71.12</v>
      </c>
      <c r="E101" s="2">
        <f t="shared" si="11"/>
        <v>22.638199105391195</v>
      </c>
      <c r="F101" s="2">
        <f t="shared" si="12"/>
        <v>8.91267681314614</v>
      </c>
      <c r="G101" s="2">
        <v>10.116775000000001</v>
      </c>
      <c r="H101" s="2">
        <f t="shared" si="13"/>
        <v>33.191520091000001</v>
      </c>
      <c r="I101" s="2">
        <f>INDEX('Wood Density Lookup'!$B$2:$B$152,MATCH(B101,'Wood Density Lookup'!$A$2:$A$152,0))</f>
        <v>0.65</v>
      </c>
      <c r="J101" s="2">
        <f t="shared" si="14"/>
        <v>186.63406781545075</v>
      </c>
      <c r="K101" s="2">
        <f t="shared" si="18"/>
        <v>52.257538988326218</v>
      </c>
      <c r="L101" s="2">
        <f t="shared" si="19"/>
        <v>238.89160680377697</v>
      </c>
      <c r="M101" s="2">
        <f t="shared" si="15"/>
        <v>173.19641493273829</v>
      </c>
      <c r="N101" s="2">
        <f t="shared" si="16"/>
        <v>86.598207466369146</v>
      </c>
      <c r="O101" s="2">
        <f t="shared" si="17"/>
        <v>317.81542140157478</v>
      </c>
      <c r="P101" s="2">
        <v>72.549040000000005</v>
      </c>
      <c r="Q101" s="2">
        <v>23.036283000000001</v>
      </c>
    </row>
    <row r="102" spans="1:17" x14ac:dyDescent="0.25">
      <c r="A102" s="2">
        <v>105</v>
      </c>
      <c r="B102" s="2" t="s">
        <v>82</v>
      </c>
      <c r="C102" s="2">
        <v>17</v>
      </c>
      <c r="D102" s="2">
        <f t="shared" si="10"/>
        <v>43.18</v>
      </c>
      <c r="E102" s="2">
        <f t="shared" si="11"/>
        <v>13.744620885416081</v>
      </c>
      <c r="F102" s="2">
        <f t="shared" si="12"/>
        <v>5.4112680651244416</v>
      </c>
      <c r="G102" s="2">
        <v>13.976728</v>
      </c>
      <c r="H102" s="2">
        <f t="shared" si="13"/>
        <v>45.85540829152</v>
      </c>
      <c r="I102" s="2">
        <f>INDEX('Wood Density Lookup'!$B$2:$B$152,MATCH(B102,'Wood Density Lookup'!$A$2:$A$152,0))</f>
        <v>0.7</v>
      </c>
      <c r="J102" s="2">
        <f t="shared" si="14"/>
        <v>103.84406738158503</v>
      </c>
      <c r="K102" s="2">
        <f t="shared" si="18"/>
        <v>29.076338866843813</v>
      </c>
      <c r="L102" s="2">
        <f t="shared" si="19"/>
        <v>132.92040624842883</v>
      </c>
      <c r="M102" s="2">
        <f t="shared" si="15"/>
        <v>96.367294530110897</v>
      </c>
      <c r="N102" s="2">
        <f t="shared" si="16"/>
        <v>48.183647265055448</v>
      </c>
      <c r="O102" s="2">
        <f t="shared" si="17"/>
        <v>176.8339854627535</v>
      </c>
      <c r="P102" s="2">
        <v>72.549041000000003</v>
      </c>
      <c r="Q102" s="2">
        <v>23.035658999999999</v>
      </c>
    </row>
    <row r="103" spans="1:17" x14ac:dyDescent="0.25">
      <c r="A103" s="2">
        <v>106</v>
      </c>
      <c r="B103" s="2" t="s">
        <v>72</v>
      </c>
      <c r="C103" s="2">
        <v>19</v>
      </c>
      <c r="D103" s="2">
        <f t="shared" si="10"/>
        <v>48.26</v>
      </c>
      <c r="E103" s="2">
        <f t="shared" si="11"/>
        <v>15.361635107229738</v>
      </c>
      <c r="F103" s="2">
        <f t="shared" si="12"/>
        <v>6.0478878374920226</v>
      </c>
      <c r="G103" s="2">
        <v>6.1812659999999999</v>
      </c>
      <c r="H103" s="2">
        <f t="shared" si="13"/>
        <v>20.279744743439998</v>
      </c>
      <c r="I103" s="2">
        <f>INDEX('Wood Density Lookup'!$B$2:$B$152,MATCH(B103,'Wood Density Lookup'!$A$2:$A$152,0))</f>
        <v>0.65</v>
      </c>
      <c r="J103" s="2">
        <f t="shared" si="14"/>
        <v>54.129743284853234</v>
      </c>
      <c r="K103" s="2">
        <f t="shared" si="18"/>
        <v>15.156328119758907</v>
      </c>
      <c r="L103" s="2">
        <f t="shared" si="19"/>
        <v>69.286071404612144</v>
      </c>
      <c r="M103" s="2">
        <f t="shared" si="15"/>
        <v>50.232401768343806</v>
      </c>
      <c r="N103" s="2">
        <f t="shared" si="16"/>
        <v>25.116200884171903</v>
      </c>
      <c r="O103" s="2">
        <f t="shared" si="17"/>
        <v>92.176457244910878</v>
      </c>
      <c r="P103" s="2">
        <v>72.549042999999998</v>
      </c>
      <c r="Q103" s="2">
        <v>23.037914000000001</v>
      </c>
    </row>
    <row r="104" spans="1:17" x14ac:dyDescent="0.25">
      <c r="A104" s="2">
        <v>107</v>
      </c>
      <c r="B104" s="2" t="s">
        <v>72</v>
      </c>
      <c r="C104" s="2">
        <v>21</v>
      </c>
      <c r="D104" s="2">
        <f t="shared" si="10"/>
        <v>53.34</v>
      </c>
      <c r="E104" s="2">
        <f t="shared" si="11"/>
        <v>16.978649329043396</v>
      </c>
      <c r="F104" s="2">
        <f t="shared" si="12"/>
        <v>6.6845076098596046</v>
      </c>
      <c r="G104" s="2">
        <v>7.8362879999999997</v>
      </c>
      <c r="H104" s="2">
        <f t="shared" si="13"/>
        <v>25.709607121919998</v>
      </c>
      <c r="I104" s="2">
        <f>INDEX('Wood Density Lookup'!$B$2:$B$152,MATCH(B104,'Wood Density Lookup'!$A$2:$A$152,0))</f>
        <v>0.65</v>
      </c>
      <c r="J104" s="2">
        <f t="shared" si="14"/>
        <v>82.954732361105087</v>
      </c>
      <c r="K104" s="2">
        <f t="shared" si="18"/>
        <v>23.227325061109426</v>
      </c>
      <c r="L104" s="2">
        <f t="shared" si="19"/>
        <v>106.18205742221451</v>
      </c>
      <c r="M104" s="2">
        <f t="shared" si="15"/>
        <v>76.981991631105515</v>
      </c>
      <c r="N104" s="2">
        <f t="shared" si="16"/>
        <v>38.490995815552758</v>
      </c>
      <c r="O104" s="2">
        <f t="shared" si="17"/>
        <v>141.26195464307861</v>
      </c>
      <c r="P104" s="2">
        <v>72.549042999999998</v>
      </c>
      <c r="Q104" s="2">
        <v>23.037898999999999</v>
      </c>
    </row>
    <row r="105" spans="1:17" x14ac:dyDescent="0.25">
      <c r="A105" s="2">
        <v>109</v>
      </c>
      <c r="B105" s="2" t="s">
        <v>72</v>
      </c>
      <c r="C105" s="2">
        <v>22</v>
      </c>
      <c r="D105" s="2">
        <f t="shared" si="10"/>
        <v>55.88</v>
      </c>
      <c r="E105" s="2">
        <f t="shared" si="11"/>
        <v>17.787156439950223</v>
      </c>
      <c r="F105" s="2">
        <f t="shared" si="12"/>
        <v>7.0028174960433951</v>
      </c>
      <c r="G105" s="2">
        <v>6.1127770000000003</v>
      </c>
      <c r="H105" s="2">
        <f t="shared" si="13"/>
        <v>20.055043292680001</v>
      </c>
      <c r="I105" s="2">
        <f>INDEX('Wood Density Lookup'!$B$2:$B$152,MATCH(B105,'Wood Density Lookup'!$A$2:$A$152,0))</f>
        <v>0.65</v>
      </c>
      <c r="J105" s="2">
        <f t="shared" si="14"/>
        <v>71.284525639459162</v>
      </c>
      <c r="K105" s="2">
        <f t="shared" si="18"/>
        <v>19.959667179048566</v>
      </c>
      <c r="L105" s="2">
        <f t="shared" si="19"/>
        <v>91.244192818507727</v>
      </c>
      <c r="M105" s="2">
        <f t="shared" si="15"/>
        <v>66.152039793418098</v>
      </c>
      <c r="N105" s="2">
        <f t="shared" si="16"/>
        <v>33.076019896709049</v>
      </c>
      <c r="O105" s="2">
        <f t="shared" si="17"/>
        <v>121.3889930209222</v>
      </c>
      <c r="P105" s="2">
        <v>72.549045000000007</v>
      </c>
      <c r="Q105" s="2">
        <v>23.037852999999998</v>
      </c>
    </row>
    <row r="106" spans="1:17" x14ac:dyDescent="0.25">
      <c r="A106" s="2">
        <v>110</v>
      </c>
      <c r="B106" s="2" t="s">
        <v>111</v>
      </c>
      <c r="C106" s="2">
        <v>5</v>
      </c>
      <c r="D106" s="2">
        <f t="shared" si="10"/>
        <v>12.7</v>
      </c>
      <c r="E106" s="2">
        <f t="shared" si="11"/>
        <v>4.0425355545341413</v>
      </c>
      <c r="F106" s="2">
        <f t="shared" si="12"/>
        <v>1.5915494309189535</v>
      </c>
      <c r="G106" s="2">
        <v>2.7313930000000002</v>
      </c>
      <c r="H106" s="2">
        <f t="shared" si="13"/>
        <v>8.9612634101200008</v>
      </c>
      <c r="I106" s="2">
        <f>INDEX('Wood Density Lookup'!$B$2:$B$152,MATCH(B106,'Wood Density Lookup'!$A$2:$A$152,0))</f>
        <v>0.4</v>
      </c>
      <c r="J106" s="2">
        <f t="shared" si="14"/>
        <v>1.1213079441681058</v>
      </c>
      <c r="K106" s="2">
        <f t="shared" si="18"/>
        <v>0.31396622436706961</v>
      </c>
      <c r="L106" s="2">
        <f t="shared" si="19"/>
        <v>1.4352741685351753</v>
      </c>
      <c r="M106" s="2">
        <f t="shared" si="15"/>
        <v>1.0405737721880022</v>
      </c>
      <c r="N106" s="2">
        <f t="shared" si="16"/>
        <v>0.52028688609400109</v>
      </c>
      <c r="O106" s="2">
        <f t="shared" si="17"/>
        <v>1.9094528719649839</v>
      </c>
      <c r="P106" s="2">
        <v>72.549045000000007</v>
      </c>
      <c r="Q106" s="2">
        <v>23.036632999999998</v>
      </c>
    </row>
    <row r="107" spans="1:17" x14ac:dyDescent="0.25">
      <c r="A107" s="2">
        <v>112</v>
      </c>
      <c r="B107" s="2" t="s">
        <v>111</v>
      </c>
      <c r="C107" s="2">
        <v>5</v>
      </c>
      <c r="D107" s="2">
        <f t="shared" si="10"/>
        <v>12.7</v>
      </c>
      <c r="E107" s="2">
        <f t="shared" si="11"/>
        <v>4.0425355545341413</v>
      </c>
      <c r="F107" s="2">
        <f t="shared" si="12"/>
        <v>1.5915494309189535</v>
      </c>
      <c r="G107" s="2">
        <v>3.8308390000000001</v>
      </c>
      <c r="H107" s="2">
        <f t="shared" si="13"/>
        <v>12.56836982476</v>
      </c>
      <c r="I107" s="2">
        <f>INDEX('Wood Density Lookup'!$B$2:$B$152,MATCH(B107,'Wood Density Lookup'!$A$2:$A$152,0))</f>
        <v>0.4</v>
      </c>
      <c r="J107" s="2">
        <f t="shared" si="14"/>
        <v>1.5599431597448565</v>
      </c>
      <c r="K107" s="2">
        <f t="shared" si="18"/>
        <v>0.4367840847285599</v>
      </c>
      <c r="L107" s="2">
        <f t="shared" si="19"/>
        <v>1.9967272444734165</v>
      </c>
      <c r="M107" s="2">
        <f t="shared" si="15"/>
        <v>1.447627252243227</v>
      </c>
      <c r="N107" s="2">
        <f t="shared" si="16"/>
        <v>0.72381362612161348</v>
      </c>
      <c r="O107" s="2">
        <f t="shared" si="17"/>
        <v>2.6563960078663214</v>
      </c>
      <c r="P107" s="2">
        <v>72.549046000000004</v>
      </c>
      <c r="Q107" s="2">
        <v>23.036587999999998</v>
      </c>
    </row>
    <row r="108" spans="1:17" x14ac:dyDescent="0.25">
      <c r="A108" s="2">
        <v>113</v>
      </c>
      <c r="B108" s="2" t="s">
        <v>15</v>
      </c>
      <c r="C108" s="2">
        <v>23</v>
      </c>
      <c r="D108" s="2">
        <f t="shared" si="10"/>
        <v>58.42</v>
      </c>
      <c r="E108" s="2">
        <f t="shared" si="11"/>
        <v>18.595663550857051</v>
      </c>
      <c r="F108" s="2">
        <f t="shared" si="12"/>
        <v>7.3211273822271856</v>
      </c>
      <c r="G108" s="2">
        <v>9.0064630000000001</v>
      </c>
      <c r="H108" s="2">
        <f t="shared" si="13"/>
        <v>29.548764068920001</v>
      </c>
      <c r="I108" s="2">
        <f>INDEX('Wood Density Lookup'!$B$2:$B$152,MATCH(B108,'Wood Density Lookup'!$A$2:$A$152,0))</f>
        <v>0.75</v>
      </c>
      <c r="J108" s="2">
        <f t="shared" si="14"/>
        <v>130.50027392910306</v>
      </c>
      <c r="K108" s="2">
        <f t="shared" si="18"/>
        <v>36.540076700148859</v>
      </c>
      <c r="L108" s="2">
        <f t="shared" si="19"/>
        <v>167.04035062925192</v>
      </c>
      <c r="M108" s="2">
        <f t="shared" si="15"/>
        <v>121.10425420620764</v>
      </c>
      <c r="N108" s="2">
        <f t="shared" si="16"/>
        <v>60.552127103103821</v>
      </c>
      <c r="O108" s="2">
        <f t="shared" si="17"/>
        <v>222.22630646839102</v>
      </c>
      <c r="P108" s="2">
        <v>72.549047000000002</v>
      </c>
      <c r="Q108" s="2">
        <v>23.037161000000001</v>
      </c>
    </row>
    <row r="109" spans="1:17" x14ac:dyDescent="0.25">
      <c r="A109" s="2">
        <v>114</v>
      </c>
      <c r="B109" s="2" t="s">
        <v>72</v>
      </c>
      <c r="C109" s="2">
        <v>20</v>
      </c>
      <c r="D109" s="2">
        <f t="shared" si="10"/>
        <v>50.8</v>
      </c>
      <c r="E109" s="2">
        <f t="shared" si="11"/>
        <v>16.170142218136565</v>
      </c>
      <c r="F109" s="2">
        <f t="shared" si="12"/>
        <v>6.366197723675814</v>
      </c>
      <c r="G109" s="2">
        <v>5.1163650000000001</v>
      </c>
      <c r="H109" s="2">
        <f t="shared" si="13"/>
        <v>16.7859749466</v>
      </c>
      <c r="I109" s="2">
        <f>INDEX('Wood Density Lookup'!$B$2:$B$152,MATCH(B109,'Wood Density Lookup'!$A$2:$A$152,0))</f>
        <v>0.65</v>
      </c>
      <c r="J109" s="2">
        <f t="shared" si="14"/>
        <v>49.747854800255269</v>
      </c>
      <c r="K109" s="2">
        <f t="shared" si="18"/>
        <v>13.929399344071477</v>
      </c>
      <c r="L109" s="2">
        <f t="shared" si="19"/>
        <v>63.677254144326746</v>
      </c>
      <c r="M109" s="2">
        <f t="shared" si="15"/>
        <v>46.16600925463689</v>
      </c>
      <c r="N109" s="2">
        <f t="shared" si="16"/>
        <v>23.083004627318445</v>
      </c>
      <c r="O109" s="2">
        <f t="shared" si="17"/>
        <v>84.714626982258693</v>
      </c>
      <c r="P109" s="2">
        <v>72.549047000000002</v>
      </c>
      <c r="Q109" s="2">
        <v>23.03782</v>
      </c>
    </row>
    <row r="110" spans="1:17" x14ac:dyDescent="0.25">
      <c r="A110" s="2">
        <v>117</v>
      </c>
      <c r="B110" s="2" t="s">
        <v>93</v>
      </c>
      <c r="C110" s="2">
        <v>3</v>
      </c>
      <c r="D110" s="2">
        <f t="shared" si="10"/>
        <v>7.62</v>
      </c>
      <c r="E110" s="2">
        <f t="shared" si="11"/>
        <v>2.4255213327204852</v>
      </c>
      <c r="F110" s="2">
        <f t="shared" si="12"/>
        <v>0.95492965855137202</v>
      </c>
      <c r="G110" s="2">
        <v>4.2004390000000003</v>
      </c>
      <c r="H110" s="2">
        <f t="shared" si="13"/>
        <v>13.78096828876</v>
      </c>
      <c r="I110" s="2">
        <f>INDEX('Wood Density Lookup'!$B$2:$B$152,MATCH(B110,'Wood Density Lookup'!$A$2:$A$152,0))</f>
        <v>0.9</v>
      </c>
      <c r="J110" s="2">
        <f t="shared" si="14"/>
        <v>1.3894115851055158</v>
      </c>
      <c r="K110" s="2">
        <f t="shared" si="18"/>
        <v>0.38903524382954446</v>
      </c>
      <c r="L110" s="2">
        <f t="shared" si="19"/>
        <v>1.7784468289350603</v>
      </c>
      <c r="M110" s="2">
        <f t="shared" si="15"/>
        <v>1.2893739509779187</v>
      </c>
      <c r="N110" s="2">
        <f t="shared" si="16"/>
        <v>0.64468697548895937</v>
      </c>
      <c r="O110" s="2">
        <f t="shared" si="17"/>
        <v>2.3660012000444808</v>
      </c>
      <c r="P110" s="2">
        <v>72.549048999999997</v>
      </c>
      <c r="Q110" s="2">
        <v>23.036612999999999</v>
      </c>
    </row>
    <row r="111" spans="1:17" x14ac:dyDescent="0.25">
      <c r="A111" s="2">
        <v>118</v>
      </c>
      <c r="B111" s="2" t="s">
        <v>93</v>
      </c>
      <c r="C111" s="2">
        <v>6</v>
      </c>
      <c r="D111" s="2">
        <f t="shared" si="10"/>
        <v>15.24</v>
      </c>
      <c r="E111" s="2">
        <f t="shared" si="11"/>
        <v>4.8510426654409704</v>
      </c>
      <c r="F111" s="2">
        <f t="shared" si="12"/>
        <v>1.909859317102744</v>
      </c>
      <c r="G111" s="2">
        <v>2.0058820000000002</v>
      </c>
      <c r="H111" s="2">
        <f t="shared" si="13"/>
        <v>6.5809779008800007</v>
      </c>
      <c r="I111" s="2">
        <f>INDEX('Wood Density Lookup'!$B$2:$B$152,MATCH(B111,'Wood Density Lookup'!$A$2:$A$152,0))</f>
        <v>0.9</v>
      </c>
      <c r="J111" s="2">
        <f t="shared" si="14"/>
        <v>2.6130992757971852</v>
      </c>
      <c r="K111" s="2">
        <f t="shared" si="18"/>
        <v>0.73166779722321196</v>
      </c>
      <c r="L111" s="2">
        <f t="shared" si="19"/>
        <v>3.3447670730203969</v>
      </c>
      <c r="M111" s="2">
        <f t="shared" si="15"/>
        <v>2.4249561279397875</v>
      </c>
      <c r="N111" s="2">
        <f t="shared" si="16"/>
        <v>1.2124780639698938</v>
      </c>
      <c r="O111" s="2">
        <f t="shared" si="17"/>
        <v>4.4497944947695096</v>
      </c>
      <c r="P111" s="2">
        <v>72.549049999999994</v>
      </c>
      <c r="Q111" s="2">
        <v>23.036573000000001</v>
      </c>
    </row>
    <row r="112" spans="1:17" x14ac:dyDescent="0.25">
      <c r="A112" s="2">
        <v>119</v>
      </c>
      <c r="B112" s="2" t="s">
        <v>10</v>
      </c>
      <c r="C112" s="2">
        <v>4</v>
      </c>
      <c r="D112" s="2">
        <f t="shared" si="10"/>
        <v>10.16</v>
      </c>
      <c r="E112" s="2">
        <f t="shared" si="11"/>
        <v>3.2340284436273135</v>
      </c>
      <c r="F112" s="2">
        <f t="shared" si="12"/>
        <v>1.2732395447351628</v>
      </c>
      <c r="G112" s="2">
        <v>9.9868950000000005</v>
      </c>
      <c r="H112" s="2">
        <f t="shared" si="13"/>
        <v>32.765404591799999</v>
      </c>
      <c r="I112" s="2">
        <f>INDEX('Wood Density Lookup'!$B$2:$B$152,MATCH(B112,'Wood Density Lookup'!$A$2:$A$152,0))</f>
        <v>0.65</v>
      </c>
      <c r="J112" s="2">
        <f t="shared" si="14"/>
        <v>4.1293587864239854</v>
      </c>
      <c r="K112" s="2">
        <f t="shared" si="18"/>
        <v>1.156220460198716</v>
      </c>
      <c r="L112" s="2">
        <f t="shared" si="19"/>
        <v>5.2855792466227012</v>
      </c>
      <c r="M112" s="2">
        <f t="shared" si="15"/>
        <v>3.832044953801458</v>
      </c>
      <c r="N112" s="2">
        <f t="shared" si="16"/>
        <v>1.916022476900729</v>
      </c>
      <c r="O112" s="2">
        <f t="shared" si="17"/>
        <v>7.0318024902256751</v>
      </c>
      <c r="P112" s="2">
        <v>72.549051000000006</v>
      </c>
      <c r="Q112" s="2">
        <v>23.035384000000001</v>
      </c>
    </row>
    <row r="113" spans="1:17" x14ac:dyDescent="0.25">
      <c r="A113" s="2">
        <v>120</v>
      </c>
      <c r="B113" s="2" t="s">
        <v>115</v>
      </c>
      <c r="C113" s="2">
        <v>3</v>
      </c>
      <c r="D113" s="2">
        <f t="shared" si="10"/>
        <v>7.62</v>
      </c>
      <c r="E113" s="2">
        <f t="shared" si="11"/>
        <v>2.4255213327204852</v>
      </c>
      <c r="F113" s="2">
        <f t="shared" si="12"/>
        <v>0.95492965855137202</v>
      </c>
      <c r="G113" s="2">
        <v>4.7761120000000004</v>
      </c>
      <c r="H113" s="2">
        <f t="shared" si="13"/>
        <v>15.669659294080001</v>
      </c>
      <c r="I113" s="2">
        <f>INDEX('Wood Density Lookup'!$B$2:$B$152,MATCH(B113,'Wood Density Lookup'!$A$2:$A$152,0))</f>
        <v>0.65</v>
      </c>
      <c r="J113" s="2">
        <f t="shared" si="14"/>
        <v>1.1463962777277856</v>
      </c>
      <c r="K113" s="2">
        <f t="shared" si="18"/>
        <v>0.32099095776378</v>
      </c>
      <c r="L113" s="2">
        <f t="shared" si="19"/>
        <v>1.4673872354915656</v>
      </c>
      <c r="M113" s="2">
        <f t="shared" si="15"/>
        <v>1.0638557457313851</v>
      </c>
      <c r="N113" s="2">
        <f t="shared" si="16"/>
        <v>0.53192787286569254</v>
      </c>
      <c r="O113" s="2">
        <f t="shared" si="17"/>
        <v>1.9521752934170915</v>
      </c>
      <c r="P113" s="2">
        <v>72.549052000000003</v>
      </c>
      <c r="Q113" s="2">
        <v>23.036190000000001</v>
      </c>
    </row>
    <row r="114" spans="1:17" x14ac:dyDescent="0.25">
      <c r="A114" s="2">
        <v>121</v>
      </c>
      <c r="B114" s="2" t="s">
        <v>107</v>
      </c>
      <c r="C114" s="2">
        <v>5</v>
      </c>
      <c r="D114" s="2">
        <f t="shared" si="10"/>
        <v>12.7</v>
      </c>
      <c r="E114" s="2">
        <f t="shared" si="11"/>
        <v>4.0425355545341413</v>
      </c>
      <c r="F114" s="2">
        <f t="shared" si="12"/>
        <v>1.5915494309189535</v>
      </c>
      <c r="G114" s="2">
        <v>12.497569</v>
      </c>
      <c r="H114" s="2">
        <f t="shared" si="13"/>
        <v>41.002524277959999</v>
      </c>
      <c r="I114" s="2">
        <f>INDEX('Wood Density Lookup'!$B$2:$B$152,MATCH(B114,'Wood Density Lookup'!$A$2:$A$152,0))</f>
        <v>0.65</v>
      </c>
      <c r="J114" s="2">
        <f t="shared" si="14"/>
        <v>7.945267842727719</v>
      </c>
      <c r="K114" s="2">
        <f t="shared" si="18"/>
        <v>2.2246749959637615</v>
      </c>
      <c r="L114" s="2">
        <f t="shared" si="19"/>
        <v>10.16994283869148</v>
      </c>
      <c r="M114" s="2">
        <f t="shared" si="15"/>
        <v>7.3732085580513225</v>
      </c>
      <c r="N114" s="2">
        <f t="shared" si="16"/>
        <v>3.6866042790256612</v>
      </c>
      <c r="O114" s="2">
        <f t="shared" si="17"/>
        <v>13.529837704024176</v>
      </c>
      <c r="P114" s="2">
        <v>72.549053000000001</v>
      </c>
      <c r="Q114" s="2">
        <v>23.035803000000001</v>
      </c>
    </row>
    <row r="115" spans="1:17" x14ac:dyDescent="0.25">
      <c r="A115" s="2">
        <v>122</v>
      </c>
      <c r="B115" s="2" t="s">
        <v>15</v>
      </c>
      <c r="C115" s="2">
        <v>61</v>
      </c>
      <c r="D115" s="2">
        <f t="shared" si="10"/>
        <v>154.94</v>
      </c>
      <c r="E115" s="2">
        <f t="shared" si="11"/>
        <v>49.31893376531653</v>
      </c>
      <c r="F115" s="2">
        <f t="shared" si="12"/>
        <v>19.416903057211233</v>
      </c>
      <c r="G115" s="2">
        <v>7.2066970000000001</v>
      </c>
      <c r="H115" s="2">
        <f t="shared" si="13"/>
        <v>23.644019785480001</v>
      </c>
      <c r="I115" s="2">
        <f>INDEX('Wood Density Lookup'!$B$2:$B$152,MATCH(B115,'Wood Density Lookup'!$A$2:$A$152,0))</f>
        <v>0.75</v>
      </c>
      <c r="J115" s="2">
        <f t="shared" si="14"/>
        <v>704.67384307830446</v>
      </c>
      <c r="K115" s="2">
        <f t="shared" si="18"/>
        <v>197.30867606192527</v>
      </c>
      <c r="L115" s="2">
        <f t="shared" si="19"/>
        <v>901.98251914022967</v>
      </c>
      <c r="M115" s="2">
        <f t="shared" si="15"/>
        <v>653.93732637666653</v>
      </c>
      <c r="N115" s="2">
        <f t="shared" si="16"/>
        <v>326.96866318833327</v>
      </c>
      <c r="O115" s="2">
        <f t="shared" si="17"/>
        <v>1199.9749939011831</v>
      </c>
      <c r="P115" s="2">
        <v>72.549053999999998</v>
      </c>
      <c r="Q115" s="2">
        <v>23.037792</v>
      </c>
    </row>
    <row r="116" spans="1:17" x14ac:dyDescent="0.25">
      <c r="A116" s="2">
        <v>123</v>
      </c>
      <c r="B116" s="2" t="s">
        <v>145</v>
      </c>
      <c r="C116" s="2">
        <v>47</v>
      </c>
      <c r="D116" s="2">
        <f t="shared" si="10"/>
        <v>119.38</v>
      </c>
      <c r="E116" s="2">
        <f t="shared" si="11"/>
        <v>37.999834212620932</v>
      </c>
      <c r="F116" s="2">
        <f t="shared" si="12"/>
        <v>14.960564650638162</v>
      </c>
      <c r="G116" s="2">
        <v>8.654776</v>
      </c>
      <c r="H116" s="2">
        <f t="shared" si="13"/>
        <v>28.39493529184</v>
      </c>
      <c r="I116" s="2">
        <f>INDEX('Wood Density Lookup'!$B$2:$B$152,MATCH(B116,'Wood Density Lookup'!$A$2:$A$152,0))</f>
        <v>0.55000000000000004</v>
      </c>
      <c r="J116" s="2">
        <f t="shared" si="14"/>
        <v>374.20072390815812</v>
      </c>
      <c r="K116" s="2">
        <f t="shared" si="18"/>
        <v>104.77620269428428</v>
      </c>
      <c r="L116" s="2">
        <f t="shared" si="19"/>
        <v>478.9769266024424</v>
      </c>
      <c r="M116" s="2">
        <f t="shared" si="15"/>
        <v>347.25827178677071</v>
      </c>
      <c r="N116" s="2">
        <f t="shared" si="16"/>
        <v>173.62913589338535</v>
      </c>
      <c r="O116" s="2">
        <f t="shared" si="17"/>
        <v>637.21892872872422</v>
      </c>
      <c r="P116" s="2">
        <v>72.549055999999993</v>
      </c>
      <c r="Q116" s="2">
        <v>23.036964999999999</v>
      </c>
    </row>
    <row r="117" spans="1:17" x14ac:dyDescent="0.25">
      <c r="A117" s="2">
        <v>124</v>
      </c>
      <c r="B117" s="2" t="s">
        <v>89</v>
      </c>
      <c r="C117" s="2">
        <v>19</v>
      </c>
      <c r="D117" s="2">
        <f t="shared" si="10"/>
        <v>48.26</v>
      </c>
      <c r="E117" s="2">
        <f t="shared" si="11"/>
        <v>15.361635107229738</v>
      </c>
      <c r="F117" s="2">
        <f t="shared" si="12"/>
        <v>6.0478878374920226</v>
      </c>
      <c r="G117" s="2">
        <v>4.0333860000000001</v>
      </c>
      <c r="H117" s="2">
        <f t="shared" si="13"/>
        <v>13.23289412424</v>
      </c>
      <c r="I117" s="2">
        <f>INDEX('Wood Density Lookup'!$B$2:$B$152,MATCH(B117,'Wood Density Lookup'!$A$2:$A$152,0))</f>
        <v>0.7</v>
      </c>
      <c r="J117" s="2">
        <f t="shared" si="14"/>
        <v>38.361038460499003</v>
      </c>
      <c r="K117" s="2">
        <f t="shared" si="18"/>
        <v>10.741090768939722</v>
      </c>
      <c r="L117" s="2">
        <f t="shared" si="19"/>
        <v>49.102129229438724</v>
      </c>
      <c r="M117" s="2">
        <f t="shared" si="15"/>
        <v>35.599043691343077</v>
      </c>
      <c r="N117" s="2">
        <f t="shared" si="16"/>
        <v>17.799521845671539</v>
      </c>
      <c r="O117" s="2">
        <f t="shared" si="17"/>
        <v>65.324245173614543</v>
      </c>
      <c r="P117" s="2">
        <v>72.549057000000005</v>
      </c>
      <c r="Q117" s="2">
        <v>23.037509</v>
      </c>
    </row>
    <row r="118" spans="1:17" x14ac:dyDescent="0.25">
      <c r="A118" s="2">
        <v>125</v>
      </c>
      <c r="B118" s="2" t="s">
        <v>9</v>
      </c>
      <c r="C118" s="2">
        <v>87</v>
      </c>
      <c r="D118" s="2">
        <f t="shared" si="10"/>
        <v>220.98</v>
      </c>
      <c r="E118" s="2">
        <f t="shared" si="11"/>
        <v>70.340118648894062</v>
      </c>
      <c r="F118" s="2">
        <f t="shared" si="12"/>
        <v>27.69296009798979</v>
      </c>
      <c r="G118" s="2">
        <v>14.941279</v>
      </c>
      <c r="H118" s="2">
        <f t="shared" si="13"/>
        <v>49.019945794359998</v>
      </c>
      <c r="I118" s="2">
        <f>INDEX('Wood Density Lookup'!$B$2:$B$152,MATCH(B118,'Wood Density Lookup'!$A$2:$A$152,0))</f>
        <v>0.42</v>
      </c>
      <c r="J118" s="2">
        <f t="shared" si="14"/>
        <v>1630.2315166932194</v>
      </c>
      <c r="K118" s="2">
        <f t="shared" si="18"/>
        <v>456.46482467410146</v>
      </c>
      <c r="L118" s="2">
        <f t="shared" si="19"/>
        <v>2086.6963413673211</v>
      </c>
      <c r="M118" s="2">
        <f t="shared" si="15"/>
        <v>1512.8548474913077</v>
      </c>
      <c r="N118" s="2">
        <f t="shared" si="16"/>
        <v>756.42742374565387</v>
      </c>
      <c r="O118" s="2">
        <f t="shared" si="17"/>
        <v>2776.0886451465494</v>
      </c>
      <c r="P118" s="2">
        <v>72.549057000000005</v>
      </c>
      <c r="Q118" s="2">
        <v>23.036138000000001</v>
      </c>
    </row>
    <row r="119" spans="1:17" x14ac:dyDescent="0.25">
      <c r="A119" s="2">
        <v>127</v>
      </c>
      <c r="B119" s="2" t="s">
        <v>37</v>
      </c>
      <c r="C119" s="2">
        <v>52</v>
      </c>
      <c r="D119" s="2">
        <f t="shared" si="10"/>
        <v>132.08000000000001</v>
      </c>
      <c r="E119" s="2">
        <f t="shared" si="11"/>
        <v>42.04236976715508</v>
      </c>
      <c r="F119" s="2">
        <f t="shared" si="12"/>
        <v>16.552114081557114</v>
      </c>
      <c r="G119" s="2">
        <v>18.312712999999999</v>
      </c>
      <c r="H119" s="2">
        <f t="shared" si="13"/>
        <v>60.081081318919992</v>
      </c>
      <c r="I119" s="2">
        <f>INDEX('Wood Density Lookup'!$B$2:$B$152,MATCH(B119,'Wood Density Lookup'!$A$2:$A$152,0))</f>
        <v>0.27</v>
      </c>
      <c r="J119" s="2">
        <f t="shared" si="14"/>
        <v>473.05333953315943</v>
      </c>
      <c r="K119" s="2">
        <f t="shared" si="18"/>
        <v>132.45493506928466</v>
      </c>
      <c r="L119" s="2">
        <f t="shared" si="19"/>
        <v>605.50827460244409</v>
      </c>
      <c r="M119" s="2">
        <f t="shared" si="15"/>
        <v>438.99349908677198</v>
      </c>
      <c r="N119" s="2">
        <f t="shared" si="16"/>
        <v>219.49674954338599</v>
      </c>
      <c r="O119" s="2">
        <f t="shared" si="17"/>
        <v>805.55307082422655</v>
      </c>
      <c r="P119" s="2">
        <v>72.549059999999997</v>
      </c>
      <c r="Q119" s="2">
        <v>23.035920000000001</v>
      </c>
    </row>
    <row r="120" spans="1:17" x14ac:dyDescent="0.25">
      <c r="A120" s="2">
        <v>128</v>
      </c>
      <c r="B120" s="2" t="s">
        <v>31</v>
      </c>
      <c r="C120" s="2">
        <v>17</v>
      </c>
      <c r="D120" s="2">
        <f t="shared" si="10"/>
        <v>43.18</v>
      </c>
      <c r="E120" s="2">
        <f t="shared" si="11"/>
        <v>13.744620885416081</v>
      </c>
      <c r="F120" s="2">
        <f t="shared" si="12"/>
        <v>5.4112680651244416</v>
      </c>
      <c r="G120" s="2">
        <v>11.664275999999999</v>
      </c>
      <c r="H120" s="2">
        <f t="shared" si="13"/>
        <v>38.268623271839999</v>
      </c>
      <c r="I120" s="2">
        <f>INDEX('Wood Density Lookup'!$B$2:$B$152,MATCH(B120,'Wood Density Lookup'!$A$2:$A$152,0))</f>
        <v>0.78</v>
      </c>
      <c r="J120" s="2">
        <f t="shared" si="14"/>
        <v>96.735917428524431</v>
      </c>
      <c r="K120" s="2">
        <f t="shared" si="18"/>
        <v>27.086056879986842</v>
      </c>
      <c r="L120" s="2">
        <f t="shared" si="19"/>
        <v>123.82197430851127</v>
      </c>
      <c r="M120" s="2">
        <f t="shared" si="15"/>
        <v>89.770931373670663</v>
      </c>
      <c r="N120" s="2">
        <f t="shared" si="16"/>
        <v>44.885465686835332</v>
      </c>
      <c r="O120" s="2">
        <f t="shared" si="17"/>
        <v>164.72965907068567</v>
      </c>
      <c r="P120" s="2">
        <v>72.549060999999995</v>
      </c>
      <c r="Q120" s="2">
        <v>23.034984000000001</v>
      </c>
    </row>
    <row r="121" spans="1:17" x14ac:dyDescent="0.25">
      <c r="A121" s="2">
        <v>130</v>
      </c>
      <c r="B121" s="2" t="s">
        <v>107</v>
      </c>
      <c r="C121" s="2">
        <v>5</v>
      </c>
      <c r="D121" s="2">
        <f t="shared" si="10"/>
        <v>12.7</v>
      </c>
      <c r="E121" s="2">
        <f t="shared" si="11"/>
        <v>4.0425355545341413</v>
      </c>
      <c r="F121" s="2">
        <f t="shared" si="12"/>
        <v>1.5915494309189535</v>
      </c>
      <c r="G121" s="2">
        <v>15.540362999999999</v>
      </c>
      <c r="H121" s="2">
        <f t="shared" si="13"/>
        <v>50.98544454492</v>
      </c>
      <c r="I121" s="2">
        <f>INDEX('Wood Density Lookup'!$B$2:$B$152,MATCH(B121,'Wood Density Lookup'!$A$2:$A$152,0))</f>
        <v>0.65</v>
      </c>
      <c r="J121" s="2">
        <f t="shared" si="14"/>
        <v>9.8281755082065292</v>
      </c>
      <c r="K121" s="2">
        <f t="shared" si="18"/>
        <v>2.7518891422978284</v>
      </c>
      <c r="L121" s="2">
        <f t="shared" si="19"/>
        <v>12.580064650504358</v>
      </c>
      <c r="M121" s="2">
        <f t="shared" si="15"/>
        <v>9.1205468716156588</v>
      </c>
      <c r="N121" s="2">
        <f t="shared" si="16"/>
        <v>4.5602734358078294</v>
      </c>
      <c r="O121" s="2">
        <f t="shared" si="17"/>
        <v>16.736203509414732</v>
      </c>
      <c r="P121" s="2">
        <v>72.549063000000004</v>
      </c>
      <c r="Q121" s="2">
        <v>23.035782000000001</v>
      </c>
    </row>
    <row r="122" spans="1:17" x14ac:dyDescent="0.25">
      <c r="A122" s="2">
        <v>131</v>
      </c>
      <c r="B122" s="2" t="s">
        <v>3</v>
      </c>
      <c r="C122" s="2">
        <v>24</v>
      </c>
      <c r="D122" s="2">
        <f t="shared" si="10"/>
        <v>60.96</v>
      </c>
      <c r="E122" s="2">
        <f t="shared" si="11"/>
        <v>19.404170661763882</v>
      </c>
      <c r="F122" s="2">
        <f t="shared" si="12"/>
        <v>7.6394372684109761</v>
      </c>
      <c r="G122" s="2">
        <v>6.3887489999999998</v>
      </c>
      <c r="H122" s="2">
        <f t="shared" si="13"/>
        <v>20.960463269159998</v>
      </c>
      <c r="I122" s="2">
        <f>INDEX('Wood Density Lookup'!$B$2:$B$152,MATCH(B122,'Wood Density Lookup'!$A$2:$A$152,0))</f>
        <v>0.62</v>
      </c>
      <c r="J122" s="2">
        <f t="shared" si="14"/>
        <v>84.226044705883311</v>
      </c>
      <c r="K122" s="2">
        <f t="shared" si="18"/>
        <v>23.58329251764733</v>
      </c>
      <c r="L122" s="2">
        <f t="shared" si="19"/>
        <v>107.80933722353063</v>
      </c>
      <c r="M122" s="2">
        <f t="shared" si="15"/>
        <v>78.161769487059701</v>
      </c>
      <c r="N122" s="2">
        <f t="shared" si="16"/>
        <v>39.08088474352985</v>
      </c>
      <c r="O122" s="2">
        <f t="shared" si="17"/>
        <v>143.42684700875455</v>
      </c>
      <c r="P122" s="2">
        <v>72.549064000000001</v>
      </c>
      <c r="Q122" s="2">
        <v>23.035066</v>
      </c>
    </row>
    <row r="123" spans="1:17" x14ac:dyDescent="0.25">
      <c r="A123" s="2">
        <v>132</v>
      </c>
      <c r="B123" s="2" t="s">
        <v>115</v>
      </c>
      <c r="C123" s="2">
        <v>2</v>
      </c>
      <c r="D123" s="2">
        <f t="shared" si="10"/>
        <v>5.08</v>
      </c>
      <c r="E123" s="2">
        <f t="shared" si="11"/>
        <v>1.6170142218136567</v>
      </c>
      <c r="F123" s="2">
        <f t="shared" si="12"/>
        <v>0.63661977236758138</v>
      </c>
      <c r="G123" s="2">
        <v>13.956697999999999</v>
      </c>
      <c r="H123" s="2">
        <f t="shared" si="13"/>
        <v>45.789693066319998</v>
      </c>
      <c r="I123" s="2">
        <f>INDEX('Wood Density Lookup'!$B$2:$B$152,MATCH(B123,'Wood Density Lookup'!$A$2:$A$152,0))</f>
        <v>0.65</v>
      </c>
      <c r="J123" s="2">
        <f t="shared" si="14"/>
        <v>1.4795710053965876</v>
      </c>
      <c r="K123" s="2">
        <f t="shared" si="18"/>
        <v>0.41427988151104456</v>
      </c>
      <c r="L123" s="2">
        <f t="shared" si="19"/>
        <v>1.8938508869076323</v>
      </c>
      <c r="M123" s="2">
        <f t="shared" si="15"/>
        <v>1.3730418930080333</v>
      </c>
      <c r="N123" s="2">
        <f t="shared" si="16"/>
        <v>0.68652094650401663</v>
      </c>
      <c r="O123" s="2">
        <f t="shared" si="17"/>
        <v>2.5195318736697412</v>
      </c>
      <c r="P123" s="2">
        <v>72.549064999999999</v>
      </c>
      <c r="Q123" s="2">
        <v>23.036179000000001</v>
      </c>
    </row>
    <row r="124" spans="1:17" x14ac:dyDescent="0.25">
      <c r="A124" s="2">
        <v>133</v>
      </c>
      <c r="B124" s="2" t="s">
        <v>15</v>
      </c>
      <c r="C124" s="2">
        <v>22</v>
      </c>
      <c r="D124" s="2">
        <f t="shared" si="10"/>
        <v>55.88</v>
      </c>
      <c r="E124" s="2">
        <f t="shared" si="11"/>
        <v>17.787156439950223</v>
      </c>
      <c r="F124" s="2">
        <f t="shared" si="12"/>
        <v>7.0028174960433951</v>
      </c>
      <c r="G124" s="2">
        <v>7.233142</v>
      </c>
      <c r="H124" s="2">
        <f t="shared" si="13"/>
        <v>23.73078159928</v>
      </c>
      <c r="I124" s="2">
        <f>INDEX('Wood Density Lookup'!$B$2:$B$152,MATCH(B124,'Wood Density Lookup'!$A$2:$A$152,0))</f>
        <v>0.75</v>
      </c>
      <c r="J124" s="2">
        <f t="shared" si="14"/>
        <v>96.601959756013272</v>
      </c>
      <c r="K124" s="2">
        <f t="shared" si="18"/>
        <v>27.04854873168372</v>
      </c>
      <c r="L124" s="2">
        <f t="shared" si="19"/>
        <v>123.650508487697</v>
      </c>
      <c r="M124" s="2">
        <f t="shared" si="15"/>
        <v>89.646618653580319</v>
      </c>
      <c r="N124" s="2">
        <f t="shared" si="16"/>
        <v>44.823309326790159</v>
      </c>
      <c r="O124" s="2">
        <f t="shared" si="17"/>
        <v>164.50154522931987</v>
      </c>
      <c r="P124" s="2">
        <v>72.549068000000005</v>
      </c>
      <c r="Q124" s="2">
        <v>23.037610999999998</v>
      </c>
    </row>
    <row r="125" spans="1:17" x14ac:dyDescent="0.25">
      <c r="A125" s="2">
        <v>134</v>
      </c>
      <c r="B125" s="2" t="s">
        <v>143</v>
      </c>
      <c r="C125" s="2">
        <v>17</v>
      </c>
      <c r="D125" s="2">
        <f t="shared" si="10"/>
        <v>43.18</v>
      </c>
      <c r="E125" s="2">
        <f t="shared" si="11"/>
        <v>13.744620885416081</v>
      </c>
      <c r="F125" s="2">
        <f t="shared" si="12"/>
        <v>5.4112680651244416</v>
      </c>
      <c r="G125" s="2">
        <v>3.383235</v>
      </c>
      <c r="H125" s="2">
        <f t="shared" si="13"/>
        <v>11.099852717399999</v>
      </c>
      <c r="I125" s="2">
        <f>INDEX('Wood Density Lookup'!$B$2:$B$152,MATCH(B125,'Wood Density Lookup'!$A$2:$A$152,0))</f>
        <v>0.75</v>
      </c>
      <c r="J125" s="2">
        <f t="shared" si="14"/>
        <v>27.818788213698234</v>
      </c>
      <c r="K125" s="2">
        <f t="shared" si="18"/>
        <v>7.7892606998355065</v>
      </c>
      <c r="L125" s="2">
        <f t="shared" si="19"/>
        <v>35.608048913533743</v>
      </c>
      <c r="M125" s="2">
        <f t="shared" si="15"/>
        <v>25.815835462311963</v>
      </c>
      <c r="N125" s="2">
        <f t="shared" si="16"/>
        <v>12.907917731155981</v>
      </c>
      <c r="O125" s="2">
        <f t="shared" si="17"/>
        <v>47.372058073342451</v>
      </c>
      <c r="P125" s="2">
        <v>72.549068000000005</v>
      </c>
      <c r="Q125" s="2">
        <v>23.037486000000001</v>
      </c>
    </row>
    <row r="126" spans="1:17" x14ac:dyDescent="0.25">
      <c r="A126" s="2">
        <v>135</v>
      </c>
      <c r="B126" s="2" t="s">
        <v>115</v>
      </c>
      <c r="C126" s="2">
        <v>2</v>
      </c>
      <c r="D126" s="2">
        <f t="shared" si="10"/>
        <v>5.08</v>
      </c>
      <c r="E126" s="2">
        <f t="shared" si="11"/>
        <v>1.6170142218136567</v>
      </c>
      <c r="F126" s="2">
        <f t="shared" si="12"/>
        <v>0.63661977236758138</v>
      </c>
      <c r="G126" s="2">
        <v>7.0184249999999997</v>
      </c>
      <c r="H126" s="2">
        <f t="shared" si="13"/>
        <v>23.026329476999997</v>
      </c>
      <c r="I126" s="2">
        <f>INDEX('Wood Density Lookup'!$B$2:$B$152,MATCH(B126,'Wood Density Lookup'!$A$2:$A$152,0))</f>
        <v>0.65</v>
      </c>
      <c r="J126" s="2">
        <f t="shared" si="14"/>
        <v>0.7564109838279065</v>
      </c>
      <c r="K126" s="2">
        <f t="shared" si="18"/>
        <v>0.21179507547181384</v>
      </c>
      <c r="L126" s="2">
        <f t="shared" si="19"/>
        <v>0.96820605929972037</v>
      </c>
      <c r="M126" s="2">
        <f t="shared" si="15"/>
        <v>0.70194939299229719</v>
      </c>
      <c r="N126" s="2">
        <f t="shared" si="16"/>
        <v>0.3509746964961486</v>
      </c>
      <c r="O126" s="2">
        <f t="shared" si="17"/>
        <v>1.2880771361408654</v>
      </c>
      <c r="P126" s="2">
        <v>72.54907</v>
      </c>
      <c r="Q126" s="2">
        <v>23.036193999999998</v>
      </c>
    </row>
    <row r="127" spans="1:17" x14ac:dyDescent="0.25">
      <c r="A127" s="2">
        <v>136</v>
      </c>
      <c r="B127" s="2" t="s">
        <v>107</v>
      </c>
      <c r="C127" s="2">
        <v>4</v>
      </c>
      <c r="D127" s="2">
        <f t="shared" si="10"/>
        <v>10.16</v>
      </c>
      <c r="E127" s="2">
        <f t="shared" si="11"/>
        <v>3.2340284436273135</v>
      </c>
      <c r="F127" s="2">
        <f t="shared" si="12"/>
        <v>1.2732395447351628</v>
      </c>
      <c r="G127" s="2">
        <v>14.419362</v>
      </c>
      <c r="H127" s="2">
        <f t="shared" si="13"/>
        <v>47.307619624079997</v>
      </c>
      <c r="I127" s="2">
        <f>INDEX('Wood Density Lookup'!$B$2:$B$152,MATCH(B127,'Wood Density Lookup'!$A$2:$A$152,0))</f>
        <v>0.65</v>
      </c>
      <c r="J127" s="2">
        <f t="shared" si="14"/>
        <v>5.9097594887786649</v>
      </c>
      <c r="K127" s="2">
        <f t="shared" si="18"/>
        <v>1.6547326568580263</v>
      </c>
      <c r="L127" s="2">
        <f t="shared" si="19"/>
        <v>7.5644921456366916</v>
      </c>
      <c r="M127" s="2">
        <f t="shared" si="15"/>
        <v>5.4842568055866012</v>
      </c>
      <c r="N127" s="2">
        <f t="shared" si="16"/>
        <v>2.7421284027933006</v>
      </c>
      <c r="O127" s="2">
        <f t="shared" si="17"/>
        <v>10.063611238251413</v>
      </c>
      <c r="P127" s="2">
        <v>72.54907</v>
      </c>
      <c r="Q127" s="2">
        <v>23.035830000000001</v>
      </c>
    </row>
    <row r="128" spans="1:17" x14ac:dyDescent="0.25">
      <c r="A128" s="2">
        <v>139</v>
      </c>
      <c r="B128" s="2" t="s">
        <v>135</v>
      </c>
      <c r="C128" s="2">
        <v>19</v>
      </c>
      <c r="D128" s="2">
        <f t="shared" si="10"/>
        <v>48.26</v>
      </c>
      <c r="E128" s="2">
        <f t="shared" si="11"/>
        <v>15.361635107229738</v>
      </c>
      <c r="F128" s="2">
        <f t="shared" si="12"/>
        <v>6.0478878374920226</v>
      </c>
      <c r="G128" s="2">
        <v>3.7725780000000002</v>
      </c>
      <c r="H128" s="2">
        <f t="shared" si="13"/>
        <v>12.377224805520001</v>
      </c>
      <c r="I128" s="2">
        <f>INDEX('Wood Density Lookup'!$B$2:$B$152,MATCH(B128,'Wood Density Lookup'!$A$2:$A$152,0))</f>
        <v>0.8</v>
      </c>
      <c r="J128" s="2">
        <f t="shared" si="14"/>
        <v>40.940740569216224</v>
      </c>
      <c r="K128" s="2">
        <f t="shared" si="18"/>
        <v>11.463407359380543</v>
      </c>
      <c r="L128" s="2">
        <f t="shared" si="19"/>
        <v>52.404147928596771</v>
      </c>
      <c r="M128" s="2">
        <f t="shared" si="15"/>
        <v>37.993007248232658</v>
      </c>
      <c r="N128" s="2">
        <f t="shared" si="16"/>
        <v>18.996503624116329</v>
      </c>
      <c r="O128" s="2">
        <f t="shared" si="17"/>
        <v>69.717168300506927</v>
      </c>
      <c r="P128" s="2">
        <v>72.549075000000002</v>
      </c>
      <c r="Q128" s="2">
        <v>23.037337999999998</v>
      </c>
    </row>
    <row r="129" spans="1:17" x14ac:dyDescent="0.25">
      <c r="A129" s="2">
        <v>140</v>
      </c>
      <c r="B129" s="2" t="s">
        <v>107</v>
      </c>
      <c r="C129" s="2">
        <v>5</v>
      </c>
      <c r="D129" s="2">
        <f t="shared" ref="D129:D192" si="20">C129*2.54</f>
        <v>12.7</v>
      </c>
      <c r="E129" s="2">
        <f t="shared" ref="E129:E192" si="21">D129/PI()</f>
        <v>4.0425355545341413</v>
      </c>
      <c r="F129" s="2">
        <f t="shared" ref="F129:F192" si="22">C129/PI()</f>
        <v>1.5915494309189535</v>
      </c>
      <c r="G129" s="2">
        <v>14.650710999999999</v>
      </c>
      <c r="H129" s="2">
        <f t="shared" ref="H129:H192" si="23">G129*3.28084</f>
        <v>48.06663867724</v>
      </c>
      <c r="I129" s="2">
        <f>INDEX('Wood Density Lookup'!$B$2:$B$152,MATCH(B129,'Wood Density Lookup'!$A$2:$A$152,0))</f>
        <v>0.65</v>
      </c>
      <c r="J129" s="2">
        <f t="shared" ref="J129:J192" si="24">0.0673*POWER(I129*E129^2*G129,0.976)</f>
        <v>9.2786523888527803</v>
      </c>
      <c r="K129" s="2">
        <f t="shared" si="18"/>
        <v>2.5980226688787789</v>
      </c>
      <c r="L129" s="2">
        <f t="shared" si="19"/>
        <v>11.876675057731559</v>
      </c>
      <c r="M129" s="2">
        <f t="shared" ref="M129:M192" si="25">0.725*L129</f>
        <v>8.6105894168553796</v>
      </c>
      <c r="N129" s="2">
        <f t="shared" ref="N129:N192" si="26">0.5*M129</f>
        <v>4.3052947084276898</v>
      </c>
      <c r="O129" s="2">
        <f t="shared" ref="O129:O192" si="27">3.67*N129</f>
        <v>15.80043157992962</v>
      </c>
      <c r="P129" s="2">
        <v>72.549075000000002</v>
      </c>
      <c r="Q129" s="2">
        <v>23.035799999999998</v>
      </c>
    </row>
    <row r="130" spans="1:17" x14ac:dyDescent="0.25">
      <c r="A130" s="2">
        <v>141</v>
      </c>
      <c r="B130" s="2" t="s">
        <v>34</v>
      </c>
      <c r="C130" s="2">
        <v>26</v>
      </c>
      <c r="D130" s="2">
        <f t="shared" si="20"/>
        <v>66.040000000000006</v>
      </c>
      <c r="E130" s="2">
        <f t="shared" si="21"/>
        <v>21.02118488357754</v>
      </c>
      <c r="F130" s="2">
        <f t="shared" si="22"/>
        <v>8.2760570407785572</v>
      </c>
      <c r="G130" s="2">
        <v>9.5320499999999999</v>
      </c>
      <c r="H130" s="2">
        <f t="shared" si="23"/>
        <v>31.273130922</v>
      </c>
      <c r="I130" s="2">
        <f>INDEX('Wood Density Lookup'!$B$2:$B$152,MATCH(B130,'Wood Density Lookup'!$A$2:$A$152,0))</f>
        <v>0.6</v>
      </c>
      <c r="J130" s="2">
        <f t="shared" si="24"/>
        <v>140.9299712896574</v>
      </c>
      <c r="K130" s="2">
        <f t="shared" si="18"/>
        <v>39.460391961104079</v>
      </c>
      <c r="L130" s="2">
        <f t="shared" si="19"/>
        <v>180.39036325076148</v>
      </c>
      <c r="M130" s="2">
        <f t="shared" si="25"/>
        <v>130.78301335680206</v>
      </c>
      <c r="N130" s="2">
        <f t="shared" si="26"/>
        <v>65.391506678401029</v>
      </c>
      <c r="O130" s="2">
        <f t="shared" si="27"/>
        <v>239.98682950973176</v>
      </c>
      <c r="P130" s="2">
        <v>72.549075999999999</v>
      </c>
      <c r="Q130" s="2">
        <v>23.037596000000001</v>
      </c>
    </row>
    <row r="131" spans="1:17" x14ac:dyDescent="0.25">
      <c r="A131" s="2">
        <v>142</v>
      </c>
      <c r="B131" s="2" t="s">
        <v>62</v>
      </c>
      <c r="C131" s="2">
        <v>11</v>
      </c>
      <c r="D131" s="2">
        <f t="shared" si="20"/>
        <v>27.94</v>
      </c>
      <c r="E131" s="2">
        <f t="shared" si="21"/>
        <v>8.8935782199751117</v>
      </c>
      <c r="F131" s="2">
        <f t="shared" si="22"/>
        <v>3.5014087480216975</v>
      </c>
      <c r="G131" s="2">
        <v>6.9222640000000002</v>
      </c>
      <c r="H131" s="2">
        <f t="shared" si="23"/>
        <v>22.710840621759999</v>
      </c>
      <c r="I131" s="2">
        <f>INDEX('Wood Density Lookup'!$B$2:$B$152,MATCH(B131,'Wood Density Lookup'!$A$2:$A$152,0))</f>
        <v>0.47</v>
      </c>
      <c r="J131" s="2">
        <f t="shared" si="24"/>
        <v>15.158707077485168</v>
      </c>
      <c r="K131" s="2">
        <f t="shared" ref="K131:K194" si="28">0.28*J131</f>
        <v>4.2444379816958477</v>
      </c>
      <c r="L131" s="2">
        <f t="shared" ref="L131:L194" si="29">J131+K131</f>
        <v>19.403145059181014</v>
      </c>
      <c r="M131" s="2">
        <f t="shared" si="25"/>
        <v>14.067280167906235</v>
      </c>
      <c r="N131" s="2">
        <f t="shared" si="26"/>
        <v>7.0336400839531175</v>
      </c>
      <c r="O131" s="2">
        <f t="shared" si="27"/>
        <v>25.813459108107942</v>
      </c>
      <c r="P131" s="2">
        <v>72.549075999999999</v>
      </c>
      <c r="Q131" s="2">
        <v>23.037500999999999</v>
      </c>
    </row>
    <row r="132" spans="1:17" x14ac:dyDescent="0.25">
      <c r="A132" s="2">
        <v>144</v>
      </c>
      <c r="B132" s="2" t="s">
        <v>115</v>
      </c>
      <c r="C132" s="2">
        <v>14</v>
      </c>
      <c r="D132" s="2">
        <f t="shared" si="20"/>
        <v>35.56</v>
      </c>
      <c r="E132" s="2">
        <f t="shared" si="21"/>
        <v>11.319099552695597</v>
      </c>
      <c r="F132" s="2">
        <f t="shared" si="22"/>
        <v>4.45633840657307</v>
      </c>
      <c r="G132" s="2">
        <v>16.059773</v>
      </c>
      <c r="H132" s="2">
        <f t="shared" si="23"/>
        <v>52.689545649319996</v>
      </c>
      <c r="I132" s="2">
        <f>INDEX('Wood Density Lookup'!$B$2:$B$152,MATCH(B132,'Wood Density Lookup'!$A$2:$A$152,0))</f>
        <v>0.65</v>
      </c>
      <c r="J132" s="2">
        <f t="shared" si="24"/>
        <v>75.728777499560408</v>
      </c>
      <c r="K132" s="2">
        <f t="shared" si="28"/>
        <v>21.204057699876916</v>
      </c>
      <c r="L132" s="2">
        <f t="shared" si="29"/>
        <v>96.932835199437321</v>
      </c>
      <c r="M132" s="2">
        <f t="shared" si="25"/>
        <v>70.276305519592057</v>
      </c>
      <c r="N132" s="2">
        <f t="shared" si="26"/>
        <v>35.138152759796029</v>
      </c>
      <c r="O132" s="2">
        <f t="shared" si="27"/>
        <v>128.95702062845143</v>
      </c>
      <c r="P132" s="2">
        <v>72.549081999999999</v>
      </c>
      <c r="Q132" s="2">
        <v>23.035678999999998</v>
      </c>
    </row>
    <row r="133" spans="1:17" x14ac:dyDescent="0.25">
      <c r="A133" s="2">
        <v>145</v>
      </c>
      <c r="B133" s="2" t="s">
        <v>143</v>
      </c>
      <c r="C133" s="2">
        <v>12</v>
      </c>
      <c r="D133" s="2">
        <f t="shared" si="20"/>
        <v>30.48</v>
      </c>
      <c r="E133" s="2">
        <f t="shared" si="21"/>
        <v>9.7020853308819408</v>
      </c>
      <c r="F133" s="2">
        <f t="shared" si="22"/>
        <v>3.8197186342054881</v>
      </c>
      <c r="G133" s="2">
        <v>3.6601780000000002</v>
      </c>
      <c r="H133" s="2">
        <f t="shared" si="23"/>
        <v>12.008458389520001</v>
      </c>
      <c r="I133" s="2">
        <f>INDEX('Wood Density Lookup'!$B$2:$B$152,MATCH(B133,'Wood Density Lookup'!$A$2:$A$152,0))</f>
        <v>0.75</v>
      </c>
      <c r="J133" s="2">
        <f t="shared" si="24"/>
        <v>15.219965439824824</v>
      </c>
      <c r="K133" s="2">
        <f t="shared" si="28"/>
        <v>4.2615903231509513</v>
      </c>
      <c r="L133" s="2">
        <f t="shared" si="29"/>
        <v>19.481555762975773</v>
      </c>
      <c r="M133" s="2">
        <f t="shared" si="25"/>
        <v>14.124127928157435</v>
      </c>
      <c r="N133" s="2">
        <f t="shared" si="26"/>
        <v>7.0620639640787175</v>
      </c>
      <c r="O133" s="2">
        <f t="shared" si="27"/>
        <v>25.917774748168892</v>
      </c>
      <c r="P133" s="2">
        <v>72.549081999999999</v>
      </c>
      <c r="Q133" s="2">
        <v>23.037478</v>
      </c>
    </row>
    <row r="134" spans="1:17" x14ac:dyDescent="0.25">
      <c r="A134" s="2">
        <v>146</v>
      </c>
      <c r="B134" s="2" t="s">
        <v>15</v>
      </c>
      <c r="C134" s="2">
        <v>27</v>
      </c>
      <c r="D134" s="2">
        <f t="shared" si="20"/>
        <v>68.58</v>
      </c>
      <c r="E134" s="2">
        <f t="shared" si="21"/>
        <v>21.829691994484364</v>
      </c>
      <c r="F134" s="2">
        <f t="shared" si="22"/>
        <v>8.5943669269623477</v>
      </c>
      <c r="G134" s="2">
        <v>6.2559500000000003</v>
      </c>
      <c r="H134" s="2">
        <f t="shared" si="23"/>
        <v>20.524770998000001</v>
      </c>
      <c r="I134" s="2">
        <f>INDEX('Wood Density Lookup'!$B$2:$B$152,MATCH(B134,'Wood Density Lookup'!$A$2:$A$152,0))</f>
        <v>0.75</v>
      </c>
      <c r="J134" s="2">
        <f t="shared" si="24"/>
        <v>125.0483653181097</v>
      </c>
      <c r="K134" s="2">
        <f t="shared" si="28"/>
        <v>35.01354228907072</v>
      </c>
      <c r="L134" s="2">
        <f t="shared" si="29"/>
        <v>160.06190760718042</v>
      </c>
      <c r="M134" s="2">
        <f t="shared" si="25"/>
        <v>116.0448830152058</v>
      </c>
      <c r="N134" s="2">
        <f t="shared" si="26"/>
        <v>58.022441507602899</v>
      </c>
      <c r="O134" s="2">
        <f t="shared" si="27"/>
        <v>212.94236033290264</v>
      </c>
      <c r="P134" s="2">
        <v>72.549083999999993</v>
      </c>
      <c r="Q134" s="2">
        <v>23.035152</v>
      </c>
    </row>
    <row r="135" spans="1:17" x14ac:dyDescent="0.25">
      <c r="A135" s="2">
        <v>147</v>
      </c>
      <c r="B135" s="2" t="s">
        <v>107</v>
      </c>
      <c r="C135" s="2">
        <v>9</v>
      </c>
      <c r="D135" s="2">
        <f t="shared" si="20"/>
        <v>22.86</v>
      </c>
      <c r="E135" s="2">
        <f t="shared" si="21"/>
        <v>7.2765639981614552</v>
      </c>
      <c r="F135" s="2">
        <f t="shared" si="22"/>
        <v>2.8647889756541161</v>
      </c>
      <c r="G135" s="2">
        <v>15.366303</v>
      </c>
      <c r="H135" s="2">
        <f t="shared" si="23"/>
        <v>50.414381534520004</v>
      </c>
      <c r="I135" s="2">
        <f>INDEX('Wood Density Lookup'!$B$2:$B$152,MATCH(B135,'Wood Density Lookup'!$A$2:$A$152,0))</f>
        <v>0.65</v>
      </c>
      <c r="J135" s="2">
        <f t="shared" si="24"/>
        <v>30.61896238278014</v>
      </c>
      <c r="K135" s="2">
        <f t="shared" si="28"/>
        <v>8.57330946717844</v>
      </c>
      <c r="L135" s="2">
        <f t="shared" si="29"/>
        <v>39.19227184995858</v>
      </c>
      <c r="M135" s="2">
        <f t="shared" si="25"/>
        <v>28.414397091219971</v>
      </c>
      <c r="N135" s="2">
        <f t="shared" si="26"/>
        <v>14.207198545609986</v>
      </c>
      <c r="O135" s="2">
        <f t="shared" si="27"/>
        <v>52.140418662388647</v>
      </c>
      <c r="P135" s="2">
        <v>72.549085000000005</v>
      </c>
      <c r="Q135" s="2">
        <v>23.035782000000001</v>
      </c>
    </row>
    <row r="136" spans="1:17" x14ac:dyDescent="0.25">
      <c r="A136" s="2">
        <v>148</v>
      </c>
      <c r="B136" s="2" t="s">
        <v>107</v>
      </c>
      <c r="C136" s="2">
        <v>5</v>
      </c>
      <c r="D136" s="2">
        <f t="shared" si="20"/>
        <v>12.7</v>
      </c>
      <c r="E136" s="2">
        <f t="shared" si="21"/>
        <v>4.0425355545341413</v>
      </c>
      <c r="F136" s="2">
        <f t="shared" si="22"/>
        <v>1.5915494309189535</v>
      </c>
      <c r="G136" s="2">
        <v>14.318688</v>
      </c>
      <c r="H136" s="2">
        <f t="shared" si="23"/>
        <v>46.977324337920003</v>
      </c>
      <c r="I136" s="2">
        <f>INDEX('Wood Density Lookup'!$B$2:$B$152,MATCH(B136,'Wood Density Lookup'!$A$2:$A$152,0))</f>
        <v>0.65</v>
      </c>
      <c r="J136" s="2">
        <f t="shared" si="24"/>
        <v>9.073364558373548</v>
      </c>
      <c r="K136" s="2">
        <f t="shared" si="28"/>
        <v>2.5405420763445936</v>
      </c>
      <c r="L136" s="2">
        <f t="shared" si="29"/>
        <v>11.613906634718141</v>
      </c>
      <c r="M136" s="2">
        <f t="shared" si="25"/>
        <v>8.4200823101706526</v>
      </c>
      <c r="N136" s="2">
        <f t="shared" si="26"/>
        <v>4.2100411550853263</v>
      </c>
      <c r="O136" s="2">
        <f t="shared" si="27"/>
        <v>15.450851039163148</v>
      </c>
      <c r="P136" s="2">
        <v>72.549085000000005</v>
      </c>
      <c r="Q136" s="2">
        <v>23.035813000000001</v>
      </c>
    </row>
    <row r="137" spans="1:17" x14ac:dyDescent="0.25">
      <c r="A137" s="2">
        <v>149</v>
      </c>
      <c r="B137" s="2" t="s">
        <v>15</v>
      </c>
      <c r="C137" s="2">
        <v>61</v>
      </c>
      <c r="D137" s="2">
        <f t="shared" si="20"/>
        <v>154.94</v>
      </c>
      <c r="E137" s="2">
        <f t="shared" si="21"/>
        <v>49.31893376531653</v>
      </c>
      <c r="F137" s="2">
        <f t="shared" si="22"/>
        <v>19.416903057211233</v>
      </c>
      <c r="G137" s="2">
        <v>14.628852</v>
      </c>
      <c r="H137" s="2">
        <f t="shared" si="23"/>
        <v>47.994922795679997</v>
      </c>
      <c r="I137" s="2">
        <f>INDEX('Wood Density Lookup'!$B$2:$B$152,MATCH(B137,'Wood Density Lookup'!$A$2:$A$152,0))</f>
        <v>0.75</v>
      </c>
      <c r="J137" s="2">
        <f t="shared" si="24"/>
        <v>1406.3154850788378</v>
      </c>
      <c r="K137" s="2">
        <f t="shared" si="28"/>
        <v>393.76833582207462</v>
      </c>
      <c r="L137" s="2">
        <f t="shared" si="29"/>
        <v>1800.0838209009125</v>
      </c>
      <c r="M137" s="2">
        <f t="shared" si="25"/>
        <v>1305.0607701531615</v>
      </c>
      <c r="N137" s="2">
        <f t="shared" si="26"/>
        <v>652.53038507658073</v>
      </c>
      <c r="O137" s="2">
        <f t="shared" si="27"/>
        <v>2394.7865132310512</v>
      </c>
      <c r="P137" s="2">
        <v>72.549087</v>
      </c>
      <c r="Q137" s="2">
        <v>23.035799000000001</v>
      </c>
    </row>
    <row r="138" spans="1:17" x14ac:dyDescent="0.25">
      <c r="A138" s="2">
        <v>150</v>
      </c>
      <c r="B138" s="2" t="s">
        <v>150</v>
      </c>
      <c r="C138" s="2">
        <v>17</v>
      </c>
      <c r="D138" s="2">
        <f t="shared" si="20"/>
        <v>43.18</v>
      </c>
      <c r="E138" s="2">
        <f t="shared" si="21"/>
        <v>13.744620885416081</v>
      </c>
      <c r="F138" s="2">
        <f t="shared" si="22"/>
        <v>5.4112680651244416</v>
      </c>
      <c r="G138" s="2">
        <v>4.4747690000000002</v>
      </c>
      <c r="H138" s="2">
        <f t="shared" si="23"/>
        <v>14.68100112596</v>
      </c>
      <c r="I138" s="2">
        <f>INDEX('Wood Density Lookup'!$B$2:$B$152,MATCH(B138,'Wood Density Lookup'!$A$2:$A$152,0))</f>
        <v>0.65</v>
      </c>
      <c r="J138" s="2">
        <f t="shared" si="24"/>
        <v>31.783797422050458</v>
      </c>
      <c r="K138" s="2">
        <f t="shared" si="28"/>
        <v>8.8994632781741299</v>
      </c>
      <c r="L138" s="2">
        <f t="shared" si="29"/>
        <v>40.683260700224587</v>
      </c>
      <c r="M138" s="2">
        <f t="shared" si="25"/>
        <v>29.495364007662825</v>
      </c>
      <c r="N138" s="2">
        <f t="shared" si="26"/>
        <v>14.747682003831413</v>
      </c>
      <c r="O138" s="2">
        <f t="shared" si="27"/>
        <v>54.123992954061286</v>
      </c>
      <c r="P138" s="2">
        <v>72.549088999999995</v>
      </c>
      <c r="Q138" s="2">
        <v>23.036079999999998</v>
      </c>
    </row>
    <row r="139" spans="1:17" x14ac:dyDescent="0.25">
      <c r="A139" s="2">
        <v>151</v>
      </c>
      <c r="B139" s="2" t="s">
        <v>145</v>
      </c>
      <c r="C139" s="2">
        <v>43</v>
      </c>
      <c r="D139" s="2">
        <f t="shared" si="20"/>
        <v>109.22</v>
      </c>
      <c r="E139" s="2">
        <f t="shared" si="21"/>
        <v>34.765805768993616</v>
      </c>
      <c r="F139" s="2">
        <f t="shared" si="22"/>
        <v>13.687325105903</v>
      </c>
      <c r="G139" s="2">
        <v>6.3303989999999999</v>
      </c>
      <c r="H139" s="2">
        <f t="shared" si="23"/>
        <v>20.76902625516</v>
      </c>
      <c r="I139" s="2">
        <f>INDEX('Wood Density Lookup'!$B$2:$B$152,MATCH(B139,'Wood Density Lookup'!$A$2:$A$152,0))</f>
        <v>0.55000000000000004</v>
      </c>
      <c r="J139" s="2">
        <f t="shared" si="24"/>
        <v>231.81155268558237</v>
      </c>
      <c r="K139" s="2">
        <f t="shared" si="28"/>
        <v>64.907234751963074</v>
      </c>
      <c r="L139" s="2">
        <f t="shared" si="29"/>
        <v>296.71878743754542</v>
      </c>
      <c r="M139" s="2">
        <f t="shared" si="25"/>
        <v>215.12112089222043</v>
      </c>
      <c r="N139" s="2">
        <f t="shared" si="26"/>
        <v>107.56056044611022</v>
      </c>
      <c r="O139" s="2">
        <f t="shared" si="27"/>
        <v>394.74725683722448</v>
      </c>
      <c r="P139" s="2">
        <v>72.549090000000007</v>
      </c>
      <c r="Q139" s="2">
        <v>23.035549</v>
      </c>
    </row>
    <row r="140" spans="1:17" x14ac:dyDescent="0.25">
      <c r="A140" s="2">
        <v>152</v>
      </c>
      <c r="B140" s="2" t="s">
        <v>115</v>
      </c>
      <c r="C140" s="2">
        <v>4</v>
      </c>
      <c r="D140" s="2">
        <f t="shared" si="20"/>
        <v>10.16</v>
      </c>
      <c r="E140" s="2">
        <f t="shared" si="21"/>
        <v>3.2340284436273135</v>
      </c>
      <c r="F140" s="2">
        <f t="shared" si="22"/>
        <v>1.2732395447351628</v>
      </c>
      <c r="G140" s="2">
        <v>12.360588999999999</v>
      </c>
      <c r="H140" s="2">
        <f t="shared" si="23"/>
        <v>40.553114814759994</v>
      </c>
      <c r="I140" s="2">
        <f>INDEX('Wood Density Lookup'!$B$2:$B$152,MATCH(B140,'Wood Density Lookup'!$A$2:$A$152,0))</f>
        <v>0.65</v>
      </c>
      <c r="J140" s="2">
        <f t="shared" si="24"/>
        <v>5.0847393194089987</v>
      </c>
      <c r="K140" s="2">
        <f t="shared" si="28"/>
        <v>1.4237270094345198</v>
      </c>
      <c r="L140" s="2">
        <f t="shared" si="29"/>
        <v>6.5084663288435181</v>
      </c>
      <c r="M140" s="2">
        <f t="shared" si="25"/>
        <v>4.7186380884115504</v>
      </c>
      <c r="N140" s="2">
        <f t="shared" si="26"/>
        <v>2.3593190442057752</v>
      </c>
      <c r="O140" s="2">
        <f t="shared" si="27"/>
        <v>8.6587008922351956</v>
      </c>
      <c r="P140" s="2">
        <v>72.549090000000007</v>
      </c>
      <c r="Q140" s="2">
        <v>23.036193999999998</v>
      </c>
    </row>
    <row r="141" spans="1:17" x14ac:dyDescent="0.25">
      <c r="A141" s="2">
        <v>154</v>
      </c>
      <c r="B141" s="2" t="s">
        <v>43</v>
      </c>
      <c r="C141" s="2">
        <v>53</v>
      </c>
      <c r="D141" s="2">
        <f t="shared" si="20"/>
        <v>134.62</v>
      </c>
      <c r="E141" s="2">
        <f t="shared" si="21"/>
        <v>42.850876878061904</v>
      </c>
      <c r="F141" s="2">
        <f t="shared" si="22"/>
        <v>16.870423967740905</v>
      </c>
      <c r="G141" s="2">
        <v>12.028586000000001</v>
      </c>
      <c r="H141" s="2">
        <f t="shared" si="23"/>
        <v>39.463866092240004</v>
      </c>
      <c r="I141" s="2">
        <f>INDEX('Wood Density Lookup'!$B$2:$B$152,MATCH(B141,'Wood Density Lookup'!$A$2:$A$152,0))</f>
        <v>0.6</v>
      </c>
      <c r="J141" s="2">
        <f t="shared" si="24"/>
        <v>710.17515238213628</v>
      </c>
      <c r="K141" s="2">
        <f t="shared" si="28"/>
        <v>198.84904266699817</v>
      </c>
      <c r="L141" s="2">
        <f t="shared" si="29"/>
        <v>909.02419504913451</v>
      </c>
      <c r="M141" s="2">
        <f t="shared" si="25"/>
        <v>659.04254141062245</v>
      </c>
      <c r="N141" s="2">
        <f t="shared" si="26"/>
        <v>329.52127070531122</v>
      </c>
      <c r="O141" s="2">
        <f t="shared" si="27"/>
        <v>1209.3430634884921</v>
      </c>
      <c r="P141" s="2">
        <v>72.549092999999999</v>
      </c>
      <c r="Q141" s="2">
        <v>23.036214000000001</v>
      </c>
    </row>
    <row r="142" spans="1:17" x14ac:dyDescent="0.25">
      <c r="A142" s="2">
        <v>155</v>
      </c>
      <c r="B142" s="2" t="s">
        <v>10</v>
      </c>
      <c r="C142" s="2">
        <v>27</v>
      </c>
      <c r="D142" s="2">
        <f t="shared" si="20"/>
        <v>68.58</v>
      </c>
      <c r="E142" s="2">
        <f t="shared" si="21"/>
        <v>21.829691994484364</v>
      </c>
      <c r="F142" s="2">
        <f t="shared" si="22"/>
        <v>8.5943669269623477</v>
      </c>
      <c r="G142" s="2">
        <v>9.0116329999999998</v>
      </c>
      <c r="H142" s="2">
        <f t="shared" si="23"/>
        <v>29.565726011719999</v>
      </c>
      <c r="I142" s="2">
        <f>INDEX('Wood Density Lookup'!$B$2:$B$152,MATCH(B142,'Wood Density Lookup'!$A$2:$A$152,0))</f>
        <v>0.65</v>
      </c>
      <c r="J142" s="2">
        <f t="shared" si="24"/>
        <v>155.28433411753909</v>
      </c>
      <c r="K142" s="2">
        <f t="shared" si="28"/>
        <v>43.479613552910948</v>
      </c>
      <c r="L142" s="2">
        <f t="shared" si="29"/>
        <v>198.76394767045002</v>
      </c>
      <c r="M142" s="2">
        <f t="shared" si="25"/>
        <v>144.10386206107626</v>
      </c>
      <c r="N142" s="2">
        <f t="shared" si="26"/>
        <v>72.051931030538128</v>
      </c>
      <c r="O142" s="2">
        <f t="shared" si="27"/>
        <v>264.43058688207492</v>
      </c>
      <c r="P142" s="2">
        <v>72.549094999999994</v>
      </c>
      <c r="Q142" s="2">
        <v>23.035522</v>
      </c>
    </row>
    <row r="143" spans="1:17" x14ac:dyDescent="0.25">
      <c r="A143" s="2">
        <v>156</v>
      </c>
      <c r="B143" s="2" t="s">
        <v>150</v>
      </c>
      <c r="C143" s="2">
        <v>21</v>
      </c>
      <c r="D143" s="2">
        <f t="shared" si="20"/>
        <v>53.34</v>
      </c>
      <c r="E143" s="2">
        <f t="shared" si="21"/>
        <v>16.978649329043396</v>
      </c>
      <c r="F143" s="2">
        <f t="shared" si="22"/>
        <v>6.6845076098596046</v>
      </c>
      <c r="G143" s="2">
        <v>4.8812639999999998</v>
      </c>
      <c r="H143" s="2">
        <f t="shared" si="23"/>
        <v>16.01464618176</v>
      </c>
      <c r="I143" s="2">
        <f>INDEX('Wood Density Lookup'!$B$2:$B$152,MATCH(B143,'Wood Density Lookup'!$A$2:$A$152,0))</f>
        <v>0.65</v>
      </c>
      <c r="J143" s="2">
        <f t="shared" si="24"/>
        <v>52.263314473687267</v>
      </c>
      <c r="K143" s="2">
        <f t="shared" si="28"/>
        <v>14.633728052632437</v>
      </c>
      <c r="L143" s="2">
        <f t="shared" si="29"/>
        <v>66.897042526319709</v>
      </c>
      <c r="M143" s="2">
        <f t="shared" si="25"/>
        <v>48.500355831581786</v>
      </c>
      <c r="N143" s="2">
        <f t="shared" si="26"/>
        <v>24.250177915790893</v>
      </c>
      <c r="O143" s="2">
        <f t="shared" si="27"/>
        <v>88.998152950952573</v>
      </c>
      <c r="P143" s="2">
        <v>72.549094999999994</v>
      </c>
      <c r="Q143" s="2">
        <v>23.036097000000002</v>
      </c>
    </row>
    <row r="144" spans="1:17" x14ac:dyDescent="0.25">
      <c r="A144" s="2">
        <v>158</v>
      </c>
      <c r="B144" s="2" t="s">
        <v>15</v>
      </c>
      <c r="C144" s="2">
        <v>51</v>
      </c>
      <c r="D144" s="2">
        <f t="shared" si="20"/>
        <v>129.54</v>
      </c>
      <c r="E144" s="2">
        <f t="shared" si="21"/>
        <v>41.233862656248242</v>
      </c>
      <c r="F144" s="2">
        <f t="shared" si="22"/>
        <v>16.233804195373324</v>
      </c>
      <c r="G144" s="2">
        <v>10.111276999999999</v>
      </c>
      <c r="H144" s="2">
        <f t="shared" si="23"/>
        <v>33.173482032679999</v>
      </c>
      <c r="I144" s="2">
        <f>INDEX('Wood Density Lookup'!$B$2:$B$152,MATCH(B144,'Wood Density Lookup'!$A$2:$A$152,0))</f>
        <v>0.75</v>
      </c>
      <c r="J144" s="2">
        <f t="shared" si="24"/>
        <v>691.41909335999901</v>
      </c>
      <c r="K144" s="2">
        <f t="shared" si="28"/>
        <v>193.59734614079974</v>
      </c>
      <c r="L144" s="2">
        <f t="shared" si="29"/>
        <v>885.0164395007987</v>
      </c>
      <c r="M144" s="2">
        <f t="shared" si="25"/>
        <v>641.63691863807901</v>
      </c>
      <c r="N144" s="2">
        <f t="shared" si="26"/>
        <v>320.8184593190395</v>
      </c>
      <c r="O144" s="2">
        <f t="shared" si="27"/>
        <v>1177.4037457008749</v>
      </c>
      <c r="P144" s="2">
        <v>72.549100999999993</v>
      </c>
      <c r="Q144" s="2">
        <v>23.034897000000001</v>
      </c>
    </row>
    <row r="145" spans="1:17" x14ac:dyDescent="0.25">
      <c r="A145" s="2">
        <v>159</v>
      </c>
      <c r="B145" s="2" t="s">
        <v>93</v>
      </c>
      <c r="C145" s="2">
        <v>3</v>
      </c>
      <c r="D145" s="2">
        <f t="shared" si="20"/>
        <v>7.62</v>
      </c>
      <c r="E145" s="2">
        <f t="shared" si="21"/>
        <v>2.4255213327204852</v>
      </c>
      <c r="F145" s="2">
        <f t="shared" si="22"/>
        <v>0.95492965855137202</v>
      </c>
      <c r="G145" s="2">
        <v>2.061938</v>
      </c>
      <c r="H145" s="2">
        <f t="shared" si="23"/>
        <v>6.7648886679200002</v>
      </c>
      <c r="I145" s="2">
        <f>INDEX('Wood Density Lookup'!$B$2:$B$152,MATCH(B145,'Wood Density Lookup'!$A$2:$A$152,0))</f>
        <v>0.9</v>
      </c>
      <c r="J145" s="2">
        <f t="shared" si="24"/>
        <v>0.69379041240247197</v>
      </c>
      <c r="K145" s="2">
        <f t="shared" si="28"/>
        <v>0.19426131547269218</v>
      </c>
      <c r="L145" s="2">
        <f t="shared" si="29"/>
        <v>0.88805172787516418</v>
      </c>
      <c r="M145" s="2">
        <f t="shared" si="25"/>
        <v>0.64383750270949403</v>
      </c>
      <c r="N145" s="2">
        <f t="shared" si="26"/>
        <v>0.32191875135474701</v>
      </c>
      <c r="O145" s="2">
        <f t="shared" si="27"/>
        <v>1.1814418174719215</v>
      </c>
      <c r="P145" s="2">
        <v>72.549103000000002</v>
      </c>
      <c r="Q145" s="2">
        <v>23.034794000000002</v>
      </c>
    </row>
    <row r="146" spans="1:17" x14ac:dyDescent="0.25">
      <c r="A146" s="2">
        <v>160</v>
      </c>
      <c r="B146" s="2" t="s">
        <v>150</v>
      </c>
      <c r="C146" s="2">
        <v>20</v>
      </c>
      <c r="D146" s="2">
        <f t="shared" si="20"/>
        <v>50.8</v>
      </c>
      <c r="E146" s="2">
        <f t="shared" si="21"/>
        <v>16.170142218136565</v>
      </c>
      <c r="F146" s="2">
        <f t="shared" si="22"/>
        <v>6.366197723675814</v>
      </c>
      <c r="G146" s="2">
        <v>7.6245690000000002</v>
      </c>
      <c r="H146" s="2">
        <f t="shared" si="23"/>
        <v>25.014990957960002</v>
      </c>
      <c r="I146" s="2">
        <f>INDEX('Wood Density Lookup'!$B$2:$B$152,MATCH(B146,'Wood Density Lookup'!$A$2:$A$152,0))</f>
        <v>0.65</v>
      </c>
      <c r="J146" s="2">
        <f t="shared" si="24"/>
        <v>73.429411406862968</v>
      </c>
      <c r="K146" s="2">
        <f t="shared" si="28"/>
        <v>20.560235193921635</v>
      </c>
      <c r="L146" s="2">
        <f t="shared" si="29"/>
        <v>93.989646600784596</v>
      </c>
      <c r="M146" s="2">
        <f t="shared" si="25"/>
        <v>68.142493785568831</v>
      </c>
      <c r="N146" s="2">
        <f t="shared" si="26"/>
        <v>34.071246892784416</v>
      </c>
      <c r="O146" s="2">
        <f t="shared" si="27"/>
        <v>125.04147609651881</v>
      </c>
      <c r="P146" s="2">
        <v>72.549103000000002</v>
      </c>
      <c r="Q146" s="2">
        <v>23.036057</v>
      </c>
    </row>
    <row r="147" spans="1:17" x14ac:dyDescent="0.25">
      <c r="A147" s="2">
        <v>161</v>
      </c>
      <c r="B147" s="2" t="s">
        <v>15</v>
      </c>
      <c r="C147" s="2">
        <v>117</v>
      </c>
      <c r="D147" s="2">
        <f t="shared" si="20"/>
        <v>297.18</v>
      </c>
      <c r="E147" s="2">
        <f t="shared" si="21"/>
        <v>94.595331976098919</v>
      </c>
      <c r="F147" s="2">
        <f t="shared" si="22"/>
        <v>37.242256683503513</v>
      </c>
      <c r="G147" s="2">
        <v>11.613512</v>
      </c>
      <c r="H147" s="2">
        <f t="shared" si="23"/>
        <v>38.102074710079997</v>
      </c>
      <c r="I147" s="2">
        <f>INDEX('Wood Density Lookup'!$B$2:$B$152,MATCH(B147,'Wood Density Lookup'!$A$2:$A$152,0))</f>
        <v>0.75</v>
      </c>
      <c r="J147" s="2">
        <f t="shared" si="24"/>
        <v>4002.9205474326336</v>
      </c>
      <c r="K147" s="2">
        <f t="shared" si="28"/>
        <v>1120.8177532811376</v>
      </c>
      <c r="L147" s="2">
        <f t="shared" si="29"/>
        <v>5123.7383007137714</v>
      </c>
      <c r="M147" s="2">
        <f t="shared" si="25"/>
        <v>3714.7102680174839</v>
      </c>
      <c r="N147" s="2">
        <f t="shared" si="26"/>
        <v>1857.355134008742</v>
      </c>
      <c r="O147" s="2">
        <f t="shared" si="27"/>
        <v>6816.4933418120827</v>
      </c>
      <c r="P147" s="2">
        <v>72.549104</v>
      </c>
      <c r="Q147" s="2">
        <v>23.03632</v>
      </c>
    </row>
    <row r="148" spans="1:17" x14ac:dyDescent="0.25">
      <c r="A148" s="2">
        <v>162</v>
      </c>
      <c r="B148" s="2" t="s">
        <v>62</v>
      </c>
      <c r="C148" s="2">
        <v>35</v>
      </c>
      <c r="D148" s="2">
        <f t="shared" si="20"/>
        <v>88.9</v>
      </c>
      <c r="E148" s="2">
        <f t="shared" si="21"/>
        <v>28.297748881738993</v>
      </c>
      <c r="F148" s="2">
        <f t="shared" si="22"/>
        <v>11.140846016432674</v>
      </c>
      <c r="G148" s="2">
        <v>6.1348900000000004</v>
      </c>
      <c r="H148" s="2">
        <f t="shared" si="23"/>
        <v>20.127592507600003</v>
      </c>
      <c r="I148" s="2">
        <f>INDEX('Wood Density Lookup'!$B$2:$B$152,MATCH(B148,'Wood Density Lookup'!$A$2:$A$152,0))</f>
        <v>0.47</v>
      </c>
      <c r="J148" s="2">
        <f t="shared" si="24"/>
        <v>129.03326211417976</v>
      </c>
      <c r="K148" s="2">
        <f t="shared" si="28"/>
        <v>36.129313391970335</v>
      </c>
      <c r="L148" s="2">
        <f t="shared" si="29"/>
        <v>165.16257550615009</v>
      </c>
      <c r="M148" s="2">
        <f t="shared" si="25"/>
        <v>119.74286724195881</v>
      </c>
      <c r="N148" s="2">
        <f t="shared" si="26"/>
        <v>59.871433620979403</v>
      </c>
      <c r="O148" s="2">
        <f t="shared" si="27"/>
        <v>219.72816138899441</v>
      </c>
      <c r="P148" s="2">
        <v>72.549107000000006</v>
      </c>
      <c r="Q148" s="2">
        <v>23.037562000000001</v>
      </c>
    </row>
    <row r="149" spans="1:17" x14ac:dyDescent="0.25">
      <c r="A149" s="2">
        <v>163</v>
      </c>
      <c r="B149" s="2" t="s">
        <v>31</v>
      </c>
      <c r="C149" s="2">
        <v>12</v>
      </c>
      <c r="D149" s="2">
        <f t="shared" si="20"/>
        <v>30.48</v>
      </c>
      <c r="E149" s="2">
        <f t="shared" si="21"/>
        <v>9.7020853308819408</v>
      </c>
      <c r="F149" s="2">
        <f t="shared" si="22"/>
        <v>3.8197186342054881</v>
      </c>
      <c r="G149" s="2">
        <v>2.01105</v>
      </c>
      <c r="H149" s="2">
        <f t="shared" si="23"/>
        <v>6.5979332819999996</v>
      </c>
      <c r="I149" s="2">
        <f>INDEX('Wood Density Lookup'!$B$2:$B$152,MATCH(B149,'Wood Density Lookup'!$A$2:$A$152,0))</f>
        <v>0.78</v>
      </c>
      <c r="J149" s="2">
        <f t="shared" si="24"/>
        <v>8.8145627065149039</v>
      </c>
      <c r="K149" s="2">
        <f t="shared" si="28"/>
        <v>2.4680775578241732</v>
      </c>
      <c r="L149" s="2">
        <f t="shared" si="29"/>
        <v>11.282640264339078</v>
      </c>
      <c r="M149" s="2">
        <f t="shared" si="25"/>
        <v>8.1799141916458318</v>
      </c>
      <c r="N149" s="2">
        <f t="shared" si="26"/>
        <v>4.0899570958229159</v>
      </c>
      <c r="O149" s="2">
        <f t="shared" si="27"/>
        <v>15.010142541670101</v>
      </c>
      <c r="P149" s="2">
        <v>72.549108000000004</v>
      </c>
      <c r="Q149" s="2">
        <v>23.037953000000002</v>
      </c>
    </row>
    <row r="150" spans="1:17" x14ac:dyDescent="0.25">
      <c r="A150" s="2">
        <v>164</v>
      </c>
      <c r="B150" s="2" t="s">
        <v>10</v>
      </c>
      <c r="C150" s="2">
        <v>28</v>
      </c>
      <c r="D150" s="2">
        <f t="shared" si="20"/>
        <v>71.12</v>
      </c>
      <c r="E150" s="2">
        <f t="shared" si="21"/>
        <v>22.638199105391195</v>
      </c>
      <c r="F150" s="2">
        <f t="shared" si="22"/>
        <v>8.91267681314614</v>
      </c>
      <c r="G150" s="2">
        <v>9.1269270000000002</v>
      </c>
      <c r="H150" s="2">
        <f t="shared" si="23"/>
        <v>29.94398717868</v>
      </c>
      <c r="I150" s="2">
        <f>INDEX('Wood Density Lookup'!$B$2:$B$152,MATCH(B150,'Wood Density Lookup'!$A$2:$A$152,0))</f>
        <v>0.65</v>
      </c>
      <c r="J150" s="2">
        <f t="shared" si="24"/>
        <v>168.78996685750053</v>
      </c>
      <c r="K150" s="2">
        <f t="shared" si="28"/>
        <v>47.261190720100153</v>
      </c>
      <c r="L150" s="2">
        <f t="shared" si="29"/>
        <v>216.05115757760069</v>
      </c>
      <c r="M150" s="2">
        <f t="shared" si="25"/>
        <v>156.6370892437605</v>
      </c>
      <c r="N150" s="2">
        <f t="shared" si="26"/>
        <v>78.31854462188025</v>
      </c>
      <c r="O150" s="2">
        <f t="shared" si="27"/>
        <v>287.42905876230049</v>
      </c>
      <c r="P150" s="2">
        <v>72.549108000000004</v>
      </c>
      <c r="Q150" s="2">
        <v>23.035454999999999</v>
      </c>
    </row>
    <row r="151" spans="1:17" x14ac:dyDescent="0.25">
      <c r="A151" s="2">
        <v>165</v>
      </c>
      <c r="B151" s="2" t="s">
        <v>107</v>
      </c>
      <c r="C151" s="2">
        <v>4</v>
      </c>
      <c r="D151" s="2">
        <f t="shared" si="20"/>
        <v>10.16</v>
      </c>
      <c r="E151" s="2">
        <f t="shared" si="21"/>
        <v>3.2340284436273135</v>
      </c>
      <c r="F151" s="2">
        <f t="shared" si="22"/>
        <v>1.2732395447351628</v>
      </c>
      <c r="G151" s="2">
        <v>14.768357999999999</v>
      </c>
      <c r="H151" s="2">
        <f t="shared" si="23"/>
        <v>48.452619660719996</v>
      </c>
      <c r="I151" s="2">
        <f>INDEX('Wood Density Lookup'!$B$2:$B$152,MATCH(B151,'Wood Density Lookup'!$A$2:$A$152,0))</f>
        <v>0.65</v>
      </c>
      <c r="J151" s="2">
        <f t="shared" si="24"/>
        <v>6.049322041298856</v>
      </c>
      <c r="K151" s="2">
        <f t="shared" si="28"/>
        <v>1.6938101715636797</v>
      </c>
      <c r="L151" s="2">
        <f t="shared" si="29"/>
        <v>7.7431322128625357</v>
      </c>
      <c r="M151" s="2">
        <f t="shared" si="25"/>
        <v>5.6137708543253382</v>
      </c>
      <c r="N151" s="2">
        <f t="shared" si="26"/>
        <v>2.8068854271626691</v>
      </c>
      <c r="O151" s="2">
        <f t="shared" si="27"/>
        <v>10.301269517686995</v>
      </c>
      <c r="P151" s="2">
        <v>72.549108000000004</v>
      </c>
      <c r="Q151" s="2">
        <v>23.035781</v>
      </c>
    </row>
    <row r="152" spans="1:17" x14ac:dyDescent="0.25">
      <c r="A152" s="2">
        <v>166</v>
      </c>
      <c r="B152" s="2" t="s">
        <v>150</v>
      </c>
      <c r="C152" s="2">
        <v>18</v>
      </c>
      <c r="D152" s="2">
        <f t="shared" si="20"/>
        <v>45.72</v>
      </c>
      <c r="E152" s="2">
        <f t="shared" si="21"/>
        <v>14.55312799632291</v>
      </c>
      <c r="F152" s="2">
        <f t="shared" si="22"/>
        <v>5.7295779513082321</v>
      </c>
      <c r="G152" s="2">
        <v>4.2153419999999997</v>
      </c>
      <c r="H152" s="2">
        <f t="shared" si="23"/>
        <v>13.829862647279999</v>
      </c>
      <c r="I152" s="2">
        <f>INDEX('Wood Density Lookup'!$B$2:$B$152,MATCH(B152,'Wood Density Lookup'!$A$2:$A$152,0))</f>
        <v>0.65</v>
      </c>
      <c r="J152" s="2">
        <f t="shared" si="24"/>
        <v>33.523250453235129</v>
      </c>
      <c r="K152" s="2">
        <f t="shared" si="28"/>
        <v>9.3865101269058364</v>
      </c>
      <c r="L152" s="2">
        <f t="shared" si="29"/>
        <v>42.909760580140969</v>
      </c>
      <c r="M152" s="2">
        <f t="shared" si="25"/>
        <v>31.109576420602203</v>
      </c>
      <c r="N152" s="2">
        <f t="shared" si="26"/>
        <v>15.554788210301101</v>
      </c>
      <c r="O152" s="2">
        <f t="shared" si="27"/>
        <v>57.086072731805039</v>
      </c>
      <c r="P152" s="2">
        <v>72.549110999999996</v>
      </c>
      <c r="Q152" s="2">
        <v>23.036079000000001</v>
      </c>
    </row>
    <row r="153" spans="1:17" x14ac:dyDescent="0.25">
      <c r="A153" s="2">
        <v>167</v>
      </c>
      <c r="B153" s="2" t="s">
        <v>111</v>
      </c>
      <c r="C153" s="2">
        <v>6</v>
      </c>
      <c r="D153" s="2">
        <f t="shared" si="20"/>
        <v>15.24</v>
      </c>
      <c r="E153" s="2">
        <f t="shared" si="21"/>
        <v>4.8510426654409704</v>
      </c>
      <c r="F153" s="2">
        <f t="shared" si="22"/>
        <v>1.909859317102744</v>
      </c>
      <c r="G153" s="2">
        <v>4.9720310000000003</v>
      </c>
      <c r="H153" s="2">
        <f t="shared" si="23"/>
        <v>16.312438186040001</v>
      </c>
      <c r="I153" s="2">
        <f>INDEX('Wood Density Lookup'!$B$2:$B$152,MATCH(B153,'Wood Density Lookup'!$A$2:$A$152,0))</f>
        <v>0.4</v>
      </c>
      <c r="J153" s="2">
        <f t="shared" si="24"/>
        <v>2.8720548897273943</v>
      </c>
      <c r="K153" s="2">
        <f t="shared" si="28"/>
        <v>0.80417536912367049</v>
      </c>
      <c r="L153" s="2">
        <f t="shared" si="29"/>
        <v>3.6762302588510649</v>
      </c>
      <c r="M153" s="2">
        <f t="shared" si="25"/>
        <v>2.6652669376670222</v>
      </c>
      <c r="N153" s="2">
        <f t="shared" si="26"/>
        <v>1.3326334688335111</v>
      </c>
      <c r="O153" s="2">
        <f t="shared" si="27"/>
        <v>4.8907648306189859</v>
      </c>
      <c r="P153" s="2">
        <v>72.549110999999996</v>
      </c>
      <c r="Q153" s="2">
        <v>23.034858</v>
      </c>
    </row>
    <row r="154" spans="1:17" x14ac:dyDescent="0.25">
      <c r="A154" s="2">
        <v>168</v>
      </c>
      <c r="B154" s="2" t="s">
        <v>82</v>
      </c>
      <c r="C154" s="2">
        <v>3</v>
      </c>
      <c r="D154" s="2">
        <f t="shared" si="20"/>
        <v>7.62</v>
      </c>
      <c r="E154" s="2">
        <f t="shared" si="21"/>
        <v>2.4255213327204852</v>
      </c>
      <c r="F154" s="2">
        <f t="shared" si="22"/>
        <v>0.95492965855137202</v>
      </c>
      <c r="G154" s="2">
        <v>4.2394299999999996</v>
      </c>
      <c r="H154" s="2">
        <f t="shared" si="23"/>
        <v>13.908891521199999</v>
      </c>
      <c r="I154" s="2">
        <f>INDEX('Wood Density Lookup'!$B$2:$B$152,MATCH(B154,'Wood Density Lookup'!$A$2:$A$152,0))</f>
        <v>0.7</v>
      </c>
      <c r="J154" s="2">
        <f t="shared" si="24"/>
        <v>1.0970398239943269</v>
      </c>
      <c r="K154" s="2">
        <f t="shared" si="28"/>
        <v>0.30717115071841156</v>
      </c>
      <c r="L154" s="2">
        <f t="shared" si="29"/>
        <v>1.4042109747127385</v>
      </c>
      <c r="M154" s="2">
        <f t="shared" si="25"/>
        <v>1.0180529566667353</v>
      </c>
      <c r="N154" s="2">
        <f t="shared" si="26"/>
        <v>0.50902647833336767</v>
      </c>
      <c r="O154" s="2">
        <f t="shared" si="27"/>
        <v>1.8681271754834594</v>
      </c>
      <c r="P154" s="2">
        <v>72.549113000000006</v>
      </c>
      <c r="Q154" s="2">
        <v>23.035733</v>
      </c>
    </row>
    <row r="155" spans="1:17" x14ac:dyDescent="0.25">
      <c r="A155" s="2">
        <v>169</v>
      </c>
      <c r="B155" s="2" t="s">
        <v>107</v>
      </c>
      <c r="C155" s="2">
        <v>4</v>
      </c>
      <c r="D155" s="2">
        <f t="shared" si="20"/>
        <v>10.16</v>
      </c>
      <c r="E155" s="2">
        <f t="shared" si="21"/>
        <v>3.2340284436273135</v>
      </c>
      <c r="F155" s="2">
        <f t="shared" si="22"/>
        <v>1.2732395447351628</v>
      </c>
      <c r="G155" s="2">
        <v>14.716286999999999</v>
      </c>
      <c r="H155" s="2">
        <f t="shared" si="23"/>
        <v>48.281783041079997</v>
      </c>
      <c r="I155" s="2">
        <f>INDEX('Wood Density Lookup'!$B$2:$B$152,MATCH(B155,'Wood Density Lookup'!$A$2:$A$152,0))</f>
        <v>0.65</v>
      </c>
      <c r="J155" s="2">
        <f t="shared" si="24"/>
        <v>6.0285040594115467</v>
      </c>
      <c r="K155" s="2">
        <f t="shared" si="28"/>
        <v>1.6879811366352333</v>
      </c>
      <c r="L155" s="2">
        <f t="shared" si="29"/>
        <v>7.7164851960467802</v>
      </c>
      <c r="M155" s="2">
        <f t="shared" si="25"/>
        <v>5.5944517671339158</v>
      </c>
      <c r="N155" s="2">
        <f t="shared" si="26"/>
        <v>2.7972258835669579</v>
      </c>
      <c r="O155" s="2">
        <f t="shared" si="27"/>
        <v>10.265818992690734</v>
      </c>
      <c r="P155" s="2">
        <v>72.549115</v>
      </c>
      <c r="Q155" s="2">
        <v>23.035838999999999</v>
      </c>
    </row>
    <row r="156" spans="1:17" x14ac:dyDescent="0.25">
      <c r="A156" s="2">
        <v>170</v>
      </c>
      <c r="B156" s="2" t="s">
        <v>107</v>
      </c>
      <c r="C156" s="2">
        <v>4</v>
      </c>
      <c r="D156" s="2">
        <f t="shared" si="20"/>
        <v>10.16</v>
      </c>
      <c r="E156" s="2">
        <f t="shared" si="21"/>
        <v>3.2340284436273135</v>
      </c>
      <c r="F156" s="2">
        <f t="shared" si="22"/>
        <v>1.2732395447351628</v>
      </c>
      <c r="G156" s="2">
        <v>14.973000000000001</v>
      </c>
      <c r="H156" s="2">
        <f t="shared" si="23"/>
        <v>49.12401732</v>
      </c>
      <c r="I156" s="2">
        <f>INDEX('Wood Density Lookup'!$B$2:$B$152,MATCH(B156,'Wood Density Lookup'!$A$2:$A$152,0))</f>
        <v>0.65</v>
      </c>
      <c r="J156" s="2">
        <f t="shared" si="24"/>
        <v>6.131120891863814</v>
      </c>
      <c r="K156" s="2">
        <f t="shared" si="28"/>
        <v>1.7167138497218681</v>
      </c>
      <c r="L156" s="2">
        <f t="shared" si="29"/>
        <v>7.8478347415856824</v>
      </c>
      <c r="M156" s="2">
        <f t="shared" si="25"/>
        <v>5.6896801876496195</v>
      </c>
      <c r="N156" s="2">
        <f t="shared" si="26"/>
        <v>2.8448400938248097</v>
      </c>
      <c r="O156" s="2">
        <f t="shared" si="27"/>
        <v>10.440563144337052</v>
      </c>
      <c r="P156" s="2">
        <v>72.549118000000007</v>
      </c>
      <c r="Q156" s="2">
        <v>23.035827000000001</v>
      </c>
    </row>
    <row r="157" spans="1:17" x14ac:dyDescent="0.25">
      <c r="A157" s="2">
        <v>171</v>
      </c>
      <c r="B157" s="2" t="s">
        <v>148</v>
      </c>
      <c r="C157" s="2">
        <v>49</v>
      </c>
      <c r="D157" s="2">
        <f t="shared" si="20"/>
        <v>124.46000000000001</v>
      </c>
      <c r="E157" s="2">
        <f t="shared" si="21"/>
        <v>39.616848434434594</v>
      </c>
      <c r="F157" s="2">
        <f t="shared" si="22"/>
        <v>15.597184423005743</v>
      </c>
      <c r="G157" s="2">
        <v>5.0875009999999996</v>
      </c>
      <c r="H157" s="2">
        <f t="shared" si="23"/>
        <v>16.691276780839999</v>
      </c>
      <c r="I157" s="2">
        <f>INDEX('Wood Density Lookup'!$B$2:$B$152,MATCH(B157,'Wood Density Lookup'!$A$2:$A$152,0))</f>
        <v>0.5</v>
      </c>
      <c r="J157" s="2">
        <f t="shared" si="24"/>
        <v>220.20125986729028</v>
      </c>
      <c r="K157" s="2">
        <f t="shared" si="28"/>
        <v>61.65635276284128</v>
      </c>
      <c r="L157" s="2">
        <f t="shared" si="29"/>
        <v>281.85761263013154</v>
      </c>
      <c r="M157" s="2">
        <f t="shared" si="25"/>
        <v>204.34676915684537</v>
      </c>
      <c r="N157" s="2">
        <f t="shared" si="26"/>
        <v>102.17338457842268</v>
      </c>
      <c r="O157" s="2">
        <f t="shared" si="27"/>
        <v>374.97632140281127</v>
      </c>
      <c r="P157" s="2">
        <v>72.549120000000002</v>
      </c>
      <c r="Q157" s="2">
        <v>23.037828999999999</v>
      </c>
    </row>
    <row r="158" spans="1:17" x14ac:dyDescent="0.25">
      <c r="A158" s="2">
        <v>172</v>
      </c>
      <c r="B158" s="2" t="s">
        <v>34</v>
      </c>
      <c r="C158" s="2">
        <v>55</v>
      </c>
      <c r="D158" s="2">
        <f t="shared" si="20"/>
        <v>139.69999999999999</v>
      </c>
      <c r="E158" s="2">
        <f t="shared" si="21"/>
        <v>44.467891099875558</v>
      </c>
      <c r="F158" s="2">
        <f t="shared" si="22"/>
        <v>17.507043740108486</v>
      </c>
      <c r="G158" s="2">
        <v>16.887968999999998</v>
      </c>
      <c r="H158" s="2">
        <f t="shared" si="23"/>
        <v>55.406724213959997</v>
      </c>
      <c r="I158" s="2">
        <f>INDEX('Wood Density Lookup'!$B$2:$B$152,MATCH(B158,'Wood Density Lookup'!$A$2:$A$152,0))</f>
        <v>0.6</v>
      </c>
      <c r="J158" s="2">
        <f t="shared" si="24"/>
        <v>1063.1464241123685</v>
      </c>
      <c r="K158" s="2">
        <f t="shared" si="28"/>
        <v>297.68099875146322</v>
      </c>
      <c r="L158" s="2">
        <f t="shared" si="29"/>
        <v>1360.8274228638318</v>
      </c>
      <c r="M158" s="2">
        <f t="shared" si="25"/>
        <v>986.59988157627799</v>
      </c>
      <c r="N158" s="2">
        <f t="shared" si="26"/>
        <v>493.299940788139</v>
      </c>
      <c r="O158" s="2">
        <f t="shared" si="27"/>
        <v>1810.4107826924701</v>
      </c>
      <c r="P158" s="2">
        <v>72.549124000000006</v>
      </c>
      <c r="Q158" s="2">
        <v>23.038803999999999</v>
      </c>
    </row>
    <row r="159" spans="1:17" x14ac:dyDescent="0.25">
      <c r="A159" s="2">
        <v>173</v>
      </c>
      <c r="B159" s="2" t="s">
        <v>150</v>
      </c>
      <c r="C159" s="2">
        <v>19</v>
      </c>
      <c r="D159" s="2">
        <f t="shared" si="20"/>
        <v>48.26</v>
      </c>
      <c r="E159" s="2">
        <f t="shared" si="21"/>
        <v>15.361635107229738</v>
      </c>
      <c r="F159" s="2">
        <f t="shared" si="22"/>
        <v>6.0478878374920226</v>
      </c>
      <c r="G159" s="2">
        <v>3.9081619999999999</v>
      </c>
      <c r="H159" s="2">
        <f t="shared" si="23"/>
        <v>12.82205421608</v>
      </c>
      <c r="I159" s="2">
        <f>INDEX('Wood Density Lookup'!$B$2:$B$152,MATCH(B159,'Wood Density Lookup'!$A$2:$A$152,0))</f>
        <v>0.65</v>
      </c>
      <c r="J159" s="2">
        <f t="shared" si="24"/>
        <v>34.602669842224223</v>
      </c>
      <c r="K159" s="2">
        <f t="shared" si="28"/>
        <v>9.6887475558227827</v>
      </c>
      <c r="L159" s="2">
        <f t="shared" si="29"/>
        <v>44.291417398047003</v>
      </c>
      <c r="M159" s="2">
        <f t="shared" si="25"/>
        <v>32.111277613584079</v>
      </c>
      <c r="N159" s="2">
        <f t="shared" si="26"/>
        <v>16.055638806792039</v>
      </c>
      <c r="O159" s="2">
        <f t="shared" si="27"/>
        <v>58.924194420926781</v>
      </c>
      <c r="P159" s="2">
        <v>72.549124000000006</v>
      </c>
      <c r="Q159" s="2">
        <v>23.036095</v>
      </c>
    </row>
    <row r="160" spans="1:17" x14ac:dyDescent="0.25">
      <c r="A160" s="2">
        <v>174</v>
      </c>
      <c r="B160" s="2" t="s">
        <v>10</v>
      </c>
      <c r="C160" s="2">
        <v>32</v>
      </c>
      <c r="D160" s="2">
        <f t="shared" si="20"/>
        <v>81.28</v>
      </c>
      <c r="E160" s="2">
        <f t="shared" si="21"/>
        <v>25.872227549018508</v>
      </c>
      <c r="F160" s="2">
        <f t="shared" si="22"/>
        <v>10.185916357881302</v>
      </c>
      <c r="G160" s="2">
        <v>6.646833</v>
      </c>
      <c r="H160" s="2">
        <f t="shared" si="23"/>
        <v>21.807195579719998</v>
      </c>
      <c r="I160" s="2">
        <f>INDEX('Wood Density Lookup'!$B$2:$B$152,MATCH(B160,'Wood Density Lookup'!$A$2:$A$152,0))</f>
        <v>0.65</v>
      </c>
      <c r="J160" s="2">
        <f t="shared" si="24"/>
        <v>160.74672528509961</v>
      </c>
      <c r="K160" s="2">
        <f t="shared" si="28"/>
        <v>45.009083079827896</v>
      </c>
      <c r="L160" s="2">
        <f t="shared" si="29"/>
        <v>205.7558083649275</v>
      </c>
      <c r="M160" s="2">
        <f t="shared" si="25"/>
        <v>149.17296106457243</v>
      </c>
      <c r="N160" s="2">
        <f t="shared" si="26"/>
        <v>74.586480532286217</v>
      </c>
      <c r="O160" s="2">
        <f t="shared" si="27"/>
        <v>273.73238355349042</v>
      </c>
      <c r="P160" s="2">
        <v>72.549125000000004</v>
      </c>
      <c r="Q160" s="2">
        <v>23.035478999999999</v>
      </c>
    </row>
    <row r="161" spans="1:17" x14ac:dyDescent="0.25">
      <c r="A161" s="2">
        <v>175</v>
      </c>
      <c r="B161" s="2" t="s">
        <v>10</v>
      </c>
      <c r="C161" s="2">
        <v>32</v>
      </c>
      <c r="D161" s="2">
        <f t="shared" si="20"/>
        <v>81.28</v>
      </c>
      <c r="E161" s="2">
        <f t="shared" si="21"/>
        <v>25.872227549018508</v>
      </c>
      <c r="F161" s="2">
        <f t="shared" si="22"/>
        <v>10.185916357881302</v>
      </c>
      <c r="G161" s="2">
        <v>9.8144100000000005</v>
      </c>
      <c r="H161" s="2">
        <f t="shared" si="23"/>
        <v>32.199508904399998</v>
      </c>
      <c r="I161" s="2">
        <f>INDEX('Wood Density Lookup'!$B$2:$B$152,MATCH(B161,'Wood Density Lookup'!$A$2:$A$152,0))</f>
        <v>0.65</v>
      </c>
      <c r="J161" s="2">
        <f t="shared" si="24"/>
        <v>235.14165870623953</v>
      </c>
      <c r="K161" s="2">
        <f t="shared" si="28"/>
        <v>65.839664437747075</v>
      </c>
      <c r="L161" s="2">
        <f t="shared" si="29"/>
        <v>300.98132314398663</v>
      </c>
      <c r="M161" s="2">
        <f t="shared" si="25"/>
        <v>218.21145927939031</v>
      </c>
      <c r="N161" s="2">
        <f t="shared" si="26"/>
        <v>109.10572963969516</v>
      </c>
      <c r="O161" s="2">
        <f t="shared" si="27"/>
        <v>400.41802777768123</v>
      </c>
      <c r="P161" s="2">
        <v>72.549125000000004</v>
      </c>
      <c r="Q161" s="2">
        <v>23.035409999999999</v>
      </c>
    </row>
    <row r="162" spans="1:17" x14ac:dyDescent="0.25">
      <c r="A162" s="2">
        <v>176</v>
      </c>
      <c r="B162" s="2" t="s">
        <v>10</v>
      </c>
      <c r="C162" s="2">
        <v>4</v>
      </c>
      <c r="D162" s="2">
        <f t="shared" si="20"/>
        <v>10.16</v>
      </c>
      <c r="E162" s="2">
        <f t="shared" si="21"/>
        <v>3.2340284436273135</v>
      </c>
      <c r="F162" s="2">
        <f t="shared" si="22"/>
        <v>1.2732395447351628</v>
      </c>
      <c r="G162" s="2">
        <v>8.3490549999999999</v>
      </c>
      <c r="H162" s="2">
        <f t="shared" si="23"/>
        <v>27.391913606199999</v>
      </c>
      <c r="I162" s="2">
        <f>INDEX('Wood Density Lookup'!$B$2:$B$152,MATCH(B162,'Wood Density Lookup'!$A$2:$A$152,0))</f>
        <v>0.65</v>
      </c>
      <c r="J162" s="2">
        <f t="shared" si="24"/>
        <v>3.4670211659365471</v>
      </c>
      <c r="K162" s="2">
        <f t="shared" si="28"/>
        <v>0.97076592646223325</v>
      </c>
      <c r="L162" s="2">
        <f t="shared" si="29"/>
        <v>4.4377870923987803</v>
      </c>
      <c r="M162" s="2">
        <f t="shared" si="25"/>
        <v>3.2173956419891154</v>
      </c>
      <c r="N162" s="2">
        <f t="shared" si="26"/>
        <v>1.6086978209945577</v>
      </c>
      <c r="O162" s="2">
        <f t="shared" si="27"/>
        <v>5.9039210030500264</v>
      </c>
      <c r="P162" s="2">
        <v>72.549126000000001</v>
      </c>
      <c r="Q162" s="2">
        <v>23.038022000000002</v>
      </c>
    </row>
    <row r="163" spans="1:17" x14ac:dyDescent="0.25">
      <c r="A163" s="2">
        <v>177</v>
      </c>
      <c r="B163" s="2" t="s">
        <v>150</v>
      </c>
      <c r="C163" s="2">
        <v>22</v>
      </c>
      <c r="D163" s="2">
        <f t="shared" si="20"/>
        <v>55.88</v>
      </c>
      <c r="E163" s="2">
        <f t="shared" si="21"/>
        <v>17.787156439950223</v>
      </c>
      <c r="F163" s="2">
        <f t="shared" si="22"/>
        <v>7.0028174960433951</v>
      </c>
      <c r="G163" s="2">
        <v>4.4322210000000002</v>
      </c>
      <c r="H163" s="2">
        <f t="shared" si="23"/>
        <v>14.541407945640001</v>
      </c>
      <c r="I163" s="2">
        <f>INDEX('Wood Density Lookup'!$B$2:$B$152,MATCH(B163,'Wood Density Lookup'!$A$2:$A$152,0))</f>
        <v>0.65</v>
      </c>
      <c r="J163" s="2">
        <f t="shared" si="24"/>
        <v>52.086950275465092</v>
      </c>
      <c r="K163" s="2">
        <f t="shared" si="28"/>
        <v>14.584346077130228</v>
      </c>
      <c r="L163" s="2">
        <f t="shared" si="29"/>
        <v>66.67129635259532</v>
      </c>
      <c r="M163" s="2">
        <f t="shared" si="25"/>
        <v>48.336689855631604</v>
      </c>
      <c r="N163" s="2">
        <f t="shared" si="26"/>
        <v>24.168344927815802</v>
      </c>
      <c r="O163" s="2">
        <f t="shared" si="27"/>
        <v>88.697825885083986</v>
      </c>
      <c r="P163" s="2">
        <v>72.549126999999999</v>
      </c>
      <c r="Q163" s="2">
        <v>23.036076000000001</v>
      </c>
    </row>
    <row r="164" spans="1:17" x14ac:dyDescent="0.25">
      <c r="A164" s="2">
        <v>179</v>
      </c>
      <c r="B164" s="2" t="s">
        <v>115</v>
      </c>
      <c r="C164" s="2">
        <v>52</v>
      </c>
      <c r="D164" s="2">
        <f t="shared" si="20"/>
        <v>132.08000000000001</v>
      </c>
      <c r="E164" s="2">
        <f t="shared" si="21"/>
        <v>42.04236976715508</v>
      </c>
      <c r="F164" s="2">
        <f t="shared" si="22"/>
        <v>16.552114081557114</v>
      </c>
      <c r="G164" s="2">
        <v>11.8291</v>
      </c>
      <c r="H164" s="2">
        <f t="shared" si="23"/>
        <v>38.809384444000003</v>
      </c>
      <c r="I164" s="2">
        <f>INDEX('Wood Density Lookup'!$B$2:$B$152,MATCH(B164,'Wood Density Lookup'!$A$2:$A$152,0))</f>
        <v>0.65</v>
      </c>
      <c r="J164" s="2">
        <f t="shared" si="24"/>
        <v>727.8749156111619</v>
      </c>
      <c r="K164" s="2">
        <f t="shared" si="28"/>
        <v>203.80497637112535</v>
      </c>
      <c r="L164" s="2">
        <f t="shared" si="29"/>
        <v>931.67989198228724</v>
      </c>
      <c r="M164" s="2">
        <f t="shared" si="25"/>
        <v>675.4679216871582</v>
      </c>
      <c r="N164" s="2">
        <f t="shared" si="26"/>
        <v>337.7339608435791</v>
      </c>
      <c r="O164" s="2">
        <f t="shared" si="27"/>
        <v>1239.4836362959352</v>
      </c>
      <c r="P164" s="2">
        <v>72.549128999999994</v>
      </c>
      <c r="Q164" s="2">
        <v>23.036017999999999</v>
      </c>
    </row>
    <row r="165" spans="1:17" x14ac:dyDescent="0.25">
      <c r="A165" s="2">
        <v>180</v>
      </c>
      <c r="B165" s="2" t="s">
        <v>115</v>
      </c>
      <c r="C165" s="2">
        <v>21</v>
      </c>
      <c r="D165" s="2">
        <f t="shared" si="20"/>
        <v>53.34</v>
      </c>
      <c r="E165" s="2">
        <f t="shared" si="21"/>
        <v>16.978649329043396</v>
      </c>
      <c r="F165" s="2">
        <f t="shared" si="22"/>
        <v>6.6845076098596046</v>
      </c>
      <c r="G165" s="2">
        <v>4.8340040000000002</v>
      </c>
      <c r="H165" s="2">
        <f t="shared" si="23"/>
        <v>15.85959368336</v>
      </c>
      <c r="I165" s="2">
        <f>INDEX('Wood Density Lookup'!$B$2:$B$152,MATCH(B165,'Wood Density Lookup'!$A$2:$A$152,0))</f>
        <v>0.65</v>
      </c>
      <c r="J165" s="2">
        <f t="shared" si="24"/>
        <v>51.769391975117763</v>
      </c>
      <c r="K165" s="2">
        <f t="shared" si="28"/>
        <v>14.495429753032974</v>
      </c>
      <c r="L165" s="2">
        <f t="shared" si="29"/>
        <v>66.264821728150736</v>
      </c>
      <c r="M165" s="2">
        <f t="shared" si="25"/>
        <v>48.04199575290928</v>
      </c>
      <c r="N165" s="2">
        <f t="shared" si="26"/>
        <v>24.02099787645464</v>
      </c>
      <c r="O165" s="2">
        <f t="shared" si="27"/>
        <v>88.15706220658852</v>
      </c>
      <c r="P165" s="2">
        <v>72.549130000000005</v>
      </c>
      <c r="Q165" s="2">
        <v>23.035259</v>
      </c>
    </row>
    <row r="166" spans="1:17" x14ac:dyDescent="0.25">
      <c r="A166" s="2">
        <v>181</v>
      </c>
      <c r="B166" s="2" t="s">
        <v>111</v>
      </c>
      <c r="C166" s="2">
        <v>4</v>
      </c>
      <c r="D166" s="2">
        <f t="shared" si="20"/>
        <v>10.16</v>
      </c>
      <c r="E166" s="2">
        <f t="shared" si="21"/>
        <v>3.2340284436273135</v>
      </c>
      <c r="F166" s="2">
        <f t="shared" si="22"/>
        <v>1.2732395447351628</v>
      </c>
      <c r="G166" s="2">
        <v>1.68493</v>
      </c>
      <c r="H166" s="2">
        <f t="shared" si="23"/>
        <v>5.5279857412000002</v>
      </c>
      <c r="I166" s="2">
        <f>INDEX('Wood Density Lookup'!$B$2:$B$152,MATCH(B166,'Wood Density Lookup'!$A$2:$A$152,0))</f>
        <v>0.4</v>
      </c>
      <c r="J166" s="2">
        <f t="shared" si="24"/>
        <v>0.45267809584176461</v>
      </c>
      <c r="K166" s="2">
        <f t="shared" si="28"/>
        <v>0.12674986683569411</v>
      </c>
      <c r="L166" s="2">
        <f t="shared" si="29"/>
        <v>0.57942796267745877</v>
      </c>
      <c r="M166" s="2">
        <f t="shared" si="25"/>
        <v>0.42008527294115761</v>
      </c>
      <c r="N166" s="2">
        <f t="shared" si="26"/>
        <v>0.2100426364705788</v>
      </c>
      <c r="O166" s="2">
        <f t="shared" si="27"/>
        <v>0.77085647584702421</v>
      </c>
      <c r="P166" s="2">
        <v>72.549130000000005</v>
      </c>
      <c r="Q166" s="2">
        <v>23.034658</v>
      </c>
    </row>
    <row r="167" spans="1:17" x14ac:dyDescent="0.25">
      <c r="A167" s="2">
        <v>182</v>
      </c>
      <c r="B167" s="2" t="s">
        <v>107</v>
      </c>
      <c r="C167" s="2">
        <v>2</v>
      </c>
      <c r="D167" s="2">
        <f t="shared" si="20"/>
        <v>5.08</v>
      </c>
      <c r="E167" s="2">
        <f t="shared" si="21"/>
        <v>1.6170142218136567</v>
      </c>
      <c r="F167" s="2">
        <f t="shared" si="22"/>
        <v>0.63661977236758138</v>
      </c>
      <c r="G167" s="2">
        <v>14.201819</v>
      </c>
      <c r="H167" s="2">
        <f t="shared" si="23"/>
        <v>46.593895847959999</v>
      </c>
      <c r="I167" s="2">
        <f>INDEX('Wood Density Lookup'!$B$2:$B$152,MATCH(B167,'Wood Density Lookup'!$A$2:$A$152,0))</f>
        <v>0.65</v>
      </c>
      <c r="J167" s="2">
        <f t="shared" si="24"/>
        <v>1.5049276902238526</v>
      </c>
      <c r="K167" s="2">
        <f t="shared" si="28"/>
        <v>0.42137975326267879</v>
      </c>
      <c r="L167" s="2">
        <f t="shared" si="29"/>
        <v>1.9263074434865315</v>
      </c>
      <c r="M167" s="2">
        <f t="shared" si="25"/>
        <v>1.3965728965277353</v>
      </c>
      <c r="N167" s="2">
        <f t="shared" si="26"/>
        <v>0.69828644826386765</v>
      </c>
      <c r="O167" s="2">
        <f t="shared" si="27"/>
        <v>2.5627112651283941</v>
      </c>
      <c r="P167" s="2">
        <v>72.549130000000005</v>
      </c>
      <c r="Q167" s="2">
        <v>23.035800999999999</v>
      </c>
    </row>
    <row r="168" spans="1:17" x14ac:dyDescent="0.25">
      <c r="A168" s="2">
        <v>183</v>
      </c>
      <c r="B168" s="2" t="s">
        <v>15</v>
      </c>
      <c r="C168" s="2">
        <v>93</v>
      </c>
      <c r="D168" s="2">
        <f t="shared" si="20"/>
        <v>236.22</v>
      </c>
      <c r="E168" s="2">
        <f t="shared" si="21"/>
        <v>75.191161314335034</v>
      </c>
      <c r="F168" s="2">
        <f t="shared" si="22"/>
        <v>29.602819415092533</v>
      </c>
      <c r="G168" s="2">
        <v>15.506178999999999</v>
      </c>
      <c r="H168" s="2">
        <f t="shared" si="23"/>
        <v>50.87329231036</v>
      </c>
      <c r="I168" s="2">
        <f>INDEX('Wood Density Lookup'!$B$2:$B$152,MATCH(B168,'Wood Density Lookup'!$A$2:$A$152,0))</f>
        <v>0.75</v>
      </c>
      <c r="J168" s="2">
        <f t="shared" si="24"/>
        <v>3390.6668029962698</v>
      </c>
      <c r="K168" s="2">
        <f t="shared" si="28"/>
        <v>949.38670483895567</v>
      </c>
      <c r="L168" s="2">
        <f t="shared" si="29"/>
        <v>4340.0535078352259</v>
      </c>
      <c r="M168" s="2">
        <f t="shared" si="25"/>
        <v>3146.5387931805385</v>
      </c>
      <c r="N168" s="2">
        <f t="shared" si="26"/>
        <v>1573.2693965902693</v>
      </c>
      <c r="O168" s="2">
        <f t="shared" si="27"/>
        <v>5773.8986854862878</v>
      </c>
      <c r="P168" s="2">
        <v>72.549133999999995</v>
      </c>
      <c r="Q168" s="2">
        <v>23.036463000000001</v>
      </c>
    </row>
    <row r="169" spans="1:17" x14ac:dyDescent="0.25">
      <c r="A169" s="2">
        <v>184</v>
      </c>
      <c r="B169" s="2" t="s">
        <v>59</v>
      </c>
      <c r="C169" s="2">
        <v>36</v>
      </c>
      <c r="D169" s="2">
        <f t="shared" si="20"/>
        <v>91.44</v>
      </c>
      <c r="E169" s="2">
        <f t="shared" si="21"/>
        <v>29.106255992645821</v>
      </c>
      <c r="F169" s="2">
        <f t="shared" si="22"/>
        <v>11.459155902616464</v>
      </c>
      <c r="G169" s="2">
        <v>11.913487999999999</v>
      </c>
      <c r="H169" s="2">
        <f t="shared" si="23"/>
        <v>39.086247969919995</v>
      </c>
      <c r="I169" s="2">
        <f>INDEX('Wood Density Lookup'!$B$2:$B$152,MATCH(B169,'Wood Density Lookup'!$A$2:$A$152,0))</f>
        <v>0.45</v>
      </c>
      <c r="J169" s="2">
        <f t="shared" si="24"/>
        <v>249.72718394101651</v>
      </c>
      <c r="K169" s="2">
        <f t="shared" si="28"/>
        <v>69.923611503484622</v>
      </c>
      <c r="L169" s="2">
        <f t="shared" si="29"/>
        <v>319.65079544450111</v>
      </c>
      <c r="M169" s="2">
        <f t="shared" si="25"/>
        <v>231.74682669726329</v>
      </c>
      <c r="N169" s="2">
        <f t="shared" si="26"/>
        <v>115.87341334863164</v>
      </c>
      <c r="O169" s="2">
        <f t="shared" si="27"/>
        <v>425.25542698947811</v>
      </c>
      <c r="P169" s="2">
        <v>72.549135000000007</v>
      </c>
      <c r="Q169" s="2">
        <v>23.036283000000001</v>
      </c>
    </row>
    <row r="170" spans="1:17" x14ac:dyDescent="0.25">
      <c r="A170" s="2">
        <v>185</v>
      </c>
      <c r="B170" s="2" t="s">
        <v>111</v>
      </c>
      <c r="C170" s="2">
        <v>3</v>
      </c>
      <c r="D170" s="2">
        <f t="shared" si="20"/>
        <v>7.62</v>
      </c>
      <c r="E170" s="2">
        <f t="shared" si="21"/>
        <v>2.4255213327204852</v>
      </c>
      <c r="F170" s="2">
        <f t="shared" si="22"/>
        <v>0.95492965855137202</v>
      </c>
      <c r="G170" s="2">
        <v>3.05274</v>
      </c>
      <c r="H170" s="2">
        <f t="shared" si="23"/>
        <v>10.015551501599999</v>
      </c>
      <c r="I170" s="2">
        <f>INDEX('Wood Density Lookup'!$B$2:$B$152,MATCH(B170,'Wood Density Lookup'!$A$2:$A$152,0))</f>
        <v>0.4</v>
      </c>
      <c r="J170" s="2">
        <f t="shared" si="24"/>
        <v>0.46112899416080833</v>
      </c>
      <c r="K170" s="2">
        <f t="shared" si="28"/>
        <v>0.12911611836502634</v>
      </c>
      <c r="L170" s="2">
        <f t="shared" si="29"/>
        <v>0.59024511252583467</v>
      </c>
      <c r="M170" s="2">
        <f t="shared" si="25"/>
        <v>0.42792770658123014</v>
      </c>
      <c r="N170" s="2">
        <f t="shared" si="26"/>
        <v>0.21396385329061507</v>
      </c>
      <c r="O170" s="2">
        <f t="shared" si="27"/>
        <v>0.78524734157655729</v>
      </c>
      <c r="P170" s="2">
        <v>72.549137000000002</v>
      </c>
      <c r="Q170" s="2">
        <v>23.034617999999998</v>
      </c>
    </row>
    <row r="171" spans="1:17" x14ac:dyDescent="0.25">
      <c r="A171" s="2">
        <v>186</v>
      </c>
      <c r="B171" s="2" t="s">
        <v>34</v>
      </c>
      <c r="C171" s="2">
        <v>37</v>
      </c>
      <c r="D171" s="2">
        <f t="shared" si="20"/>
        <v>93.98</v>
      </c>
      <c r="E171" s="2">
        <f t="shared" si="21"/>
        <v>29.914763103552648</v>
      </c>
      <c r="F171" s="2">
        <f t="shared" si="22"/>
        <v>11.777465788800255</v>
      </c>
      <c r="G171" s="2">
        <v>6.0358989999999997</v>
      </c>
      <c r="H171" s="2">
        <f t="shared" si="23"/>
        <v>19.80281887516</v>
      </c>
      <c r="I171" s="2">
        <f>INDEX('Wood Density Lookup'!$B$2:$B$152,MATCH(B171,'Wood Density Lookup'!$A$2:$A$152,0))</f>
        <v>0.6</v>
      </c>
      <c r="J171" s="2">
        <f t="shared" si="24"/>
        <v>179.64844823137619</v>
      </c>
      <c r="K171" s="2">
        <f t="shared" si="28"/>
        <v>50.301565504785337</v>
      </c>
      <c r="L171" s="2">
        <f t="shared" si="29"/>
        <v>229.95001373616154</v>
      </c>
      <c r="M171" s="2">
        <f t="shared" si="25"/>
        <v>166.71375995871711</v>
      </c>
      <c r="N171" s="2">
        <f t="shared" si="26"/>
        <v>83.356879979358553</v>
      </c>
      <c r="O171" s="2">
        <f t="shared" si="27"/>
        <v>305.9197495242459</v>
      </c>
      <c r="P171" s="2">
        <v>72.549137999999999</v>
      </c>
      <c r="Q171" s="2">
        <v>23.035969999999999</v>
      </c>
    </row>
    <row r="172" spans="1:17" x14ac:dyDescent="0.25">
      <c r="A172" s="2">
        <v>187</v>
      </c>
      <c r="B172" s="2" t="s">
        <v>115</v>
      </c>
      <c r="C172" s="2">
        <v>21</v>
      </c>
      <c r="D172" s="2">
        <f t="shared" si="20"/>
        <v>53.34</v>
      </c>
      <c r="E172" s="2">
        <f t="shared" si="21"/>
        <v>16.978649329043396</v>
      </c>
      <c r="F172" s="2">
        <f t="shared" si="22"/>
        <v>6.6845076098596046</v>
      </c>
      <c r="G172" s="2">
        <v>5.2731089999999998</v>
      </c>
      <c r="H172" s="2">
        <f t="shared" si="23"/>
        <v>17.300226931560001</v>
      </c>
      <c r="I172" s="2">
        <f>INDEX('Wood Density Lookup'!$B$2:$B$152,MATCH(B172,'Wood Density Lookup'!$A$2:$A$152,0))</f>
        <v>0.65</v>
      </c>
      <c r="J172" s="2">
        <f t="shared" si="24"/>
        <v>56.354236948139246</v>
      </c>
      <c r="K172" s="2">
        <f t="shared" si="28"/>
        <v>15.77918634547899</v>
      </c>
      <c r="L172" s="2">
        <f t="shared" si="29"/>
        <v>72.133423293618236</v>
      </c>
      <c r="M172" s="2">
        <f t="shared" si="25"/>
        <v>52.296731887873221</v>
      </c>
      <c r="N172" s="2">
        <f t="shared" si="26"/>
        <v>26.148365943936611</v>
      </c>
      <c r="O172" s="2">
        <f t="shared" si="27"/>
        <v>95.964503014247356</v>
      </c>
      <c r="P172" s="2">
        <v>72.549137999999999</v>
      </c>
      <c r="Q172" s="2">
        <v>23.035236999999999</v>
      </c>
    </row>
    <row r="173" spans="1:17" x14ac:dyDescent="0.25">
      <c r="A173" s="2">
        <v>188</v>
      </c>
      <c r="B173" s="2" t="s">
        <v>107</v>
      </c>
      <c r="C173" s="2">
        <v>6</v>
      </c>
      <c r="D173" s="2">
        <f t="shared" si="20"/>
        <v>15.24</v>
      </c>
      <c r="E173" s="2">
        <f t="shared" si="21"/>
        <v>4.8510426654409704</v>
      </c>
      <c r="F173" s="2">
        <f t="shared" si="22"/>
        <v>1.909859317102744</v>
      </c>
      <c r="G173" s="2">
        <v>2.9770310000000002</v>
      </c>
      <c r="H173" s="2">
        <f t="shared" si="23"/>
        <v>9.7671623860400008</v>
      </c>
      <c r="I173" s="2">
        <f>INDEX('Wood Density Lookup'!$B$2:$B$152,MATCH(B173,'Wood Density Lookup'!$A$2:$A$152,0))</f>
        <v>0.65</v>
      </c>
      <c r="J173" s="2">
        <f t="shared" si="24"/>
        <v>2.7962832474149293</v>
      </c>
      <c r="K173" s="2">
        <f t="shared" si="28"/>
        <v>0.78295930927618029</v>
      </c>
      <c r="L173" s="2">
        <f t="shared" si="29"/>
        <v>3.5792425566911095</v>
      </c>
      <c r="M173" s="2">
        <f t="shared" si="25"/>
        <v>2.5949508536010542</v>
      </c>
      <c r="N173" s="2">
        <f t="shared" si="26"/>
        <v>1.2974754268005271</v>
      </c>
      <c r="O173" s="2">
        <f t="shared" si="27"/>
        <v>4.7617348163579347</v>
      </c>
      <c r="P173" s="2">
        <v>72.549139999999994</v>
      </c>
      <c r="Q173" s="2">
        <v>23.035715</v>
      </c>
    </row>
    <row r="174" spans="1:17" x14ac:dyDescent="0.25">
      <c r="A174" s="2">
        <v>189</v>
      </c>
      <c r="B174" s="2" t="s">
        <v>107</v>
      </c>
      <c r="C174" s="2">
        <v>8</v>
      </c>
      <c r="D174" s="2">
        <f t="shared" si="20"/>
        <v>20.32</v>
      </c>
      <c r="E174" s="2">
        <f t="shared" si="21"/>
        <v>6.4680568872546269</v>
      </c>
      <c r="F174" s="2">
        <f t="shared" si="22"/>
        <v>2.5464790894703255</v>
      </c>
      <c r="G174" s="2">
        <v>8.6331690000000005</v>
      </c>
      <c r="H174" s="2">
        <f t="shared" si="23"/>
        <v>28.32404618196</v>
      </c>
      <c r="I174" s="2">
        <f>INDEX('Wood Density Lookup'!$B$2:$B$152,MATCH(B174,'Wood Density Lookup'!$A$2:$A$152,0))</f>
        <v>0.65</v>
      </c>
      <c r="J174" s="2">
        <f t="shared" si="24"/>
        <v>13.859615276377241</v>
      </c>
      <c r="K174" s="2">
        <f t="shared" si="28"/>
        <v>3.8806922773856276</v>
      </c>
      <c r="L174" s="2">
        <f t="shared" si="29"/>
        <v>17.740307553762868</v>
      </c>
      <c r="M174" s="2">
        <f t="shared" si="25"/>
        <v>12.861722976478079</v>
      </c>
      <c r="N174" s="2">
        <f t="shared" si="26"/>
        <v>6.4308614882390396</v>
      </c>
      <c r="O174" s="2">
        <f t="shared" si="27"/>
        <v>23.601261661837274</v>
      </c>
      <c r="P174" s="2">
        <v>72.549142000000003</v>
      </c>
      <c r="Q174" s="2">
        <v>23.035657</v>
      </c>
    </row>
    <row r="175" spans="1:17" x14ac:dyDescent="0.25">
      <c r="A175" s="2">
        <v>190</v>
      </c>
      <c r="B175" s="2" t="s">
        <v>31</v>
      </c>
      <c r="C175" s="2">
        <v>3</v>
      </c>
      <c r="D175" s="2">
        <f t="shared" si="20"/>
        <v>7.62</v>
      </c>
      <c r="E175" s="2">
        <f t="shared" si="21"/>
        <v>2.4255213327204852</v>
      </c>
      <c r="F175" s="2">
        <f t="shared" si="22"/>
        <v>0.95492965855137202</v>
      </c>
      <c r="G175" s="2">
        <v>2.059714</v>
      </c>
      <c r="H175" s="2">
        <f t="shared" si="23"/>
        <v>6.7575920797600002</v>
      </c>
      <c r="I175" s="2">
        <f>INDEX('Wood Density Lookup'!$B$2:$B$152,MATCH(B175,'Wood Density Lookup'!$A$2:$A$152,0))</f>
        <v>0.78</v>
      </c>
      <c r="J175" s="2">
        <f t="shared" si="24"/>
        <v>0.6027184747584915</v>
      </c>
      <c r="K175" s="2">
        <f t="shared" si="28"/>
        <v>0.16876117293237763</v>
      </c>
      <c r="L175" s="2">
        <f t="shared" si="29"/>
        <v>0.77147964769086919</v>
      </c>
      <c r="M175" s="2">
        <f t="shared" si="25"/>
        <v>0.55932274457588016</v>
      </c>
      <c r="N175" s="2">
        <f t="shared" si="26"/>
        <v>0.27966137228794008</v>
      </c>
      <c r="O175" s="2">
        <f t="shared" si="27"/>
        <v>1.0263572362967401</v>
      </c>
      <c r="P175" s="2">
        <v>72.549143999999998</v>
      </c>
      <c r="Q175" s="2">
        <v>23.034545999999999</v>
      </c>
    </row>
    <row r="176" spans="1:17" x14ac:dyDescent="0.25">
      <c r="A176" s="2">
        <v>191</v>
      </c>
      <c r="B176" s="2" t="s">
        <v>107</v>
      </c>
      <c r="C176" s="2">
        <v>4</v>
      </c>
      <c r="D176" s="2">
        <f t="shared" si="20"/>
        <v>10.16</v>
      </c>
      <c r="E176" s="2">
        <f t="shared" si="21"/>
        <v>3.2340284436273135</v>
      </c>
      <c r="F176" s="2">
        <f t="shared" si="22"/>
        <v>1.2732395447351628</v>
      </c>
      <c r="G176" s="2">
        <v>13.904033</v>
      </c>
      <c r="H176" s="2">
        <f t="shared" si="23"/>
        <v>45.616907627720003</v>
      </c>
      <c r="I176" s="2">
        <f>INDEX('Wood Density Lookup'!$B$2:$B$152,MATCH(B176,'Wood Density Lookup'!$A$2:$A$152,0))</f>
        <v>0.65</v>
      </c>
      <c r="J176" s="2">
        <f t="shared" si="24"/>
        <v>5.7035319357388881</v>
      </c>
      <c r="K176" s="2">
        <f t="shared" si="28"/>
        <v>1.5969889420068888</v>
      </c>
      <c r="L176" s="2">
        <f t="shared" si="29"/>
        <v>7.3005208777457771</v>
      </c>
      <c r="M176" s="2">
        <f t="shared" si="25"/>
        <v>5.292877636365688</v>
      </c>
      <c r="N176" s="2">
        <f t="shared" si="26"/>
        <v>2.646438818182844</v>
      </c>
      <c r="O176" s="2">
        <f t="shared" si="27"/>
        <v>9.7124304627310369</v>
      </c>
      <c r="P176" s="2">
        <v>72.549143999999998</v>
      </c>
      <c r="Q176" s="2">
        <v>23.035813999999998</v>
      </c>
    </row>
    <row r="177" spans="1:17" x14ac:dyDescent="0.25">
      <c r="A177" s="2">
        <v>192</v>
      </c>
      <c r="B177" s="2" t="s">
        <v>151</v>
      </c>
      <c r="C177" s="2">
        <v>24</v>
      </c>
      <c r="D177" s="2">
        <f t="shared" si="20"/>
        <v>60.96</v>
      </c>
      <c r="E177" s="2">
        <f t="shared" si="21"/>
        <v>19.404170661763882</v>
      </c>
      <c r="F177" s="2">
        <f t="shared" si="22"/>
        <v>7.6394372684109761</v>
      </c>
      <c r="G177" s="2">
        <v>7.0635890000000003</v>
      </c>
      <c r="H177" s="2">
        <f t="shared" si="23"/>
        <v>23.174505334759999</v>
      </c>
      <c r="I177" s="2">
        <f>INDEX('Wood Density Lookup'!$B$2:$B$152,MATCH(B177,'Wood Density Lookup'!$A$2:$A$152,0))</f>
        <v>0.8</v>
      </c>
      <c r="J177" s="2">
        <f t="shared" si="24"/>
        <v>119.13816594809772</v>
      </c>
      <c r="K177" s="2">
        <f t="shared" si="28"/>
        <v>33.358686465467365</v>
      </c>
      <c r="L177" s="2">
        <f t="shared" si="29"/>
        <v>152.49685241356508</v>
      </c>
      <c r="M177" s="2">
        <f t="shared" si="25"/>
        <v>110.56021799983468</v>
      </c>
      <c r="N177" s="2">
        <f t="shared" si="26"/>
        <v>55.280108999917339</v>
      </c>
      <c r="O177" s="2">
        <f t="shared" si="27"/>
        <v>202.87800002969664</v>
      </c>
      <c r="P177" s="2">
        <v>72.549149999999997</v>
      </c>
      <c r="Q177" s="2">
        <v>23.034793000000001</v>
      </c>
    </row>
    <row r="178" spans="1:17" x14ac:dyDescent="0.25">
      <c r="A178" s="2">
        <v>193</v>
      </c>
      <c r="B178" s="2" t="s">
        <v>82</v>
      </c>
      <c r="C178" s="2">
        <v>31</v>
      </c>
      <c r="D178" s="2">
        <f t="shared" si="20"/>
        <v>78.739999999999995</v>
      </c>
      <c r="E178" s="2">
        <f t="shared" si="21"/>
        <v>25.063720438111677</v>
      </c>
      <c r="F178" s="2">
        <f t="shared" si="22"/>
        <v>9.8676064716975116</v>
      </c>
      <c r="G178" s="2">
        <v>9.7042169999999999</v>
      </c>
      <c r="H178" s="2">
        <f t="shared" si="23"/>
        <v>31.837983302279998</v>
      </c>
      <c r="I178" s="2">
        <f>INDEX('Wood Density Lookup'!$B$2:$B$152,MATCH(B178,'Wood Density Lookup'!$A$2:$A$152,0))</f>
        <v>0.7</v>
      </c>
      <c r="J178" s="2">
        <f t="shared" si="24"/>
        <v>234.98551290656431</v>
      </c>
      <c r="K178" s="2">
        <f t="shared" si="28"/>
        <v>65.79594361383802</v>
      </c>
      <c r="L178" s="2">
        <f t="shared" si="29"/>
        <v>300.78145652040234</v>
      </c>
      <c r="M178" s="2">
        <f t="shared" si="25"/>
        <v>218.0665559772917</v>
      </c>
      <c r="N178" s="2">
        <f t="shared" si="26"/>
        <v>109.03327798864585</v>
      </c>
      <c r="O178" s="2">
        <f t="shared" si="27"/>
        <v>400.15213021833029</v>
      </c>
      <c r="P178" s="2">
        <v>72.549150999999995</v>
      </c>
      <c r="Q178" s="2">
        <v>23.037156</v>
      </c>
    </row>
    <row r="179" spans="1:17" x14ac:dyDescent="0.25">
      <c r="A179" s="2">
        <v>194</v>
      </c>
      <c r="B179" s="2" t="s">
        <v>107</v>
      </c>
      <c r="C179" s="2">
        <v>7</v>
      </c>
      <c r="D179" s="2">
        <f t="shared" si="20"/>
        <v>17.78</v>
      </c>
      <c r="E179" s="2">
        <f t="shared" si="21"/>
        <v>5.6595497763477987</v>
      </c>
      <c r="F179" s="2">
        <f t="shared" si="22"/>
        <v>2.228169203286535</v>
      </c>
      <c r="G179" s="2">
        <v>2.1304470000000002</v>
      </c>
      <c r="H179" s="2">
        <f t="shared" si="23"/>
        <v>6.9896557354800004</v>
      </c>
      <c r="I179" s="2">
        <f>INDEX('Wood Density Lookup'!$B$2:$B$152,MATCH(B179,'Wood Density Lookup'!$A$2:$A$152,0))</f>
        <v>0.65</v>
      </c>
      <c r="J179" s="2">
        <f t="shared" si="24"/>
        <v>2.7254371704371234</v>
      </c>
      <c r="K179" s="2">
        <f t="shared" si="28"/>
        <v>0.76312240772239459</v>
      </c>
      <c r="L179" s="2">
        <f t="shared" si="29"/>
        <v>3.488559578159518</v>
      </c>
      <c r="M179" s="2">
        <f t="shared" si="25"/>
        <v>2.5292056941656504</v>
      </c>
      <c r="N179" s="2">
        <f t="shared" si="26"/>
        <v>1.2646028470828252</v>
      </c>
      <c r="O179" s="2">
        <f t="shared" si="27"/>
        <v>4.6410924487939687</v>
      </c>
      <c r="P179" s="2">
        <v>72.549150999999995</v>
      </c>
      <c r="Q179" s="2">
        <v>23.035741000000002</v>
      </c>
    </row>
    <row r="180" spans="1:17" x14ac:dyDescent="0.25">
      <c r="A180" s="2">
        <v>195</v>
      </c>
      <c r="B180" s="2" t="s">
        <v>56</v>
      </c>
      <c r="C180" s="2">
        <v>34</v>
      </c>
      <c r="D180" s="2">
        <f t="shared" si="20"/>
        <v>86.36</v>
      </c>
      <c r="E180" s="2">
        <f t="shared" si="21"/>
        <v>27.489241770832162</v>
      </c>
      <c r="F180" s="2">
        <f t="shared" si="22"/>
        <v>10.822536130248883</v>
      </c>
      <c r="G180" s="2">
        <v>8.1001519999999996</v>
      </c>
      <c r="H180" s="2">
        <f t="shared" si="23"/>
        <v>26.575302687679997</v>
      </c>
      <c r="I180" s="2">
        <f>INDEX('Wood Density Lookup'!$B$2:$B$152,MATCH(B180,'Wood Density Lookup'!$A$2:$A$152,0))</f>
        <v>0.65</v>
      </c>
      <c r="J180" s="2">
        <f t="shared" si="24"/>
        <v>219.45907390967906</v>
      </c>
      <c r="K180" s="2">
        <f t="shared" si="28"/>
        <v>61.448540694710147</v>
      </c>
      <c r="L180" s="2">
        <f t="shared" si="29"/>
        <v>280.90761460438921</v>
      </c>
      <c r="M180" s="2">
        <f t="shared" si="25"/>
        <v>203.65802058818218</v>
      </c>
      <c r="N180" s="2">
        <f t="shared" si="26"/>
        <v>101.82901029409109</v>
      </c>
      <c r="O180" s="2">
        <f t="shared" si="27"/>
        <v>373.7124677793143</v>
      </c>
      <c r="P180" s="2">
        <v>72.549153000000004</v>
      </c>
      <c r="Q180" s="2">
        <v>23.034675</v>
      </c>
    </row>
    <row r="181" spans="1:17" x14ac:dyDescent="0.25">
      <c r="A181" s="2">
        <v>196</v>
      </c>
      <c r="B181" s="2" t="s">
        <v>107</v>
      </c>
      <c r="C181" s="2">
        <v>3</v>
      </c>
      <c r="D181" s="2">
        <f t="shared" si="20"/>
        <v>7.62</v>
      </c>
      <c r="E181" s="2">
        <f t="shared" si="21"/>
        <v>2.4255213327204852</v>
      </c>
      <c r="F181" s="2">
        <f t="shared" si="22"/>
        <v>0.95492965855137202</v>
      </c>
      <c r="G181" s="2">
        <v>3.564997</v>
      </c>
      <c r="H181" s="2">
        <f t="shared" si="23"/>
        <v>11.696184757479999</v>
      </c>
      <c r="I181" s="2">
        <f>INDEX('Wood Density Lookup'!$B$2:$B$152,MATCH(B181,'Wood Density Lookup'!$A$2:$A$152,0))</f>
        <v>0.65</v>
      </c>
      <c r="J181" s="2">
        <f t="shared" si="24"/>
        <v>0.86172323176845134</v>
      </c>
      <c r="K181" s="2">
        <f t="shared" si="28"/>
        <v>0.24128250489516639</v>
      </c>
      <c r="L181" s="2">
        <f t="shared" si="29"/>
        <v>1.1030057366636177</v>
      </c>
      <c r="M181" s="2">
        <f t="shared" si="25"/>
        <v>0.79967915908112275</v>
      </c>
      <c r="N181" s="2">
        <f t="shared" si="26"/>
        <v>0.39983957954056137</v>
      </c>
      <c r="O181" s="2">
        <f t="shared" si="27"/>
        <v>1.4674112569138602</v>
      </c>
      <c r="P181" s="2">
        <v>72.549153000000004</v>
      </c>
      <c r="Q181" s="2">
        <v>23.035710000000002</v>
      </c>
    </row>
    <row r="182" spans="1:17" x14ac:dyDescent="0.25">
      <c r="A182" s="2">
        <v>197</v>
      </c>
      <c r="B182" s="2" t="s">
        <v>85</v>
      </c>
      <c r="C182" s="2">
        <v>106</v>
      </c>
      <c r="D182" s="2">
        <f t="shared" si="20"/>
        <v>269.24</v>
      </c>
      <c r="E182" s="2">
        <f t="shared" si="21"/>
        <v>85.701753756123807</v>
      </c>
      <c r="F182" s="2">
        <f t="shared" si="22"/>
        <v>33.74084793548181</v>
      </c>
      <c r="G182" s="2">
        <v>14.962676</v>
      </c>
      <c r="H182" s="2">
        <f t="shared" si="23"/>
        <v>49.090145927839998</v>
      </c>
      <c r="I182" s="2">
        <f>INDEX('Wood Density Lookup'!$B$2:$B$152,MATCH(B182,'Wood Density Lookup'!$A$2:$A$152,0))</f>
        <v>0.6</v>
      </c>
      <c r="J182" s="2">
        <f t="shared" si="24"/>
        <v>3400.1309722858268</v>
      </c>
      <c r="K182" s="2">
        <f t="shared" si="28"/>
        <v>952.03667224003163</v>
      </c>
      <c r="L182" s="2">
        <f t="shared" si="29"/>
        <v>4352.1676445258581</v>
      </c>
      <c r="M182" s="2">
        <f t="shared" si="25"/>
        <v>3155.3215422812468</v>
      </c>
      <c r="N182" s="2">
        <f t="shared" si="26"/>
        <v>1577.6607711406234</v>
      </c>
      <c r="O182" s="2">
        <f t="shared" si="27"/>
        <v>5790.0150300860878</v>
      </c>
      <c r="P182" s="2">
        <v>72.549154000000001</v>
      </c>
      <c r="Q182" s="2">
        <v>23.036984</v>
      </c>
    </row>
    <row r="183" spans="1:17" x14ac:dyDescent="0.25">
      <c r="A183" s="2">
        <v>198</v>
      </c>
      <c r="B183" s="2" t="s">
        <v>56</v>
      </c>
      <c r="C183" s="2">
        <v>41</v>
      </c>
      <c r="D183" s="2">
        <f t="shared" si="20"/>
        <v>104.14</v>
      </c>
      <c r="E183" s="2">
        <f t="shared" si="21"/>
        <v>33.148791547179961</v>
      </c>
      <c r="F183" s="2">
        <f t="shared" si="22"/>
        <v>13.050705333535419</v>
      </c>
      <c r="G183" s="2">
        <v>2.0545849999999999</v>
      </c>
      <c r="H183" s="2">
        <f t="shared" si="23"/>
        <v>6.7407646513999993</v>
      </c>
      <c r="I183" s="2">
        <f>INDEX('Wood Density Lookup'!$B$2:$B$152,MATCH(B183,'Wood Density Lookup'!$A$2:$A$152,0))</f>
        <v>0.65</v>
      </c>
      <c r="J183" s="2">
        <f t="shared" si="24"/>
        <v>82.906806415621404</v>
      </c>
      <c r="K183" s="2">
        <f t="shared" si="28"/>
        <v>23.213905796373997</v>
      </c>
      <c r="L183" s="2">
        <f t="shared" si="29"/>
        <v>106.1207122119954</v>
      </c>
      <c r="M183" s="2">
        <f t="shared" si="25"/>
        <v>76.937516353696665</v>
      </c>
      <c r="N183" s="2">
        <f t="shared" si="26"/>
        <v>38.468758176848333</v>
      </c>
      <c r="O183" s="2">
        <f t="shared" si="27"/>
        <v>141.18034250903338</v>
      </c>
      <c r="P183" s="2">
        <v>72.549160000000001</v>
      </c>
      <c r="Q183" s="2">
        <v>23.034607000000001</v>
      </c>
    </row>
    <row r="184" spans="1:17" x14ac:dyDescent="0.25">
      <c r="A184" s="2">
        <v>199</v>
      </c>
      <c r="B184" s="2" t="s">
        <v>56</v>
      </c>
      <c r="C184" s="2">
        <v>33</v>
      </c>
      <c r="D184" s="2">
        <f t="shared" si="20"/>
        <v>83.820000000000007</v>
      </c>
      <c r="E184" s="2">
        <f t="shared" si="21"/>
        <v>26.680734659925339</v>
      </c>
      <c r="F184" s="2">
        <f t="shared" si="22"/>
        <v>10.504226244065093</v>
      </c>
      <c r="G184" s="2">
        <v>7.2089780000000001</v>
      </c>
      <c r="H184" s="2">
        <f t="shared" si="23"/>
        <v>23.651503381520001</v>
      </c>
      <c r="I184" s="2">
        <f>INDEX('Wood Density Lookup'!$B$2:$B$152,MATCH(B184,'Wood Density Lookup'!$A$2:$A$152,0))</f>
        <v>0.65</v>
      </c>
      <c r="J184" s="2">
        <f t="shared" si="24"/>
        <v>184.77418937463452</v>
      </c>
      <c r="K184" s="2">
        <f t="shared" si="28"/>
        <v>51.736773024897673</v>
      </c>
      <c r="L184" s="2">
        <f t="shared" si="29"/>
        <v>236.51096239953219</v>
      </c>
      <c r="M184" s="2">
        <f t="shared" si="25"/>
        <v>171.47044773966084</v>
      </c>
      <c r="N184" s="2">
        <f t="shared" si="26"/>
        <v>85.735223869830421</v>
      </c>
      <c r="O184" s="2">
        <f t="shared" si="27"/>
        <v>314.64827160227765</v>
      </c>
      <c r="P184" s="2">
        <v>72.549164000000005</v>
      </c>
      <c r="Q184" s="2">
        <v>23.034516</v>
      </c>
    </row>
    <row r="185" spans="1:17" x14ac:dyDescent="0.25">
      <c r="A185" s="2">
        <v>200</v>
      </c>
      <c r="B185" s="2" t="s">
        <v>15</v>
      </c>
      <c r="C185" s="2">
        <v>44</v>
      </c>
      <c r="D185" s="2">
        <f t="shared" si="20"/>
        <v>111.76</v>
      </c>
      <c r="E185" s="2">
        <f t="shared" si="21"/>
        <v>35.574312879900447</v>
      </c>
      <c r="F185" s="2">
        <f t="shared" si="22"/>
        <v>14.00563499208679</v>
      </c>
      <c r="G185" s="2">
        <v>11.922134</v>
      </c>
      <c r="H185" s="2">
        <f t="shared" si="23"/>
        <v>39.114614112559998</v>
      </c>
      <c r="I185" s="2">
        <f>INDEX('Wood Density Lookup'!$B$2:$B$152,MATCH(B185,'Wood Density Lookup'!$A$2:$A$152,0))</f>
        <v>0.75</v>
      </c>
      <c r="J185" s="2">
        <f t="shared" si="24"/>
        <v>608.71618322166978</v>
      </c>
      <c r="K185" s="2">
        <f t="shared" si="28"/>
        <v>170.44053130206754</v>
      </c>
      <c r="L185" s="2">
        <f t="shared" si="29"/>
        <v>779.15671452373726</v>
      </c>
      <c r="M185" s="2">
        <f t="shared" si="25"/>
        <v>564.88861802970951</v>
      </c>
      <c r="N185" s="2">
        <f t="shared" si="26"/>
        <v>282.44430901485475</v>
      </c>
      <c r="O185" s="2">
        <f t="shared" si="27"/>
        <v>1036.5706140845168</v>
      </c>
      <c r="P185" s="2">
        <v>72.549169000000006</v>
      </c>
      <c r="Q185" s="2">
        <v>23.034367</v>
      </c>
    </row>
    <row r="186" spans="1:17" x14ac:dyDescent="0.25">
      <c r="A186" s="2">
        <v>201</v>
      </c>
      <c r="B186" s="2" t="s">
        <v>15</v>
      </c>
      <c r="C186" s="2">
        <v>54</v>
      </c>
      <c r="D186" s="2">
        <f t="shared" si="20"/>
        <v>137.16</v>
      </c>
      <c r="E186" s="2">
        <f t="shared" si="21"/>
        <v>43.659383988968727</v>
      </c>
      <c r="F186" s="2">
        <f t="shared" si="22"/>
        <v>17.188733853924695</v>
      </c>
      <c r="G186" s="2">
        <v>12.056542</v>
      </c>
      <c r="H186" s="2">
        <f t="shared" si="23"/>
        <v>39.55558525528</v>
      </c>
      <c r="I186" s="2">
        <f>INDEX('Wood Density Lookup'!$B$2:$B$152,MATCH(B186,'Wood Density Lookup'!$A$2:$A$152,0))</f>
        <v>0.75</v>
      </c>
      <c r="J186" s="2">
        <f t="shared" si="24"/>
        <v>917.86700189234205</v>
      </c>
      <c r="K186" s="2">
        <f t="shared" si="28"/>
        <v>257.00276052985578</v>
      </c>
      <c r="L186" s="2">
        <f t="shared" si="29"/>
        <v>1174.8697624221977</v>
      </c>
      <c r="M186" s="2">
        <f t="shared" si="25"/>
        <v>851.78057775609329</v>
      </c>
      <c r="N186" s="2">
        <f t="shared" si="26"/>
        <v>425.89028887804665</v>
      </c>
      <c r="O186" s="2">
        <f t="shared" si="27"/>
        <v>1563.0173601824313</v>
      </c>
      <c r="P186" s="2">
        <v>72.549170000000004</v>
      </c>
      <c r="Q186" s="2">
        <v>23.037343</v>
      </c>
    </row>
    <row r="187" spans="1:17" x14ac:dyDescent="0.25">
      <c r="A187" s="2">
        <v>202</v>
      </c>
      <c r="B187" s="2" t="s">
        <v>107</v>
      </c>
      <c r="C187" s="2">
        <v>2</v>
      </c>
      <c r="D187" s="2">
        <f t="shared" si="20"/>
        <v>5.08</v>
      </c>
      <c r="E187" s="2">
        <f t="shared" si="21"/>
        <v>1.6170142218136567</v>
      </c>
      <c r="F187" s="2">
        <f t="shared" si="22"/>
        <v>0.63661977236758138</v>
      </c>
      <c r="G187" s="2">
        <v>4.0552429999999999</v>
      </c>
      <c r="H187" s="2">
        <f t="shared" si="23"/>
        <v>13.30460344412</v>
      </c>
      <c r="I187" s="2">
        <f>INDEX('Wood Density Lookup'!$B$2:$B$152,MATCH(B187,'Wood Density Lookup'!$A$2:$A$152,0))</f>
        <v>0.65</v>
      </c>
      <c r="J187" s="2">
        <f t="shared" si="24"/>
        <v>0.44284566046390927</v>
      </c>
      <c r="K187" s="2">
        <f t="shared" si="28"/>
        <v>0.1239967849298946</v>
      </c>
      <c r="L187" s="2">
        <f t="shared" si="29"/>
        <v>0.56684244539380391</v>
      </c>
      <c r="M187" s="2">
        <f t="shared" si="25"/>
        <v>0.41096077291050781</v>
      </c>
      <c r="N187" s="2">
        <f t="shared" si="26"/>
        <v>0.2054803864552539</v>
      </c>
      <c r="O187" s="2">
        <f t="shared" si="27"/>
        <v>0.75411301829078181</v>
      </c>
      <c r="P187" s="2">
        <v>72.549171000000001</v>
      </c>
      <c r="Q187" s="2">
        <v>23.038053000000001</v>
      </c>
    </row>
    <row r="188" spans="1:17" x14ac:dyDescent="0.25">
      <c r="A188" s="2">
        <v>203</v>
      </c>
      <c r="B188" s="2" t="s">
        <v>107</v>
      </c>
      <c r="C188" s="2">
        <v>4</v>
      </c>
      <c r="D188" s="2">
        <f t="shared" si="20"/>
        <v>10.16</v>
      </c>
      <c r="E188" s="2">
        <f t="shared" si="21"/>
        <v>3.2340284436273135</v>
      </c>
      <c r="F188" s="2">
        <f t="shared" si="22"/>
        <v>1.2732395447351628</v>
      </c>
      <c r="G188" s="2">
        <v>2.1771880000000001</v>
      </c>
      <c r="H188" s="2">
        <f t="shared" si="23"/>
        <v>7.1430054779200001</v>
      </c>
      <c r="I188" s="2">
        <f>INDEX('Wood Density Lookup'!$B$2:$B$152,MATCH(B188,'Wood Density Lookup'!$A$2:$A$152,0))</f>
        <v>0.65</v>
      </c>
      <c r="J188" s="2">
        <f t="shared" si="24"/>
        <v>0.93373770505078824</v>
      </c>
      <c r="K188" s="2">
        <f t="shared" si="28"/>
        <v>0.26144655741422074</v>
      </c>
      <c r="L188" s="2">
        <f t="shared" si="29"/>
        <v>1.1951842624650091</v>
      </c>
      <c r="M188" s="2">
        <f t="shared" si="25"/>
        <v>0.86650859028713156</v>
      </c>
      <c r="N188" s="2">
        <f t="shared" si="26"/>
        <v>0.43325429514356578</v>
      </c>
      <c r="O188" s="2">
        <f t="shared" si="27"/>
        <v>1.5900432631768864</v>
      </c>
      <c r="P188" s="2">
        <v>72.549171000000001</v>
      </c>
      <c r="Q188" s="2">
        <v>23.035754000000001</v>
      </c>
    </row>
    <row r="189" spans="1:17" x14ac:dyDescent="0.25">
      <c r="A189" s="2">
        <v>204</v>
      </c>
      <c r="B189" s="2" t="s">
        <v>107</v>
      </c>
      <c r="C189" s="2">
        <v>5</v>
      </c>
      <c r="D189" s="2">
        <f t="shared" si="20"/>
        <v>12.7</v>
      </c>
      <c r="E189" s="2">
        <f t="shared" si="21"/>
        <v>4.0425355545341413</v>
      </c>
      <c r="F189" s="2">
        <f t="shared" si="22"/>
        <v>1.5915494309189535</v>
      </c>
      <c r="G189" s="2">
        <v>3.6136810000000001</v>
      </c>
      <c r="H189" s="2">
        <f t="shared" si="23"/>
        <v>11.85590917204</v>
      </c>
      <c r="I189" s="2">
        <f>INDEX('Wood Density Lookup'!$B$2:$B$152,MATCH(B189,'Wood Density Lookup'!$A$2:$A$152,0))</f>
        <v>0.65</v>
      </c>
      <c r="J189" s="2">
        <f t="shared" si="24"/>
        <v>2.3668232613640252</v>
      </c>
      <c r="K189" s="2">
        <f t="shared" si="28"/>
        <v>0.66271051318192709</v>
      </c>
      <c r="L189" s="2">
        <f t="shared" si="29"/>
        <v>3.0295337745459525</v>
      </c>
      <c r="M189" s="2">
        <f t="shared" si="25"/>
        <v>2.1964119865458156</v>
      </c>
      <c r="N189" s="2">
        <f t="shared" si="26"/>
        <v>1.0982059932729078</v>
      </c>
      <c r="O189" s="2">
        <f t="shared" si="27"/>
        <v>4.0304159953115715</v>
      </c>
      <c r="P189" s="2">
        <v>72.549171999999999</v>
      </c>
      <c r="Q189" s="2">
        <v>23.035708</v>
      </c>
    </row>
    <row r="190" spans="1:17" x14ac:dyDescent="0.25">
      <c r="A190" s="2">
        <v>205</v>
      </c>
      <c r="B190" s="2" t="s">
        <v>143</v>
      </c>
      <c r="C190" s="2">
        <v>21</v>
      </c>
      <c r="D190" s="2">
        <f t="shared" si="20"/>
        <v>53.34</v>
      </c>
      <c r="E190" s="2">
        <f t="shared" si="21"/>
        <v>16.978649329043396</v>
      </c>
      <c r="F190" s="2">
        <f t="shared" si="22"/>
        <v>6.6845076098596046</v>
      </c>
      <c r="G190" s="2">
        <v>10.383755000000001</v>
      </c>
      <c r="H190" s="2">
        <f t="shared" si="23"/>
        <v>34.067438754200005</v>
      </c>
      <c r="I190" s="2">
        <f>INDEX('Wood Density Lookup'!$B$2:$B$152,MATCH(B190,'Wood Density Lookup'!$A$2:$A$152,0))</f>
        <v>0.75</v>
      </c>
      <c r="J190" s="2">
        <f t="shared" si="24"/>
        <v>125.54739623268711</v>
      </c>
      <c r="K190" s="2">
        <f t="shared" si="28"/>
        <v>35.153270945152393</v>
      </c>
      <c r="L190" s="2">
        <f t="shared" si="29"/>
        <v>160.70066717783951</v>
      </c>
      <c r="M190" s="2">
        <f t="shared" si="25"/>
        <v>116.50798370393363</v>
      </c>
      <c r="N190" s="2">
        <f t="shared" si="26"/>
        <v>58.253991851966816</v>
      </c>
      <c r="O190" s="2">
        <f t="shared" si="27"/>
        <v>213.79215009671822</v>
      </c>
      <c r="P190" s="2">
        <v>72.549175000000005</v>
      </c>
      <c r="Q190" s="2">
        <v>23.036007000000001</v>
      </c>
    </row>
    <row r="191" spans="1:17" x14ac:dyDescent="0.25">
      <c r="A191" s="2">
        <v>206</v>
      </c>
      <c r="B191" s="2" t="s">
        <v>107</v>
      </c>
      <c r="C191" s="2">
        <v>4</v>
      </c>
      <c r="D191" s="2">
        <f t="shared" si="20"/>
        <v>10.16</v>
      </c>
      <c r="E191" s="2">
        <f t="shared" si="21"/>
        <v>3.2340284436273135</v>
      </c>
      <c r="F191" s="2">
        <f t="shared" si="22"/>
        <v>1.2732395447351628</v>
      </c>
      <c r="G191" s="2">
        <v>4.0281510000000003</v>
      </c>
      <c r="H191" s="2">
        <f t="shared" si="23"/>
        <v>13.215718926840001</v>
      </c>
      <c r="I191" s="2">
        <f>INDEX('Wood Density Lookup'!$B$2:$B$152,MATCH(B191,'Wood Density Lookup'!$A$2:$A$152,0))</f>
        <v>0.65</v>
      </c>
      <c r="J191" s="2">
        <f t="shared" si="24"/>
        <v>1.7022434476090769</v>
      </c>
      <c r="K191" s="2">
        <f t="shared" si="28"/>
        <v>0.47662816533054159</v>
      </c>
      <c r="L191" s="2">
        <f t="shared" si="29"/>
        <v>2.1788716129396186</v>
      </c>
      <c r="M191" s="2">
        <f t="shared" si="25"/>
        <v>1.5796819193812235</v>
      </c>
      <c r="N191" s="2">
        <f t="shared" si="26"/>
        <v>0.78984095969061174</v>
      </c>
      <c r="O191" s="2">
        <f t="shared" si="27"/>
        <v>2.8987163220645451</v>
      </c>
      <c r="P191" s="2">
        <v>72.549175000000005</v>
      </c>
      <c r="Q191" s="2">
        <v>23.035779000000002</v>
      </c>
    </row>
    <row r="192" spans="1:17" x14ac:dyDescent="0.25">
      <c r="A192" s="2">
        <v>207</v>
      </c>
      <c r="B192" s="2" t="s">
        <v>59</v>
      </c>
      <c r="C192" s="2">
        <v>61</v>
      </c>
      <c r="D192" s="2">
        <f t="shared" si="20"/>
        <v>154.94</v>
      </c>
      <c r="E192" s="2">
        <f t="shared" si="21"/>
        <v>49.31893376531653</v>
      </c>
      <c r="F192" s="2">
        <f t="shared" si="22"/>
        <v>19.416903057211233</v>
      </c>
      <c r="G192" s="2">
        <v>11.018656</v>
      </c>
      <c r="H192" s="2">
        <f t="shared" si="23"/>
        <v>36.15044735104</v>
      </c>
      <c r="I192" s="2">
        <f>INDEX('Wood Density Lookup'!$B$2:$B$152,MATCH(B192,'Wood Density Lookup'!$A$2:$A$152,0))</f>
        <v>0.45</v>
      </c>
      <c r="J192" s="2">
        <f t="shared" si="24"/>
        <v>647.78474541451908</v>
      </c>
      <c r="K192" s="2">
        <f t="shared" si="28"/>
        <v>181.37972871606536</v>
      </c>
      <c r="L192" s="2">
        <f t="shared" si="29"/>
        <v>829.16447413058449</v>
      </c>
      <c r="M192" s="2">
        <f t="shared" si="25"/>
        <v>601.14424374467376</v>
      </c>
      <c r="N192" s="2">
        <f t="shared" si="26"/>
        <v>300.57212187233688</v>
      </c>
      <c r="O192" s="2">
        <f t="shared" si="27"/>
        <v>1103.0996872714763</v>
      </c>
      <c r="P192" s="2">
        <v>72.549176000000003</v>
      </c>
      <c r="Q192" s="2">
        <v>23.035928999999999</v>
      </c>
    </row>
    <row r="193" spans="1:17" x14ac:dyDescent="0.25">
      <c r="A193" s="2">
        <v>209</v>
      </c>
      <c r="B193" s="2" t="s">
        <v>38</v>
      </c>
      <c r="C193" s="2">
        <v>29</v>
      </c>
      <c r="D193" s="2">
        <f t="shared" ref="D193:D256" si="30">C193*2.54</f>
        <v>73.66</v>
      </c>
      <c r="E193" s="2">
        <f t="shared" ref="E193:E256" si="31">D193/PI()</f>
        <v>23.446706216298022</v>
      </c>
      <c r="F193" s="2">
        <f t="shared" ref="F193:F256" si="32">C193/PI()</f>
        <v>9.2309866993299305</v>
      </c>
      <c r="G193" s="2">
        <v>9.7071249999999996</v>
      </c>
      <c r="H193" s="2">
        <f t="shared" ref="H193:H256" si="33">G193*3.28084</f>
        <v>31.847523984999999</v>
      </c>
      <c r="I193" s="2">
        <f>INDEX('Wood Density Lookup'!$B$2:$B$152,MATCH(B193,'Wood Density Lookup'!$A$2:$A$152,0))</f>
        <v>0.4</v>
      </c>
      <c r="J193" s="2">
        <f t="shared" ref="J193:J256" si="34">0.0673*POWER(I193*E193^2*G193,0.976)</f>
        <v>119.51593631823528</v>
      </c>
      <c r="K193" s="2">
        <f t="shared" si="28"/>
        <v>33.464462169105879</v>
      </c>
      <c r="L193" s="2">
        <f t="shared" si="29"/>
        <v>152.98039848734115</v>
      </c>
      <c r="M193" s="2">
        <f t="shared" ref="M193:M256" si="35">0.725*L193</f>
        <v>110.91078890332233</v>
      </c>
      <c r="N193" s="2">
        <f t="shared" ref="N193:N256" si="36">0.5*M193</f>
        <v>55.455394451661164</v>
      </c>
      <c r="O193" s="2">
        <f t="shared" ref="O193:O256" si="37">3.67*N193</f>
        <v>203.52129763759646</v>
      </c>
      <c r="P193" s="2">
        <v>72.549177999999998</v>
      </c>
      <c r="Q193" s="2">
        <v>23.036234</v>
      </c>
    </row>
    <row r="194" spans="1:17" x14ac:dyDescent="0.25">
      <c r="A194" s="2">
        <v>210</v>
      </c>
      <c r="B194" s="2" t="s">
        <v>144</v>
      </c>
      <c r="C194" s="2">
        <v>57</v>
      </c>
      <c r="D194" s="2">
        <f t="shared" si="30"/>
        <v>144.78</v>
      </c>
      <c r="E194" s="2">
        <f t="shared" si="31"/>
        <v>46.084905321689213</v>
      </c>
      <c r="F194" s="2">
        <f t="shared" si="32"/>
        <v>18.143663512476071</v>
      </c>
      <c r="G194" s="2">
        <v>18.542399</v>
      </c>
      <c r="H194" s="2">
        <f t="shared" si="33"/>
        <v>60.83464433516</v>
      </c>
      <c r="I194" s="2">
        <f>INDEX('Wood Density Lookup'!$B$2:$B$152,MATCH(B194,'Wood Density Lookup'!$A$2:$A$152,0))</f>
        <v>0.65</v>
      </c>
      <c r="J194" s="2">
        <f t="shared" si="34"/>
        <v>1350.2525989897181</v>
      </c>
      <c r="K194" s="2">
        <f t="shared" si="28"/>
        <v>378.07072771712109</v>
      </c>
      <c r="L194" s="2">
        <f t="shared" si="29"/>
        <v>1728.3233267068392</v>
      </c>
      <c r="M194" s="2">
        <f t="shared" si="35"/>
        <v>1253.0344118624585</v>
      </c>
      <c r="N194" s="2">
        <f t="shared" si="36"/>
        <v>626.51720593122923</v>
      </c>
      <c r="O194" s="2">
        <f t="shared" si="37"/>
        <v>2299.3181457676114</v>
      </c>
      <c r="P194" s="2">
        <v>72.549178999999995</v>
      </c>
      <c r="Q194" s="2">
        <v>23.036162000000001</v>
      </c>
    </row>
    <row r="195" spans="1:17" x14ac:dyDescent="0.25">
      <c r="A195" s="2">
        <v>211</v>
      </c>
      <c r="B195" s="2" t="s">
        <v>10</v>
      </c>
      <c r="C195" s="2">
        <v>42</v>
      </c>
      <c r="D195" s="2">
        <f t="shared" si="30"/>
        <v>106.68</v>
      </c>
      <c r="E195" s="2">
        <f t="shared" si="31"/>
        <v>33.957298658086792</v>
      </c>
      <c r="F195" s="2">
        <f t="shared" si="32"/>
        <v>13.369015219719209</v>
      </c>
      <c r="G195" s="2">
        <v>17.899833000000001</v>
      </c>
      <c r="H195" s="2">
        <f t="shared" si="33"/>
        <v>58.726488099720001</v>
      </c>
      <c r="I195" s="2">
        <f>INDEX('Wood Density Lookup'!$B$2:$B$152,MATCH(B195,'Wood Density Lookup'!$A$2:$A$152,0))</f>
        <v>0.65</v>
      </c>
      <c r="J195" s="2">
        <f t="shared" si="34"/>
        <v>718.75450897070789</v>
      </c>
      <c r="K195" s="2">
        <f t="shared" ref="K195:K258" si="38">0.28*J195</f>
        <v>201.25126251179822</v>
      </c>
      <c r="L195" s="2">
        <f t="shared" ref="L195:L258" si="39">J195+K195</f>
        <v>920.00577148250613</v>
      </c>
      <c r="M195" s="2">
        <f t="shared" si="35"/>
        <v>667.00418432481695</v>
      </c>
      <c r="N195" s="2">
        <f t="shared" si="36"/>
        <v>333.50209216240847</v>
      </c>
      <c r="O195" s="2">
        <f t="shared" si="37"/>
        <v>1223.952678236039</v>
      </c>
      <c r="P195" s="2">
        <v>72.549183999999997</v>
      </c>
      <c r="Q195" s="2">
        <v>23.035554999999999</v>
      </c>
    </row>
    <row r="196" spans="1:17" x14ac:dyDescent="0.25">
      <c r="A196" s="2">
        <v>212</v>
      </c>
      <c r="B196" s="2" t="s">
        <v>107</v>
      </c>
      <c r="C196" s="2">
        <v>6</v>
      </c>
      <c r="D196" s="2">
        <f t="shared" si="30"/>
        <v>15.24</v>
      </c>
      <c r="E196" s="2">
        <f t="shared" si="31"/>
        <v>4.8510426654409704</v>
      </c>
      <c r="F196" s="2">
        <f t="shared" si="32"/>
        <v>1.909859317102744</v>
      </c>
      <c r="G196" s="2">
        <v>3.0245440000000001</v>
      </c>
      <c r="H196" s="2">
        <f t="shared" si="33"/>
        <v>9.9230449369600002</v>
      </c>
      <c r="I196" s="2">
        <f>INDEX('Wood Density Lookup'!$B$2:$B$152,MATCH(B196,'Wood Density Lookup'!$A$2:$A$152,0))</f>
        <v>0.65</v>
      </c>
      <c r="J196" s="2">
        <f t="shared" si="34"/>
        <v>2.8398321625564895</v>
      </c>
      <c r="K196" s="2">
        <f t="shared" si="38"/>
        <v>0.79515300551581714</v>
      </c>
      <c r="L196" s="2">
        <f t="shared" si="39"/>
        <v>3.6349851680723066</v>
      </c>
      <c r="M196" s="2">
        <f t="shared" si="35"/>
        <v>2.6353642468524221</v>
      </c>
      <c r="N196" s="2">
        <f t="shared" si="36"/>
        <v>1.317682123426211</v>
      </c>
      <c r="O196" s="2">
        <f t="shared" si="37"/>
        <v>4.8358933929741941</v>
      </c>
      <c r="P196" s="2">
        <v>72.549184999999994</v>
      </c>
      <c r="Q196" s="2">
        <v>23.035765000000001</v>
      </c>
    </row>
    <row r="197" spans="1:17" x14ac:dyDescent="0.25">
      <c r="A197" s="2">
        <v>213</v>
      </c>
      <c r="B197" s="2" t="s">
        <v>15</v>
      </c>
      <c r="C197" s="2">
        <v>89</v>
      </c>
      <c r="D197" s="2">
        <f t="shared" si="30"/>
        <v>226.06</v>
      </c>
      <c r="E197" s="2">
        <f t="shared" si="31"/>
        <v>71.957132870707724</v>
      </c>
      <c r="F197" s="2">
        <f t="shared" si="32"/>
        <v>28.329579870357371</v>
      </c>
      <c r="G197" s="2">
        <v>13.366588</v>
      </c>
      <c r="H197" s="2">
        <f t="shared" si="33"/>
        <v>43.853636573919999</v>
      </c>
      <c r="I197" s="2">
        <f>INDEX('Wood Density Lookup'!$B$2:$B$152,MATCH(B197,'Wood Density Lookup'!$A$2:$A$152,0))</f>
        <v>0.75</v>
      </c>
      <c r="J197" s="2">
        <f t="shared" si="34"/>
        <v>2692.02495870746</v>
      </c>
      <c r="K197" s="2">
        <f t="shared" si="38"/>
        <v>753.7669884380889</v>
      </c>
      <c r="L197" s="2">
        <f t="shared" si="39"/>
        <v>3445.7919471455489</v>
      </c>
      <c r="M197" s="2">
        <f t="shared" si="35"/>
        <v>2498.199161680523</v>
      </c>
      <c r="N197" s="2">
        <f t="shared" si="36"/>
        <v>1249.0995808402615</v>
      </c>
      <c r="O197" s="2">
        <f t="shared" si="37"/>
        <v>4584.1954616837593</v>
      </c>
      <c r="P197" s="2">
        <v>72.549186000000006</v>
      </c>
      <c r="Q197" s="2">
        <v>23.03584</v>
      </c>
    </row>
    <row r="198" spans="1:17" x14ac:dyDescent="0.25">
      <c r="A198" s="2">
        <v>214</v>
      </c>
      <c r="B198" s="2" t="s">
        <v>34</v>
      </c>
      <c r="C198" s="2">
        <v>17</v>
      </c>
      <c r="D198" s="2">
        <f t="shared" si="30"/>
        <v>43.18</v>
      </c>
      <c r="E198" s="2">
        <f t="shared" si="31"/>
        <v>13.744620885416081</v>
      </c>
      <c r="F198" s="2">
        <f t="shared" si="32"/>
        <v>5.4112680651244416</v>
      </c>
      <c r="G198" s="2">
        <v>13.737034</v>
      </c>
      <c r="H198" s="2">
        <f t="shared" si="33"/>
        <v>45.069010628560001</v>
      </c>
      <c r="I198" s="2">
        <f>INDEX('Wood Density Lookup'!$B$2:$B$152,MATCH(B198,'Wood Density Lookup'!$A$2:$A$152,0))</f>
        <v>0.6</v>
      </c>
      <c r="J198" s="2">
        <f t="shared" si="34"/>
        <v>87.843450034031704</v>
      </c>
      <c r="K198" s="2">
        <f t="shared" si="38"/>
        <v>24.596166009528879</v>
      </c>
      <c r="L198" s="2">
        <f t="shared" si="39"/>
        <v>112.43961604356059</v>
      </c>
      <c r="M198" s="2">
        <f t="shared" si="35"/>
        <v>81.518721631581428</v>
      </c>
      <c r="N198" s="2">
        <f t="shared" si="36"/>
        <v>40.759360815790714</v>
      </c>
      <c r="O198" s="2">
        <f t="shared" si="37"/>
        <v>149.58685419395192</v>
      </c>
      <c r="P198" s="2">
        <v>72.549186000000006</v>
      </c>
      <c r="Q198" s="2">
        <v>23.035602000000001</v>
      </c>
    </row>
    <row r="199" spans="1:17" x14ac:dyDescent="0.25">
      <c r="A199" s="2">
        <v>215</v>
      </c>
      <c r="B199" s="2" t="s">
        <v>107</v>
      </c>
      <c r="C199" s="2">
        <v>6</v>
      </c>
      <c r="D199" s="2">
        <f t="shared" si="30"/>
        <v>15.24</v>
      </c>
      <c r="E199" s="2">
        <f t="shared" si="31"/>
        <v>4.8510426654409704</v>
      </c>
      <c r="F199" s="2">
        <f t="shared" si="32"/>
        <v>1.909859317102744</v>
      </c>
      <c r="G199" s="2">
        <v>9.8889519999999997</v>
      </c>
      <c r="H199" s="2">
        <f t="shared" si="33"/>
        <v>32.444069279680001</v>
      </c>
      <c r="I199" s="2">
        <f>INDEX('Wood Density Lookup'!$B$2:$B$152,MATCH(B199,'Wood Density Lookup'!$A$2:$A$152,0))</f>
        <v>0.65</v>
      </c>
      <c r="J199" s="2">
        <f t="shared" si="34"/>
        <v>9.0247518022166133</v>
      </c>
      <c r="K199" s="2">
        <f t="shared" si="38"/>
        <v>2.5269305046206521</v>
      </c>
      <c r="L199" s="2">
        <f t="shared" si="39"/>
        <v>11.551682306837264</v>
      </c>
      <c r="M199" s="2">
        <f t="shared" si="35"/>
        <v>8.3749696724570164</v>
      </c>
      <c r="N199" s="2">
        <f t="shared" si="36"/>
        <v>4.1874848362285082</v>
      </c>
      <c r="O199" s="2">
        <f t="shared" si="37"/>
        <v>15.368069348958624</v>
      </c>
      <c r="P199" s="2">
        <v>72.549186000000006</v>
      </c>
      <c r="Q199" s="2">
        <v>23.035817000000002</v>
      </c>
    </row>
    <row r="200" spans="1:17" x14ac:dyDescent="0.25">
      <c r="A200" s="2">
        <v>216</v>
      </c>
      <c r="B200" s="2" t="s">
        <v>148</v>
      </c>
      <c r="C200" s="2">
        <v>13</v>
      </c>
      <c r="D200" s="2">
        <f t="shared" si="30"/>
        <v>33.020000000000003</v>
      </c>
      <c r="E200" s="2">
        <f t="shared" si="31"/>
        <v>10.51059244178877</v>
      </c>
      <c r="F200" s="2">
        <f t="shared" si="32"/>
        <v>4.1380285203892786</v>
      </c>
      <c r="G200" s="2">
        <v>4.6966789999999996</v>
      </c>
      <c r="H200" s="2">
        <f t="shared" si="33"/>
        <v>15.409052330359998</v>
      </c>
      <c r="I200" s="2">
        <f>INDEX('Wood Density Lookup'!$B$2:$B$152,MATCH(B200,'Wood Density Lookup'!$A$2:$A$152,0))</f>
        <v>0.5</v>
      </c>
      <c r="J200" s="2">
        <f t="shared" si="34"/>
        <v>15.278966308734786</v>
      </c>
      <c r="K200" s="2">
        <f t="shared" si="38"/>
        <v>4.2781105664457408</v>
      </c>
      <c r="L200" s="2">
        <f t="shared" si="39"/>
        <v>19.557076875180528</v>
      </c>
      <c r="M200" s="2">
        <f t="shared" si="35"/>
        <v>14.178880734505881</v>
      </c>
      <c r="N200" s="2">
        <f t="shared" si="36"/>
        <v>7.0894403672529407</v>
      </c>
      <c r="O200" s="2">
        <f t="shared" si="37"/>
        <v>26.018246147818292</v>
      </c>
      <c r="P200" s="2">
        <v>72.549187000000003</v>
      </c>
      <c r="Q200" s="2">
        <v>23.037827</v>
      </c>
    </row>
    <row r="201" spans="1:17" x14ac:dyDescent="0.25">
      <c r="A201" s="2">
        <v>217</v>
      </c>
      <c r="B201" s="2" t="s">
        <v>15</v>
      </c>
      <c r="C201" s="2">
        <v>34</v>
      </c>
      <c r="D201" s="2">
        <f t="shared" si="30"/>
        <v>86.36</v>
      </c>
      <c r="E201" s="2">
        <f t="shared" si="31"/>
        <v>27.489241770832162</v>
      </c>
      <c r="F201" s="2">
        <f t="shared" si="32"/>
        <v>10.822536130248883</v>
      </c>
      <c r="G201" s="2">
        <v>11.307701</v>
      </c>
      <c r="H201" s="2">
        <f t="shared" si="33"/>
        <v>37.098757748840001</v>
      </c>
      <c r="I201" s="2">
        <f>INDEX('Wood Density Lookup'!$B$2:$B$152,MATCH(B201,'Wood Density Lookup'!$A$2:$A$152,0))</f>
        <v>0.75</v>
      </c>
      <c r="J201" s="2">
        <f t="shared" si="34"/>
        <v>349.47321828116935</v>
      </c>
      <c r="K201" s="2">
        <f t="shared" si="38"/>
        <v>97.852501118727432</v>
      </c>
      <c r="L201" s="2">
        <f t="shared" si="39"/>
        <v>447.3257193998968</v>
      </c>
      <c r="M201" s="2">
        <f t="shared" si="35"/>
        <v>324.3111465649252</v>
      </c>
      <c r="N201" s="2">
        <f t="shared" si="36"/>
        <v>162.1555732824626</v>
      </c>
      <c r="O201" s="2">
        <f t="shared" si="37"/>
        <v>595.11095394663778</v>
      </c>
      <c r="P201" s="2">
        <v>72.549188000000001</v>
      </c>
      <c r="Q201" s="2">
        <v>23.037656999999999</v>
      </c>
    </row>
    <row r="202" spans="1:17" x14ac:dyDescent="0.25">
      <c r="A202" s="2">
        <v>218</v>
      </c>
      <c r="B202" s="2" t="s">
        <v>107</v>
      </c>
      <c r="C202" s="2">
        <v>2</v>
      </c>
      <c r="D202" s="2">
        <f t="shared" si="30"/>
        <v>5.08</v>
      </c>
      <c r="E202" s="2">
        <f t="shared" si="31"/>
        <v>1.6170142218136567</v>
      </c>
      <c r="F202" s="2">
        <f t="shared" si="32"/>
        <v>0.63661977236758138</v>
      </c>
      <c r="G202" s="2">
        <v>1.098204</v>
      </c>
      <c r="H202" s="2">
        <f t="shared" si="33"/>
        <v>3.6030316113600001</v>
      </c>
      <c r="I202" s="2">
        <f>INDEX('Wood Density Lookup'!$B$2:$B$152,MATCH(B202,'Wood Density Lookup'!$A$2:$A$152,0))</f>
        <v>0.65</v>
      </c>
      <c r="J202" s="2">
        <f t="shared" si="34"/>
        <v>0.12374696146564118</v>
      </c>
      <c r="K202" s="2">
        <f t="shared" si="38"/>
        <v>3.4649149210379537E-2</v>
      </c>
      <c r="L202" s="2">
        <f t="shared" si="39"/>
        <v>0.15839611067602072</v>
      </c>
      <c r="M202" s="2">
        <f t="shared" si="35"/>
        <v>0.11483718024011502</v>
      </c>
      <c r="N202" s="2">
        <f t="shared" si="36"/>
        <v>5.7418590120057511E-2</v>
      </c>
      <c r="O202" s="2">
        <f t="shared" si="37"/>
        <v>0.21072622574061106</v>
      </c>
      <c r="P202" s="2">
        <v>72.549188000000001</v>
      </c>
      <c r="Q202" s="2">
        <v>23.034482000000001</v>
      </c>
    </row>
    <row r="203" spans="1:17" x14ac:dyDescent="0.25">
      <c r="A203" s="2">
        <v>219</v>
      </c>
      <c r="B203" s="2" t="s">
        <v>107</v>
      </c>
      <c r="C203" s="2">
        <v>5</v>
      </c>
      <c r="D203" s="2">
        <f t="shared" si="30"/>
        <v>12.7</v>
      </c>
      <c r="E203" s="2">
        <f t="shared" si="31"/>
        <v>4.0425355545341413</v>
      </c>
      <c r="F203" s="2">
        <f t="shared" si="32"/>
        <v>1.5915494309189535</v>
      </c>
      <c r="G203" s="2">
        <v>3.025131</v>
      </c>
      <c r="H203" s="2">
        <f t="shared" si="33"/>
        <v>9.9249707900399997</v>
      </c>
      <c r="I203" s="2">
        <f>INDEX('Wood Density Lookup'!$B$2:$B$152,MATCH(B203,'Wood Density Lookup'!$A$2:$A$152,0))</f>
        <v>0.65</v>
      </c>
      <c r="J203" s="2">
        <f t="shared" si="34"/>
        <v>1.9898170034554423</v>
      </c>
      <c r="K203" s="2">
        <f t="shared" si="38"/>
        <v>0.55714876096752386</v>
      </c>
      <c r="L203" s="2">
        <f t="shared" si="39"/>
        <v>2.546965764422966</v>
      </c>
      <c r="M203" s="2">
        <f t="shared" si="35"/>
        <v>1.8465501792066503</v>
      </c>
      <c r="N203" s="2">
        <f t="shared" si="36"/>
        <v>0.92327508960332516</v>
      </c>
      <c r="O203" s="2">
        <f t="shared" si="37"/>
        <v>3.3884195788442031</v>
      </c>
      <c r="P203" s="2">
        <v>72.549192000000005</v>
      </c>
      <c r="Q203" s="2">
        <v>23.035779000000002</v>
      </c>
    </row>
    <row r="204" spans="1:17" x14ac:dyDescent="0.25">
      <c r="A204" s="2">
        <v>220</v>
      </c>
      <c r="B204" s="2" t="s">
        <v>15</v>
      </c>
      <c r="C204" s="2">
        <v>52</v>
      </c>
      <c r="D204" s="2">
        <f t="shared" si="30"/>
        <v>132.08000000000001</v>
      </c>
      <c r="E204" s="2">
        <f t="shared" si="31"/>
        <v>42.04236976715508</v>
      </c>
      <c r="F204" s="2">
        <f t="shared" si="32"/>
        <v>16.552114081557114</v>
      </c>
      <c r="G204" s="2">
        <v>12.721444</v>
      </c>
      <c r="H204" s="2">
        <f t="shared" si="33"/>
        <v>41.737022332960002</v>
      </c>
      <c r="I204" s="2">
        <f>INDEX('Wood Density Lookup'!$B$2:$B$152,MATCH(B204,'Wood Density Lookup'!$A$2:$A$152,0))</f>
        <v>0.75</v>
      </c>
      <c r="J204" s="2">
        <f t="shared" si="34"/>
        <v>898.5449010665028</v>
      </c>
      <c r="K204" s="2">
        <f t="shared" si="38"/>
        <v>251.59257229862081</v>
      </c>
      <c r="L204" s="2">
        <f t="shared" si="39"/>
        <v>1150.1374733651237</v>
      </c>
      <c r="M204" s="2">
        <f t="shared" si="35"/>
        <v>833.84966818971463</v>
      </c>
      <c r="N204" s="2">
        <f t="shared" si="36"/>
        <v>416.92483409485732</v>
      </c>
      <c r="O204" s="2">
        <f t="shared" si="37"/>
        <v>1530.1141411281262</v>
      </c>
      <c r="P204" s="2">
        <v>72.549199999999999</v>
      </c>
      <c r="Q204" s="2">
        <v>23.034929000000002</v>
      </c>
    </row>
    <row r="205" spans="1:17" x14ac:dyDescent="0.25">
      <c r="A205" s="2">
        <v>221</v>
      </c>
      <c r="B205" s="2" t="s">
        <v>10</v>
      </c>
      <c r="C205" s="2">
        <v>39</v>
      </c>
      <c r="D205" s="2">
        <f t="shared" si="30"/>
        <v>99.06</v>
      </c>
      <c r="E205" s="2">
        <f t="shared" si="31"/>
        <v>31.531777325366306</v>
      </c>
      <c r="F205" s="2">
        <f t="shared" si="32"/>
        <v>12.414085561167836</v>
      </c>
      <c r="G205" s="2">
        <v>9.3674250000000008</v>
      </c>
      <c r="H205" s="2">
        <f t="shared" si="33"/>
        <v>30.733022637000001</v>
      </c>
      <c r="I205" s="2">
        <f>INDEX('Wood Density Lookup'!$B$2:$B$152,MATCH(B205,'Wood Density Lookup'!$A$2:$A$152,0))</f>
        <v>0.65</v>
      </c>
      <c r="J205" s="2">
        <f t="shared" si="34"/>
        <v>330.58018303364702</v>
      </c>
      <c r="K205" s="2">
        <f t="shared" si="38"/>
        <v>92.562451249421173</v>
      </c>
      <c r="L205" s="2">
        <f t="shared" si="39"/>
        <v>423.14263428306822</v>
      </c>
      <c r="M205" s="2">
        <f t="shared" si="35"/>
        <v>306.77840985522442</v>
      </c>
      <c r="N205" s="2">
        <f t="shared" si="36"/>
        <v>153.38920492761221</v>
      </c>
      <c r="O205" s="2">
        <f t="shared" si="37"/>
        <v>562.93838208433681</v>
      </c>
      <c r="P205" s="2">
        <v>72.549200999999996</v>
      </c>
      <c r="Q205" s="2">
        <v>23.037196000000002</v>
      </c>
    </row>
    <row r="206" spans="1:17" x14ac:dyDescent="0.25">
      <c r="A206" s="2">
        <v>222</v>
      </c>
      <c r="B206" s="2" t="s">
        <v>15</v>
      </c>
      <c r="C206" s="2">
        <v>34</v>
      </c>
      <c r="D206" s="2">
        <f t="shared" si="30"/>
        <v>86.36</v>
      </c>
      <c r="E206" s="2">
        <f t="shared" si="31"/>
        <v>27.489241770832162</v>
      </c>
      <c r="F206" s="2">
        <f t="shared" si="32"/>
        <v>10.822536130248883</v>
      </c>
      <c r="G206" s="2">
        <v>8.2593530000000008</v>
      </c>
      <c r="H206" s="2">
        <f t="shared" si="33"/>
        <v>27.097615696520002</v>
      </c>
      <c r="I206" s="2">
        <f>INDEX('Wood Density Lookup'!$B$2:$B$152,MATCH(B206,'Wood Density Lookup'!$A$2:$A$152,0))</f>
        <v>0.75</v>
      </c>
      <c r="J206" s="2">
        <f t="shared" si="34"/>
        <v>257.19344165836975</v>
      </c>
      <c r="K206" s="2">
        <f t="shared" si="38"/>
        <v>72.014163664343542</v>
      </c>
      <c r="L206" s="2">
        <f t="shared" si="39"/>
        <v>329.20760532271328</v>
      </c>
      <c r="M206" s="2">
        <f t="shared" si="35"/>
        <v>238.67551385896712</v>
      </c>
      <c r="N206" s="2">
        <f t="shared" si="36"/>
        <v>119.33775692948356</v>
      </c>
      <c r="O206" s="2">
        <f t="shared" si="37"/>
        <v>437.96956793120467</v>
      </c>
      <c r="P206" s="2">
        <v>72.549200999999996</v>
      </c>
      <c r="Q206" s="2">
        <v>23.034409</v>
      </c>
    </row>
    <row r="207" spans="1:17" x14ac:dyDescent="0.25">
      <c r="A207" s="2">
        <v>223</v>
      </c>
      <c r="B207" s="2" t="s">
        <v>15</v>
      </c>
      <c r="C207" s="2">
        <v>18</v>
      </c>
      <c r="D207" s="2">
        <f t="shared" si="30"/>
        <v>45.72</v>
      </c>
      <c r="E207" s="2">
        <f t="shared" si="31"/>
        <v>14.55312799632291</v>
      </c>
      <c r="F207" s="2">
        <f t="shared" si="32"/>
        <v>5.7295779513082321</v>
      </c>
      <c r="G207" s="2">
        <v>5.7728429999999999</v>
      </c>
      <c r="H207" s="2">
        <f t="shared" si="33"/>
        <v>18.939774228120001</v>
      </c>
      <c r="I207" s="2">
        <f>INDEX('Wood Density Lookup'!$B$2:$B$152,MATCH(B207,'Wood Density Lookup'!$A$2:$A$152,0))</f>
        <v>0.75</v>
      </c>
      <c r="J207" s="2">
        <f t="shared" si="34"/>
        <v>52.394058798055397</v>
      </c>
      <c r="K207" s="2">
        <f t="shared" si="38"/>
        <v>14.670336463455513</v>
      </c>
      <c r="L207" s="2">
        <f t="shared" si="39"/>
        <v>67.06439526151091</v>
      </c>
      <c r="M207" s="2">
        <f t="shared" si="35"/>
        <v>48.621686564595407</v>
      </c>
      <c r="N207" s="2">
        <f t="shared" si="36"/>
        <v>24.310843282297704</v>
      </c>
      <c r="O207" s="2">
        <f t="shared" si="37"/>
        <v>89.220794846032575</v>
      </c>
      <c r="P207" s="2">
        <v>72.549201999999994</v>
      </c>
      <c r="Q207" s="2">
        <v>23.034251999999999</v>
      </c>
    </row>
    <row r="208" spans="1:17" x14ac:dyDescent="0.25">
      <c r="A208" s="2">
        <v>224</v>
      </c>
      <c r="B208" s="2" t="s">
        <v>50</v>
      </c>
      <c r="C208" s="2">
        <v>21</v>
      </c>
      <c r="D208" s="2">
        <f t="shared" si="30"/>
        <v>53.34</v>
      </c>
      <c r="E208" s="2">
        <f t="shared" si="31"/>
        <v>16.978649329043396</v>
      </c>
      <c r="F208" s="2">
        <f t="shared" si="32"/>
        <v>6.6845076098596046</v>
      </c>
      <c r="G208" s="2">
        <v>6.5259840000000002</v>
      </c>
      <c r="H208" s="2">
        <f t="shared" si="33"/>
        <v>21.410709346560001</v>
      </c>
      <c r="I208" s="2">
        <f>INDEX('Wood Density Lookup'!$B$2:$B$152,MATCH(B208,'Wood Density Lookup'!$A$2:$A$152,0))</f>
        <v>0.5</v>
      </c>
      <c r="J208" s="2">
        <f t="shared" si="34"/>
        <v>53.712481323767157</v>
      </c>
      <c r="K208" s="2">
        <f t="shared" si="38"/>
        <v>15.039494770654805</v>
      </c>
      <c r="L208" s="2">
        <f t="shared" si="39"/>
        <v>68.751976094421963</v>
      </c>
      <c r="M208" s="2">
        <f t="shared" si="35"/>
        <v>49.845182668455919</v>
      </c>
      <c r="N208" s="2">
        <f t="shared" si="36"/>
        <v>24.92259133422796</v>
      </c>
      <c r="O208" s="2">
        <f t="shared" si="37"/>
        <v>91.465910196616605</v>
      </c>
      <c r="P208" s="2">
        <v>72.549203000000006</v>
      </c>
      <c r="Q208" s="2">
        <v>23.037545999999999</v>
      </c>
    </row>
    <row r="209" spans="1:17" x14ac:dyDescent="0.25">
      <c r="A209" s="2">
        <v>225</v>
      </c>
      <c r="B209" s="2" t="s">
        <v>148</v>
      </c>
      <c r="C209" s="2">
        <v>3</v>
      </c>
      <c r="D209" s="2">
        <f t="shared" si="30"/>
        <v>7.62</v>
      </c>
      <c r="E209" s="2">
        <f t="shared" si="31"/>
        <v>2.4255213327204852</v>
      </c>
      <c r="F209" s="2">
        <f t="shared" si="32"/>
        <v>0.95492965855137202</v>
      </c>
      <c r="G209" s="2">
        <v>2.8619479999999999</v>
      </c>
      <c r="H209" s="2">
        <f t="shared" si="33"/>
        <v>9.38959347632</v>
      </c>
      <c r="I209" s="2">
        <f>INDEX('Wood Density Lookup'!$B$2:$B$152,MATCH(B209,'Wood Density Lookup'!$A$2:$A$152,0))</f>
        <v>0.5</v>
      </c>
      <c r="J209" s="2">
        <f t="shared" si="34"/>
        <v>0.53833324153739137</v>
      </c>
      <c r="K209" s="2">
        <f t="shared" si="38"/>
        <v>0.1507333076304696</v>
      </c>
      <c r="L209" s="2">
        <f t="shared" si="39"/>
        <v>0.68906654916786092</v>
      </c>
      <c r="M209" s="2">
        <f t="shared" si="35"/>
        <v>0.49957324814669918</v>
      </c>
      <c r="N209" s="2">
        <f t="shared" si="36"/>
        <v>0.24978662407334959</v>
      </c>
      <c r="O209" s="2">
        <f t="shared" si="37"/>
        <v>0.916716910349193</v>
      </c>
      <c r="P209" s="2">
        <v>72.549205000000001</v>
      </c>
      <c r="Q209" s="2">
        <v>23.035641999999999</v>
      </c>
    </row>
    <row r="210" spans="1:17" x14ac:dyDescent="0.25">
      <c r="A210" s="2">
        <v>226</v>
      </c>
      <c r="B210" s="2" t="s">
        <v>15</v>
      </c>
      <c r="C210" s="2">
        <v>38</v>
      </c>
      <c r="D210" s="2">
        <f t="shared" si="30"/>
        <v>96.52</v>
      </c>
      <c r="E210" s="2">
        <f t="shared" si="31"/>
        <v>30.723270214459475</v>
      </c>
      <c r="F210" s="2">
        <f t="shared" si="32"/>
        <v>12.095775674984045</v>
      </c>
      <c r="G210" s="2">
        <v>6.9410129999999999</v>
      </c>
      <c r="H210" s="2">
        <f t="shared" si="33"/>
        <v>22.772353090919999</v>
      </c>
      <c r="I210" s="2">
        <f>INDEX('Wood Density Lookup'!$B$2:$B$152,MATCH(B210,'Wood Density Lookup'!$A$2:$A$152,0))</f>
        <v>0.75</v>
      </c>
      <c r="J210" s="2">
        <f t="shared" si="34"/>
        <v>269.67457964583764</v>
      </c>
      <c r="K210" s="2">
        <f t="shared" si="38"/>
        <v>75.508882300834543</v>
      </c>
      <c r="L210" s="2">
        <f t="shared" si="39"/>
        <v>345.1834619466722</v>
      </c>
      <c r="M210" s="2">
        <f t="shared" si="35"/>
        <v>250.25800991133733</v>
      </c>
      <c r="N210" s="2">
        <f t="shared" si="36"/>
        <v>125.12900495566866</v>
      </c>
      <c r="O210" s="2">
        <f t="shared" si="37"/>
        <v>459.22344818730397</v>
      </c>
      <c r="P210" s="2">
        <v>72.549205999999998</v>
      </c>
      <c r="Q210" s="2">
        <v>23.034213000000001</v>
      </c>
    </row>
    <row r="211" spans="1:17" x14ac:dyDescent="0.25">
      <c r="A211" s="2">
        <v>227</v>
      </c>
      <c r="B211" s="2" t="s">
        <v>151</v>
      </c>
      <c r="C211" s="2">
        <v>32</v>
      </c>
      <c r="D211" s="2">
        <f t="shared" si="30"/>
        <v>81.28</v>
      </c>
      <c r="E211" s="2">
        <f t="shared" si="31"/>
        <v>25.872227549018508</v>
      </c>
      <c r="F211" s="2">
        <f t="shared" si="32"/>
        <v>10.185916357881302</v>
      </c>
      <c r="G211" s="2">
        <v>2.312684</v>
      </c>
      <c r="H211" s="2">
        <f t="shared" si="33"/>
        <v>7.5875461745599999</v>
      </c>
      <c r="I211" s="2">
        <f>INDEX('Wood Density Lookup'!$B$2:$B$152,MATCH(B211,'Wood Density Lookup'!$A$2:$A$152,0))</f>
        <v>0.8</v>
      </c>
      <c r="J211" s="2">
        <f t="shared" si="34"/>
        <v>70.252214267252853</v>
      </c>
      <c r="K211" s="2">
        <f t="shared" si="38"/>
        <v>19.670619994830801</v>
      </c>
      <c r="L211" s="2">
        <f t="shared" si="39"/>
        <v>89.922834262083654</v>
      </c>
      <c r="M211" s="2">
        <f t="shared" si="35"/>
        <v>65.194054840010651</v>
      </c>
      <c r="N211" s="2">
        <f t="shared" si="36"/>
        <v>32.597027420005325</v>
      </c>
      <c r="O211" s="2">
        <f t="shared" si="37"/>
        <v>119.63109063141954</v>
      </c>
      <c r="P211" s="2">
        <v>72.549206999999996</v>
      </c>
      <c r="Q211" s="2">
        <v>23.036072999999998</v>
      </c>
    </row>
    <row r="212" spans="1:17" x14ac:dyDescent="0.25">
      <c r="A212" s="2">
        <v>228</v>
      </c>
      <c r="B212" s="2" t="s">
        <v>15</v>
      </c>
      <c r="C212" s="2">
        <v>41</v>
      </c>
      <c r="D212" s="2">
        <f t="shared" si="30"/>
        <v>104.14</v>
      </c>
      <c r="E212" s="2">
        <f t="shared" si="31"/>
        <v>33.148791547179961</v>
      </c>
      <c r="F212" s="2">
        <f t="shared" si="32"/>
        <v>13.050705333535419</v>
      </c>
      <c r="G212" s="2">
        <v>10.218453</v>
      </c>
      <c r="H212" s="2">
        <f t="shared" si="33"/>
        <v>33.525109340520004</v>
      </c>
      <c r="I212" s="2">
        <f>INDEX('Wood Density Lookup'!$B$2:$B$152,MATCH(B212,'Wood Density Lookup'!$A$2:$A$152,0))</f>
        <v>0.75</v>
      </c>
      <c r="J212" s="2">
        <f t="shared" si="34"/>
        <v>456.23407342595488</v>
      </c>
      <c r="K212" s="2">
        <f t="shared" si="38"/>
        <v>127.74554055926738</v>
      </c>
      <c r="L212" s="2">
        <f t="shared" si="39"/>
        <v>583.97961398522227</v>
      </c>
      <c r="M212" s="2">
        <f t="shared" si="35"/>
        <v>423.38522013928616</v>
      </c>
      <c r="N212" s="2">
        <f t="shared" si="36"/>
        <v>211.69261006964308</v>
      </c>
      <c r="O212" s="2">
        <f t="shared" si="37"/>
        <v>776.91187895559005</v>
      </c>
      <c r="P212" s="2">
        <v>72.549206999999996</v>
      </c>
      <c r="Q212" s="2">
        <v>23.035425</v>
      </c>
    </row>
    <row r="213" spans="1:17" x14ac:dyDescent="0.25">
      <c r="A213" s="2">
        <v>229</v>
      </c>
      <c r="B213" s="2" t="s">
        <v>115</v>
      </c>
      <c r="C213" s="2">
        <v>5</v>
      </c>
      <c r="D213" s="2">
        <f t="shared" si="30"/>
        <v>12.7</v>
      </c>
      <c r="E213" s="2">
        <f t="shared" si="31"/>
        <v>4.0425355545341413</v>
      </c>
      <c r="F213" s="2">
        <f t="shared" si="32"/>
        <v>1.5915494309189535</v>
      </c>
      <c r="G213" s="2">
        <v>12.666486000000001</v>
      </c>
      <c r="H213" s="2">
        <f t="shared" si="33"/>
        <v>41.556713928240001</v>
      </c>
      <c r="I213" s="2">
        <f>INDEX('Wood Density Lookup'!$B$2:$B$152,MATCH(B213,'Wood Density Lookup'!$A$2:$A$152,0))</f>
        <v>0.65</v>
      </c>
      <c r="J213" s="2">
        <f t="shared" si="34"/>
        <v>8.0500617550720399</v>
      </c>
      <c r="K213" s="2">
        <f t="shared" si="38"/>
        <v>2.2540172914201713</v>
      </c>
      <c r="L213" s="2">
        <f t="shared" si="39"/>
        <v>10.304079046492211</v>
      </c>
      <c r="M213" s="2">
        <f t="shared" si="35"/>
        <v>7.4704573087068527</v>
      </c>
      <c r="N213" s="2">
        <f t="shared" si="36"/>
        <v>3.7352286543534263</v>
      </c>
      <c r="O213" s="2">
        <f t="shared" si="37"/>
        <v>13.708289161477074</v>
      </c>
      <c r="P213" s="2">
        <v>72.549207999999993</v>
      </c>
      <c r="Q213" s="2">
        <v>23.035927000000001</v>
      </c>
    </row>
    <row r="214" spans="1:17" x14ac:dyDescent="0.25">
      <c r="A214" s="2">
        <v>230</v>
      </c>
      <c r="B214" s="2" t="s">
        <v>148</v>
      </c>
      <c r="C214" s="2">
        <v>2</v>
      </c>
      <c r="D214" s="2">
        <f t="shared" si="30"/>
        <v>5.08</v>
      </c>
      <c r="E214" s="2">
        <f t="shared" si="31"/>
        <v>1.6170142218136567</v>
      </c>
      <c r="F214" s="2">
        <f t="shared" si="32"/>
        <v>0.63661977236758138</v>
      </c>
      <c r="G214" s="2">
        <v>4.8857429999999997</v>
      </c>
      <c r="H214" s="2">
        <f t="shared" si="33"/>
        <v>16.02934106412</v>
      </c>
      <c r="I214" s="2">
        <f>INDEX('Wood Density Lookup'!$B$2:$B$152,MATCH(B214,'Wood Density Lookup'!$A$2:$A$152,0))</f>
        <v>0.5</v>
      </c>
      <c r="J214" s="2">
        <f t="shared" si="34"/>
        <v>0.41116438298167973</v>
      </c>
      <c r="K214" s="2">
        <f t="shared" si="38"/>
        <v>0.11512602723487034</v>
      </c>
      <c r="L214" s="2">
        <f t="shared" si="39"/>
        <v>0.5262904102165501</v>
      </c>
      <c r="M214" s="2">
        <f t="shared" si="35"/>
        <v>0.3815605474069988</v>
      </c>
      <c r="N214" s="2">
        <f t="shared" si="36"/>
        <v>0.1907802737034994</v>
      </c>
      <c r="O214" s="2">
        <f t="shared" si="37"/>
        <v>0.70016360449184278</v>
      </c>
      <c r="P214" s="2">
        <v>72.549207999999993</v>
      </c>
      <c r="Q214" s="2">
        <v>23.035630000000001</v>
      </c>
    </row>
    <row r="215" spans="1:17" x14ac:dyDescent="0.25">
      <c r="A215" s="2">
        <v>231</v>
      </c>
      <c r="B215" s="2" t="s">
        <v>148</v>
      </c>
      <c r="C215" s="2">
        <v>3</v>
      </c>
      <c r="D215" s="2">
        <f t="shared" si="30"/>
        <v>7.62</v>
      </c>
      <c r="E215" s="2">
        <f t="shared" si="31"/>
        <v>2.4255213327204852</v>
      </c>
      <c r="F215" s="2">
        <f t="shared" si="32"/>
        <v>0.95492965855137202</v>
      </c>
      <c r="G215" s="2">
        <v>4.3647710000000002</v>
      </c>
      <c r="H215" s="2">
        <f t="shared" si="33"/>
        <v>14.32011528764</v>
      </c>
      <c r="I215" s="2">
        <f>INDEX('Wood Density Lookup'!$B$2:$B$152,MATCH(B215,'Wood Density Lookup'!$A$2:$A$152,0))</f>
        <v>0.5</v>
      </c>
      <c r="J215" s="2">
        <f t="shared" si="34"/>
        <v>0.81274017671875198</v>
      </c>
      <c r="K215" s="2">
        <f t="shared" si="38"/>
        <v>0.22756724948125057</v>
      </c>
      <c r="L215" s="2">
        <f t="shared" si="39"/>
        <v>1.0403074262000025</v>
      </c>
      <c r="M215" s="2">
        <f t="shared" si="35"/>
        <v>0.75422288399500181</v>
      </c>
      <c r="N215" s="2">
        <f t="shared" si="36"/>
        <v>0.37711144199750091</v>
      </c>
      <c r="O215" s="2">
        <f t="shared" si="37"/>
        <v>1.3839989921308282</v>
      </c>
      <c r="P215" s="2">
        <v>72.549207999999993</v>
      </c>
      <c r="Q215" s="2">
        <v>23.035616000000001</v>
      </c>
    </row>
    <row r="216" spans="1:17" x14ac:dyDescent="0.25">
      <c r="A216" s="2">
        <v>233</v>
      </c>
      <c r="B216" s="2" t="s">
        <v>148</v>
      </c>
      <c r="C216" s="2">
        <v>2</v>
      </c>
      <c r="D216" s="2">
        <f t="shared" si="30"/>
        <v>5.08</v>
      </c>
      <c r="E216" s="2">
        <f t="shared" si="31"/>
        <v>1.6170142218136567</v>
      </c>
      <c r="F216" s="2">
        <f t="shared" si="32"/>
        <v>0.63661977236758138</v>
      </c>
      <c r="G216" s="2">
        <v>3.1843050000000002</v>
      </c>
      <c r="H216" s="2">
        <f t="shared" si="33"/>
        <v>10.447195216200001</v>
      </c>
      <c r="I216" s="2">
        <f>INDEX('Wood Density Lookup'!$B$2:$B$152,MATCH(B216,'Wood Density Lookup'!$A$2:$A$152,0))</f>
        <v>0.5</v>
      </c>
      <c r="J216" s="2">
        <f t="shared" si="34"/>
        <v>0.2707456641155479</v>
      </c>
      <c r="K216" s="2">
        <f t="shared" si="38"/>
        <v>7.5808785952353422E-2</v>
      </c>
      <c r="L216" s="2">
        <f t="shared" si="39"/>
        <v>0.34655445006790131</v>
      </c>
      <c r="M216" s="2">
        <f t="shared" si="35"/>
        <v>0.25125197629922846</v>
      </c>
      <c r="N216" s="2">
        <f t="shared" si="36"/>
        <v>0.12562598814961423</v>
      </c>
      <c r="O216" s="2">
        <f t="shared" si="37"/>
        <v>0.46104737650908423</v>
      </c>
      <c r="P216" s="2">
        <v>72.549211</v>
      </c>
      <c r="Q216" s="2">
        <v>23.035588000000001</v>
      </c>
    </row>
    <row r="217" spans="1:17" x14ac:dyDescent="0.25">
      <c r="A217" s="2">
        <v>234</v>
      </c>
      <c r="B217" s="2" t="s">
        <v>148</v>
      </c>
      <c r="C217" s="2">
        <v>2</v>
      </c>
      <c r="D217" s="2">
        <f t="shared" si="30"/>
        <v>5.08</v>
      </c>
      <c r="E217" s="2">
        <f t="shared" si="31"/>
        <v>1.6170142218136567</v>
      </c>
      <c r="F217" s="2">
        <f t="shared" si="32"/>
        <v>0.63661977236758138</v>
      </c>
      <c r="G217" s="2">
        <v>3.6289370000000001</v>
      </c>
      <c r="H217" s="2">
        <f t="shared" si="33"/>
        <v>11.90596166708</v>
      </c>
      <c r="I217" s="2">
        <f>INDEX('Wood Density Lookup'!$B$2:$B$152,MATCH(B217,'Wood Density Lookup'!$A$2:$A$152,0))</f>
        <v>0.5</v>
      </c>
      <c r="J217" s="2">
        <f t="shared" si="34"/>
        <v>0.30758413124376743</v>
      </c>
      <c r="K217" s="2">
        <f t="shared" si="38"/>
        <v>8.6123556748254892E-2</v>
      </c>
      <c r="L217" s="2">
        <f t="shared" si="39"/>
        <v>0.39370768799202233</v>
      </c>
      <c r="M217" s="2">
        <f t="shared" si="35"/>
        <v>0.28543807379421615</v>
      </c>
      <c r="N217" s="2">
        <f t="shared" si="36"/>
        <v>0.14271903689710808</v>
      </c>
      <c r="O217" s="2">
        <f t="shared" si="37"/>
        <v>0.52377886541238661</v>
      </c>
      <c r="P217" s="2">
        <v>72.549211</v>
      </c>
      <c r="Q217" s="2">
        <v>23.035603999999999</v>
      </c>
    </row>
    <row r="218" spans="1:17" x14ac:dyDescent="0.25">
      <c r="A218" s="2">
        <v>235</v>
      </c>
      <c r="B218" s="2" t="s">
        <v>95</v>
      </c>
      <c r="C218" s="2">
        <v>35</v>
      </c>
      <c r="D218" s="2">
        <f t="shared" si="30"/>
        <v>88.9</v>
      </c>
      <c r="E218" s="2">
        <f t="shared" si="31"/>
        <v>28.297748881738993</v>
      </c>
      <c r="F218" s="2">
        <f t="shared" si="32"/>
        <v>11.140846016432674</v>
      </c>
      <c r="G218" s="2">
        <v>7.2410569999999996</v>
      </c>
      <c r="H218" s="2">
        <f t="shared" si="33"/>
        <v>23.756749447879997</v>
      </c>
      <c r="I218" s="2">
        <f>INDEX('Wood Density Lookup'!$B$2:$B$152,MATCH(B218,'Wood Density Lookup'!$A$2:$A$152,0))</f>
        <v>0.3</v>
      </c>
      <c r="J218" s="2">
        <f t="shared" si="34"/>
        <v>97.875008711619998</v>
      </c>
      <c r="K218" s="2">
        <f t="shared" si="38"/>
        <v>27.4050024392536</v>
      </c>
      <c r="L218" s="2">
        <f t="shared" si="39"/>
        <v>125.28001115087361</v>
      </c>
      <c r="M218" s="2">
        <f t="shared" si="35"/>
        <v>90.828008084383356</v>
      </c>
      <c r="N218" s="2">
        <f t="shared" si="36"/>
        <v>45.414004042191678</v>
      </c>
      <c r="O218" s="2">
        <f t="shared" si="37"/>
        <v>166.66939483484344</v>
      </c>
      <c r="P218" s="2">
        <v>72.549211999999997</v>
      </c>
      <c r="Q218" s="2">
        <v>23.037507999999999</v>
      </c>
    </row>
    <row r="219" spans="1:17" x14ac:dyDescent="0.25">
      <c r="A219" s="2">
        <v>236</v>
      </c>
      <c r="B219" s="2" t="s">
        <v>148</v>
      </c>
      <c r="C219" s="2">
        <v>3</v>
      </c>
      <c r="D219" s="2">
        <f t="shared" si="30"/>
        <v>7.62</v>
      </c>
      <c r="E219" s="2">
        <f t="shared" si="31"/>
        <v>2.4255213327204852</v>
      </c>
      <c r="F219" s="2">
        <f t="shared" si="32"/>
        <v>0.95492965855137202</v>
      </c>
      <c r="G219" s="2">
        <v>10.728975999999999</v>
      </c>
      <c r="H219" s="2">
        <f t="shared" si="33"/>
        <v>35.200053619839998</v>
      </c>
      <c r="I219" s="2">
        <f>INDEX('Wood Density Lookup'!$B$2:$B$152,MATCH(B219,'Wood Density Lookup'!$A$2:$A$152,0))</f>
        <v>0.5</v>
      </c>
      <c r="J219" s="2">
        <f t="shared" si="34"/>
        <v>1.9551235918766559</v>
      </c>
      <c r="K219" s="2">
        <f t="shared" si="38"/>
        <v>0.54743460572546365</v>
      </c>
      <c r="L219" s="2">
        <f t="shared" si="39"/>
        <v>2.5025581976021196</v>
      </c>
      <c r="M219" s="2">
        <f t="shared" si="35"/>
        <v>1.8143546932615366</v>
      </c>
      <c r="N219" s="2">
        <f t="shared" si="36"/>
        <v>0.90717734663076832</v>
      </c>
      <c r="O219" s="2">
        <f t="shared" si="37"/>
        <v>3.3293408621349196</v>
      </c>
      <c r="P219" s="2">
        <v>72.549211999999997</v>
      </c>
      <c r="Q219" s="2">
        <v>23.035574</v>
      </c>
    </row>
    <row r="220" spans="1:17" x14ac:dyDescent="0.25">
      <c r="A220" s="2">
        <v>237</v>
      </c>
      <c r="B220" s="2" t="s">
        <v>82</v>
      </c>
      <c r="C220" s="2">
        <v>7</v>
      </c>
      <c r="D220" s="2">
        <f t="shared" si="30"/>
        <v>17.78</v>
      </c>
      <c r="E220" s="2">
        <f t="shared" si="31"/>
        <v>5.6595497763477987</v>
      </c>
      <c r="F220" s="2">
        <f t="shared" si="32"/>
        <v>2.228169203286535</v>
      </c>
      <c r="G220" s="2">
        <v>4.8981190000000003</v>
      </c>
      <c r="H220" s="2">
        <f t="shared" si="33"/>
        <v>16.06994473996</v>
      </c>
      <c r="I220" s="2">
        <f>INDEX('Wood Density Lookup'!$B$2:$B$152,MATCH(B220,'Wood Density Lookup'!$A$2:$A$152,0))</f>
        <v>0.7</v>
      </c>
      <c r="J220" s="2">
        <f t="shared" si="34"/>
        <v>6.602822414004601</v>
      </c>
      <c r="K220" s="2">
        <f t="shared" si="38"/>
        <v>1.8487902759212884</v>
      </c>
      <c r="L220" s="2">
        <f t="shared" si="39"/>
        <v>8.4516126899258897</v>
      </c>
      <c r="M220" s="2">
        <f t="shared" si="35"/>
        <v>6.12741920019627</v>
      </c>
      <c r="N220" s="2">
        <f t="shared" si="36"/>
        <v>3.063709600098135</v>
      </c>
      <c r="O220" s="2">
        <f t="shared" si="37"/>
        <v>11.243814232360155</v>
      </c>
      <c r="P220" s="2">
        <v>72.549212999999995</v>
      </c>
      <c r="Q220" s="2">
        <v>23.035748999999999</v>
      </c>
    </row>
    <row r="221" spans="1:17" x14ac:dyDescent="0.25">
      <c r="A221" s="2">
        <v>238</v>
      </c>
      <c r="B221" s="2" t="s">
        <v>15</v>
      </c>
      <c r="C221" s="2">
        <v>14</v>
      </c>
      <c r="D221" s="2">
        <f t="shared" si="30"/>
        <v>35.56</v>
      </c>
      <c r="E221" s="2">
        <f t="shared" si="31"/>
        <v>11.319099552695597</v>
      </c>
      <c r="F221" s="2">
        <f t="shared" si="32"/>
        <v>4.45633840657307</v>
      </c>
      <c r="G221" s="2">
        <v>7.8738029999999997</v>
      </c>
      <c r="H221" s="2">
        <f t="shared" si="33"/>
        <v>25.832687834519998</v>
      </c>
      <c r="I221" s="2">
        <f>INDEX('Wood Density Lookup'!$B$2:$B$152,MATCH(B221,'Wood Density Lookup'!$A$2:$A$152,0))</f>
        <v>0.75</v>
      </c>
      <c r="J221" s="2">
        <f t="shared" si="34"/>
        <v>43.430193255851229</v>
      </c>
      <c r="K221" s="2">
        <f t="shared" si="38"/>
        <v>12.160454111638344</v>
      </c>
      <c r="L221" s="2">
        <f t="shared" si="39"/>
        <v>55.590647367489574</v>
      </c>
      <c r="M221" s="2">
        <f t="shared" si="35"/>
        <v>40.303219341429937</v>
      </c>
      <c r="N221" s="2">
        <f t="shared" si="36"/>
        <v>20.151609670714969</v>
      </c>
      <c r="O221" s="2">
        <f t="shared" si="37"/>
        <v>73.956407491523933</v>
      </c>
      <c r="P221" s="2">
        <v>72.549212999999995</v>
      </c>
      <c r="Q221" s="2">
        <v>23.034137000000001</v>
      </c>
    </row>
    <row r="222" spans="1:17" x14ac:dyDescent="0.25">
      <c r="A222" s="2">
        <v>239</v>
      </c>
      <c r="B222" s="2" t="s">
        <v>95</v>
      </c>
      <c r="C222" s="2">
        <v>52</v>
      </c>
      <c r="D222" s="2">
        <f t="shared" si="30"/>
        <v>132.08000000000001</v>
      </c>
      <c r="E222" s="2">
        <f t="shared" si="31"/>
        <v>42.04236976715508</v>
      </c>
      <c r="F222" s="2">
        <f t="shared" si="32"/>
        <v>16.552114081557114</v>
      </c>
      <c r="G222" s="2">
        <v>3.1987519999999998</v>
      </c>
      <c r="H222" s="2">
        <f t="shared" si="33"/>
        <v>10.49459351168</v>
      </c>
      <c r="I222" s="2">
        <f>INDEX('Wood Density Lookup'!$B$2:$B$152,MATCH(B222,'Wood Density Lookup'!$A$2:$A$152,0))</f>
        <v>0.3</v>
      </c>
      <c r="J222" s="2">
        <f t="shared" si="34"/>
        <v>95.495704215376392</v>
      </c>
      <c r="K222" s="2">
        <f t="shared" si="38"/>
        <v>26.738797180305394</v>
      </c>
      <c r="L222" s="2">
        <f t="shared" si="39"/>
        <v>122.23450139568179</v>
      </c>
      <c r="M222" s="2">
        <f t="shared" si="35"/>
        <v>88.620013511869288</v>
      </c>
      <c r="N222" s="2">
        <f t="shared" si="36"/>
        <v>44.310006755934644</v>
      </c>
      <c r="O222" s="2">
        <f t="shared" si="37"/>
        <v>162.61772479428015</v>
      </c>
      <c r="P222" s="2">
        <v>72.549214000000006</v>
      </c>
      <c r="Q222" s="2">
        <v>23.034770000000002</v>
      </c>
    </row>
    <row r="223" spans="1:17" x14ac:dyDescent="0.25">
      <c r="A223" s="2">
        <v>240</v>
      </c>
      <c r="B223" s="2" t="s">
        <v>148</v>
      </c>
      <c r="C223" s="2">
        <v>2</v>
      </c>
      <c r="D223" s="2">
        <f t="shared" si="30"/>
        <v>5.08</v>
      </c>
      <c r="E223" s="2">
        <f t="shared" si="31"/>
        <v>1.6170142218136567</v>
      </c>
      <c r="F223" s="2">
        <f t="shared" si="32"/>
        <v>0.63661977236758138</v>
      </c>
      <c r="G223" s="2">
        <v>16.433519</v>
      </c>
      <c r="H223" s="2">
        <f t="shared" si="33"/>
        <v>53.915746475959999</v>
      </c>
      <c r="I223" s="2">
        <f>INDEX('Wood Density Lookup'!$B$2:$B$152,MATCH(B223,'Wood Density Lookup'!$A$2:$A$152,0))</f>
        <v>0.5</v>
      </c>
      <c r="J223" s="2">
        <f t="shared" si="34"/>
        <v>1.3432976064040538</v>
      </c>
      <c r="K223" s="2">
        <f t="shared" si="38"/>
        <v>0.37612332979313512</v>
      </c>
      <c r="L223" s="2">
        <f t="shared" si="39"/>
        <v>1.7194209361971891</v>
      </c>
      <c r="M223" s="2">
        <f t="shared" si="35"/>
        <v>1.246580178742962</v>
      </c>
      <c r="N223" s="2">
        <f t="shared" si="36"/>
        <v>0.623290089371481</v>
      </c>
      <c r="O223" s="2">
        <f t="shared" si="37"/>
        <v>2.2874746279933351</v>
      </c>
      <c r="P223" s="2">
        <v>72.549214000000006</v>
      </c>
      <c r="Q223" s="2">
        <v>23.035558999999999</v>
      </c>
    </row>
    <row r="224" spans="1:17" x14ac:dyDescent="0.25">
      <c r="A224" s="2">
        <v>241</v>
      </c>
      <c r="B224" s="2" t="s">
        <v>114</v>
      </c>
      <c r="C224" s="2">
        <v>9</v>
      </c>
      <c r="D224" s="2">
        <f t="shared" si="30"/>
        <v>22.86</v>
      </c>
      <c r="E224" s="2">
        <f t="shared" si="31"/>
        <v>7.2765639981614552</v>
      </c>
      <c r="F224" s="2">
        <f t="shared" si="32"/>
        <v>2.8647889756541161</v>
      </c>
      <c r="G224" s="2">
        <v>11.699584</v>
      </c>
      <c r="H224" s="2">
        <f t="shared" si="33"/>
        <v>38.384463170559997</v>
      </c>
      <c r="I224" s="2">
        <f>INDEX('Wood Density Lookup'!$B$2:$B$152,MATCH(B224,'Wood Density Lookup'!$A$2:$A$152,0))</f>
        <v>0.55000000000000004</v>
      </c>
      <c r="J224" s="2">
        <f t="shared" si="34"/>
        <v>19.935338794469995</v>
      </c>
      <c r="K224" s="2">
        <f t="shared" si="38"/>
        <v>5.5818948624515992</v>
      </c>
      <c r="L224" s="2">
        <f t="shared" si="39"/>
        <v>25.517233656921594</v>
      </c>
      <c r="M224" s="2">
        <f t="shared" si="35"/>
        <v>18.499994401268154</v>
      </c>
      <c r="N224" s="2">
        <f t="shared" si="36"/>
        <v>9.2499972006340769</v>
      </c>
      <c r="O224" s="2">
        <f t="shared" si="37"/>
        <v>33.947489726327063</v>
      </c>
      <c r="P224" s="2">
        <v>72.549217999999996</v>
      </c>
      <c r="Q224" s="2">
        <v>23.036064</v>
      </c>
    </row>
    <row r="225" spans="1:17" x14ac:dyDescent="0.25">
      <c r="A225" s="2">
        <v>242</v>
      </c>
      <c r="B225" s="2" t="s">
        <v>62</v>
      </c>
      <c r="C225" s="2">
        <v>75</v>
      </c>
      <c r="D225" s="2">
        <f t="shared" si="30"/>
        <v>190.5</v>
      </c>
      <c r="E225" s="2">
        <f t="shared" si="31"/>
        <v>60.638033318012127</v>
      </c>
      <c r="F225" s="2">
        <f t="shared" si="32"/>
        <v>23.8732414637843</v>
      </c>
      <c r="G225" s="2">
        <v>10.05349</v>
      </c>
      <c r="H225" s="2">
        <f t="shared" si="33"/>
        <v>32.983892131600001</v>
      </c>
      <c r="I225" s="2">
        <f>INDEX('Wood Density Lookup'!$B$2:$B$152,MATCH(B225,'Wood Density Lookup'!$A$2:$A$152,0))</f>
        <v>0.47</v>
      </c>
      <c r="J225" s="2">
        <f t="shared" si="34"/>
        <v>925.04374087269662</v>
      </c>
      <c r="K225" s="2">
        <f t="shared" si="38"/>
        <v>259.01224744435507</v>
      </c>
      <c r="L225" s="2">
        <f t="shared" si="39"/>
        <v>1184.0559883170517</v>
      </c>
      <c r="M225" s="2">
        <f t="shared" si="35"/>
        <v>858.44059152986244</v>
      </c>
      <c r="N225" s="2">
        <f t="shared" si="36"/>
        <v>429.22029576493122</v>
      </c>
      <c r="O225" s="2">
        <f t="shared" si="37"/>
        <v>1575.2384854572977</v>
      </c>
      <c r="P225" s="2">
        <v>72.549218999999994</v>
      </c>
      <c r="Q225" s="2">
        <v>23.037628999999999</v>
      </c>
    </row>
    <row r="226" spans="1:17" x14ac:dyDescent="0.25">
      <c r="A226" s="2">
        <v>243</v>
      </c>
      <c r="B226" s="2" t="s">
        <v>111</v>
      </c>
      <c r="C226" s="2">
        <v>13</v>
      </c>
      <c r="D226" s="2">
        <f t="shared" si="30"/>
        <v>33.020000000000003</v>
      </c>
      <c r="E226" s="2">
        <f t="shared" si="31"/>
        <v>10.51059244178877</v>
      </c>
      <c r="F226" s="2">
        <f t="shared" si="32"/>
        <v>4.1380285203892786</v>
      </c>
      <c r="G226" s="2">
        <v>1.0387630000000001</v>
      </c>
      <c r="H226" s="2">
        <f t="shared" si="33"/>
        <v>3.4080152009200004</v>
      </c>
      <c r="I226" s="2">
        <f>INDEX('Wood Density Lookup'!$B$2:$B$152,MATCH(B226,'Wood Density Lookup'!$A$2:$A$152,0))</f>
        <v>0.4</v>
      </c>
      <c r="J226" s="2">
        <f t="shared" si="34"/>
        <v>2.8181362051808474</v>
      </c>
      <c r="K226" s="2">
        <f t="shared" si="38"/>
        <v>0.78907813745063737</v>
      </c>
      <c r="L226" s="2">
        <f t="shared" si="39"/>
        <v>3.6072143426314849</v>
      </c>
      <c r="M226" s="2">
        <f t="shared" si="35"/>
        <v>2.6152303984078267</v>
      </c>
      <c r="N226" s="2">
        <f t="shared" si="36"/>
        <v>1.3076151992039133</v>
      </c>
      <c r="O226" s="2">
        <f t="shared" si="37"/>
        <v>4.7989477810783621</v>
      </c>
      <c r="P226" s="2">
        <v>72.549218999999994</v>
      </c>
      <c r="Q226" s="2">
        <v>23.038032000000001</v>
      </c>
    </row>
    <row r="227" spans="1:17" x14ac:dyDescent="0.25">
      <c r="A227" s="2">
        <v>244</v>
      </c>
      <c r="B227" s="2" t="s">
        <v>15</v>
      </c>
      <c r="C227" s="2">
        <v>13</v>
      </c>
      <c r="D227" s="2">
        <f t="shared" si="30"/>
        <v>33.020000000000003</v>
      </c>
      <c r="E227" s="2">
        <f t="shared" si="31"/>
        <v>10.51059244178877</v>
      </c>
      <c r="F227" s="2">
        <f t="shared" si="32"/>
        <v>4.1380285203892786</v>
      </c>
      <c r="G227" s="2">
        <v>3.5319020000000001</v>
      </c>
      <c r="H227" s="2">
        <f t="shared" si="33"/>
        <v>11.587605357680001</v>
      </c>
      <c r="I227" s="2">
        <f>INDEX('Wood Density Lookup'!$B$2:$B$152,MATCH(B227,'Wood Density Lookup'!$A$2:$A$152,0))</f>
        <v>0.75</v>
      </c>
      <c r="J227" s="2">
        <f t="shared" si="34"/>
        <v>17.184922643351204</v>
      </c>
      <c r="K227" s="2">
        <f t="shared" si="38"/>
        <v>4.8117783401383374</v>
      </c>
      <c r="L227" s="2">
        <f t="shared" si="39"/>
        <v>21.996700983489539</v>
      </c>
      <c r="M227" s="2">
        <f t="shared" si="35"/>
        <v>15.947608213029916</v>
      </c>
      <c r="N227" s="2">
        <f t="shared" si="36"/>
        <v>7.9738041065149581</v>
      </c>
      <c r="O227" s="2">
        <f t="shared" si="37"/>
        <v>29.263861070909897</v>
      </c>
      <c r="P227" s="2">
        <v>72.549220000000005</v>
      </c>
      <c r="Q227" s="2">
        <v>23.038643</v>
      </c>
    </row>
    <row r="228" spans="1:17" x14ac:dyDescent="0.25">
      <c r="A228" s="2">
        <v>245</v>
      </c>
      <c r="B228" s="2" t="s">
        <v>15</v>
      </c>
      <c r="C228" s="2">
        <v>64</v>
      </c>
      <c r="D228" s="2">
        <f t="shared" si="30"/>
        <v>162.56</v>
      </c>
      <c r="E228" s="2">
        <f t="shared" si="31"/>
        <v>51.744455098037015</v>
      </c>
      <c r="F228" s="2">
        <f t="shared" si="32"/>
        <v>20.371832715762604</v>
      </c>
      <c r="G228" s="2">
        <v>13.363051</v>
      </c>
      <c r="H228" s="2">
        <f t="shared" si="33"/>
        <v>43.842032242839998</v>
      </c>
      <c r="I228" s="2">
        <f>INDEX('Wood Density Lookup'!$B$2:$B$152,MATCH(B228,'Wood Density Lookup'!$A$2:$A$152,0))</f>
        <v>0.75</v>
      </c>
      <c r="J228" s="2">
        <f t="shared" si="34"/>
        <v>1413.9072478424764</v>
      </c>
      <c r="K228" s="2">
        <f t="shared" si="38"/>
        <v>395.89402939589343</v>
      </c>
      <c r="L228" s="2">
        <f t="shared" si="39"/>
        <v>1809.8012772383699</v>
      </c>
      <c r="M228" s="2">
        <f t="shared" si="35"/>
        <v>1312.1059259978181</v>
      </c>
      <c r="N228" s="2">
        <f t="shared" si="36"/>
        <v>656.05296299890904</v>
      </c>
      <c r="O228" s="2">
        <f t="shared" si="37"/>
        <v>2407.7143742059961</v>
      </c>
      <c r="P228" s="2">
        <v>72.549220000000005</v>
      </c>
      <c r="Q228" s="2">
        <v>23.038808</v>
      </c>
    </row>
    <row r="229" spans="1:17" x14ac:dyDescent="0.25">
      <c r="A229" s="2">
        <v>246</v>
      </c>
      <c r="B229" s="2" t="s">
        <v>3</v>
      </c>
      <c r="C229" s="2">
        <v>23</v>
      </c>
      <c r="D229" s="2">
        <f t="shared" si="30"/>
        <v>58.42</v>
      </c>
      <c r="E229" s="2">
        <f t="shared" si="31"/>
        <v>18.595663550857051</v>
      </c>
      <c r="F229" s="2">
        <f t="shared" si="32"/>
        <v>7.3211273822271856</v>
      </c>
      <c r="G229" s="2">
        <v>11.065735999999999</v>
      </c>
      <c r="H229" s="2">
        <f t="shared" si="33"/>
        <v>36.304909298239998</v>
      </c>
      <c r="I229" s="2">
        <f>INDEX('Wood Density Lookup'!$B$2:$B$152,MATCH(B229,'Wood Density Lookup'!$A$2:$A$152,0))</f>
        <v>0.62</v>
      </c>
      <c r="J229" s="2">
        <f t="shared" si="34"/>
        <v>132.49690386170474</v>
      </c>
      <c r="K229" s="2">
        <f t="shared" si="38"/>
        <v>37.09913308127733</v>
      </c>
      <c r="L229" s="2">
        <f t="shared" si="39"/>
        <v>169.59603694298207</v>
      </c>
      <c r="M229" s="2">
        <f t="shared" si="35"/>
        <v>122.95712678366199</v>
      </c>
      <c r="N229" s="2">
        <f t="shared" si="36"/>
        <v>61.478563391830995</v>
      </c>
      <c r="O229" s="2">
        <f t="shared" si="37"/>
        <v>225.62632764801975</v>
      </c>
      <c r="P229" s="2">
        <v>72.549220000000005</v>
      </c>
      <c r="Q229" s="2">
        <v>23.037029</v>
      </c>
    </row>
    <row r="230" spans="1:17" x14ac:dyDescent="0.25">
      <c r="A230" s="2">
        <v>247</v>
      </c>
      <c r="B230" s="2" t="s">
        <v>148</v>
      </c>
      <c r="C230" s="2">
        <v>3</v>
      </c>
      <c r="D230" s="2">
        <f t="shared" si="30"/>
        <v>7.62</v>
      </c>
      <c r="E230" s="2">
        <f t="shared" si="31"/>
        <v>2.4255213327204852</v>
      </c>
      <c r="F230" s="2">
        <f t="shared" si="32"/>
        <v>0.95492965855137202</v>
      </c>
      <c r="G230" s="2">
        <v>15.361973000000001</v>
      </c>
      <c r="H230" s="2">
        <f t="shared" si="33"/>
        <v>50.400175497319999</v>
      </c>
      <c r="I230" s="2">
        <f>INDEX('Wood Density Lookup'!$B$2:$B$152,MATCH(B230,'Wood Density Lookup'!$A$2:$A$152,0))</f>
        <v>0.5</v>
      </c>
      <c r="J230" s="2">
        <f t="shared" si="34"/>
        <v>2.7753746076272012</v>
      </c>
      <c r="K230" s="2">
        <f t="shared" si="38"/>
        <v>0.77710489013561646</v>
      </c>
      <c r="L230" s="2">
        <f t="shared" si="39"/>
        <v>3.5524794977628176</v>
      </c>
      <c r="M230" s="2">
        <f t="shared" si="35"/>
        <v>2.5755476358780425</v>
      </c>
      <c r="N230" s="2">
        <f t="shared" si="36"/>
        <v>1.2877738179390212</v>
      </c>
      <c r="O230" s="2">
        <f t="shared" si="37"/>
        <v>4.7261299118362077</v>
      </c>
      <c r="P230" s="2">
        <v>72.549221000000003</v>
      </c>
      <c r="Q230" s="2">
        <v>23.035539</v>
      </c>
    </row>
    <row r="231" spans="1:17" x14ac:dyDescent="0.25">
      <c r="A231" s="2">
        <v>248</v>
      </c>
      <c r="B231" s="2" t="s">
        <v>148</v>
      </c>
      <c r="C231" s="2">
        <v>3</v>
      </c>
      <c r="D231" s="2">
        <f t="shared" si="30"/>
        <v>7.62</v>
      </c>
      <c r="E231" s="2">
        <f t="shared" si="31"/>
        <v>2.4255213327204852</v>
      </c>
      <c r="F231" s="2">
        <f t="shared" si="32"/>
        <v>0.95492965855137202</v>
      </c>
      <c r="G231" s="2">
        <v>13.601383</v>
      </c>
      <c r="H231" s="2">
        <f t="shared" si="33"/>
        <v>44.623961401720003</v>
      </c>
      <c r="I231" s="2">
        <f>INDEX('Wood Density Lookup'!$B$2:$B$152,MATCH(B231,'Wood Density Lookup'!$A$2:$A$152,0))</f>
        <v>0.5</v>
      </c>
      <c r="J231" s="2">
        <f t="shared" si="34"/>
        <v>2.4644863516629516</v>
      </c>
      <c r="K231" s="2">
        <f t="shared" si="38"/>
        <v>0.6900561784656265</v>
      </c>
      <c r="L231" s="2">
        <f t="shared" si="39"/>
        <v>3.1545425301285781</v>
      </c>
      <c r="M231" s="2">
        <f t="shared" si="35"/>
        <v>2.287043334343219</v>
      </c>
      <c r="N231" s="2">
        <f t="shared" si="36"/>
        <v>1.1435216671716095</v>
      </c>
      <c r="O231" s="2">
        <f t="shared" si="37"/>
        <v>4.1967245185198072</v>
      </c>
      <c r="P231" s="2">
        <v>72.549221000000003</v>
      </c>
      <c r="Q231" s="2">
        <v>23.035529</v>
      </c>
    </row>
    <row r="232" spans="1:17" x14ac:dyDescent="0.25">
      <c r="A232" s="2">
        <v>249</v>
      </c>
      <c r="B232" s="2" t="s">
        <v>107</v>
      </c>
      <c r="C232" s="2">
        <v>7</v>
      </c>
      <c r="D232" s="2">
        <f t="shared" si="30"/>
        <v>17.78</v>
      </c>
      <c r="E232" s="2">
        <f t="shared" si="31"/>
        <v>5.6595497763477987</v>
      </c>
      <c r="F232" s="2">
        <f t="shared" si="32"/>
        <v>2.228169203286535</v>
      </c>
      <c r="G232" s="2">
        <v>6.6068740000000004</v>
      </c>
      <c r="H232" s="2">
        <f t="shared" si="33"/>
        <v>21.676096494159999</v>
      </c>
      <c r="I232" s="2">
        <f>INDEX('Wood Density Lookup'!$B$2:$B$152,MATCH(B232,'Wood Density Lookup'!$A$2:$A$152,0))</f>
        <v>0.65</v>
      </c>
      <c r="J232" s="2">
        <f t="shared" si="34"/>
        <v>8.2255483141397985</v>
      </c>
      <c r="K232" s="2">
        <f t="shared" si="38"/>
        <v>2.303153527959144</v>
      </c>
      <c r="L232" s="2">
        <f t="shared" si="39"/>
        <v>10.528701842098943</v>
      </c>
      <c r="M232" s="2">
        <f t="shared" si="35"/>
        <v>7.633308835521734</v>
      </c>
      <c r="N232" s="2">
        <f t="shared" si="36"/>
        <v>3.816654417760867</v>
      </c>
      <c r="O232" s="2">
        <f t="shared" si="37"/>
        <v>14.007121713182382</v>
      </c>
      <c r="P232" s="2">
        <v>72.549222</v>
      </c>
      <c r="Q232" s="2">
        <v>23.035809</v>
      </c>
    </row>
    <row r="233" spans="1:17" x14ac:dyDescent="0.25">
      <c r="A233" s="2">
        <v>250</v>
      </c>
      <c r="B233" s="2" t="s">
        <v>114</v>
      </c>
      <c r="C233" s="2">
        <v>13</v>
      </c>
      <c r="D233" s="2">
        <f t="shared" si="30"/>
        <v>33.020000000000003</v>
      </c>
      <c r="E233" s="2">
        <f t="shared" si="31"/>
        <v>10.51059244178877</v>
      </c>
      <c r="F233" s="2">
        <f t="shared" si="32"/>
        <v>4.1380285203892786</v>
      </c>
      <c r="G233" s="2">
        <v>5.9244399999999997</v>
      </c>
      <c r="H233" s="2">
        <f t="shared" si="33"/>
        <v>19.437139729599998</v>
      </c>
      <c r="I233" s="2">
        <f>INDEX('Wood Density Lookup'!$B$2:$B$152,MATCH(B233,'Wood Density Lookup'!$A$2:$A$152,0))</f>
        <v>0.55000000000000004</v>
      </c>
      <c r="J233" s="2">
        <f t="shared" si="34"/>
        <v>21.034350499847882</v>
      </c>
      <c r="K233" s="2">
        <f t="shared" si="38"/>
        <v>5.8896181399574079</v>
      </c>
      <c r="L233" s="2">
        <f t="shared" si="39"/>
        <v>26.923968639805288</v>
      </c>
      <c r="M233" s="2">
        <f t="shared" si="35"/>
        <v>19.519877263858834</v>
      </c>
      <c r="N233" s="2">
        <f t="shared" si="36"/>
        <v>9.7599386319294172</v>
      </c>
      <c r="O233" s="2">
        <f t="shared" si="37"/>
        <v>35.818974779180962</v>
      </c>
      <c r="P233" s="2">
        <v>72.549222999999998</v>
      </c>
      <c r="Q233" s="2">
        <v>23.035325</v>
      </c>
    </row>
    <row r="234" spans="1:17" x14ac:dyDescent="0.25">
      <c r="A234" s="2">
        <v>251</v>
      </c>
      <c r="B234" s="2" t="s">
        <v>107</v>
      </c>
      <c r="C234" s="2">
        <v>7</v>
      </c>
      <c r="D234" s="2">
        <f t="shared" si="30"/>
        <v>17.78</v>
      </c>
      <c r="E234" s="2">
        <f t="shared" si="31"/>
        <v>5.6595497763477987</v>
      </c>
      <c r="F234" s="2">
        <f t="shared" si="32"/>
        <v>2.228169203286535</v>
      </c>
      <c r="G234" s="2">
        <v>4.5943389999999997</v>
      </c>
      <c r="H234" s="2">
        <f t="shared" si="33"/>
        <v>15.073291164759999</v>
      </c>
      <c r="I234" s="2">
        <f>INDEX('Wood Density Lookup'!$B$2:$B$152,MATCH(B234,'Wood Density Lookup'!$A$2:$A$152,0))</f>
        <v>0.65</v>
      </c>
      <c r="J234" s="2">
        <f t="shared" si="34"/>
        <v>5.7700346604701354</v>
      </c>
      <c r="K234" s="2">
        <f t="shared" si="38"/>
        <v>1.615609704931638</v>
      </c>
      <c r="L234" s="2">
        <f t="shared" si="39"/>
        <v>7.3856443654017738</v>
      </c>
      <c r="M234" s="2">
        <f t="shared" si="35"/>
        <v>5.3545921649162862</v>
      </c>
      <c r="N234" s="2">
        <f t="shared" si="36"/>
        <v>2.6772960824581431</v>
      </c>
      <c r="O234" s="2">
        <f t="shared" si="37"/>
        <v>9.8256766226213852</v>
      </c>
      <c r="P234" s="2">
        <v>72.549223999999995</v>
      </c>
      <c r="Q234" s="2">
        <v>23.035777</v>
      </c>
    </row>
    <row r="235" spans="1:17" x14ac:dyDescent="0.25">
      <c r="A235" s="2">
        <v>252</v>
      </c>
      <c r="B235" s="2" t="s">
        <v>15</v>
      </c>
      <c r="C235" s="2">
        <v>25</v>
      </c>
      <c r="D235" s="2">
        <f t="shared" si="30"/>
        <v>63.5</v>
      </c>
      <c r="E235" s="2">
        <f t="shared" si="31"/>
        <v>20.212677772670709</v>
      </c>
      <c r="F235" s="2">
        <f t="shared" si="32"/>
        <v>7.9577471545947667</v>
      </c>
      <c r="G235" s="2">
        <v>10.120811</v>
      </c>
      <c r="H235" s="2">
        <f t="shared" si="33"/>
        <v>33.204761561239998</v>
      </c>
      <c r="I235" s="2">
        <f>INDEX('Wood Density Lookup'!$B$2:$B$152,MATCH(B235,'Wood Density Lookup'!$A$2:$A$152,0))</f>
        <v>0.75</v>
      </c>
      <c r="J235" s="2">
        <f t="shared" si="34"/>
        <v>172.0849003824477</v>
      </c>
      <c r="K235" s="2">
        <f t="shared" si="38"/>
        <v>48.18377210708536</v>
      </c>
      <c r="L235" s="2">
        <f t="shared" si="39"/>
        <v>220.26867248953306</v>
      </c>
      <c r="M235" s="2">
        <f t="shared" si="35"/>
        <v>159.69478755491147</v>
      </c>
      <c r="N235" s="2">
        <f t="shared" si="36"/>
        <v>79.847393777455736</v>
      </c>
      <c r="O235" s="2">
        <f t="shared" si="37"/>
        <v>293.03993516326256</v>
      </c>
      <c r="P235" s="2">
        <v>72.549227999999999</v>
      </c>
      <c r="Q235" s="2">
        <v>23.034088000000001</v>
      </c>
    </row>
    <row r="236" spans="1:17" x14ac:dyDescent="0.25">
      <c r="A236" s="2">
        <v>253</v>
      </c>
      <c r="B236" s="2" t="s">
        <v>114</v>
      </c>
      <c r="C236" s="2">
        <v>7</v>
      </c>
      <c r="D236" s="2">
        <f t="shared" si="30"/>
        <v>17.78</v>
      </c>
      <c r="E236" s="2">
        <f t="shared" si="31"/>
        <v>5.6595497763477987</v>
      </c>
      <c r="F236" s="2">
        <f t="shared" si="32"/>
        <v>2.228169203286535</v>
      </c>
      <c r="G236" s="2">
        <v>2.1714609999999999</v>
      </c>
      <c r="H236" s="2">
        <f t="shared" si="33"/>
        <v>7.1242161072399997</v>
      </c>
      <c r="I236" s="2">
        <f>INDEX('Wood Density Lookup'!$B$2:$B$152,MATCH(B236,'Wood Density Lookup'!$A$2:$A$152,0))</f>
        <v>0.55000000000000004</v>
      </c>
      <c r="J236" s="2">
        <f t="shared" si="34"/>
        <v>2.3588985940568974</v>
      </c>
      <c r="K236" s="2">
        <f t="shared" si="38"/>
        <v>0.66049160633593129</v>
      </c>
      <c r="L236" s="2">
        <f t="shared" si="39"/>
        <v>3.0193902003928286</v>
      </c>
      <c r="M236" s="2">
        <f t="shared" si="35"/>
        <v>2.1890578952848005</v>
      </c>
      <c r="N236" s="2">
        <f t="shared" si="36"/>
        <v>1.0945289476424003</v>
      </c>
      <c r="O236" s="2">
        <f t="shared" si="37"/>
        <v>4.0169212378476091</v>
      </c>
      <c r="P236" s="2">
        <v>72.549227999999999</v>
      </c>
      <c r="Q236" s="2">
        <v>23.035309999999999</v>
      </c>
    </row>
    <row r="237" spans="1:17" x14ac:dyDescent="0.25">
      <c r="A237" s="2">
        <v>254</v>
      </c>
      <c r="B237" s="2" t="s">
        <v>115</v>
      </c>
      <c r="C237" s="2">
        <v>33</v>
      </c>
      <c r="D237" s="2">
        <f t="shared" si="30"/>
        <v>83.820000000000007</v>
      </c>
      <c r="E237" s="2">
        <f t="shared" si="31"/>
        <v>26.680734659925339</v>
      </c>
      <c r="F237" s="2">
        <f t="shared" si="32"/>
        <v>10.504226244065093</v>
      </c>
      <c r="G237" s="2">
        <v>6.430625</v>
      </c>
      <c r="H237" s="2">
        <f t="shared" si="33"/>
        <v>21.097851725000002</v>
      </c>
      <c r="I237" s="2">
        <f>INDEX('Wood Density Lookup'!$B$2:$B$152,MATCH(B237,'Wood Density Lookup'!$A$2:$A$152,0))</f>
        <v>0.65</v>
      </c>
      <c r="J237" s="2">
        <f t="shared" si="34"/>
        <v>165.27671884365475</v>
      </c>
      <c r="K237" s="2">
        <f t="shared" si="38"/>
        <v>46.277481276223334</v>
      </c>
      <c r="L237" s="2">
        <f t="shared" si="39"/>
        <v>211.55420011987809</v>
      </c>
      <c r="M237" s="2">
        <f t="shared" si="35"/>
        <v>153.37679508691161</v>
      </c>
      <c r="N237" s="2">
        <f t="shared" si="36"/>
        <v>76.688397543455807</v>
      </c>
      <c r="O237" s="2">
        <f t="shared" si="37"/>
        <v>281.44641898448282</v>
      </c>
      <c r="P237" s="2">
        <v>72.549228999999997</v>
      </c>
      <c r="Q237" s="2">
        <v>23.035502999999999</v>
      </c>
    </row>
    <row r="238" spans="1:17" x14ac:dyDescent="0.25">
      <c r="A238" s="2">
        <v>255</v>
      </c>
      <c r="B238" s="2" t="s">
        <v>107</v>
      </c>
      <c r="C238" s="2">
        <v>8</v>
      </c>
      <c r="D238" s="2">
        <f t="shared" si="30"/>
        <v>20.32</v>
      </c>
      <c r="E238" s="2">
        <f t="shared" si="31"/>
        <v>6.4680568872546269</v>
      </c>
      <c r="F238" s="2">
        <f t="shared" si="32"/>
        <v>2.5464790894703255</v>
      </c>
      <c r="G238" s="2">
        <v>6.054907</v>
      </c>
      <c r="H238" s="2">
        <f t="shared" si="33"/>
        <v>19.865181081879999</v>
      </c>
      <c r="I238" s="2">
        <f>INDEX('Wood Density Lookup'!$B$2:$B$152,MATCH(B238,'Wood Density Lookup'!$A$2:$A$152,0))</f>
        <v>0.65</v>
      </c>
      <c r="J238" s="2">
        <f t="shared" si="34"/>
        <v>9.8036075096617878</v>
      </c>
      <c r="K238" s="2">
        <f t="shared" si="38"/>
        <v>2.7450101027053009</v>
      </c>
      <c r="L238" s="2">
        <f t="shared" si="39"/>
        <v>12.548617612367089</v>
      </c>
      <c r="M238" s="2">
        <f t="shared" si="35"/>
        <v>9.0977477689661388</v>
      </c>
      <c r="N238" s="2">
        <f t="shared" si="36"/>
        <v>4.5488738844830694</v>
      </c>
      <c r="O238" s="2">
        <f t="shared" si="37"/>
        <v>16.694367156052863</v>
      </c>
      <c r="P238" s="2">
        <v>72.549228999999997</v>
      </c>
      <c r="Q238" s="2">
        <v>23.035768999999998</v>
      </c>
    </row>
    <row r="239" spans="1:17" x14ac:dyDescent="0.25">
      <c r="A239" s="2">
        <v>256</v>
      </c>
      <c r="B239" s="2" t="s">
        <v>114</v>
      </c>
      <c r="C239" s="2">
        <v>22</v>
      </c>
      <c r="D239" s="2">
        <f t="shared" si="30"/>
        <v>55.88</v>
      </c>
      <c r="E239" s="2">
        <f t="shared" si="31"/>
        <v>17.787156439950223</v>
      </c>
      <c r="F239" s="2">
        <f t="shared" si="32"/>
        <v>7.0028174960433951</v>
      </c>
      <c r="G239" s="2">
        <v>11.531927</v>
      </c>
      <c r="H239" s="2">
        <f t="shared" si="33"/>
        <v>37.834407378679998</v>
      </c>
      <c r="I239" s="2">
        <f>INDEX('Wood Density Lookup'!$B$2:$B$152,MATCH(B239,'Wood Density Lookup'!$A$2:$A$152,0))</f>
        <v>0.55000000000000004</v>
      </c>
      <c r="J239" s="2">
        <f t="shared" si="34"/>
        <v>112.52090714143836</v>
      </c>
      <c r="K239" s="2">
        <f t="shared" si="38"/>
        <v>31.505853999602742</v>
      </c>
      <c r="L239" s="2">
        <f t="shared" si="39"/>
        <v>144.02676114104111</v>
      </c>
      <c r="M239" s="2">
        <f t="shared" si="35"/>
        <v>104.4194018272548</v>
      </c>
      <c r="N239" s="2">
        <f t="shared" si="36"/>
        <v>52.209700913627401</v>
      </c>
      <c r="O239" s="2">
        <f t="shared" si="37"/>
        <v>191.60960235301255</v>
      </c>
      <c r="P239" s="2">
        <v>72.549229999999994</v>
      </c>
      <c r="Q239" s="2">
        <v>23.035274999999999</v>
      </c>
    </row>
    <row r="240" spans="1:17" x14ac:dyDescent="0.25">
      <c r="A240" s="2">
        <v>257</v>
      </c>
      <c r="B240" s="2" t="s">
        <v>107</v>
      </c>
      <c r="C240" s="2">
        <v>8</v>
      </c>
      <c r="D240" s="2">
        <f t="shared" si="30"/>
        <v>20.32</v>
      </c>
      <c r="E240" s="2">
        <f t="shared" si="31"/>
        <v>6.4680568872546269</v>
      </c>
      <c r="F240" s="2">
        <f t="shared" si="32"/>
        <v>2.5464790894703255</v>
      </c>
      <c r="G240" s="2">
        <v>3.1260029999999999</v>
      </c>
      <c r="H240" s="2">
        <f t="shared" si="33"/>
        <v>10.25591568252</v>
      </c>
      <c r="I240" s="2">
        <f>INDEX('Wood Density Lookup'!$B$2:$B$152,MATCH(B240,'Wood Density Lookup'!$A$2:$A$152,0))</f>
        <v>0.65</v>
      </c>
      <c r="J240" s="2">
        <f t="shared" si="34"/>
        <v>5.1423148448484772</v>
      </c>
      <c r="K240" s="2">
        <f t="shared" si="38"/>
        <v>1.4398481565575738</v>
      </c>
      <c r="L240" s="2">
        <f t="shared" si="39"/>
        <v>6.5821630014060508</v>
      </c>
      <c r="M240" s="2">
        <f t="shared" si="35"/>
        <v>4.7720681760193866</v>
      </c>
      <c r="N240" s="2">
        <f t="shared" si="36"/>
        <v>2.3860340880096933</v>
      </c>
      <c r="O240" s="2">
        <f t="shared" si="37"/>
        <v>8.7567451029955734</v>
      </c>
      <c r="P240" s="2">
        <v>72.549229999999994</v>
      </c>
      <c r="Q240" s="2">
        <v>23.035785000000001</v>
      </c>
    </row>
    <row r="241" spans="1:17" x14ac:dyDescent="0.25">
      <c r="A241" s="2">
        <v>258</v>
      </c>
      <c r="B241" s="2" t="s">
        <v>107</v>
      </c>
      <c r="C241" s="2">
        <v>32</v>
      </c>
      <c r="D241" s="2">
        <f t="shared" si="30"/>
        <v>81.28</v>
      </c>
      <c r="E241" s="2">
        <f t="shared" si="31"/>
        <v>25.872227549018508</v>
      </c>
      <c r="F241" s="2">
        <f t="shared" si="32"/>
        <v>10.185916357881302</v>
      </c>
      <c r="G241" s="2">
        <v>11.948370000000001</v>
      </c>
      <c r="H241" s="2">
        <f t="shared" si="33"/>
        <v>39.200690230799999</v>
      </c>
      <c r="I241" s="2">
        <f>INDEX('Wood Density Lookup'!$B$2:$B$152,MATCH(B241,'Wood Density Lookup'!$A$2:$A$152,0))</f>
        <v>0.65</v>
      </c>
      <c r="J241" s="2">
        <f t="shared" si="34"/>
        <v>284.92028899260458</v>
      </c>
      <c r="K241" s="2">
        <f t="shared" si="38"/>
        <v>79.777680917929288</v>
      </c>
      <c r="L241" s="2">
        <f t="shared" si="39"/>
        <v>364.69796991053386</v>
      </c>
      <c r="M241" s="2">
        <f t="shared" si="35"/>
        <v>264.40602818513702</v>
      </c>
      <c r="N241" s="2">
        <f t="shared" si="36"/>
        <v>132.20301409256851</v>
      </c>
      <c r="O241" s="2">
        <f t="shared" si="37"/>
        <v>485.18506171972643</v>
      </c>
      <c r="P241" s="2">
        <v>72.549231000000006</v>
      </c>
      <c r="Q241" s="2">
        <v>23.034303999999999</v>
      </c>
    </row>
    <row r="242" spans="1:17" x14ac:dyDescent="0.25">
      <c r="A242" s="2">
        <v>259</v>
      </c>
      <c r="B242" s="2" t="s">
        <v>114</v>
      </c>
      <c r="C242" s="2">
        <v>8</v>
      </c>
      <c r="D242" s="2">
        <f t="shared" si="30"/>
        <v>20.32</v>
      </c>
      <c r="E242" s="2">
        <f t="shared" si="31"/>
        <v>6.4680568872546269</v>
      </c>
      <c r="F242" s="2">
        <f t="shared" si="32"/>
        <v>2.5464790894703255</v>
      </c>
      <c r="G242" s="2">
        <v>2.4417819999999999</v>
      </c>
      <c r="H242" s="2">
        <f t="shared" si="33"/>
        <v>8.0110960568799996</v>
      </c>
      <c r="I242" s="2">
        <f>INDEX('Wood Density Lookup'!$B$2:$B$152,MATCH(B242,'Wood Density Lookup'!$A$2:$A$152,0))</f>
        <v>0.55000000000000004</v>
      </c>
      <c r="J242" s="2">
        <f t="shared" si="34"/>
        <v>3.4327445771633722</v>
      </c>
      <c r="K242" s="2">
        <f t="shared" si="38"/>
        <v>0.96116848160574431</v>
      </c>
      <c r="L242" s="2">
        <f t="shared" si="39"/>
        <v>4.3939130587691162</v>
      </c>
      <c r="M242" s="2">
        <f t="shared" si="35"/>
        <v>3.185586967607609</v>
      </c>
      <c r="N242" s="2">
        <f t="shared" si="36"/>
        <v>1.5927934838038045</v>
      </c>
      <c r="O242" s="2">
        <f t="shared" si="37"/>
        <v>5.8455520855599623</v>
      </c>
      <c r="P242" s="2">
        <v>72.549234999999996</v>
      </c>
      <c r="Q242" s="2">
        <v>23.037120999999999</v>
      </c>
    </row>
    <row r="243" spans="1:17" x14ac:dyDescent="0.25">
      <c r="A243" s="2">
        <v>260</v>
      </c>
      <c r="B243" s="2" t="s">
        <v>115</v>
      </c>
      <c r="C243" s="2">
        <v>32</v>
      </c>
      <c r="D243" s="2">
        <f t="shared" si="30"/>
        <v>81.28</v>
      </c>
      <c r="E243" s="2">
        <f t="shared" si="31"/>
        <v>25.872227549018508</v>
      </c>
      <c r="F243" s="2">
        <f t="shared" si="32"/>
        <v>10.185916357881302</v>
      </c>
      <c r="G243" s="2">
        <v>7.9520790000000003</v>
      </c>
      <c r="H243" s="2">
        <f t="shared" si="33"/>
        <v>26.08949886636</v>
      </c>
      <c r="I243" s="2">
        <f>INDEX('Wood Density Lookup'!$B$2:$B$152,MATCH(B243,'Wood Density Lookup'!$A$2:$A$152,0))</f>
        <v>0.65</v>
      </c>
      <c r="J243" s="2">
        <f t="shared" si="34"/>
        <v>191.4869892461931</v>
      </c>
      <c r="K243" s="2">
        <f t="shared" si="38"/>
        <v>53.616356988934072</v>
      </c>
      <c r="L243" s="2">
        <f t="shared" si="39"/>
        <v>245.10334623512716</v>
      </c>
      <c r="M243" s="2">
        <f t="shared" si="35"/>
        <v>177.69992602046719</v>
      </c>
      <c r="N243" s="2">
        <f t="shared" si="36"/>
        <v>88.849963010233594</v>
      </c>
      <c r="O243" s="2">
        <f t="shared" si="37"/>
        <v>326.07936424755729</v>
      </c>
      <c r="P243" s="2">
        <v>72.549239999999998</v>
      </c>
      <c r="Q243" s="2">
        <v>23.03584</v>
      </c>
    </row>
    <row r="244" spans="1:17" x14ac:dyDescent="0.25">
      <c r="A244" s="2">
        <v>261</v>
      </c>
      <c r="B244" s="2" t="s">
        <v>114</v>
      </c>
      <c r="C244" s="2">
        <v>4</v>
      </c>
      <c r="D244" s="2">
        <f t="shared" si="30"/>
        <v>10.16</v>
      </c>
      <c r="E244" s="2">
        <f t="shared" si="31"/>
        <v>3.2340284436273135</v>
      </c>
      <c r="F244" s="2">
        <f t="shared" si="32"/>
        <v>1.2732395447351628</v>
      </c>
      <c r="G244" s="2">
        <v>3.1382270000000001</v>
      </c>
      <c r="H244" s="2">
        <f t="shared" si="33"/>
        <v>10.296020670680001</v>
      </c>
      <c r="I244" s="2">
        <f>INDEX('Wood Density Lookup'!$B$2:$B$152,MATCH(B244,'Wood Density Lookup'!$A$2:$A$152,0))</f>
        <v>0.55000000000000004</v>
      </c>
      <c r="J244" s="2">
        <f t="shared" si="34"/>
        <v>1.1334254123173901</v>
      </c>
      <c r="K244" s="2">
        <f t="shared" si="38"/>
        <v>0.31735911544886924</v>
      </c>
      <c r="L244" s="2">
        <f t="shared" si="39"/>
        <v>1.4507845277662594</v>
      </c>
      <c r="M244" s="2">
        <f t="shared" si="35"/>
        <v>1.0518187826305381</v>
      </c>
      <c r="N244" s="2">
        <f t="shared" si="36"/>
        <v>0.52590939131526904</v>
      </c>
      <c r="O244" s="2">
        <f t="shared" si="37"/>
        <v>1.9300874661270373</v>
      </c>
      <c r="P244" s="2">
        <v>72.549239999999998</v>
      </c>
      <c r="Q244" s="2">
        <v>23.0352</v>
      </c>
    </row>
    <row r="245" spans="1:17" x14ac:dyDescent="0.25">
      <c r="A245" s="2">
        <v>262</v>
      </c>
      <c r="B245" s="2" t="s">
        <v>123</v>
      </c>
      <c r="C245" s="2">
        <v>27</v>
      </c>
      <c r="D245" s="2">
        <f t="shared" si="30"/>
        <v>68.58</v>
      </c>
      <c r="E245" s="2">
        <f t="shared" si="31"/>
        <v>21.829691994484364</v>
      </c>
      <c r="F245" s="2">
        <f t="shared" si="32"/>
        <v>8.5943669269623477</v>
      </c>
      <c r="G245" s="2">
        <v>5.2730709999999998</v>
      </c>
      <c r="H245" s="2">
        <f t="shared" si="33"/>
        <v>17.300102259639999</v>
      </c>
      <c r="I245" s="2">
        <f>INDEX('Wood Density Lookup'!$B$2:$B$152,MATCH(B245,'Wood Density Lookup'!$A$2:$A$152,0))</f>
        <v>0.85</v>
      </c>
      <c r="J245" s="2">
        <f t="shared" si="34"/>
        <v>119.58672124635177</v>
      </c>
      <c r="K245" s="2">
        <f t="shared" si="38"/>
        <v>33.484281948978499</v>
      </c>
      <c r="L245" s="2">
        <f t="shared" si="39"/>
        <v>153.07100319533026</v>
      </c>
      <c r="M245" s="2">
        <f t="shared" si="35"/>
        <v>110.97647731661444</v>
      </c>
      <c r="N245" s="2">
        <f t="shared" si="36"/>
        <v>55.488238658307218</v>
      </c>
      <c r="O245" s="2">
        <f t="shared" si="37"/>
        <v>203.64183587598748</v>
      </c>
      <c r="P245" s="2">
        <v>72.549239999999998</v>
      </c>
      <c r="Q245" s="2">
        <v>23.036061</v>
      </c>
    </row>
    <row r="246" spans="1:17" x14ac:dyDescent="0.25">
      <c r="A246" s="2">
        <v>264</v>
      </c>
      <c r="B246" s="2" t="s">
        <v>15</v>
      </c>
      <c r="C246" s="2">
        <v>53</v>
      </c>
      <c r="D246" s="2">
        <f t="shared" si="30"/>
        <v>134.62</v>
      </c>
      <c r="E246" s="2">
        <f t="shared" si="31"/>
        <v>42.850876878061904</v>
      </c>
      <c r="F246" s="2">
        <f t="shared" si="32"/>
        <v>16.870423967740905</v>
      </c>
      <c r="G246" s="2">
        <v>17.002731000000001</v>
      </c>
      <c r="H246" s="2">
        <f t="shared" si="33"/>
        <v>55.783239974040001</v>
      </c>
      <c r="I246" s="2">
        <f>INDEX('Wood Density Lookup'!$B$2:$B$152,MATCH(B246,'Wood Density Lookup'!$A$2:$A$152,0))</f>
        <v>0.75</v>
      </c>
      <c r="J246" s="2">
        <f t="shared" si="34"/>
        <v>1237.788528906362</v>
      </c>
      <c r="K246" s="2">
        <f t="shared" si="38"/>
        <v>346.58078809378139</v>
      </c>
      <c r="L246" s="2">
        <f t="shared" si="39"/>
        <v>1584.3693170001434</v>
      </c>
      <c r="M246" s="2">
        <f t="shared" si="35"/>
        <v>1148.6677548251039</v>
      </c>
      <c r="N246" s="2">
        <f t="shared" si="36"/>
        <v>574.33387741255194</v>
      </c>
      <c r="O246" s="2">
        <f t="shared" si="37"/>
        <v>2107.8053301040654</v>
      </c>
      <c r="P246" s="2">
        <v>72.549242000000007</v>
      </c>
      <c r="Q246" s="2">
        <v>23.034693999999998</v>
      </c>
    </row>
    <row r="247" spans="1:17" x14ac:dyDescent="0.25">
      <c r="A247" s="2">
        <v>265</v>
      </c>
      <c r="B247" s="2" t="s">
        <v>114</v>
      </c>
      <c r="C247" s="2">
        <v>10</v>
      </c>
      <c r="D247" s="2">
        <f t="shared" si="30"/>
        <v>25.4</v>
      </c>
      <c r="E247" s="2">
        <f t="shared" si="31"/>
        <v>8.0850711090682825</v>
      </c>
      <c r="F247" s="2">
        <f t="shared" si="32"/>
        <v>3.183098861837907</v>
      </c>
      <c r="G247" s="2">
        <v>2.4921509999999998</v>
      </c>
      <c r="H247" s="2">
        <f t="shared" si="33"/>
        <v>8.176348686839999</v>
      </c>
      <c r="I247" s="2">
        <f>INDEX('Wood Density Lookup'!$B$2:$B$152,MATCH(B247,'Wood Density Lookup'!$A$2:$A$152,0))</f>
        <v>0.55000000000000004</v>
      </c>
      <c r="J247" s="2">
        <f t="shared" si="34"/>
        <v>5.4133297266557712</v>
      </c>
      <c r="K247" s="2">
        <f t="shared" si="38"/>
        <v>1.515732323463616</v>
      </c>
      <c r="L247" s="2">
        <f t="shared" si="39"/>
        <v>6.9290620501193869</v>
      </c>
      <c r="M247" s="2">
        <f t="shared" si="35"/>
        <v>5.0235699863365557</v>
      </c>
      <c r="N247" s="2">
        <f t="shared" si="36"/>
        <v>2.5117849931682779</v>
      </c>
      <c r="O247" s="2">
        <f t="shared" si="37"/>
        <v>9.2182509249275792</v>
      </c>
      <c r="P247" s="2">
        <v>72.549245999999997</v>
      </c>
      <c r="Q247" s="2">
        <v>23.037122</v>
      </c>
    </row>
    <row r="248" spans="1:17" x14ac:dyDescent="0.25">
      <c r="A248" s="2">
        <v>266</v>
      </c>
      <c r="B248" s="2" t="s">
        <v>15</v>
      </c>
      <c r="C248" s="2">
        <v>23</v>
      </c>
      <c r="D248" s="2">
        <f t="shared" si="30"/>
        <v>58.42</v>
      </c>
      <c r="E248" s="2">
        <f t="shared" si="31"/>
        <v>18.595663550857051</v>
      </c>
      <c r="F248" s="2">
        <f t="shared" si="32"/>
        <v>7.3211273822271856</v>
      </c>
      <c r="G248" s="2">
        <v>9.3030679999999997</v>
      </c>
      <c r="H248" s="2">
        <f t="shared" si="33"/>
        <v>30.521877617119998</v>
      </c>
      <c r="I248" s="2">
        <f>INDEX('Wood Density Lookup'!$B$2:$B$152,MATCH(B248,'Wood Density Lookup'!$A$2:$A$152,0))</f>
        <v>0.75</v>
      </c>
      <c r="J248" s="2">
        <f t="shared" si="34"/>
        <v>134.69318523314823</v>
      </c>
      <c r="K248" s="2">
        <f t="shared" si="38"/>
        <v>37.71409186528151</v>
      </c>
      <c r="L248" s="2">
        <f t="shared" si="39"/>
        <v>172.40727709842974</v>
      </c>
      <c r="M248" s="2">
        <f t="shared" si="35"/>
        <v>124.99527589636156</v>
      </c>
      <c r="N248" s="2">
        <f t="shared" si="36"/>
        <v>62.497637948180781</v>
      </c>
      <c r="O248" s="2">
        <f t="shared" si="37"/>
        <v>229.36633126982346</v>
      </c>
      <c r="P248" s="2">
        <v>72.549246999999994</v>
      </c>
      <c r="Q248" s="2">
        <v>23.034184</v>
      </c>
    </row>
    <row r="249" spans="1:17" x14ac:dyDescent="0.25">
      <c r="A249" s="2">
        <v>267</v>
      </c>
      <c r="B249" s="2" t="s">
        <v>3</v>
      </c>
      <c r="C249" s="2">
        <v>37</v>
      </c>
      <c r="D249" s="2">
        <f t="shared" si="30"/>
        <v>93.98</v>
      </c>
      <c r="E249" s="2">
        <f t="shared" si="31"/>
        <v>29.914763103552648</v>
      </c>
      <c r="F249" s="2">
        <f t="shared" si="32"/>
        <v>11.777465788800255</v>
      </c>
      <c r="G249" s="2">
        <v>2.1116100000000002</v>
      </c>
      <c r="H249" s="2">
        <f t="shared" si="33"/>
        <v>6.9278545524000004</v>
      </c>
      <c r="I249" s="2">
        <f>INDEX('Wood Density Lookup'!$B$2:$B$152,MATCH(B249,'Wood Density Lookup'!$A$2:$A$152,0))</f>
        <v>0.62</v>
      </c>
      <c r="J249" s="2">
        <f t="shared" si="34"/>
        <v>66.548912497411251</v>
      </c>
      <c r="K249" s="2">
        <f t="shared" si="38"/>
        <v>18.633695499275152</v>
      </c>
      <c r="L249" s="2">
        <f t="shared" si="39"/>
        <v>85.1826079966864</v>
      </c>
      <c r="M249" s="2">
        <f t="shared" si="35"/>
        <v>61.757390797597637</v>
      </c>
      <c r="N249" s="2">
        <f t="shared" si="36"/>
        <v>30.878695398798818</v>
      </c>
      <c r="O249" s="2">
        <f t="shared" si="37"/>
        <v>113.32481211359166</v>
      </c>
      <c r="P249" s="2">
        <v>72.549252999999993</v>
      </c>
      <c r="Q249" s="2">
        <v>23.036011999999999</v>
      </c>
    </row>
    <row r="250" spans="1:17" x14ac:dyDescent="0.25">
      <c r="A250" s="2">
        <v>268</v>
      </c>
      <c r="B250" s="2" t="s">
        <v>115</v>
      </c>
      <c r="C250" s="2">
        <v>6</v>
      </c>
      <c r="D250" s="2">
        <f t="shared" si="30"/>
        <v>15.24</v>
      </c>
      <c r="E250" s="2">
        <f t="shared" si="31"/>
        <v>4.8510426654409704</v>
      </c>
      <c r="F250" s="2">
        <f t="shared" si="32"/>
        <v>1.909859317102744</v>
      </c>
      <c r="G250" s="2">
        <v>8.8244559999999996</v>
      </c>
      <c r="H250" s="2">
        <f t="shared" si="33"/>
        <v>28.95162822304</v>
      </c>
      <c r="I250" s="2">
        <f>INDEX('Wood Density Lookup'!$B$2:$B$152,MATCH(B250,'Wood Density Lookup'!$A$2:$A$152,0))</f>
        <v>0.65</v>
      </c>
      <c r="J250" s="2">
        <f t="shared" si="34"/>
        <v>8.0753254795392397</v>
      </c>
      <c r="K250" s="2">
        <f t="shared" si="38"/>
        <v>2.2610911342709872</v>
      </c>
      <c r="L250" s="2">
        <f t="shared" si="39"/>
        <v>10.336416613810227</v>
      </c>
      <c r="M250" s="2">
        <f t="shared" si="35"/>
        <v>7.4939020450124145</v>
      </c>
      <c r="N250" s="2">
        <f t="shared" si="36"/>
        <v>3.7469510225062073</v>
      </c>
      <c r="O250" s="2">
        <f t="shared" si="37"/>
        <v>13.751310252597781</v>
      </c>
      <c r="P250" s="2">
        <v>72.549254000000005</v>
      </c>
      <c r="Q250" s="2">
        <v>23.035924999999999</v>
      </c>
    </row>
    <row r="251" spans="1:17" x14ac:dyDescent="0.25">
      <c r="A251" s="2">
        <v>269</v>
      </c>
      <c r="B251" s="2" t="s">
        <v>15</v>
      </c>
      <c r="C251" s="2">
        <v>16</v>
      </c>
      <c r="D251" s="2">
        <f t="shared" si="30"/>
        <v>40.64</v>
      </c>
      <c r="E251" s="2">
        <f t="shared" si="31"/>
        <v>12.936113774509254</v>
      </c>
      <c r="F251" s="2">
        <f t="shared" si="32"/>
        <v>5.0929581789406511</v>
      </c>
      <c r="G251" s="2">
        <v>1.8461939999999999</v>
      </c>
      <c r="H251" s="2">
        <f t="shared" si="33"/>
        <v>6.0570671229599995</v>
      </c>
      <c r="I251" s="2">
        <f>INDEX('Wood Density Lookup'!$B$2:$B$152,MATCH(B251,'Wood Density Lookup'!$A$2:$A$152,0))</f>
        <v>0.75</v>
      </c>
      <c r="J251" s="2">
        <f t="shared" si="34"/>
        <v>13.683670437855582</v>
      </c>
      <c r="K251" s="2">
        <f t="shared" si="38"/>
        <v>3.8314277225995634</v>
      </c>
      <c r="L251" s="2">
        <f t="shared" si="39"/>
        <v>17.515098160455146</v>
      </c>
      <c r="M251" s="2">
        <f t="shared" si="35"/>
        <v>12.69844616632998</v>
      </c>
      <c r="N251" s="2">
        <f t="shared" si="36"/>
        <v>6.3492230831649898</v>
      </c>
      <c r="O251" s="2">
        <f t="shared" si="37"/>
        <v>23.301648715215514</v>
      </c>
      <c r="P251" s="2">
        <v>72.549256</v>
      </c>
      <c r="Q251" s="2">
        <v>23.038468000000002</v>
      </c>
    </row>
    <row r="252" spans="1:17" x14ac:dyDescent="0.25">
      <c r="A252" s="2">
        <v>270</v>
      </c>
      <c r="B252" s="2" t="s">
        <v>114</v>
      </c>
      <c r="C252" s="2">
        <v>58</v>
      </c>
      <c r="D252" s="2">
        <f t="shared" si="30"/>
        <v>147.32</v>
      </c>
      <c r="E252" s="2">
        <f t="shared" si="31"/>
        <v>46.893412432596044</v>
      </c>
      <c r="F252" s="2">
        <f t="shared" si="32"/>
        <v>18.461973398659861</v>
      </c>
      <c r="G252" s="2">
        <v>11.103721</v>
      </c>
      <c r="H252" s="2">
        <f t="shared" si="33"/>
        <v>36.429532005639999</v>
      </c>
      <c r="I252" s="2">
        <f>INDEX('Wood Density Lookup'!$B$2:$B$152,MATCH(B252,'Wood Density Lookup'!$A$2:$A$152,0))</f>
        <v>0.55000000000000004</v>
      </c>
      <c r="J252" s="2">
        <f t="shared" si="34"/>
        <v>719.44343146076608</v>
      </c>
      <c r="K252" s="2">
        <f t="shared" si="38"/>
        <v>201.44416080901453</v>
      </c>
      <c r="L252" s="2">
        <f t="shared" si="39"/>
        <v>920.88759226978061</v>
      </c>
      <c r="M252" s="2">
        <f t="shared" si="35"/>
        <v>667.64350439559087</v>
      </c>
      <c r="N252" s="2">
        <f t="shared" si="36"/>
        <v>333.82175219779543</v>
      </c>
      <c r="O252" s="2">
        <f t="shared" si="37"/>
        <v>1225.1258305659092</v>
      </c>
      <c r="P252" s="2">
        <v>72.549256999999997</v>
      </c>
      <c r="Q252" s="2">
        <v>23.035169</v>
      </c>
    </row>
    <row r="253" spans="1:17" x14ac:dyDescent="0.25">
      <c r="A253" s="2">
        <v>271</v>
      </c>
      <c r="B253" s="2" t="s">
        <v>15</v>
      </c>
      <c r="C253" s="2">
        <v>129</v>
      </c>
      <c r="D253" s="2">
        <f t="shared" si="30"/>
        <v>327.66000000000003</v>
      </c>
      <c r="E253" s="2">
        <f t="shared" si="31"/>
        <v>104.29741730698086</v>
      </c>
      <c r="F253" s="2">
        <f t="shared" si="32"/>
        <v>41.061975317708999</v>
      </c>
      <c r="G253" s="2">
        <v>18.520189999999999</v>
      </c>
      <c r="H253" s="2">
        <f t="shared" si="33"/>
        <v>60.761780159600001</v>
      </c>
      <c r="I253" s="2">
        <f>INDEX('Wood Density Lookup'!$B$2:$B$152,MATCH(B253,'Wood Density Lookup'!$A$2:$A$152,0))</f>
        <v>0.75</v>
      </c>
      <c r="J253" s="2">
        <f t="shared" si="34"/>
        <v>7637.7736290891353</v>
      </c>
      <c r="K253" s="2">
        <f t="shared" si="38"/>
        <v>2138.5766161449583</v>
      </c>
      <c r="L253" s="2">
        <f t="shared" si="39"/>
        <v>9776.3502452340945</v>
      </c>
      <c r="M253" s="2">
        <f t="shared" si="35"/>
        <v>7087.8539277947184</v>
      </c>
      <c r="N253" s="2">
        <f t="shared" si="36"/>
        <v>3543.9269638973592</v>
      </c>
      <c r="O253" s="2">
        <f t="shared" si="37"/>
        <v>13006.211957503308</v>
      </c>
      <c r="P253" s="2">
        <v>72.549257999999995</v>
      </c>
      <c r="Q253" s="2">
        <v>23.034618999999999</v>
      </c>
    </row>
    <row r="254" spans="1:17" x14ac:dyDescent="0.25">
      <c r="A254" s="2">
        <v>272</v>
      </c>
      <c r="B254" s="2" t="s">
        <v>3</v>
      </c>
      <c r="C254" s="2">
        <v>29</v>
      </c>
      <c r="D254" s="2">
        <f t="shared" si="30"/>
        <v>73.66</v>
      </c>
      <c r="E254" s="2">
        <f t="shared" si="31"/>
        <v>23.446706216298022</v>
      </c>
      <c r="F254" s="2">
        <f t="shared" si="32"/>
        <v>9.2309866993299305</v>
      </c>
      <c r="G254" s="2">
        <v>9.3065800000000003</v>
      </c>
      <c r="H254" s="2">
        <f t="shared" si="33"/>
        <v>30.533399927200001</v>
      </c>
      <c r="I254" s="2">
        <f>INDEX('Wood Density Lookup'!$B$2:$B$152,MATCH(B254,'Wood Density Lookup'!$A$2:$A$152,0))</f>
        <v>0.62</v>
      </c>
      <c r="J254" s="2">
        <f t="shared" si="34"/>
        <v>175.92528391497191</v>
      </c>
      <c r="K254" s="2">
        <f t="shared" si="38"/>
        <v>49.259079496192143</v>
      </c>
      <c r="L254" s="2">
        <f t="shared" si="39"/>
        <v>225.18436341116404</v>
      </c>
      <c r="M254" s="2">
        <f t="shared" si="35"/>
        <v>163.25866347309392</v>
      </c>
      <c r="N254" s="2">
        <f t="shared" si="36"/>
        <v>81.629331736546959</v>
      </c>
      <c r="O254" s="2">
        <f t="shared" si="37"/>
        <v>299.57964747312735</v>
      </c>
      <c r="P254" s="2">
        <v>72.549259000000006</v>
      </c>
      <c r="Q254" s="2">
        <v>23.034783000000001</v>
      </c>
    </row>
    <row r="255" spans="1:17" x14ac:dyDescent="0.25">
      <c r="A255" s="2">
        <v>273</v>
      </c>
      <c r="B255" s="2" t="s">
        <v>15</v>
      </c>
      <c r="C255" s="2">
        <v>167</v>
      </c>
      <c r="D255" s="2">
        <f t="shared" si="30"/>
        <v>424.18</v>
      </c>
      <c r="E255" s="2">
        <f t="shared" si="31"/>
        <v>135.02068752144032</v>
      </c>
      <c r="F255" s="2">
        <f t="shared" si="32"/>
        <v>53.157750992693046</v>
      </c>
      <c r="G255" s="2">
        <v>13.869391999999999</v>
      </c>
      <c r="H255" s="2">
        <f t="shared" si="33"/>
        <v>45.503256049279997</v>
      </c>
      <c r="I255" s="2">
        <f>INDEX('Wood Density Lookup'!$B$2:$B$152,MATCH(B255,'Wood Density Lookup'!$A$2:$A$152,0))</f>
        <v>0.75</v>
      </c>
      <c r="J255" s="2">
        <f t="shared" si="34"/>
        <v>9533.7622462200434</v>
      </c>
      <c r="K255" s="2">
        <f t="shared" si="38"/>
        <v>2669.4534289416124</v>
      </c>
      <c r="L255" s="2">
        <f t="shared" si="39"/>
        <v>12203.215675161657</v>
      </c>
      <c r="M255" s="2">
        <f t="shared" si="35"/>
        <v>8847.3313644922</v>
      </c>
      <c r="N255" s="2">
        <f t="shared" si="36"/>
        <v>4423.6656822461</v>
      </c>
      <c r="O255" s="2">
        <f t="shared" si="37"/>
        <v>16234.853053843186</v>
      </c>
      <c r="P255" s="2">
        <v>72.549261000000001</v>
      </c>
      <c r="Q255" s="2">
        <v>23.036335999999999</v>
      </c>
    </row>
    <row r="256" spans="1:17" x14ac:dyDescent="0.25">
      <c r="A256" s="2">
        <v>274</v>
      </c>
      <c r="B256" s="2" t="s">
        <v>56</v>
      </c>
      <c r="C256" s="2">
        <v>39</v>
      </c>
      <c r="D256" s="2">
        <f t="shared" si="30"/>
        <v>99.06</v>
      </c>
      <c r="E256" s="2">
        <f t="shared" si="31"/>
        <v>31.531777325366306</v>
      </c>
      <c r="F256" s="2">
        <f t="shared" si="32"/>
        <v>12.414085561167836</v>
      </c>
      <c r="G256" s="2">
        <v>14.572198999999999</v>
      </c>
      <c r="H256" s="2">
        <f t="shared" si="33"/>
        <v>47.809053367159997</v>
      </c>
      <c r="I256" s="2">
        <f>INDEX('Wood Density Lookup'!$B$2:$B$152,MATCH(B256,'Wood Density Lookup'!$A$2:$A$152,0))</f>
        <v>0.65</v>
      </c>
      <c r="J256" s="2">
        <f t="shared" si="34"/>
        <v>508.83381816273766</v>
      </c>
      <c r="K256" s="2">
        <f t="shared" si="38"/>
        <v>142.47346908556656</v>
      </c>
      <c r="L256" s="2">
        <f t="shared" si="39"/>
        <v>651.30728724830419</v>
      </c>
      <c r="M256" s="2">
        <f t="shared" si="35"/>
        <v>472.19778325502051</v>
      </c>
      <c r="N256" s="2">
        <f t="shared" si="36"/>
        <v>236.09889162751026</v>
      </c>
      <c r="O256" s="2">
        <f t="shared" si="37"/>
        <v>866.48293227296267</v>
      </c>
      <c r="P256" s="2">
        <v>72.549261999999999</v>
      </c>
      <c r="Q256" s="2">
        <v>23.035152</v>
      </c>
    </row>
    <row r="257" spans="1:17" x14ac:dyDescent="0.25">
      <c r="A257" s="2">
        <v>276</v>
      </c>
      <c r="B257" s="2" t="s">
        <v>82</v>
      </c>
      <c r="C257" s="2">
        <v>43</v>
      </c>
      <c r="D257" s="2">
        <f t="shared" ref="D257:D320" si="40">C257*2.54</f>
        <v>109.22</v>
      </c>
      <c r="E257" s="2">
        <f t="shared" ref="E257:E320" si="41">D257/PI()</f>
        <v>34.765805768993616</v>
      </c>
      <c r="F257" s="2">
        <f t="shared" ref="F257:F320" si="42">C257/PI()</f>
        <v>13.687325105903</v>
      </c>
      <c r="G257" s="2">
        <v>13.890574000000001</v>
      </c>
      <c r="H257" s="2">
        <f t="shared" ref="H257:H320" si="43">G257*3.28084</f>
        <v>45.572750802160002</v>
      </c>
      <c r="I257" s="2">
        <f>INDEX('Wood Density Lookup'!$B$2:$B$152,MATCH(B257,'Wood Density Lookup'!$A$2:$A$152,0))</f>
        <v>0.7</v>
      </c>
      <c r="J257" s="2">
        <f t="shared" ref="J257:J320" si="44">0.0673*POWER(I257*E257^2*G257,0.976)</f>
        <v>631.61865388794399</v>
      </c>
      <c r="K257" s="2">
        <f t="shared" si="38"/>
        <v>176.85322308862433</v>
      </c>
      <c r="L257" s="2">
        <f t="shared" si="39"/>
        <v>808.4718769765683</v>
      </c>
      <c r="M257" s="2">
        <f t="shared" ref="M257:M320" si="45">0.725*L257</f>
        <v>586.14211080801203</v>
      </c>
      <c r="N257" s="2">
        <f t="shared" ref="N257:N320" si="46">0.5*M257</f>
        <v>293.07105540400602</v>
      </c>
      <c r="O257" s="2">
        <f t="shared" ref="O257:O320" si="47">3.67*N257</f>
        <v>1075.5707733327022</v>
      </c>
      <c r="P257" s="2">
        <v>72.549262999999996</v>
      </c>
      <c r="Q257" s="2">
        <v>23.036110999999998</v>
      </c>
    </row>
    <row r="258" spans="1:17" x14ac:dyDescent="0.25">
      <c r="A258" s="2">
        <v>277</v>
      </c>
      <c r="B258" s="2" t="s">
        <v>148</v>
      </c>
      <c r="C258" s="2">
        <v>18</v>
      </c>
      <c r="D258" s="2">
        <f t="shared" si="40"/>
        <v>45.72</v>
      </c>
      <c r="E258" s="2">
        <f t="shared" si="41"/>
        <v>14.55312799632291</v>
      </c>
      <c r="F258" s="2">
        <f t="shared" si="42"/>
        <v>5.7295779513082321</v>
      </c>
      <c r="G258" s="2">
        <v>3.775582</v>
      </c>
      <c r="H258" s="2">
        <f t="shared" si="43"/>
        <v>12.387080448879999</v>
      </c>
      <c r="I258" s="2">
        <f>INDEX('Wood Density Lookup'!$B$2:$B$152,MATCH(B258,'Wood Density Lookup'!$A$2:$A$152,0))</f>
        <v>0.5</v>
      </c>
      <c r="J258" s="2">
        <f t="shared" si="44"/>
        <v>23.304343600499504</v>
      </c>
      <c r="K258" s="2">
        <f t="shared" si="38"/>
        <v>6.5252162081398613</v>
      </c>
      <c r="L258" s="2">
        <f t="shared" si="39"/>
        <v>29.829559808639367</v>
      </c>
      <c r="M258" s="2">
        <f t="shared" si="45"/>
        <v>21.62643086126354</v>
      </c>
      <c r="N258" s="2">
        <f t="shared" si="46"/>
        <v>10.81321543063177</v>
      </c>
      <c r="O258" s="2">
        <f t="shared" si="47"/>
        <v>39.684500630418597</v>
      </c>
      <c r="P258" s="2">
        <v>72.549266000000003</v>
      </c>
      <c r="Q258" s="2">
        <v>23.037125</v>
      </c>
    </row>
    <row r="259" spans="1:17" x14ac:dyDescent="0.25">
      <c r="A259" s="2">
        <v>278</v>
      </c>
      <c r="B259" s="2" t="s">
        <v>142</v>
      </c>
      <c r="C259" s="2">
        <v>4</v>
      </c>
      <c r="D259" s="2">
        <f t="shared" si="40"/>
        <v>10.16</v>
      </c>
      <c r="E259" s="2">
        <f t="shared" si="41"/>
        <v>3.2340284436273135</v>
      </c>
      <c r="F259" s="2">
        <f t="shared" si="42"/>
        <v>1.2732395447351628</v>
      </c>
      <c r="G259" s="2">
        <v>4.9856870000000004</v>
      </c>
      <c r="H259" s="2">
        <f t="shared" si="43"/>
        <v>16.357241337080001</v>
      </c>
      <c r="I259" s="2">
        <f>INDEX('Wood Density Lookup'!$B$2:$B$152,MATCH(B259,'Wood Density Lookup'!$A$2:$A$152,0))</f>
        <v>0.68</v>
      </c>
      <c r="J259" s="2">
        <f t="shared" si="44"/>
        <v>2.1905004127028822</v>
      </c>
      <c r="K259" s="2">
        <f t="shared" ref="K259:K322" si="48">0.28*J259</f>
        <v>0.61334011555680712</v>
      </c>
      <c r="L259" s="2">
        <f t="shared" ref="L259:L322" si="49">J259+K259</f>
        <v>2.8038405282596894</v>
      </c>
      <c r="M259" s="2">
        <f t="shared" si="45"/>
        <v>2.0327843829882748</v>
      </c>
      <c r="N259" s="2">
        <f t="shared" si="46"/>
        <v>1.0163921914941374</v>
      </c>
      <c r="O259" s="2">
        <f t="shared" si="47"/>
        <v>3.7301593427834843</v>
      </c>
      <c r="P259" s="2">
        <v>72.549266000000003</v>
      </c>
      <c r="Q259" s="2">
        <v>23.035765999999999</v>
      </c>
    </row>
    <row r="260" spans="1:17" x14ac:dyDescent="0.25">
      <c r="A260" s="2">
        <v>279</v>
      </c>
      <c r="B260" s="2" t="s">
        <v>82</v>
      </c>
      <c r="C260" s="2">
        <v>26</v>
      </c>
      <c r="D260" s="2">
        <f t="shared" si="40"/>
        <v>66.040000000000006</v>
      </c>
      <c r="E260" s="2">
        <f t="shared" si="41"/>
        <v>21.02118488357754</v>
      </c>
      <c r="F260" s="2">
        <f t="shared" si="42"/>
        <v>8.2760570407785572</v>
      </c>
      <c r="G260" s="2">
        <v>5.9666949999999996</v>
      </c>
      <c r="H260" s="2">
        <f t="shared" si="43"/>
        <v>19.575771623799998</v>
      </c>
      <c r="I260" s="2">
        <f>INDEX('Wood Density Lookup'!$B$2:$B$152,MATCH(B260,'Wood Density Lookup'!$A$2:$A$152,0))</f>
        <v>0.7</v>
      </c>
      <c r="J260" s="2">
        <f t="shared" si="44"/>
        <v>103.69882041758852</v>
      </c>
      <c r="K260" s="2">
        <f t="shared" si="48"/>
        <v>29.03566971692479</v>
      </c>
      <c r="L260" s="2">
        <f t="shared" si="49"/>
        <v>132.73449013451332</v>
      </c>
      <c r="M260" s="2">
        <f t="shared" si="45"/>
        <v>96.232505347522149</v>
      </c>
      <c r="N260" s="2">
        <f t="shared" si="46"/>
        <v>48.116252673761075</v>
      </c>
      <c r="O260" s="2">
        <f t="shared" si="47"/>
        <v>176.58664731270315</v>
      </c>
      <c r="P260" s="2">
        <v>72.549267999999998</v>
      </c>
      <c r="Q260" s="2">
        <v>23.035478999999999</v>
      </c>
    </row>
    <row r="261" spans="1:17" x14ac:dyDescent="0.25">
      <c r="A261" s="2">
        <v>280</v>
      </c>
      <c r="B261" s="2" t="s">
        <v>93</v>
      </c>
      <c r="C261" s="2">
        <v>35</v>
      </c>
      <c r="D261" s="2">
        <f t="shared" si="40"/>
        <v>88.9</v>
      </c>
      <c r="E261" s="2">
        <f t="shared" si="41"/>
        <v>28.297748881738993</v>
      </c>
      <c r="F261" s="2">
        <f t="shared" si="42"/>
        <v>11.140846016432674</v>
      </c>
      <c r="G261" s="2">
        <v>9.2137919999999998</v>
      </c>
      <c r="H261" s="2">
        <f t="shared" si="43"/>
        <v>30.228977345280001</v>
      </c>
      <c r="I261" s="2">
        <f>INDEX('Wood Density Lookup'!$B$2:$B$152,MATCH(B261,'Wood Density Lookup'!$A$2:$A$152,0))</f>
        <v>0.9</v>
      </c>
      <c r="J261" s="2">
        <f t="shared" si="44"/>
        <v>361.79896617809476</v>
      </c>
      <c r="K261" s="2">
        <f t="shared" si="48"/>
        <v>101.30371052986654</v>
      </c>
      <c r="L261" s="2">
        <f t="shared" si="49"/>
        <v>463.10267670796128</v>
      </c>
      <c r="M261" s="2">
        <f t="shared" si="45"/>
        <v>335.74944061327193</v>
      </c>
      <c r="N261" s="2">
        <f t="shared" si="46"/>
        <v>167.87472030663596</v>
      </c>
      <c r="O261" s="2">
        <f t="shared" si="47"/>
        <v>616.10022352535395</v>
      </c>
      <c r="P261" s="2">
        <v>72.549270000000007</v>
      </c>
      <c r="Q261" s="2">
        <v>23.035101999999998</v>
      </c>
    </row>
    <row r="262" spans="1:17" x14ac:dyDescent="0.25">
      <c r="A262" s="2">
        <v>281</v>
      </c>
      <c r="B262" s="2" t="s">
        <v>114</v>
      </c>
      <c r="C262" s="2">
        <v>6</v>
      </c>
      <c r="D262" s="2">
        <f t="shared" si="40"/>
        <v>15.24</v>
      </c>
      <c r="E262" s="2">
        <f t="shared" si="41"/>
        <v>4.8510426654409704</v>
      </c>
      <c r="F262" s="2">
        <f t="shared" si="42"/>
        <v>1.909859317102744</v>
      </c>
      <c r="G262" s="2">
        <v>5.6792280000000002</v>
      </c>
      <c r="H262" s="2">
        <f t="shared" si="43"/>
        <v>18.63263839152</v>
      </c>
      <c r="I262" s="2">
        <f>INDEX('Wood Density Lookup'!$B$2:$B$152,MATCH(B262,'Wood Density Lookup'!$A$2:$A$152,0))</f>
        <v>0.55000000000000004</v>
      </c>
      <c r="J262" s="2">
        <f t="shared" si="44"/>
        <v>4.4621638586160932</v>
      </c>
      <c r="K262" s="2">
        <f t="shared" si="48"/>
        <v>1.2494058804125061</v>
      </c>
      <c r="L262" s="2">
        <f t="shared" si="49"/>
        <v>5.7115697390285991</v>
      </c>
      <c r="M262" s="2">
        <f t="shared" si="45"/>
        <v>4.1408880607957341</v>
      </c>
      <c r="N262" s="2">
        <f t="shared" si="46"/>
        <v>2.0704440303978671</v>
      </c>
      <c r="O262" s="2">
        <f t="shared" si="47"/>
        <v>7.5985295915601716</v>
      </c>
      <c r="P262" s="2">
        <v>72.549272999999999</v>
      </c>
      <c r="Q262" s="2">
        <v>23.036977</v>
      </c>
    </row>
    <row r="263" spans="1:17" x14ac:dyDescent="0.25">
      <c r="A263" s="2">
        <v>282</v>
      </c>
      <c r="B263" s="2" t="s">
        <v>114</v>
      </c>
      <c r="C263" s="2">
        <v>31</v>
      </c>
      <c r="D263" s="2">
        <f t="shared" si="40"/>
        <v>78.739999999999995</v>
      </c>
      <c r="E263" s="2">
        <f t="shared" si="41"/>
        <v>25.063720438111677</v>
      </c>
      <c r="F263" s="2">
        <f t="shared" si="42"/>
        <v>9.8676064716975116</v>
      </c>
      <c r="G263" s="2">
        <v>11.123441</v>
      </c>
      <c r="H263" s="2">
        <f t="shared" si="43"/>
        <v>36.494230170439998</v>
      </c>
      <c r="I263" s="2">
        <f>INDEX('Wood Density Lookup'!$B$2:$B$152,MATCH(B263,'Wood Density Lookup'!$A$2:$A$152,0))</f>
        <v>0.55000000000000004</v>
      </c>
      <c r="J263" s="2">
        <f t="shared" si="44"/>
        <v>212.16578803317779</v>
      </c>
      <c r="K263" s="2">
        <f t="shared" si="48"/>
        <v>59.406420649289785</v>
      </c>
      <c r="L263" s="2">
        <f t="shared" si="49"/>
        <v>271.57220868246759</v>
      </c>
      <c r="M263" s="2">
        <f t="shared" si="45"/>
        <v>196.889851294789</v>
      </c>
      <c r="N263" s="2">
        <f t="shared" si="46"/>
        <v>98.444925647394498</v>
      </c>
      <c r="O263" s="2">
        <f t="shared" si="47"/>
        <v>361.29287712593782</v>
      </c>
      <c r="P263" s="2">
        <v>72.549274999999994</v>
      </c>
      <c r="Q263" s="2">
        <v>23.035173</v>
      </c>
    </row>
    <row r="264" spans="1:17" x14ac:dyDescent="0.25">
      <c r="A264" s="2">
        <v>283</v>
      </c>
      <c r="B264" s="2" t="s">
        <v>114</v>
      </c>
      <c r="C264" s="2">
        <v>18</v>
      </c>
      <c r="D264" s="2">
        <f t="shared" si="40"/>
        <v>45.72</v>
      </c>
      <c r="E264" s="2">
        <f t="shared" si="41"/>
        <v>14.55312799632291</v>
      </c>
      <c r="F264" s="2">
        <f t="shared" si="42"/>
        <v>5.7295779513082321</v>
      </c>
      <c r="G264" s="2">
        <v>7.9283229999999998</v>
      </c>
      <c r="H264" s="2">
        <f t="shared" si="43"/>
        <v>26.01155923132</v>
      </c>
      <c r="I264" s="2">
        <f>INDEX('Wood Density Lookup'!$B$2:$B$152,MATCH(B264,'Wood Density Lookup'!$A$2:$A$152,0))</f>
        <v>0.55000000000000004</v>
      </c>
      <c r="J264" s="2">
        <f t="shared" si="44"/>
        <v>52.759518749351585</v>
      </c>
      <c r="K264" s="2">
        <f t="shared" si="48"/>
        <v>14.772665249818445</v>
      </c>
      <c r="L264" s="2">
        <f t="shared" si="49"/>
        <v>67.53218399917003</v>
      </c>
      <c r="M264" s="2">
        <f t="shared" si="45"/>
        <v>48.960833399398268</v>
      </c>
      <c r="N264" s="2">
        <f t="shared" si="46"/>
        <v>24.480416699699134</v>
      </c>
      <c r="O264" s="2">
        <f t="shared" si="47"/>
        <v>89.84312928789582</v>
      </c>
      <c r="P264" s="2">
        <v>72.549282000000005</v>
      </c>
      <c r="Q264" s="2">
        <v>23.035927999999998</v>
      </c>
    </row>
    <row r="265" spans="1:17" x14ac:dyDescent="0.25">
      <c r="A265" s="2">
        <v>284</v>
      </c>
      <c r="B265" s="2" t="s">
        <v>148</v>
      </c>
      <c r="C265" s="2">
        <v>7</v>
      </c>
      <c r="D265" s="2">
        <f t="shared" si="40"/>
        <v>17.78</v>
      </c>
      <c r="E265" s="2">
        <f t="shared" si="41"/>
        <v>5.6595497763477987</v>
      </c>
      <c r="F265" s="2">
        <f t="shared" si="42"/>
        <v>2.228169203286535</v>
      </c>
      <c r="G265" s="2">
        <v>4.0085540000000002</v>
      </c>
      <c r="H265" s="2">
        <f t="shared" si="43"/>
        <v>13.151424305360001</v>
      </c>
      <c r="I265" s="2">
        <f>INDEX('Wood Density Lookup'!$B$2:$B$152,MATCH(B265,'Wood Density Lookup'!$A$2:$A$152,0))</f>
        <v>0.5</v>
      </c>
      <c r="J265" s="2">
        <f t="shared" si="44"/>
        <v>3.9098136511460031</v>
      </c>
      <c r="K265" s="2">
        <f t="shared" si="48"/>
        <v>1.0947478223208811</v>
      </c>
      <c r="L265" s="2">
        <f t="shared" si="49"/>
        <v>5.0045614734668842</v>
      </c>
      <c r="M265" s="2">
        <f t="shared" si="45"/>
        <v>3.6283070682634908</v>
      </c>
      <c r="N265" s="2">
        <f t="shared" si="46"/>
        <v>1.8141535341317454</v>
      </c>
      <c r="O265" s="2">
        <f t="shared" si="47"/>
        <v>6.6579434702635059</v>
      </c>
      <c r="P265" s="2">
        <v>72.549284</v>
      </c>
      <c r="Q265" s="2">
        <v>23.035761000000001</v>
      </c>
    </row>
    <row r="266" spans="1:17" x14ac:dyDescent="0.25">
      <c r="A266" s="2">
        <v>285</v>
      </c>
      <c r="B266" s="2" t="s">
        <v>15</v>
      </c>
      <c r="C266" s="2">
        <v>62</v>
      </c>
      <c r="D266" s="2">
        <f t="shared" si="40"/>
        <v>157.47999999999999</v>
      </c>
      <c r="E266" s="2">
        <f t="shared" si="41"/>
        <v>50.127440876223353</v>
      </c>
      <c r="F266" s="2">
        <f t="shared" si="42"/>
        <v>19.735212943395023</v>
      </c>
      <c r="G266" s="2">
        <v>14.874827</v>
      </c>
      <c r="H266" s="2">
        <f t="shared" si="43"/>
        <v>48.801927414680002</v>
      </c>
      <c r="I266" s="2">
        <f>INDEX('Wood Density Lookup'!$B$2:$B$152,MATCH(B266,'Wood Density Lookup'!$A$2:$A$152,0))</f>
        <v>0.75</v>
      </c>
      <c r="J266" s="2">
        <f t="shared" si="44"/>
        <v>1475.4869604433825</v>
      </c>
      <c r="K266" s="2">
        <f t="shared" si="48"/>
        <v>413.13634892414711</v>
      </c>
      <c r="L266" s="2">
        <f t="shared" si="49"/>
        <v>1888.6233093675296</v>
      </c>
      <c r="M266" s="2">
        <f t="shared" si="45"/>
        <v>1369.2518992914588</v>
      </c>
      <c r="N266" s="2">
        <f t="shared" si="46"/>
        <v>684.62594964572941</v>
      </c>
      <c r="O266" s="2">
        <f t="shared" si="47"/>
        <v>2512.5772351998266</v>
      </c>
      <c r="P266" s="2">
        <v>72.549288000000004</v>
      </c>
      <c r="Q266" s="2">
        <v>23.034258999999999</v>
      </c>
    </row>
    <row r="267" spans="1:17" x14ac:dyDescent="0.25">
      <c r="A267" s="2">
        <v>286</v>
      </c>
      <c r="B267" s="2" t="s">
        <v>15</v>
      </c>
      <c r="C267" s="2">
        <v>76</v>
      </c>
      <c r="D267" s="2">
        <f t="shared" si="40"/>
        <v>193.04</v>
      </c>
      <c r="E267" s="2">
        <f t="shared" si="41"/>
        <v>61.446540428918951</v>
      </c>
      <c r="F267" s="2">
        <f t="shared" si="42"/>
        <v>24.191551349968091</v>
      </c>
      <c r="G267" s="2">
        <v>12.117175</v>
      </c>
      <c r="H267" s="2">
        <f t="shared" si="43"/>
        <v>39.754512427000002</v>
      </c>
      <c r="I267" s="2">
        <f>INDEX('Wood Density Lookup'!$B$2:$B$152,MATCH(B267,'Wood Density Lookup'!$A$2:$A$152,0))</f>
        <v>0.75</v>
      </c>
      <c r="J267" s="2">
        <f t="shared" si="44"/>
        <v>1797.3042439153505</v>
      </c>
      <c r="K267" s="2">
        <f t="shared" si="48"/>
        <v>503.24518829629818</v>
      </c>
      <c r="L267" s="2">
        <f t="shared" si="49"/>
        <v>2300.5494322116488</v>
      </c>
      <c r="M267" s="2">
        <f t="shared" si="45"/>
        <v>1667.8983383534453</v>
      </c>
      <c r="N267" s="2">
        <f t="shared" si="46"/>
        <v>833.94916917672265</v>
      </c>
      <c r="O267" s="2">
        <f t="shared" si="47"/>
        <v>3060.5934508785722</v>
      </c>
      <c r="P267" s="2">
        <v>72.549288000000004</v>
      </c>
      <c r="Q267" s="2">
        <v>23.036466999999998</v>
      </c>
    </row>
    <row r="268" spans="1:17" x14ac:dyDescent="0.25">
      <c r="A268" s="2">
        <v>287</v>
      </c>
      <c r="B268" s="2" t="s">
        <v>143</v>
      </c>
      <c r="C268" s="2">
        <v>35</v>
      </c>
      <c r="D268" s="2">
        <f t="shared" si="40"/>
        <v>88.9</v>
      </c>
      <c r="E268" s="2">
        <f t="shared" si="41"/>
        <v>28.297748881738993</v>
      </c>
      <c r="F268" s="2">
        <f t="shared" si="42"/>
        <v>11.140846016432674</v>
      </c>
      <c r="G268" s="2">
        <v>4.2016429999999998</v>
      </c>
      <c r="H268" s="2">
        <f t="shared" si="43"/>
        <v>13.784918420119999</v>
      </c>
      <c r="I268" s="2">
        <f>INDEX('Wood Density Lookup'!$B$2:$B$152,MATCH(B268,'Wood Density Lookup'!$A$2:$A$152,0))</f>
        <v>0.75</v>
      </c>
      <c r="J268" s="2">
        <f t="shared" si="44"/>
        <v>140.71864114036512</v>
      </c>
      <c r="K268" s="2">
        <f t="shared" si="48"/>
        <v>39.401219519302238</v>
      </c>
      <c r="L268" s="2">
        <f t="shared" si="49"/>
        <v>180.11986065966735</v>
      </c>
      <c r="M268" s="2">
        <f t="shared" si="45"/>
        <v>130.58689897825883</v>
      </c>
      <c r="N268" s="2">
        <f t="shared" si="46"/>
        <v>65.293449489129415</v>
      </c>
      <c r="O268" s="2">
        <f t="shared" si="47"/>
        <v>239.62695962510494</v>
      </c>
      <c r="P268" s="2">
        <v>72.549296999999996</v>
      </c>
      <c r="Q268" s="2">
        <v>23.036049999999999</v>
      </c>
    </row>
    <row r="269" spans="1:17" x14ac:dyDescent="0.25">
      <c r="A269" s="2">
        <v>288</v>
      </c>
      <c r="B269" s="2" t="s">
        <v>3</v>
      </c>
      <c r="C269" s="2">
        <v>11</v>
      </c>
      <c r="D269" s="2">
        <f t="shared" si="40"/>
        <v>27.94</v>
      </c>
      <c r="E269" s="2">
        <f t="shared" si="41"/>
        <v>8.8935782199751117</v>
      </c>
      <c r="F269" s="2">
        <f t="shared" si="42"/>
        <v>3.5014087480216975</v>
      </c>
      <c r="G269" s="2">
        <v>7.3401360000000002</v>
      </c>
      <c r="H269" s="2">
        <f t="shared" si="43"/>
        <v>24.08181179424</v>
      </c>
      <c r="I269" s="2">
        <f>INDEX('Wood Density Lookup'!$B$2:$B$152,MATCH(B269,'Wood Density Lookup'!$A$2:$A$152,0))</f>
        <v>0.62</v>
      </c>
      <c r="J269" s="2">
        <f t="shared" si="44"/>
        <v>21.033616248808066</v>
      </c>
      <c r="K269" s="2">
        <f t="shared" si="48"/>
        <v>5.8894125496662593</v>
      </c>
      <c r="L269" s="2">
        <f t="shared" si="49"/>
        <v>26.923028798474327</v>
      </c>
      <c r="M269" s="2">
        <f t="shared" si="45"/>
        <v>19.519195878893886</v>
      </c>
      <c r="N269" s="2">
        <f t="shared" si="46"/>
        <v>9.7595979394469428</v>
      </c>
      <c r="O269" s="2">
        <f t="shared" si="47"/>
        <v>35.817724437770281</v>
      </c>
      <c r="P269" s="2">
        <v>72.549296999999996</v>
      </c>
      <c r="Q269" s="2">
        <v>23.034047000000001</v>
      </c>
    </row>
    <row r="270" spans="1:17" x14ac:dyDescent="0.25">
      <c r="A270" s="2">
        <v>289</v>
      </c>
      <c r="B270" s="2" t="s">
        <v>137</v>
      </c>
      <c r="C270" s="2">
        <v>3</v>
      </c>
      <c r="D270" s="2">
        <f t="shared" si="40"/>
        <v>7.62</v>
      </c>
      <c r="E270" s="2">
        <f t="shared" si="41"/>
        <v>2.4255213327204852</v>
      </c>
      <c r="F270" s="2">
        <f t="shared" si="42"/>
        <v>0.95492965855137202</v>
      </c>
      <c r="G270" s="2">
        <v>11.391852999999999</v>
      </c>
      <c r="H270" s="2">
        <f t="shared" si="43"/>
        <v>37.374846996519999</v>
      </c>
      <c r="I270" s="2">
        <f>INDEX('Wood Density Lookup'!$B$2:$B$152,MATCH(B270,'Wood Density Lookup'!$A$2:$A$152,0))</f>
        <v>0.55000000000000004</v>
      </c>
      <c r="J270" s="2">
        <f t="shared" si="44"/>
        <v>2.2750173286883637</v>
      </c>
      <c r="K270" s="2">
        <f t="shared" si="48"/>
        <v>0.63700485203274193</v>
      </c>
      <c r="L270" s="2">
        <f t="shared" si="49"/>
        <v>2.9120221807211055</v>
      </c>
      <c r="M270" s="2">
        <f t="shared" si="45"/>
        <v>2.1112160810228016</v>
      </c>
      <c r="N270" s="2">
        <f t="shared" si="46"/>
        <v>1.0556080405114008</v>
      </c>
      <c r="O270" s="2">
        <f t="shared" si="47"/>
        <v>3.874081508676841</v>
      </c>
      <c r="P270" s="2">
        <v>72.549299000000005</v>
      </c>
      <c r="Q270" s="2">
        <v>23.036977</v>
      </c>
    </row>
    <row r="271" spans="1:17" x14ac:dyDescent="0.25">
      <c r="A271" s="2">
        <v>290</v>
      </c>
      <c r="B271" s="2" t="s">
        <v>114</v>
      </c>
      <c r="C271" s="2">
        <v>23</v>
      </c>
      <c r="D271" s="2">
        <f t="shared" si="40"/>
        <v>58.42</v>
      </c>
      <c r="E271" s="2">
        <f t="shared" si="41"/>
        <v>18.595663550857051</v>
      </c>
      <c r="F271" s="2">
        <f t="shared" si="42"/>
        <v>7.3211273822271856</v>
      </c>
      <c r="G271" s="2">
        <v>9.4595649999999996</v>
      </c>
      <c r="H271" s="2">
        <f t="shared" si="43"/>
        <v>31.035319234599999</v>
      </c>
      <c r="I271" s="2">
        <f>INDEX('Wood Density Lookup'!$B$2:$B$152,MATCH(B271,'Wood Density Lookup'!$A$2:$A$152,0))</f>
        <v>0.55000000000000004</v>
      </c>
      <c r="J271" s="2">
        <f t="shared" si="44"/>
        <v>101.14651090611892</v>
      </c>
      <c r="K271" s="2">
        <f t="shared" si="48"/>
        <v>28.321023053713301</v>
      </c>
      <c r="L271" s="2">
        <f t="shared" si="49"/>
        <v>129.46753395983222</v>
      </c>
      <c r="M271" s="2">
        <f t="shared" si="45"/>
        <v>93.863962120878355</v>
      </c>
      <c r="N271" s="2">
        <f t="shared" si="46"/>
        <v>46.931981060439178</v>
      </c>
      <c r="O271" s="2">
        <f t="shared" si="47"/>
        <v>172.24037049181177</v>
      </c>
      <c r="P271" s="2">
        <v>72.549299000000005</v>
      </c>
      <c r="Q271" s="2">
        <v>23.035927000000001</v>
      </c>
    </row>
    <row r="272" spans="1:17" x14ac:dyDescent="0.25">
      <c r="A272" s="2">
        <v>291</v>
      </c>
      <c r="B272" s="2" t="s">
        <v>15</v>
      </c>
      <c r="C272" s="2">
        <v>66</v>
      </c>
      <c r="D272" s="2">
        <f t="shared" si="40"/>
        <v>167.64000000000001</v>
      </c>
      <c r="E272" s="2">
        <f t="shared" si="41"/>
        <v>53.361469319850677</v>
      </c>
      <c r="F272" s="2">
        <f t="shared" si="42"/>
        <v>21.008452488130185</v>
      </c>
      <c r="G272" s="2">
        <v>13.068497000000001</v>
      </c>
      <c r="H272" s="2">
        <f t="shared" si="43"/>
        <v>42.875647697480005</v>
      </c>
      <c r="I272" s="2">
        <f>INDEX('Wood Density Lookup'!$B$2:$B$152,MATCH(B272,'Wood Density Lookup'!$A$2:$A$152,0))</f>
        <v>0.75</v>
      </c>
      <c r="J272" s="2">
        <f t="shared" si="44"/>
        <v>1469.1282499788706</v>
      </c>
      <c r="K272" s="2">
        <f t="shared" si="48"/>
        <v>411.35590999408379</v>
      </c>
      <c r="L272" s="2">
        <f t="shared" si="49"/>
        <v>1880.4841599729543</v>
      </c>
      <c r="M272" s="2">
        <f t="shared" si="45"/>
        <v>1363.3510159803918</v>
      </c>
      <c r="N272" s="2">
        <f t="shared" si="46"/>
        <v>681.67550799019591</v>
      </c>
      <c r="O272" s="2">
        <f t="shared" si="47"/>
        <v>2501.749114324019</v>
      </c>
      <c r="P272" s="2">
        <v>72.549304000000006</v>
      </c>
      <c r="Q272" s="2">
        <v>23.034946999999999</v>
      </c>
    </row>
    <row r="273" spans="1:17" x14ac:dyDescent="0.25">
      <c r="A273" s="2">
        <v>292</v>
      </c>
      <c r="B273" s="2" t="s">
        <v>114</v>
      </c>
      <c r="C273" s="2">
        <v>6</v>
      </c>
      <c r="D273" s="2">
        <f t="shared" si="40"/>
        <v>15.24</v>
      </c>
      <c r="E273" s="2">
        <f t="shared" si="41"/>
        <v>4.8510426654409704</v>
      </c>
      <c r="F273" s="2">
        <f t="shared" si="42"/>
        <v>1.909859317102744</v>
      </c>
      <c r="G273" s="2">
        <v>2.0648080000000002</v>
      </c>
      <c r="H273" s="2">
        <f t="shared" si="43"/>
        <v>6.774304678720001</v>
      </c>
      <c r="I273" s="2">
        <f>INDEX('Wood Density Lookup'!$B$2:$B$152,MATCH(B273,'Wood Density Lookup'!$A$2:$A$152,0))</f>
        <v>0.55000000000000004</v>
      </c>
      <c r="J273" s="2">
        <f t="shared" si="44"/>
        <v>1.6621940189990914</v>
      </c>
      <c r="K273" s="2">
        <f t="shared" si="48"/>
        <v>0.46541432531974564</v>
      </c>
      <c r="L273" s="2">
        <f t="shared" si="49"/>
        <v>2.1276083443188369</v>
      </c>
      <c r="M273" s="2">
        <f t="shared" si="45"/>
        <v>1.5425160496311567</v>
      </c>
      <c r="N273" s="2">
        <f t="shared" si="46"/>
        <v>0.77125802481557837</v>
      </c>
      <c r="O273" s="2">
        <f t="shared" si="47"/>
        <v>2.8305169510731725</v>
      </c>
      <c r="P273" s="2">
        <v>72.549306000000001</v>
      </c>
      <c r="Q273" s="2">
        <v>23.035443000000001</v>
      </c>
    </row>
    <row r="274" spans="1:17" x14ac:dyDescent="0.25">
      <c r="A274" s="2">
        <v>293</v>
      </c>
      <c r="B274" s="2" t="s">
        <v>148</v>
      </c>
      <c r="C274" s="2">
        <v>8</v>
      </c>
      <c r="D274" s="2">
        <f t="shared" si="40"/>
        <v>20.32</v>
      </c>
      <c r="E274" s="2">
        <f t="shared" si="41"/>
        <v>6.4680568872546269</v>
      </c>
      <c r="F274" s="2">
        <f t="shared" si="42"/>
        <v>2.5464790894703255</v>
      </c>
      <c r="G274" s="2">
        <v>2.0225770000000001</v>
      </c>
      <c r="H274" s="2">
        <f t="shared" si="43"/>
        <v>6.6357515246799998</v>
      </c>
      <c r="I274" s="2">
        <f>INDEX('Wood Density Lookup'!$B$2:$B$152,MATCH(B274,'Wood Density Lookup'!$A$2:$A$152,0))</f>
        <v>0.5</v>
      </c>
      <c r="J274" s="2">
        <f t="shared" si="44"/>
        <v>2.6025773698957719</v>
      </c>
      <c r="K274" s="2">
        <f t="shared" si="48"/>
        <v>0.72872166357081625</v>
      </c>
      <c r="L274" s="2">
        <f t="shared" si="49"/>
        <v>3.3312990334665882</v>
      </c>
      <c r="M274" s="2">
        <f t="shared" si="45"/>
        <v>2.4151917992632765</v>
      </c>
      <c r="N274" s="2">
        <f t="shared" si="46"/>
        <v>1.2075958996316383</v>
      </c>
      <c r="O274" s="2">
        <f t="shared" si="47"/>
        <v>4.4318769516481122</v>
      </c>
      <c r="P274" s="2">
        <v>72.549306999999999</v>
      </c>
      <c r="Q274" s="2">
        <v>23.03576</v>
      </c>
    </row>
    <row r="275" spans="1:17" x14ac:dyDescent="0.25">
      <c r="A275" s="2">
        <v>294</v>
      </c>
      <c r="B275" s="2" t="s">
        <v>34</v>
      </c>
      <c r="C275" s="2">
        <v>45</v>
      </c>
      <c r="D275" s="2">
        <f t="shared" si="40"/>
        <v>114.3</v>
      </c>
      <c r="E275" s="2">
        <f t="shared" si="41"/>
        <v>36.382819990807278</v>
      </c>
      <c r="F275" s="2">
        <f t="shared" si="42"/>
        <v>14.323944878270581</v>
      </c>
      <c r="G275" s="2">
        <v>2.9200189999999999</v>
      </c>
      <c r="H275" s="2">
        <f t="shared" si="43"/>
        <v>9.5801151359599999</v>
      </c>
      <c r="I275" s="2">
        <f>INDEX('Wood Density Lookup'!$B$2:$B$152,MATCH(B275,'Wood Density Lookup'!$A$2:$A$152,0))</f>
        <v>0.6</v>
      </c>
      <c r="J275" s="2">
        <f t="shared" si="44"/>
        <v>129.59158328902808</v>
      </c>
      <c r="K275" s="2">
        <f t="shared" si="48"/>
        <v>36.285643320927868</v>
      </c>
      <c r="L275" s="2">
        <f t="shared" si="49"/>
        <v>165.87722660995595</v>
      </c>
      <c r="M275" s="2">
        <f t="shared" si="45"/>
        <v>120.26098929221806</v>
      </c>
      <c r="N275" s="2">
        <f t="shared" si="46"/>
        <v>60.130494646109028</v>
      </c>
      <c r="O275" s="2">
        <f t="shared" si="47"/>
        <v>220.67891535122013</v>
      </c>
      <c r="P275" s="2">
        <v>72.549311000000003</v>
      </c>
      <c r="Q275" s="2">
        <v>23.037213000000001</v>
      </c>
    </row>
    <row r="276" spans="1:17" x14ac:dyDescent="0.25">
      <c r="A276" s="2">
        <v>295</v>
      </c>
      <c r="B276" s="2" t="s">
        <v>15</v>
      </c>
      <c r="C276" s="2">
        <v>11</v>
      </c>
      <c r="D276" s="2">
        <f t="shared" si="40"/>
        <v>27.94</v>
      </c>
      <c r="E276" s="2">
        <f t="shared" si="41"/>
        <v>8.8935782199751117</v>
      </c>
      <c r="F276" s="2">
        <f t="shared" si="42"/>
        <v>3.5014087480216975</v>
      </c>
      <c r="G276" s="2">
        <v>5.2399100000000001</v>
      </c>
      <c r="H276" s="2">
        <f t="shared" si="43"/>
        <v>17.191306324399999</v>
      </c>
      <c r="I276" s="2">
        <f>INDEX('Wood Density Lookup'!$B$2:$B$152,MATCH(B276,'Wood Density Lookup'!$A$2:$A$152,0))</f>
        <v>0.75</v>
      </c>
      <c r="J276" s="2">
        <f t="shared" si="44"/>
        <v>18.227717867741362</v>
      </c>
      <c r="K276" s="2">
        <f t="shared" si="48"/>
        <v>5.1037610029675822</v>
      </c>
      <c r="L276" s="2">
        <f t="shared" si="49"/>
        <v>23.331478870708942</v>
      </c>
      <c r="M276" s="2">
        <f t="shared" si="45"/>
        <v>16.915322181263981</v>
      </c>
      <c r="N276" s="2">
        <f t="shared" si="46"/>
        <v>8.4576610906319907</v>
      </c>
      <c r="O276" s="2">
        <f t="shared" si="47"/>
        <v>31.039616202619406</v>
      </c>
      <c r="P276" s="2">
        <v>72.549312</v>
      </c>
      <c r="Q276" s="2">
        <v>23.038616999999999</v>
      </c>
    </row>
    <row r="277" spans="1:17" x14ac:dyDescent="0.25">
      <c r="A277" s="2">
        <v>296</v>
      </c>
      <c r="B277" s="2" t="s">
        <v>123</v>
      </c>
      <c r="C277" s="2">
        <v>29</v>
      </c>
      <c r="D277" s="2">
        <f t="shared" si="40"/>
        <v>73.66</v>
      </c>
      <c r="E277" s="2">
        <f t="shared" si="41"/>
        <v>23.446706216298022</v>
      </c>
      <c r="F277" s="2">
        <f t="shared" si="42"/>
        <v>9.2309866993299305</v>
      </c>
      <c r="G277" s="2">
        <v>4.007733</v>
      </c>
      <c r="H277" s="2">
        <f t="shared" si="43"/>
        <v>13.148730735719999</v>
      </c>
      <c r="I277" s="2">
        <f>INDEX('Wood Density Lookup'!$B$2:$B$152,MATCH(B277,'Wood Density Lookup'!$A$2:$A$152,0))</f>
        <v>0.85</v>
      </c>
      <c r="J277" s="2">
        <f t="shared" si="44"/>
        <v>105.18574828261848</v>
      </c>
      <c r="K277" s="2">
        <f t="shared" si="48"/>
        <v>29.452009519133178</v>
      </c>
      <c r="L277" s="2">
        <f t="shared" si="49"/>
        <v>134.63775780175166</v>
      </c>
      <c r="M277" s="2">
        <f t="shared" si="45"/>
        <v>97.61237440626995</v>
      </c>
      <c r="N277" s="2">
        <f t="shared" si="46"/>
        <v>48.806187203134975</v>
      </c>
      <c r="O277" s="2">
        <f t="shared" si="47"/>
        <v>179.11870703550537</v>
      </c>
      <c r="P277" s="2">
        <v>72.549312</v>
      </c>
      <c r="Q277" s="2">
        <v>23.035475999999999</v>
      </c>
    </row>
    <row r="278" spans="1:17" x14ac:dyDescent="0.25">
      <c r="A278" s="2">
        <v>297</v>
      </c>
      <c r="B278" s="2" t="s">
        <v>15</v>
      </c>
      <c r="C278" s="2">
        <v>122</v>
      </c>
      <c r="D278" s="2">
        <f t="shared" si="40"/>
        <v>309.88</v>
      </c>
      <c r="E278" s="2">
        <f t="shared" si="41"/>
        <v>98.637867530633059</v>
      </c>
      <c r="F278" s="2">
        <f t="shared" si="42"/>
        <v>38.833806114422465</v>
      </c>
      <c r="G278" s="2">
        <v>14.365974</v>
      </c>
      <c r="H278" s="2">
        <f t="shared" si="43"/>
        <v>47.132462138160001</v>
      </c>
      <c r="I278" s="2">
        <f>INDEX('Wood Density Lookup'!$B$2:$B$152,MATCH(B278,'Wood Density Lookup'!$A$2:$A$152,0))</f>
        <v>0.75</v>
      </c>
      <c r="J278" s="2">
        <f t="shared" si="44"/>
        <v>5345.7315335076783</v>
      </c>
      <c r="K278" s="2">
        <f t="shared" si="48"/>
        <v>1496.80482938215</v>
      </c>
      <c r="L278" s="2">
        <f t="shared" si="49"/>
        <v>6842.5363628898285</v>
      </c>
      <c r="M278" s="2">
        <f t="shared" si="45"/>
        <v>4960.8388630951258</v>
      </c>
      <c r="N278" s="2">
        <f t="shared" si="46"/>
        <v>2480.4194315475629</v>
      </c>
      <c r="O278" s="2">
        <f t="shared" si="47"/>
        <v>9103.1393137795549</v>
      </c>
      <c r="P278" s="2">
        <v>72.549315000000007</v>
      </c>
      <c r="Q278" s="2">
        <v>23.038682000000001</v>
      </c>
    </row>
    <row r="279" spans="1:17" x14ac:dyDescent="0.25">
      <c r="A279" s="2">
        <v>298</v>
      </c>
      <c r="B279" s="2" t="s">
        <v>143</v>
      </c>
      <c r="C279" s="2">
        <v>45</v>
      </c>
      <c r="D279" s="2">
        <f t="shared" si="40"/>
        <v>114.3</v>
      </c>
      <c r="E279" s="2">
        <f t="shared" si="41"/>
        <v>36.382819990807278</v>
      </c>
      <c r="F279" s="2">
        <f t="shared" si="42"/>
        <v>14.323944878270581</v>
      </c>
      <c r="G279" s="2">
        <v>14.951953</v>
      </c>
      <c r="H279" s="2">
        <f t="shared" si="43"/>
        <v>49.054965480519996</v>
      </c>
      <c r="I279" s="2">
        <f>INDEX('Wood Density Lookup'!$B$2:$B$152,MATCH(B279,'Wood Density Lookup'!$A$2:$A$152,0))</f>
        <v>0.75</v>
      </c>
      <c r="J279" s="2">
        <f t="shared" si="44"/>
        <v>793.32240642973352</v>
      </c>
      <c r="K279" s="2">
        <f t="shared" si="48"/>
        <v>222.1302738003254</v>
      </c>
      <c r="L279" s="2">
        <f t="shared" si="49"/>
        <v>1015.4526802300589</v>
      </c>
      <c r="M279" s="2">
        <f t="shared" si="45"/>
        <v>736.20319316679274</v>
      </c>
      <c r="N279" s="2">
        <f t="shared" si="46"/>
        <v>368.10159658339637</v>
      </c>
      <c r="O279" s="2">
        <f t="shared" si="47"/>
        <v>1350.9328594610647</v>
      </c>
      <c r="P279" s="2">
        <v>72.549316000000005</v>
      </c>
      <c r="Q279" s="2">
        <v>23.035986999999999</v>
      </c>
    </row>
    <row r="280" spans="1:17" x14ac:dyDescent="0.25">
      <c r="A280" s="2">
        <v>299</v>
      </c>
      <c r="B280" s="2" t="s">
        <v>56</v>
      </c>
      <c r="C280" s="2">
        <v>36</v>
      </c>
      <c r="D280" s="2">
        <f t="shared" si="40"/>
        <v>91.44</v>
      </c>
      <c r="E280" s="2">
        <f t="shared" si="41"/>
        <v>29.106255992645821</v>
      </c>
      <c r="F280" s="2">
        <f t="shared" si="42"/>
        <v>11.459155902616464</v>
      </c>
      <c r="G280" s="2">
        <v>12.755229</v>
      </c>
      <c r="H280" s="2">
        <f t="shared" si="43"/>
        <v>41.847865512360002</v>
      </c>
      <c r="I280" s="2">
        <f>INDEX('Wood Density Lookup'!$B$2:$B$152,MATCH(B280,'Wood Density Lookup'!$A$2:$A$152,0))</f>
        <v>0.65</v>
      </c>
      <c r="J280" s="2">
        <f t="shared" si="44"/>
        <v>382.18319521427293</v>
      </c>
      <c r="K280" s="2">
        <f t="shared" si="48"/>
        <v>107.01129465999642</v>
      </c>
      <c r="L280" s="2">
        <f t="shared" si="49"/>
        <v>489.19448987426938</v>
      </c>
      <c r="M280" s="2">
        <f t="shared" si="45"/>
        <v>354.66600515884528</v>
      </c>
      <c r="N280" s="2">
        <f t="shared" si="46"/>
        <v>177.33300257942264</v>
      </c>
      <c r="O280" s="2">
        <f t="shared" si="47"/>
        <v>650.81211946648102</v>
      </c>
      <c r="P280" s="2">
        <v>72.549318</v>
      </c>
      <c r="Q280" s="2">
        <v>23.034839000000002</v>
      </c>
    </row>
    <row r="281" spans="1:17" x14ac:dyDescent="0.25">
      <c r="A281" s="2">
        <v>300</v>
      </c>
      <c r="B281" s="2" t="s">
        <v>15</v>
      </c>
      <c r="C281" s="2">
        <v>77</v>
      </c>
      <c r="D281" s="2">
        <f t="shared" si="40"/>
        <v>195.58</v>
      </c>
      <c r="E281" s="2">
        <f t="shared" si="41"/>
        <v>62.255047539825789</v>
      </c>
      <c r="F281" s="2">
        <f t="shared" si="42"/>
        <v>24.509861236151881</v>
      </c>
      <c r="G281" s="2">
        <v>12.407902999999999</v>
      </c>
      <c r="H281" s="2">
        <f t="shared" si="43"/>
        <v>40.708344478519997</v>
      </c>
      <c r="I281" s="2">
        <f>INDEX('Wood Density Lookup'!$B$2:$B$152,MATCH(B281,'Wood Density Lookup'!$A$2:$A$152,0))</f>
        <v>0.75</v>
      </c>
      <c r="J281" s="2">
        <f t="shared" si="44"/>
        <v>1886.9189432898429</v>
      </c>
      <c r="K281" s="2">
        <f t="shared" si="48"/>
        <v>528.33730412115608</v>
      </c>
      <c r="L281" s="2">
        <f t="shared" si="49"/>
        <v>2415.2562474109991</v>
      </c>
      <c r="M281" s="2">
        <f t="shared" si="45"/>
        <v>1751.0607793729744</v>
      </c>
      <c r="N281" s="2">
        <f t="shared" si="46"/>
        <v>875.53038968648718</v>
      </c>
      <c r="O281" s="2">
        <f t="shared" si="47"/>
        <v>3213.1965301494079</v>
      </c>
      <c r="P281" s="2">
        <v>72.549322000000004</v>
      </c>
      <c r="Q281" s="2">
        <v>23.035876999999999</v>
      </c>
    </row>
    <row r="282" spans="1:17" x14ac:dyDescent="0.25">
      <c r="A282" s="2">
        <v>301</v>
      </c>
      <c r="B282" s="2" t="s">
        <v>34</v>
      </c>
      <c r="C282" s="2">
        <v>36</v>
      </c>
      <c r="D282" s="2">
        <f t="shared" si="40"/>
        <v>91.44</v>
      </c>
      <c r="E282" s="2">
        <f t="shared" si="41"/>
        <v>29.106255992645821</v>
      </c>
      <c r="F282" s="2">
        <f t="shared" si="42"/>
        <v>11.459155902616464</v>
      </c>
      <c r="G282" s="2">
        <v>12.379884000000001</v>
      </c>
      <c r="H282" s="2">
        <f t="shared" si="43"/>
        <v>40.616418622560005</v>
      </c>
      <c r="I282" s="2">
        <f>INDEX('Wood Density Lookup'!$B$2:$B$152,MATCH(B282,'Wood Density Lookup'!$A$2:$A$152,0))</f>
        <v>0.6</v>
      </c>
      <c r="J282" s="2">
        <f t="shared" si="44"/>
        <v>343.30759147538276</v>
      </c>
      <c r="K282" s="2">
        <f t="shared" si="48"/>
        <v>96.126125613107178</v>
      </c>
      <c r="L282" s="2">
        <f t="shared" si="49"/>
        <v>439.43371708848997</v>
      </c>
      <c r="M282" s="2">
        <f t="shared" si="45"/>
        <v>318.58944488915523</v>
      </c>
      <c r="N282" s="2">
        <f t="shared" si="46"/>
        <v>159.29472244457762</v>
      </c>
      <c r="O282" s="2">
        <f t="shared" si="47"/>
        <v>584.61163137159986</v>
      </c>
      <c r="P282" s="2">
        <v>72.549322000000004</v>
      </c>
      <c r="Q282" s="2">
        <v>23.037177</v>
      </c>
    </row>
    <row r="283" spans="1:17" x14ac:dyDescent="0.25">
      <c r="A283" s="2">
        <v>302</v>
      </c>
      <c r="B283" s="2" t="s">
        <v>22</v>
      </c>
      <c r="C283" s="2">
        <v>4</v>
      </c>
      <c r="D283" s="2">
        <f t="shared" si="40"/>
        <v>10.16</v>
      </c>
      <c r="E283" s="2">
        <f t="shared" si="41"/>
        <v>3.2340284436273135</v>
      </c>
      <c r="F283" s="2">
        <f t="shared" si="42"/>
        <v>1.2732395447351628</v>
      </c>
      <c r="G283" s="2">
        <v>7.0616700000000003</v>
      </c>
      <c r="H283" s="2">
        <f t="shared" si="43"/>
        <v>23.168209402800002</v>
      </c>
      <c r="I283" s="2">
        <f>INDEX('Wood Density Lookup'!$B$2:$B$152,MATCH(B283,'Wood Density Lookup'!$A$2:$A$152,0))</f>
        <v>0.37</v>
      </c>
      <c r="J283" s="2">
        <f t="shared" si="44"/>
        <v>1.6987659753323299</v>
      </c>
      <c r="K283" s="2">
        <f t="shared" si="48"/>
        <v>0.47565447309305242</v>
      </c>
      <c r="L283" s="2">
        <f t="shared" si="49"/>
        <v>2.1744204484253822</v>
      </c>
      <c r="M283" s="2">
        <f t="shared" si="45"/>
        <v>1.5764548251084021</v>
      </c>
      <c r="N283" s="2">
        <f t="shared" si="46"/>
        <v>0.78822741255420103</v>
      </c>
      <c r="O283" s="2">
        <f t="shared" si="47"/>
        <v>2.8927946040739179</v>
      </c>
      <c r="P283" s="2">
        <v>72.549322000000004</v>
      </c>
      <c r="Q283" s="2">
        <v>23.035928999999999</v>
      </c>
    </row>
    <row r="284" spans="1:17" x14ac:dyDescent="0.25">
      <c r="A284" s="2">
        <v>303</v>
      </c>
      <c r="B284" s="2" t="s">
        <v>15</v>
      </c>
      <c r="C284" s="2">
        <v>1</v>
      </c>
      <c r="D284" s="2">
        <f t="shared" si="40"/>
        <v>2.54</v>
      </c>
      <c r="E284" s="2">
        <f t="shared" si="41"/>
        <v>0.80850711090682836</v>
      </c>
      <c r="F284" s="2">
        <f t="shared" si="42"/>
        <v>0.31830988618379069</v>
      </c>
      <c r="G284" s="2">
        <v>2.8091339999999998</v>
      </c>
      <c r="H284" s="2">
        <f t="shared" si="43"/>
        <v>9.2163191925599985</v>
      </c>
      <c r="I284" s="2">
        <f>INDEX('Wood Density Lookup'!$B$2:$B$152,MATCH(B284,'Wood Density Lookup'!$A$2:$A$152,0))</f>
        <v>0.75</v>
      </c>
      <c r="J284" s="2">
        <f t="shared" si="44"/>
        <v>9.197725366480064E-2</v>
      </c>
      <c r="K284" s="2">
        <f t="shared" si="48"/>
        <v>2.5753631026144183E-2</v>
      </c>
      <c r="L284" s="2">
        <f t="shared" si="49"/>
        <v>0.11773088469094482</v>
      </c>
      <c r="M284" s="2">
        <f t="shared" si="45"/>
        <v>8.5354891400934996E-2</v>
      </c>
      <c r="N284" s="2">
        <f t="shared" si="46"/>
        <v>4.2677445700467498E-2</v>
      </c>
      <c r="O284" s="2">
        <f t="shared" si="47"/>
        <v>0.15662622572071572</v>
      </c>
      <c r="P284" s="2">
        <v>72.549325999999994</v>
      </c>
      <c r="Q284" s="2">
        <v>23.038429000000001</v>
      </c>
    </row>
    <row r="285" spans="1:17" x14ac:dyDescent="0.25">
      <c r="A285" s="2">
        <v>304</v>
      </c>
      <c r="B285" s="2" t="s">
        <v>137</v>
      </c>
      <c r="C285" s="2">
        <v>12</v>
      </c>
      <c r="D285" s="2">
        <f t="shared" si="40"/>
        <v>30.48</v>
      </c>
      <c r="E285" s="2">
        <f t="shared" si="41"/>
        <v>9.7020853308819408</v>
      </c>
      <c r="F285" s="2">
        <f t="shared" si="42"/>
        <v>3.8197186342054881</v>
      </c>
      <c r="G285" s="2">
        <v>4.1913600000000004</v>
      </c>
      <c r="H285" s="2">
        <f t="shared" si="43"/>
        <v>13.751181542400001</v>
      </c>
      <c r="I285" s="2">
        <f>INDEX('Wood Density Lookup'!$B$2:$B$152,MATCH(B285,'Wood Density Lookup'!$A$2:$A$152,0))</f>
        <v>0.55000000000000004</v>
      </c>
      <c r="J285" s="2">
        <f t="shared" si="44"/>
        <v>12.834771760669909</v>
      </c>
      <c r="K285" s="2">
        <f t="shared" si="48"/>
        <v>3.5937360929875748</v>
      </c>
      <c r="L285" s="2">
        <f t="shared" si="49"/>
        <v>16.428507853657486</v>
      </c>
      <c r="M285" s="2">
        <f t="shared" si="45"/>
        <v>11.910668193901676</v>
      </c>
      <c r="N285" s="2">
        <f t="shared" si="46"/>
        <v>5.9553340969508382</v>
      </c>
      <c r="O285" s="2">
        <f t="shared" si="47"/>
        <v>21.856076135809577</v>
      </c>
      <c r="P285" s="2">
        <v>72.549327000000005</v>
      </c>
      <c r="Q285" s="2">
        <v>23.036961000000002</v>
      </c>
    </row>
    <row r="286" spans="1:17" x14ac:dyDescent="0.25">
      <c r="A286" s="2">
        <v>305</v>
      </c>
      <c r="B286" s="2" t="s">
        <v>114</v>
      </c>
      <c r="C286" s="2">
        <v>11</v>
      </c>
      <c r="D286" s="2">
        <f t="shared" si="40"/>
        <v>27.94</v>
      </c>
      <c r="E286" s="2">
        <f t="shared" si="41"/>
        <v>8.8935782199751117</v>
      </c>
      <c r="F286" s="2">
        <f t="shared" si="42"/>
        <v>3.5014087480216975</v>
      </c>
      <c r="G286" s="2">
        <v>5.8821770000000004</v>
      </c>
      <c r="H286" s="2">
        <f t="shared" si="43"/>
        <v>19.298481588680001</v>
      </c>
      <c r="I286" s="2">
        <f>INDEX('Wood Density Lookup'!$B$2:$B$152,MATCH(B286,'Wood Density Lookup'!$A$2:$A$152,0))</f>
        <v>0.55000000000000004</v>
      </c>
      <c r="J286" s="2">
        <f t="shared" si="44"/>
        <v>15.07563480567454</v>
      </c>
      <c r="K286" s="2">
        <f t="shared" si="48"/>
        <v>4.2211777455888715</v>
      </c>
      <c r="L286" s="2">
        <f t="shared" si="49"/>
        <v>19.296812551263411</v>
      </c>
      <c r="M286" s="2">
        <f t="shared" si="45"/>
        <v>13.990189099665972</v>
      </c>
      <c r="N286" s="2">
        <f t="shared" si="46"/>
        <v>6.9950945498329862</v>
      </c>
      <c r="O286" s="2">
        <f t="shared" si="47"/>
        <v>25.67199699788706</v>
      </c>
      <c r="P286" s="2">
        <v>72.549329</v>
      </c>
      <c r="Q286" s="2">
        <v>23.035471000000001</v>
      </c>
    </row>
    <row r="287" spans="1:17" x14ac:dyDescent="0.25">
      <c r="A287" s="2">
        <v>306</v>
      </c>
      <c r="B287" s="2" t="s">
        <v>151</v>
      </c>
      <c r="C287" s="2">
        <v>17</v>
      </c>
      <c r="D287" s="2">
        <f t="shared" si="40"/>
        <v>43.18</v>
      </c>
      <c r="E287" s="2">
        <f t="shared" si="41"/>
        <v>13.744620885416081</v>
      </c>
      <c r="F287" s="2">
        <f t="shared" si="42"/>
        <v>5.4112680651244416</v>
      </c>
      <c r="G287" s="2">
        <v>6.6227400000000003</v>
      </c>
      <c r="H287" s="2">
        <f t="shared" si="43"/>
        <v>21.728150301599999</v>
      </c>
      <c r="I287" s="2">
        <f>INDEX('Wood Density Lookup'!$B$2:$B$152,MATCH(B287,'Wood Density Lookup'!$A$2:$A$152,0))</f>
        <v>0.8</v>
      </c>
      <c r="J287" s="2">
        <f t="shared" si="44"/>
        <v>57.068814375536689</v>
      </c>
      <c r="K287" s="2">
        <f t="shared" si="48"/>
        <v>15.979268025150274</v>
      </c>
      <c r="L287" s="2">
        <f t="shared" si="49"/>
        <v>73.048082400686965</v>
      </c>
      <c r="M287" s="2">
        <f t="shared" si="45"/>
        <v>52.959859740498047</v>
      </c>
      <c r="N287" s="2">
        <f t="shared" si="46"/>
        <v>26.479929870249023</v>
      </c>
      <c r="O287" s="2">
        <f t="shared" si="47"/>
        <v>97.181342623813919</v>
      </c>
      <c r="P287" s="2">
        <v>72.549334999999999</v>
      </c>
      <c r="Q287" s="2">
        <v>23.034144999999999</v>
      </c>
    </row>
    <row r="288" spans="1:17" x14ac:dyDescent="0.25">
      <c r="A288" s="2">
        <v>307</v>
      </c>
      <c r="B288" s="2" t="s">
        <v>15</v>
      </c>
      <c r="C288" s="2">
        <v>105</v>
      </c>
      <c r="D288" s="2">
        <f t="shared" si="40"/>
        <v>266.7</v>
      </c>
      <c r="E288" s="2">
        <f t="shared" si="41"/>
        <v>84.893246645216976</v>
      </c>
      <c r="F288" s="2">
        <f t="shared" si="42"/>
        <v>33.422538049298019</v>
      </c>
      <c r="G288" s="2">
        <v>3.4045290000000001</v>
      </c>
      <c r="H288" s="2">
        <f t="shared" si="43"/>
        <v>11.169714924360001</v>
      </c>
      <c r="I288" s="2">
        <f>INDEX('Wood Density Lookup'!$B$2:$B$152,MATCH(B288,'Wood Density Lookup'!$A$2:$A$152,0))</f>
        <v>0.75</v>
      </c>
      <c r="J288" s="2">
        <f t="shared" si="44"/>
        <v>978.41454757464476</v>
      </c>
      <c r="K288" s="2">
        <f t="shared" si="48"/>
        <v>273.95607332090054</v>
      </c>
      <c r="L288" s="2">
        <f t="shared" si="49"/>
        <v>1252.3706208955452</v>
      </c>
      <c r="M288" s="2">
        <f t="shared" si="45"/>
        <v>907.96870014927026</v>
      </c>
      <c r="N288" s="2">
        <f t="shared" si="46"/>
        <v>453.98435007463513</v>
      </c>
      <c r="O288" s="2">
        <f t="shared" si="47"/>
        <v>1666.1225647739109</v>
      </c>
      <c r="P288" s="2">
        <v>72.549334999999999</v>
      </c>
      <c r="Q288" s="2">
        <v>23.038765000000001</v>
      </c>
    </row>
    <row r="289" spans="1:17" x14ac:dyDescent="0.25">
      <c r="A289" s="2">
        <v>308</v>
      </c>
      <c r="B289" s="2" t="s">
        <v>50</v>
      </c>
      <c r="C289" s="2">
        <v>7</v>
      </c>
      <c r="D289" s="2">
        <f t="shared" si="40"/>
        <v>17.78</v>
      </c>
      <c r="E289" s="2">
        <f t="shared" si="41"/>
        <v>5.6595497763477987</v>
      </c>
      <c r="F289" s="2">
        <f t="shared" si="42"/>
        <v>2.228169203286535</v>
      </c>
      <c r="G289" s="2">
        <v>4.9356390000000001</v>
      </c>
      <c r="H289" s="2">
        <f t="shared" si="43"/>
        <v>16.193041856760001</v>
      </c>
      <c r="I289" s="2">
        <f>INDEX('Wood Density Lookup'!$B$2:$B$152,MATCH(B289,'Wood Density Lookup'!$A$2:$A$152,0))</f>
        <v>0.5</v>
      </c>
      <c r="J289" s="2">
        <f t="shared" si="44"/>
        <v>4.7900844685992086</v>
      </c>
      <c r="K289" s="2">
        <f t="shared" si="48"/>
        <v>1.3412236512077784</v>
      </c>
      <c r="L289" s="2">
        <f t="shared" si="49"/>
        <v>6.1313081198069872</v>
      </c>
      <c r="M289" s="2">
        <f t="shared" si="45"/>
        <v>4.4451983868600653</v>
      </c>
      <c r="N289" s="2">
        <f t="shared" si="46"/>
        <v>2.2225991934300326</v>
      </c>
      <c r="O289" s="2">
        <f t="shared" si="47"/>
        <v>8.1569390398882202</v>
      </c>
      <c r="P289" s="2">
        <v>72.549336999999994</v>
      </c>
      <c r="Q289" s="2">
        <v>23.036947000000001</v>
      </c>
    </row>
    <row r="290" spans="1:17" x14ac:dyDescent="0.25">
      <c r="A290" s="2">
        <v>309</v>
      </c>
      <c r="B290" s="2" t="s">
        <v>15</v>
      </c>
      <c r="C290" s="2">
        <v>7</v>
      </c>
      <c r="D290" s="2">
        <f t="shared" si="40"/>
        <v>17.78</v>
      </c>
      <c r="E290" s="2">
        <f t="shared" si="41"/>
        <v>5.6595497763477987</v>
      </c>
      <c r="F290" s="2">
        <f t="shared" si="42"/>
        <v>2.228169203286535</v>
      </c>
      <c r="G290" s="2">
        <v>3.350187</v>
      </c>
      <c r="H290" s="2">
        <f t="shared" si="43"/>
        <v>10.99142751708</v>
      </c>
      <c r="I290" s="2">
        <f>INDEX('Wood Density Lookup'!$B$2:$B$152,MATCH(B290,'Wood Density Lookup'!$A$2:$A$152,0))</f>
        <v>0.75</v>
      </c>
      <c r="J290" s="2">
        <f t="shared" si="44"/>
        <v>4.8749760524283632</v>
      </c>
      <c r="K290" s="2">
        <f t="shared" si="48"/>
        <v>1.3649932946799419</v>
      </c>
      <c r="L290" s="2">
        <f t="shared" si="49"/>
        <v>6.2399693471083051</v>
      </c>
      <c r="M290" s="2">
        <f t="shared" si="45"/>
        <v>4.5239777766535214</v>
      </c>
      <c r="N290" s="2">
        <f t="shared" si="46"/>
        <v>2.2619888883267607</v>
      </c>
      <c r="O290" s="2">
        <f t="shared" si="47"/>
        <v>8.3014992201592115</v>
      </c>
      <c r="P290" s="2">
        <v>72.549340000000001</v>
      </c>
      <c r="Q290" s="2">
        <v>23.035056000000001</v>
      </c>
    </row>
    <row r="291" spans="1:17" x14ac:dyDescent="0.25">
      <c r="A291" s="2">
        <v>310</v>
      </c>
      <c r="B291" s="2" t="s">
        <v>82</v>
      </c>
      <c r="C291" s="2">
        <v>16</v>
      </c>
      <c r="D291" s="2">
        <f t="shared" si="40"/>
        <v>40.64</v>
      </c>
      <c r="E291" s="2">
        <f t="shared" si="41"/>
        <v>12.936113774509254</v>
      </c>
      <c r="F291" s="2">
        <f t="shared" si="42"/>
        <v>5.0929581789406511</v>
      </c>
      <c r="G291" s="2">
        <v>12.279477999999999</v>
      </c>
      <c r="H291" s="2">
        <f t="shared" si="43"/>
        <v>40.287002601519994</v>
      </c>
      <c r="I291" s="2">
        <f>INDEX('Wood Density Lookup'!$B$2:$B$152,MATCH(B291,'Wood Density Lookup'!$A$2:$A$152,0))</f>
        <v>0.7</v>
      </c>
      <c r="J291" s="2">
        <f t="shared" si="44"/>
        <v>81.303905614109098</v>
      </c>
      <c r="K291" s="2">
        <f t="shared" si="48"/>
        <v>22.765093571950551</v>
      </c>
      <c r="L291" s="2">
        <f t="shared" si="49"/>
        <v>104.06899918605964</v>
      </c>
      <c r="M291" s="2">
        <f t="shared" si="45"/>
        <v>75.450024409893231</v>
      </c>
      <c r="N291" s="2">
        <f t="shared" si="46"/>
        <v>37.725012204946616</v>
      </c>
      <c r="O291" s="2">
        <f t="shared" si="47"/>
        <v>138.45079479215408</v>
      </c>
      <c r="P291" s="2">
        <v>72.549342999999993</v>
      </c>
      <c r="Q291" s="2">
        <v>23.036086999999998</v>
      </c>
    </row>
    <row r="292" spans="1:17" x14ac:dyDescent="0.25">
      <c r="A292" s="2">
        <v>311</v>
      </c>
      <c r="B292" s="2" t="s">
        <v>72</v>
      </c>
      <c r="C292" s="2">
        <v>35</v>
      </c>
      <c r="D292" s="2">
        <f t="shared" si="40"/>
        <v>88.9</v>
      </c>
      <c r="E292" s="2">
        <f t="shared" si="41"/>
        <v>28.297748881738993</v>
      </c>
      <c r="F292" s="2">
        <f t="shared" si="42"/>
        <v>11.140846016432674</v>
      </c>
      <c r="G292" s="2">
        <v>11.666418999999999</v>
      </c>
      <c r="H292" s="2">
        <f t="shared" si="43"/>
        <v>38.275654111959994</v>
      </c>
      <c r="I292" s="2">
        <f>INDEX('Wood Density Lookup'!$B$2:$B$152,MATCH(B292,'Wood Density Lookup'!$A$2:$A$152,0))</f>
        <v>0.65</v>
      </c>
      <c r="J292" s="2">
        <f t="shared" si="44"/>
        <v>331.56543856614837</v>
      </c>
      <c r="K292" s="2">
        <f t="shared" si="48"/>
        <v>92.83832279852156</v>
      </c>
      <c r="L292" s="2">
        <f t="shared" si="49"/>
        <v>424.40376136466995</v>
      </c>
      <c r="M292" s="2">
        <f t="shared" si="45"/>
        <v>307.69272698938568</v>
      </c>
      <c r="N292" s="2">
        <f t="shared" si="46"/>
        <v>153.84636349469284</v>
      </c>
      <c r="O292" s="2">
        <f t="shared" si="47"/>
        <v>564.61615402552275</v>
      </c>
      <c r="P292" s="2">
        <v>72.549347999999995</v>
      </c>
      <c r="Q292" s="2">
        <v>23.038285999999999</v>
      </c>
    </row>
    <row r="293" spans="1:17" x14ac:dyDescent="0.25">
      <c r="A293" s="2">
        <v>312</v>
      </c>
      <c r="B293" s="2" t="s">
        <v>64</v>
      </c>
      <c r="C293" s="2">
        <v>51</v>
      </c>
      <c r="D293" s="2">
        <f t="shared" si="40"/>
        <v>129.54</v>
      </c>
      <c r="E293" s="2">
        <f t="shared" si="41"/>
        <v>41.233862656248242</v>
      </c>
      <c r="F293" s="2">
        <f t="shared" si="42"/>
        <v>16.233804195373324</v>
      </c>
      <c r="G293" s="2">
        <v>11.195676000000001</v>
      </c>
      <c r="H293" s="2">
        <f t="shared" si="43"/>
        <v>36.731221647840002</v>
      </c>
      <c r="I293" s="2">
        <f>INDEX('Wood Density Lookup'!$B$2:$B$152,MATCH(B293,'Wood Density Lookup'!$A$2:$A$152,0))</f>
        <v>0.7</v>
      </c>
      <c r="J293" s="2">
        <f t="shared" si="44"/>
        <v>713.9695865810362</v>
      </c>
      <c r="K293" s="2">
        <f t="shared" si="48"/>
        <v>199.91148424269016</v>
      </c>
      <c r="L293" s="2">
        <f t="shared" si="49"/>
        <v>913.8810708237263</v>
      </c>
      <c r="M293" s="2">
        <f t="shared" si="45"/>
        <v>662.5637763472015</v>
      </c>
      <c r="N293" s="2">
        <f t="shared" si="46"/>
        <v>331.28188817360075</v>
      </c>
      <c r="O293" s="2">
        <f t="shared" si="47"/>
        <v>1215.8045295971147</v>
      </c>
      <c r="P293" s="2">
        <v>72.549349000000007</v>
      </c>
      <c r="Q293" s="2">
        <v>23.037758</v>
      </c>
    </row>
    <row r="294" spans="1:17" x14ac:dyDescent="0.25">
      <c r="A294" s="2">
        <v>313</v>
      </c>
      <c r="B294" s="2" t="s">
        <v>15</v>
      </c>
      <c r="C294" s="2">
        <v>38</v>
      </c>
      <c r="D294" s="2">
        <f t="shared" si="40"/>
        <v>96.52</v>
      </c>
      <c r="E294" s="2">
        <f t="shared" si="41"/>
        <v>30.723270214459475</v>
      </c>
      <c r="F294" s="2">
        <f t="shared" si="42"/>
        <v>12.095775674984045</v>
      </c>
      <c r="G294" s="2">
        <v>8.1374239999999993</v>
      </c>
      <c r="H294" s="2">
        <f t="shared" si="43"/>
        <v>26.697586156159996</v>
      </c>
      <c r="I294" s="2">
        <f>INDEX('Wood Density Lookup'!$B$2:$B$152,MATCH(B294,'Wood Density Lookup'!$A$2:$A$152,0))</f>
        <v>0.75</v>
      </c>
      <c r="J294" s="2">
        <f t="shared" si="44"/>
        <v>314.95358781997334</v>
      </c>
      <c r="K294" s="2">
        <f t="shared" si="48"/>
        <v>88.187004589592547</v>
      </c>
      <c r="L294" s="2">
        <f t="shared" si="49"/>
        <v>403.1405924095659</v>
      </c>
      <c r="M294" s="2">
        <f t="shared" si="45"/>
        <v>292.27692949693528</v>
      </c>
      <c r="N294" s="2">
        <f t="shared" si="46"/>
        <v>146.13846474846764</v>
      </c>
      <c r="O294" s="2">
        <f t="shared" si="47"/>
        <v>536.32816562687628</v>
      </c>
      <c r="P294" s="2">
        <v>72.549350000000004</v>
      </c>
      <c r="Q294" s="2">
        <v>23.036166000000001</v>
      </c>
    </row>
    <row r="295" spans="1:17" x14ac:dyDescent="0.25">
      <c r="A295" s="2">
        <v>314</v>
      </c>
      <c r="B295" s="2" t="s">
        <v>34</v>
      </c>
      <c r="C295" s="2">
        <v>1</v>
      </c>
      <c r="D295" s="2">
        <f t="shared" si="40"/>
        <v>2.54</v>
      </c>
      <c r="E295" s="2">
        <f t="shared" si="41"/>
        <v>0.80850711090682836</v>
      </c>
      <c r="F295" s="2">
        <f t="shared" si="42"/>
        <v>0.31830988618379069</v>
      </c>
      <c r="G295" s="2">
        <v>2.0972149999999998</v>
      </c>
      <c r="H295" s="2">
        <f t="shared" si="43"/>
        <v>6.8806268605999996</v>
      </c>
      <c r="I295" s="2">
        <f>INDEX('Wood Density Lookup'!$B$2:$B$152,MATCH(B295,'Wood Density Lookup'!$A$2:$A$152,0))</f>
        <v>0.6</v>
      </c>
      <c r="J295" s="2">
        <f t="shared" si="44"/>
        <v>5.5617706030940371E-2</v>
      </c>
      <c r="K295" s="2">
        <f t="shared" si="48"/>
        <v>1.5572957688663305E-2</v>
      </c>
      <c r="L295" s="2">
        <f t="shared" si="49"/>
        <v>7.119066371960367E-2</v>
      </c>
      <c r="M295" s="2">
        <f t="shared" si="45"/>
        <v>5.1613231196712656E-2</v>
      </c>
      <c r="N295" s="2">
        <f t="shared" si="46"/>
        <v>2.5806615598356328E-2</v>
      </c>
      <c r="O295" s="2">
        <f t="shared" si="47"/>
        <v>9.4710279245967727E-2</v>
      </c>
      <c r="P295" s="2">
        <v>72.549353999999994</v>
      </c>
      <c r="Q295" s="2">
        <v>23.037983000000001</v>
      </c>
    </row>
    <row r="296" spans="1:17" x14ac:dyDescent="0.25">
      <c r="A296" s="2">
        <v>315</v>
      </c>
      <c r="B296" s="2" t="s">
        <v>114</v>
      </c>
      <c r="C296" s="2">
        <v>6</v>
      </c>
      <c r="D296" s="2">
        <f t="shared" si="40"/>
        <v>15.24</v>
      </c>
      <c r="E296" s="2">
        <f t="shared" si="41"/>
        <v>4.8510426654409704</v>
      </c>
      <c r="F296" s="2">
        <f t="shared" si="42"/>
        <v>1.909859317102744</v>
      </c>
      <c r="G296" s="2">
        <v>4.9736359999999999</v>
      </c>
      <c r="H296" s="2">
        <f t="shared" si="43"/>
        <v>16.317703934240001</v>
      </c>
      <c r="I296" s="2">
        <f>INDEX('Wood Density Lookup'!$B$2:$B$152,MATCH(B296,'Wood Density Lookup'!$A$2:$A$152,0))</f>
        <v>0.55000000000000004</v>
      </c>
      <c r="J296" s="2">
        <f t="shared" si="44"/>
        <v>3.9202428841695842</v>
      </c>
      <c r="K296" s="2">
        <f t="shared" si="48"/>
        <v>1.0976680075674836</v>
      </c>
      <c r="L296" s="2">
        <f t="shared" si="49"/>
        <v>5.0179108917370678</v>
      </c>
      <c r="M296" s="2">
        <f t="shared" si="45"/>
        <v>3.6379853965093742</v>
      </c>
      <c r="N296" s="2">
        <f t="shared" si="46"/>
        <v>1.8189926982546871</v>
      </c>
      <c r="O296" s="2">
        <f t="shared" si="47"/>
        <v>6.6757032025947014</v>
      </c>
      <c r="P296" s="2">
        <v>72.549361000000005</v>
      </c>
      <c r="Q296" s="2">
        <v>23.035482999999999</v>
      </c>
    </row>
    <row r="297" spans="1:17" x14ac:dyDescent="0.25">
      <c r="A297" s="2">
        <v>316</v>
      </c>
      <c r="B297" s="2" t="s">
        <v>115</v>
      </c>
      <c r="C297" s="2">
        <v>9</v>
      </c>
      <c r="D297" s="2">
        <f t="shared" si="40"/>
        <v>22.86</v>
      </c>
      <c r="E297" s="2">
        <f t="shared" si="41"/>
        <v>7.2765639981614552</v>
      </c>
      <c r="F297" s="2">
        <f t="shared" si="42"/>
        <v>2.8647889756541161</v>
      </c>
      <c r="G297" s="2">
        <v>9.0975070000000002</v>
      </c>
      <c r="H297" s="2">
        <f t="shared" si="43"/>
        <v>29.847464865879999</v>
      </c>
      <c r="I297" s="2">
        <f>INDEX('Wood Density Lookup'!$B$2:$B$152,MATCH(B297,'Wood Density Lookup'!$A$2:$A$152,0))</f>
        <v>0.65</v>
      </c>
      <c r="J297" s="2">
        <f t="shared" si="44"/>
        <v>18.357223814219136</v>
      </c>
      <c r="K297" s="2">
        <f t="shared" si="48"/>
        <v>5.1400226679813583</v>
      </c>
      <c r="L297" s="2">
        <f t="shared" si="49"/>
        <v>23.497246482200495</v>
      </c>
      <c r="M297" s="2">
        <f t="shared" si="45"/>
        <v>17.03550369959536</v>
      </c>
      <c r="N297" s="2">
        <f t="shared" si="46"/>
        <v>8.5177518497976799</v>
      </c>
      <c r="O297" s="2">
        <f t="shared" si="47"/>
        <v>31.260149288757486</v>
      </c>
      <c r="P297" s="2">
        <v>72.549361000000005</v>
      </c>
      <c r="Q297" s="2">
        <v>23.035067999999999</v>
      </c>
    </row>
    <row r="298" spans="1:17" x14ac:dyDescent="0.25">
      <c r="A298" s="2">
        <v>317</v>
      </c>
      <c r="B298" s="2" t="s">
        <v>135</v>
      </c>
      <c r="C298" s="2">
        <v>33</v>
      </c>
      <c r="D298" s="2">
        <f t="shared" si="40"/>
        <v>83.820000000000007</v>
      </c>
      <c r="E298" s="2">
        <f t="shared" si="41"/>
        <v>26.680734659925339</v>
      </c>
      <c r="F298" s="2">
        <f t="shared" si="42"/>
        <v>10.504226244065093</v>
      </c>
      <c r="G298" s="2">
        <v>6.7559769999999997</v>
      </c>
      <c r="H298" s="2">
        <f t="shared" si="43"/>
        <v>22.16527958068</v>
      </c>
      <c r="I298" s="2">
        <f>INDEX('Wood Density Lookup'!$B$2:$B$152,MATCH(B298,'Wood Density Lookup'!$A$2:$A$152,0))</f>
        <v>0.8</v>
      </c>
      <c r="J298" s="2">
        <f t="shared" si="44"/>
        <v>212.39515807500598</v>
      </c>
      <c r="K298" s="2">
        <f t="shared" si="48"/>
        <v>59.470644261001681</v>
      </c>
      <c r="L298" s="2">
        <f t="shared" si="49"/>
        <v>271.86580233600768</v>
      </c>
      <c r="M298" s="2">
        <f t="shared" si="45"/>
        <v>197.10270669360557</v>
      </c>
      <c r="N298" s="2">
        <f t="shared" si="46"/>
        <v>98.551353346802784</v>
      </c>
      <c r="O298" s="2">
        <f t="shared" si="47"/>
        <v>361.68346678276623</v>
      </c>
      <c r="P298" s="2">
        <v>72.549362000000002</v>
      </c>
      <c r="Q298" s="2">
        <v>23.038346000000001</v>
      </c>
    </row>
    <row r="299" spans="1:17" x14ac:dyDescent="0.25">
      <c r="A299" s="2">
        <v>318</v>
      </c>
      <c r="B299" s="2" t="s">
        <v>85</v>
      </c>
      <c r="C299" s="2">
        <v>26</v>
      </c>
      <c r="D299" s="2">
        <f t="shared" si="40"/>
        <v>66.040000000000006</v>
      </c>
      <c r="E299" s="2">
        <f t="shared" si="41"/>
        <v>21.02118488357754</v>
      </c>
      <c r="F299" s="2">
        <f t="shared" si="42"/>
        <v>8.2760570407785572</v>
      </c>
      <c r="G299" s="2">
        <v>8.9905740000000005</v>
      </c>
      <c r="H299" s="2">
        <f t="shared" si="43"/>
        <v>29.496634802160003</v>
      </c>
      <c r="I299" s="2">
        <f>INDEX('Wood Density Lookup'!$B$2:$B$152,MATCH(B299,'Wood Density Lookup'!$A$2:$A$152,0))</f>
        <v>0.6</v>
      </c>
      <c r="J299" s="2">
        <f t="shared" si="44"/>
        <v>133.11103034293367</v>
      </c>
      <c r="K299" s="2">
        <f t="shared" si="48"/>
        <v>37.271088496021434</v>
      </c>
      <c r="L299" s="2">
        <f t="shared" si="49"/>
        <v>170.38211883895511</v>
      </c>
      <c r="M299" s="2">
        <f t="shared" si="45"/>
        <v>123.52703615824245</v>
      </c>
      <c r="N299" s="2">
        <f t="shared" si="46"/>
        <v>61.763518079121226</v>
      </c>
      <c r="O299" s="2">
        <f t="shared" si="47"/>
        <v>226.67211135037491</v>
      </c>
      <c r="P299" s="2">
        <v>72.549362000000002</v>
      </c>
      <c r="Q299" s="2">
        <v>23.035425</v>
      </c>
    </row>
    <row r="300" spans="1:17" x14ac:dyDescent="0.25">
      <c r="A300" s="2">
        <v>320</v>
      </c>
      <c r="B300" s="2" t="s">
        <v>72</v>
      </c>
      <c r="C300" s="2">
        <v>36</v>
      </c>
      <c r="D300" s="2">
        <f t="shared" si="40"/>
        <v>91.44</v>
      </c>
      <c r="E300" s="2">
        <f t="shared" si="41"/>
        <v>29.106255992645821</v>
      </c>
      <c r="F300" s="2">
        <f t="shared" si="42"/>
        <v>11.459155902616464</v>
      </c>
      <c r="G300" s="2">
        <v>10.085445</v>
      </c>
      <c r="H300" s="2">
        <f t="shared" si="43"/>
        <v>33.088731373800002</v>
      </c>
      <c r="I300" s="2">
        <f>INDEX('Wood Density Lookup'!$B$2:$B$152,MATCH(B300,'Wood Density Lookup'!$A$2:$A$152,0))</f>
        <v>0.65</v>
      </c>
      <c r="J300" s="2">
        <f t="shared" si="44"/>
        <v>303.89687129908685</v>
      </c>
      <c r="K300" s="2">
        <f t="shared" si="48"/>
        <v>85.091123963744323</v>
      </c>
      <c r="L300" s="2">
        <f t="shared" si="49"/>
        <v>388.98799526283119</v>
      </c>
      <c r="M300" s="2">
        <f t="shared" si="45"/>
        <v>282.01629656555258</v>
      </c>
      <c r="N300" s="2">
        <f t="shared" si="46"/>
        <v>141.00814828277629</v>
      </c>
      <c r="O300" s="2">
        <f t="shared" si="47"/>
        <v>517.49990419778896</v>
      </c>
      <c r="P300" s="2">
        <v>72.549364999999995</v>
      </c>
      <c r="Q300" s="2">
        <v>23.038409999999999</v>
      </c>
    </row>
    <row r="301" spans="1:17" x14ac:dyDescent="0.25">
      <c r="A301" s="2">
        <v>321</v>
      </c>
      <c r="B301" s="2" t="s">
        <v>3</v>
      </c>
      <c r="C301" s="2">
        <v>50</v>
      </c>
      <c r="D301" s="2">
        <f t="shared" si="40"/>
        <v>127</v>
      </c>
      <c r="E301" s="2">
        <f t="shared" si="41"/>
        <v>40.425355545341418</v>
      </c>
      <c r="F301" s="2">
        <f t="shared" si="42"/>
        <v>15.915494309189533</v>
      </c>
      <c r="G301" s="2">
        <v>6.4794499999999999</v>
      </c>
      <c r="H301" s="2">
        <f t="shared" si="43"/>
        <v>21.258038738</v>
      </c>
      <c r="I301" s="2">
        <f>INDEX('Wood Density Lookup'!$B$2:$B$152,MATCH(B301,'Wood Density Lookup'!$A$2:$A$152,0))</f>
        <v>0.62</v>
      </c>
      <c r="J301" s="2">
        <f t="shared" si="44"/>
        <v>357.7988105159875</v>
      </c>
      <c r="K301" s="2">
        <f t="shared" si="48"/>
        <v>100.18366694447651</v>
      </c>
      <c r="L301" s="2">
        <f t="shared" si="49"/>
        <v>457.982477460464</v>
      </c>
      <c r="M301" s="2">
        <f t="shared" si="45"/>
        <v>332.0372961588364</v>
      </c>
      <c r="N301" s="2">
        <f t="shared" si="46"/>
        <v>166.0186480794182</v>
      </c>
      <c r="O301" s="2">
        <f t="shared" si="47"/>
        <v>609.2884384514648</v>
      </c>
      <c r="P301" s="2">
        <v>72.549364999999995</v>
      </c>
      <c r="Q301" s="2">
        <v>23.037382000000001</v>
      </c>
    </row>
    <row r="302" spans="1:17" x14ac:dyDescent="0.25">
      <c r="A302" s="2">
        <v>322</v>
      </c>
      <c r="B302" s="2" t="s">
        <v>93</v>
      </c>
      <c r="C302" s="2">
        <v>23</v>
      </c>
      <c r="D302" s="2">
        <f t="shared" si="40"/>
        <v>58.42</v>
      </c>
      <c r="E302" s="2">
        <f t="shared" si="41"/>
        <v>18.595663550857051</v>
      </c>
      <c r="F302" s="2">
        <f t="shared" si="42"/>
        <v>7.3211273822271856</v>
      </c>
      <c r="G302" s="2">
        <v>8.0027899999999992</v>
      </c>
      <c r="H302" s="2">
        <f t="shared" si="43"/>
        <v>26.255873543599996</v>
      </c>
      <c r="I302" s="2">
        <f>INDEX('Wood Density Lookup'!$B$2:$B$152,MATCH(B302,'Wood Density Lookup'!$A$2:$A$152,0))</f>
        <v>0.9</v>
      </c>
      <c r="J302" s="2">
        <f t="shared" si="44"/>
        <v>138.93478053189477</v>
      </c>
      <c r="K302" s="2">
        <f t="shared" si="48"/>
        <v>38.901738548930538</v>
      </c>
      <c r="L302" s="2">
        <f t="shared" si="49"/>
        <v>177.83651908082533</v>
      </c>
      <c r="M302" s="2">
        <f t="shared" si="45"/>
        <v>128.93147633359837</v>
      </c>
      <c r="N302" s="2">
        <f t="shared" si="46"/>
        <v>64.465738166799184</v>
      </c>
      <c r="O302" s="2">
        <f t="shared" si="47"/>
        <v>236.589259072153</v>
      </c>
      <c r="P302" s="2">
        <v>72.549367000000004</v>
      </c>
      <c r="Q302" s="2">
        <v>23.037490999999999</v>
      </c>
    </row>
    <row r="303" spans="1:17" x14ac:dyDescent="0.25">
      <c r="A303" s="2">
        <v>324</v>
      </c>
      <c r="B303" s="2" t="s">
        <v>56</v>
      </c>
      <c r="C303" s="2">
        <v>47</v>
      </c>
      <c r="D303" s="2">
        <f t="shared" si="40"/>
        <v>119.38</v>
      </c>
      <c r="E303" s="2">
        <f t="shared" si="41"/>
        <v>37.999834212620932</v>
      </c>
      <c r="F303" s="2">
        <f t="shared" si="42"/>
        <v>14.960564650638162</v>
      </c>
      <c r="G303" s="2">
        <v>13.729259000000001</v>
      </c>
      <c r="H303" s="2">
        <f t="shared" si="43"/>
        <v>45.043502097560001</v>
      </c>
      <c r="I303" s="2">
        <f>INDEX('Wood Density Lookup'!$B$2:$B$152,MATCH(B303,'Wood Density Lookup'!$A$2:$A$152,0))</f>
        <v>0.65</v>
      </c>
      <c r="J303" s="2">
        <f t="shared" si="44"/>
        <v>691.02848517262328</v>
      </c>
      <c r="K303" s="2">
        <f t="shared" si="48"/>
        <v>193.48797584833454</v>
      </c>
      <c r="L303" s="2">
        <f t="shared" si="49"/>
        <v>884.51646102095788</v>
      </c>
      <c r="M303" s="2">
        <f t="shared" si="45"/>
        <v>641.27443424019441</v>
      </c>
      <c r="N303" s="2">
        <f t="shared" si="46"/>
        <v>320.6372171200972</v>
      </c>
      <c r="O303" s="2">
        <f t="shared" si="47"/>
        <v>1176.7385868307567</v>
      </c>
      <c r="P303" s="2">
        <v>72.549368000000001</v>
      </c>
      <c r="Q303" s="2">
        <v>23.035772999999999</v>
      </c>
    </row>
    <row r="304" spans="1:17" x14ac:dyDescent="0.25">
      <c r="A304" s="2">
        <v>326</v>
      </c>
      <c r="B304" s="2" t="s">
        <v>61</v>
      </c>
      <c r="C304" s="2">
        <v>33</v>
      </c>
      <c r="D304" s="2">
        <f t="shared" si="40"/>
        <v>83.820000000000007</v>
      </c>
      <c r="E304" s="2">
        <f t="shared" si="41"/>
        <v>26.680734659925339</v>
      </c>
      <c r="F304" s="2">
        <f t="shared" si="42"/>
        <v>10.504226244065093</v>
      </c>
      <c r="G304" s="2">
        <v>8.0689729999999997</v>
      </c>
      <c r="H304" s="2">
        <f t="shared" si="43"/>
        <v>26.47300937732</v>
      </c>
      <c r="I304" s="2">
        <f>INDEX('Wood Density Lookup'!$B$2:$B$152,MATCH(B304,'Wood Density Lookup'!$A$2:$A$152,0))</f>
        <v>0.5</v>
      </c>
      <c r="J304" s="2">
        <f t="shared" si="44"/>
        <v>159.66233868747409</v>
      </c>
      <c r="K304" s="2">
        <f t="shared" si="48"/>
        <v>44.705454832492748</v>
      </c>
      <c r="L304" s="2">
        <f t="shared" si="49"/>
        <v>204.36779351996682</v>
      </c>
      <c r="M304" s="2">
        <f t="shared" si="45"/>
        <v>148.16665030197595</v>
      </c>
      <c r="N304" s="2">
        <f t="shared" si="46"/>
        <v>74.083325150987974</v>
      </c>
      <c r="O304" s="2">
        <f t="shared" si="47"/>
        <v>271.88580330412589</v>
      </c>
      <c r="P304" s="2">
        <v>72.549368999999999</v>
      </c>
      <c r="Q304" s="2">
        <v>23.036902000000001</v>
      </c>
    </row>
    <row r="305" spans="1:17" x14ac:dyDescent="0.25">
      <c r="A305" s="2">
        <v>327</v>
      </c>
      <c r="B305" s="2" t="s">
        <v>15</v>
      </c>
      <c r="C305" s="2">
        <v>48</v>
      </c>
      <c r="D305" s="2">
        <f t="shared" si="40"/>
        <v>121.92</v>
      </c>
      <c r="E305" s="2">
        <f t="shared" si="41"/>
        <v>38.808341323527763</v>
      </c>
      <c r="F305" s="2">
        <f t="shared" si="42"/>
        <v>15.278874536821952</v>
      </c>
      <c r="G305" s="2">
        <v>11.987843</v>
      </c>
      <c r="H305" s="2">
        <f t="shared" si="43"/>
        <v>39.33019482812</v>
      </c>
      <c r="I305" s="2">
        <f>INDEX('Wood Density Lookup'!$B$2:$B$152,MATCH(B305,'Wood Density Lookup'!$A$2:$A$152,0))</f>
        <v>0.75</v>
      </c>
      <c r="J305" s="2">
        <f t="shared" si="44"/>
        <v>725.28363345666946</v>
      </c>
      <c r="K305" s="2">
        <f t="shared" si="48"/>
        <v>203.07941736786748</v>
      </c>
      <c r="L305" s="2">
        <f t="shared" si="49"/>
        <v>928.36305082453691</v>
      </c>
      <c r="M305" s="2">
        <f t="shared" si="45"/>
        <v>673.06321184778926</v>
      </c>
      <c r="N305" s="2">
        <f t="shared" si="46"/>
        <v>336.53160592389463</v>
      </c>
      <c r="O305" s="2">
        <f t="shared" si="47"/>
        <v>1235.0709937406932</v>
      </c>
      <c r="P305" s="2">
        <v>72.549369999999996</v>
      </c>
      <c r="Q305" s="2">
        <v>23.034120999999999</v>
      </c>
    </row>
    <row r="306" spans="1:17" x14ac:dyDescent="0.25">
      <c r="A306" s="2">
        <v>328</v>
      </c>
      <c r="B306" s="2" t="s">
        <v>135</v>
      </c>
      <c r="C306" s="2">
        <v>51</v>
      </c>
      <c r="D306" s="2">
        <f t="shared" si="40"/>
        <v>129.54</v>
      </c>
      <c r="E306" s="2">
        <f t="shared" si="41"/>
        <v>41.233862656248242</v>
      </c>
      <c r="F306" s="2">
        <f t="shared" si="42"/>
        <v>16.233804195373324</v>
      </c>
      <c r="G306" s="2">
        <v>14.603683</v>
      </c>
      <c r="H306" s="2">
        <f t="shared" si="43"/>
        <v>47.91234733372</v>
      </c>
      <c r="I306" s="2">
        <f>INDEX('Wood Density Lookup'!$B$2:$B$152,MATCH(B306,'Wood Density Lookup'!$A$2:$A$152,0))</f>
        <v>0.8</v>
      </c>
      <c r="J306" s="2">
        <f t="shared" si="44"/>
        <v>1054.1976367390669</v>
      </c>
      <c r="K306" s="2">
        <f t="shared" si="48"/>
        <v>295.17533828693877</v>
      </c>
      <c r="L306" s="2">
        <f t="shared" si="49"/>
        <v>1349.3729750260056</v>
      </c>
      <c r="M306" s="2">
        <f t="shared" si="45"/>
        <v>978.29540689385408</v>
      </c>
      <c r="N306" s="2">
        <f t="shared" si="46"/>
        <v>489.14770344692704</v>
      </c>
      <c r="O306" s="2">
        <f t="shared" si="47"/>
        <v>1795.1720716502223</v>
      </c>
      <c r="P306" s="2">
        <v>72.549369999999996</v>
      </c>
      <c r="Q306" s="2">
        <v>23.036479</v>
      </c>
    </row>
    <row r="307" spans="1:17" x14ac:dyDescent="0.25">
      <c r="A307" s="2">
        <v>329</v>
      </c>
      <c r="B307" s="2" t="s">
        <v>114</v>
      </c>
      <c r="C307" s="2">
        <v>34</v>
      </c>
      <c r="D307" s="2">
        <f t="shared" si="40"/>
        <v>86.36</v>
      </c>
      <c r="E307" s="2">
        <f t="shared" si="41"/>
        <v>27.489241770832162</v>
      </c>
      <c r="F307" s="2">
        <f t="shared" si="42"/>
        <v>10.822536130248883</v>
      </c>
      <c r="G307" s="2">
        <v>17.066552999999999</v>
      </c>
      <c r="H307" s="2">
        <f t="shared" si="43"/>
        <v>55.992629744519995</v>
      </c>
      <c r="I307" s="2">
        <f>INDEX('Wood Density Lookup'!$B$2:$B$152,MATCH(B307,'Wood Density Lookup'!$A$2:$A$152,0))</f>
        <v>0.55000000000000004</v>
      </c>
      <c r="J307" s="2">
        <f t="shared" si="44"/>
        <v>385.85938949376651</v>
      </c>
      <c r="K307" s="2">
        <f t="shared" si="48"/>
        <v>108.04062905825464</v>
      </c>
      <c r="L307" s="2">
        <f t="shared" si="49"/>
        <v>493.90001855202115</v>
      </c>
      <c r="M307" s="2">
        <f t="shared" si="45"/>
        <v>358.07751345021535</v>
      </c>
      <c r="N307" s="2">
        <f t="shared" si="46"/>
        <v>179.03875672510767</v>
      </c>
      <c r="O307" s="2">
        <f t="shared" si="47"/>
        <v>657.07223718114517</v>
      </c>
      <c r="P307" s="2">
        <v>72.549372000000005</v>
      </c>
      <c r="Q307" s="2">
        <v>23.035945000000002</v>
      </c>
    </row>
    <row r="308" spans="1:17" x14ac:dyDescent="0.25">
      <c r="A308" s="2">
        <v>330</v>
      </c>
      <c r="B308" s="2" t="s">
        <v>111</v>
      </c>
      <c r="C308" s="2">
        <v>21</v>
      </c>
      <c r="D308" s="2">
        <f t="shared" si="40"/>
        <v>53.34</v>
      </c>
      <c r="E308" s="2">
        <f t="shared" si="41"/>
        <v>16.978649329043396</v>
      </c>
      <c r="F308" s="2">
        <f t="shared" si="42"/>
        <v>6.6845076098596046</v>
      </c>
      <c r="G308" s="2">
        <v>10.283377</v>
      </c>
      <c r="H308" s="2">
        <f t="shared" si="43"/>
        <v>33.738114596679999</v>
      </c>
      <c r="I308" s="2">
        <f>INDEX('Wood Density Lookup'!$B$2:$B$152,MATCH(B308,'Wood Density Lookup'!$A$2:$A$152,0))</f>
        <v>0.4</v>
      </c>
      <c r="J308" s="2">
        <f t="shared" si="44"/>
        <v>67.335027534756193</v>
      </c>
      <c r="K308" s="2">
        <f t="shared" si="48"/>
        <v>18.853807709731736</v>
      </c>
      <c r="L308" s="2">
        <f t="shared" si="49"/>
        <v>86.188835244487933</v>
      </c>
      <c r="M308" s="2">
        <f t="shared" si="45"/>
        <v>62.486905552253752</v>
      </c>
      <c r="N308" s="2">
        <f t="shared" si="46"/>
        <v>31.243452776126876</v>
      </c>
      <c r="O308" s="2">
        <f t="shared" si="47"/>
        <v>114.66347168838563</v>
      </c>
      <c r="P308" s="2">
        <v>72.549373000000003</v>
      </c>
      <c r="Q308" s="2">
        <v>23.034953999999999</v>
      </c>
    </row>
    <row r="309" spans="1:17" x14ac:dyDescent="0.25">
      <c r="A309" s="2">
        <v>331</v>
      </c>
      <c r="B309" s="2" t="s">
        <v>93</v>
      </c>
      <c r="C309" s="2">
        <v>12</v>
      </c>
      <c r="D309" s="2">
        <f t="shared" si="40"/>
        <v>30.48</v>
      </c>
      <c r="E309" s="2">
        <f t="shared" si="41"/>
        <v>9.7020853308819408</v>
      </c>
      <c r="F309" s="2">
        <f t="shared" si="42"/>
        <v>3.8197186342054881</v>
      </c>
      <c r="G309" s="2">
        <v>4.9305380000000003</v>
      </c>
      <c r="H309" s="2">
        <f t="shared" si="43"/>
        <v>16.17630629192</v>
      </c>
      <c r="I309" s="2">
        <f>INDEX('Wood Density Lookup'!$B$2:$B$152,MATCH(B309,'Wood Density Lookup'!$A$2:$A$152,0))</f>
        <v>0.9</v>
      </c>
      <c r="J309" s="2">
        <f t="shared" si="44"/>
        <v>24.320990377269197</v>
      </c>
      <c r="K309" s="2">
        <f t="shared" si="48"/>
        <v>6.8098773056353759</v>
      </c>
      <c r="L309" s="2">
        <f t="shared" si="49"/>
        <v>31.130867682904572</v>
      </c>
      <c r="M309" s="2">
        <f t="shared" si="45"/>
        <v>22.569879070105813</v>
      </c>
      <c r="N309" s="2">
        <f t="shared" si="46"/>
        <v>11.284939535052906</v>
      </c>
      <c r="O309" s="2">
        <f t="shared" si="47"/>
        <v>41.415728093644169</v>
      </c>
      <c r="P309" s="2">
        <v>72.549374</v>
      </c>
      <c r="Q309" s="2">
        <v>23.035513999999999</v>
      </c>
    </row>
    <row r="310" spans="1:17" x14ac:dyDescent="0.25">
      <c r="A310" s="2">
        <v>334</v>
      </c>
      <c r="B310" s="2" t="s">
        <v>123</v>
      </c>
      <c r="C310" s="2">
        <v>6</v>
      </c>
      <c r="D310" s="2">
        <f t="shared" si="40"/>
        <v>15.24</v>
      </c>
      <c r="E310" s="2">
        <f t="shared" si="41"/>
        <v>4.8510426654409704</v>
      </c>
      <c r="F310" s="2">
        <f t="shared" si="42"/>
        <v>1.909859317102744</v>
      </c>
      <c r="G310" s="2">
        <v>2.2262949999999999</v>
      </c>
      <c r="H310" s="2">
        <f t="shared" si="43"/>
        <v>7.3041176877999998</v>
      </c>
      <c r="I310" s="2">
        <f>INDEX('Wood Density Lookup'!$B$2:$B$152,MATCH(B310,'Wood Density Lookup'!$A$2:$A$152,0))</f>
        <v>0.85</v>
      </c>
      <c r="J310" s="2">
        <f t="shared" si="44"/>
        <v>2.7360168373273117</v>
      </c>
      <c r="K310" s="2">
        <f t="shared" si="48"/>
        <v>0.76608471445164739</v>
      </c>
      <c r="L310" s="2">
        <f t="shared" si="49"/>
        <v>3.5021015517789591</v>
      </c>
      <c r="M310" s="2">
        <f t="shared" si="45"/>
        <v>2.5390236250397451</v>
      </c>
      <c r="N310" s="2">
        <f t="shared" si="46"/>
        <v>1.2695118125198726</v>
      </c>
      <c r="O310" s="2">
        <f t="shared" si="47"/>
        <v>4.6591083519479319</v>
      </c>
      <c r="P310" s="2">
        <v>72.549377000000007</v>
      </c>
      <c r="Q310" s="2">
        <v>23.034991000000002</v>
      </c>
    </row>
    <row r="311" spans="1:17" x14ac:dyDescent="0.25">
      <c r="A311" s="2">
        <v>335</v>
      </c>
      <c r="B311" s="2" t="s">
        <v>56</v>
      </c>
      <c r="C311" s="2">
        <v>11</v>
      </c>
      <c r="D311" s="2">
        <f t="shared" si="40"/>
        <v>27.94</v>
      </c>
      <c r="E311" s="2">
        <f t="shared" si="41"/>
        <v>8.8935782199751117</v>
      </c>
      <c r="F311" s="2">
        <f t="shared" si="42"/>
        <v>3.5014087480216975</v>
      </c>
      <c r="G311" s="2">
        <v>4.6579430000000004</v>
      </c>
      <c r="H311" s="2">
        <f t="shared" si="43"/>
        <v>15.281965712120002</v>
      </c>
      <c r="I311" s="2">
        <f>INDEX('Wood Density Lookup'!$B$2:$B$152,MATCH(B311,'Wood Density Lookup'!$A$2:$A$152,0))</f>
        <v>0.65</v>
      </c>
      <c r="J311" s="2">
        <f t="shared" si="44"/>
        <v>14.131016214034393</v>
      </c>
      <c r="K311" s="2">
        <f t="shared" si="48"/>
        <v>3.9566845399296304</v>
      </c>
      <c r="L311" s="2">
        <f t="shared" si="49"/>
        <v>18.087700753964022</v>
      </c>
      <c r="M311" s="2">
        <f t="shared" si="45"/>
        <v>13.113583046623916</v>
      </c>
      <c r="N311" s="2">
        <f t="shared" si="46"/>
        <v>6.5567915233119578</v>
      </c>
      <c r="O311" s="2">
        <f t="shared" si="47"/>
        <v>24.063424890554884</v>
      </c>
      <c r="P311" s="2">
        <v>72.549378000000004</v>
      </c>
      <c r="Q311" s="2">
        <v>23.035018000000001</v>
      </c>
    </row>
    <row r="312" spans="1:17" x14ac:dyDescent="0.25">
      <c r="A312" s="2">
        <v>336</v>
      </c>
      <c r="B312" s="2" t="s">
        <v>111</v>
      </c>
      <c r="C312" s="2">
        <v>5</v>
      </c>
      <c r="D312" s="2">
        <f t="shared" si="40"/>
        <v>12.7</v>
      </c>
      <c r="E312" s="2">
        <f t="shared" si="41"/>
        <v>4.0425355545341413</v>
      </c>
      <c r="F312" s="2">
        <f t="shared" si="42"/>
        <v>1.5915494309189535</v>
      </c>
      <c r="G312" s="2">
        <v>1.097143</v>
      </c>
      <c r="H312" s="2">
        <f t="shared" si="43"/>
        <v>3.5995506401199999</v>
      </c>
      <c r="I312" s="2">
        <f>INDEX('Wood Density Lookup'!$B$2:$B$152,MATCH(B312,'Wood Density Lookup'!$A$2:$A$152,0))</f>
        <v>0.4</v>
      </c>
      <c r="J312" s="2">
        <f t="shared" si="44"/>
        <v>0.46037406142253501</v>
      </c>
      <c r="K312" s="2">
        <f t="shared" si="48"/>
        <v>0.1289047371983098</v>
      </c>
      <c r="L312" s="2">
        <f t="shared" si="49"/>
        <v>0.58927879862084476</v>
      </c>
      <c r="M312" s="2">
        <f t="shared" si="45"/>
        <v>0.42722712900011245</v>
      </c>
      <c r="N312" s="2">
        <f t="shared" si="46"/>
        <v>0.21361356450005622</v>
      </c>
      <c r="O312" s="2">
        <f t="shared" si="47"/>
        <v>0.78396178171520636</v>
      </c>
      <c r="P312" s="2">
        <v>72.549380999999997</v>
      </c>
      <c r="Q312" s="2">
        <v>23.035520000000002</v>
      </c>
    </row>
    <row r="313" spans="1:17" x14ac:dyDescent="0.25">
      <c r="A313" s="2">
        <v>337</v>
      </c>
      <c r="B313" s="2" t="s">
        <v>15</v>
      </c>
      <c r="C313" s="2">
        <v>76</v>
      </c>
      <c r="D313" s="2">
        <f t="shared" si="40"/>
        <v>193.04</v>
      </c>
      <c r="E313" s="2">
        <f t="shared" si="41"/>
        <v>61.446540428918951</v>
      </c>
      <c r="F313" s="2">
        <f t="shared" si="42"/>
        <v>24.191551349968091</v>
      </c>
      <c r="G313" s="2">
        <v>8.8709579999999999</v>
      </c>
      <c r="H313" s="2">
        <f t="shared" si="43"/>
        <v>29.104193844720001</v>
      </c>
      <c r="I313" s="2">
        <f>INDEX('Wood Density Lookup'!$B$2:$B$152,MATCH(B313,'Wood Density Lookup'!$A$2:$A$152,0))</f>
        <v>0.75</v>
      </c>
      <c r="J313" s="2">
        <f t="shared" si="44"/>
        <v>1325.6872618104564</v>
      </c>
      <c r="K313" s="2">
        <f t="shared" si="48"/>
        <v>371.19243330692785</v>
      </c>
      <c r="L313" s="2">
        <f t="shared" si="49"/>
        <v>1696.8796951173842</v>
      </c>
      <c r="M313" s="2">
        <f t="shared" si="45"/>
        <v>1230.2377789601035</v>
      </c>
      <c r="N313" s="2">
        <f t="shared" si="46"/>
        <v>615.11888948005173</v>
      </c>
      <c r="O313" s="2">
        <f t="shared" si="47"/>
        <v>2257.4863243917898</v>
      </c>
      <c r="P313" s="2">
        <v>72.549385000000001</v>
      </c>
      <c r="Q313" s="2">
        <v>23.038036000000002</v>
      </c>
    </row>
    <row r="314" spans="1:17" x14ac:dyDescent="0.25">
      <c r="A314" s="2">
        <v>338</v>
      </c>
      <c r="B314" s="2" t="s">
        <v>72</v>
      </c>
      <c r="C314" s="2">
        <v>34</v>
      </c>
      <c r="D314" s="2">
        <f t="shared" si="40"/>
        <v>86.36</v>
      </c>
      <c r="E314" s="2">
        <f t="shared" si="41"/>
        <v>27.489241770832162</v>
      </c>
      <c r="F314" s="2">
        <f t="shared" si="42"/>
        <v>10.822536130248883</v>
      </c>
      <c r="G314" s="2">
        <v>11.7629</v>
      </c>
      <c r="H314" s="2">
        <f t="shared" si="43"/>
        <v>38.592192836000002</v>
      </c>
      <c r="I314" s="2">
        <f>INDEX('Wood Density Lookup'!$B$2:$B$152,MATCH(B314,'Wood Density Lookup'!$A$2:$A$152,0))</f>
        <v>0.65</v>
      </c>
      <c r="J314" s="2">
        <f t="shared" si="44"/>
        <v>315.85391836913857</v>
      </c>
      <c r="K314" s="2">
        <f t="shared" si="48"/>
        <v>88.439097143358808</v>
      </c>
      <c r="L314" s="2">
        <f t="shared" si="49"/>
        <v>404.29301551249739</v>
      </c>
      <c r="M314" s="2">
        <f t="shared" si="45"/>
        <v>293.11243624656061</v>
      </c>
      <c r="N314" s="2">
        <f t="shared" si="46"/>
        <v>146.5562181232803</v>
      </c>
      <c r="O314" s="2">
        <f t="shared" si="47"/>
        <v>537.86132051243874</v>
      </c>
      <c r="P314" s="2">
        <v>72.549386999999996</v>
      </c>
      <c r="Q314" s="2">
        <v>23.038105999999999</v>
      </c>
    </row>
    <row r="315" spans="1:17" x14ac:dyDescent="0.25">
      <c r="A315" s="2">
        <v>339</v>
      </c>
      <c r="B315" s="2" t="s">
        <v>82</v>
      </c>
      <c r="C315" s="2">
        <v>3</v>
      </c>
      <c r="D315" s="2">
        <f t="shared" si="40"/>
        <v>7.62</v>
      </c>
      <c r="E315" s="2">
        <f t="shared" si="41"/>
        <v>2.4255213327204852</v>
      </c>
      <c r="F315" s="2">
        <f t="shared" si="42"/>
        <v>0.95492965855137202</v>
      </c>
      <c r="G315" s="2">
        <v>3.977665</v>
      </c>
      <c r="H315" s="2">
        <f t="shared" si="43"/>
        <v>13.050082438600001</v>
      </c>
      <c r="I315" s="2">
        <f>INDEX('Wood Density Lookup'!$B$2:$B$152,MATCH(B315,'Wood Density Lookup'!$A$2:$A$152,0))</f>
        <v>0.7</v>
      </c>
      <c r="J315" s="2">
        <f t="shared" si="44"/>
        <v>1.0308783784618623</v>
      </c>
      <c r="K315" s="2">
        <f t="shared" si="48"/>
        <v>0.28864594596932147</v>
      </c>
      <c r="L315" s="2">
        <f t="shared" si="49"/>
        <v>1.3195243244311836</v>
      </c>
      <c r="M315" s="2">
        <f t="shared" si="45"/>
        <v>0.95665513521260814</v>
      </c>
      <c r="N315" s="2">
        <f t="shared" si="46"/>
        <v>0.47832756760630407</v>
      </c>
      <c r="O315" s="2">
        <f t="shared" si="47"/>
        <v>1.7554621731151359</v>
      </c>
      <c r="P315" s="2">
        <v>72.549391</v>
      </c>
      <c r="Q315" s="2">
        <v>23.035484</v>
      </c>
    </row>
    <row r="316" spans="1:17" x14ac:dyDescent="0.25">
      <c r="A316" s="2">
        <v>340</v>
      </c>
      <c r="B316" s="2" t="s">
        <v>56</v>
      </c>
      <c r="C316" s="2">
        <v>55</v>
      </c>
      <c r="D316" s="2">
        <f t="shared" si="40"/>
        <v>139.69999999999999</v>
      </c>
      <c r="E316" s="2">
        <f t="shared" si="41"/>
        <v>44.467891099875558</v>
      </c>
      <c r="F316" s="2">
        <f t="shared" si="42"/>
        <v>17.507043740108486</v>
      </c>
      <c r="G316" s="2">
        <v>7.9593530000000001</v>
      </c>
      <c r="H316" s="2">
        <f t="shared" si="43"/>
        <v>26.11336369652</v>
      </c>
      <c r="I316" s="2">
        <f>INDEX('Wood Density Lookup'!$B$2:$B$152,MATCH(B316,'Wood Density Lookup'!$A$2:$A$152,0))</f>
        <v>0.65</v>
      </c>
      <c r="J316" s="2">
        <f t="shared" si="44"/>
        <v>551.64798146416979</v>
      </c>
      <c r="K316" s="2">
        <f t="shared" si="48"/>
        <v>154.46143480996756</v>
      </c>
      <c r="L316" s="2">
        <f t="shared" si="49"/>
        <v>706.1094162741374</v>
      </c>
      <c r="M316" s="2">
        <f t="shared" si="45"/>
        <v>511.92932679874963</v>
      </c>
      <c r="N316" s="2">
        <f t="shared" si="46"/>
        <v>255.96466339937481</v>
      </c>
      <c r="O316" s="2">
        <f t="shared" si="47"/>
        <v>939.39031467570555</v>
      </c>
      <c r="P316" s="2">
        <v>72.549391999999997</v>
      </c>
      <c r="Q316" s="2">
        <v>23.034849000000001</v>
      </c>
    </row>
    <row r="317" spans="1:17" x14ac:dyDescent="0.25">
      <c r="A317" s="2">
        <v>341</v>
      </c>
      <c r="B317" s="2" t="s">
        <v>57</v>
      </c>
      <c r="C317" s="2">
        <v>47</v>
      </c>
      <c r="D317" s="2">
        <f t="shared" si="40"/>
        <v>119.38</v>
      </c>
      <c r="E317" s="2">
        <f t="shared" si="41"/>
        <v>37.999834212620932</v>
      </c>
      <c r="F317" s="2">
        <f t="shared" si="42"/>
        <v>14.960564650638162</v>
      </c>
      <c r="G317" s="2">
        <v>7.3348779999999998</v>
      </c>
      <c r="H317" s="2">
        <f t="shared" si="43"/>
        <v>24.064561137519998</v>
      </c>
      <c r="I317" s="2">
        <f>INDEX('Wood Density Lookup'!$B$2:$B$152,MATCH(B317,'Wood Density Lookup'!$A$2:$A$152,0))</f>
        <v>0.6</v>
      </c>
      <c r="J317" s="2">
        <f t="shared" si="44"/>
        <v>346.61554165086602</v>
      </c>
      <c r="K317" s="2">
        <f t="shared" si="48"/>
        <v>97.052351662242501</v>
      </c>
      <c r="L317" s="2">
        <f t="shared" si="49"/>
        <v>443.66789331310849</v>
      </c>
      <c r="M317" s="2">
        <f t="shared" si="45"/>
        <v>321.65922265200362</v>
      </c>
      <c r="N317" s="2">
        <f t="shared" si="46"/>
        <v>160.82961132600181</v>
      </c>
      <c r="O317" s="2">
        <f t="shared" si="47"/>
        <v>590.24467356642663</v>
      </c>
      <c r="P317" s="2">
        <v>72.549392999999995</v>
      </c>
      <c r="Q317" s="2">
        <v>23.035677</v>
      </c>
    </row>
    <row r="318" spans="1:17" x14ac:dyDescent="0.25">
      <c r="A318" s="2">
        <v>342</v>
      </c>
      <c r="B318" s="2" t="s">
        <v>114</v>
      </c>
      <c r="C318" s="2">
        <v>36</v>
      </c>
      <c r="D318" s="2">
        <f t="shared" si="40"/>
        <v>91.44</v>
      </c>
      <c r="E318" s="2">
        <f t="shared" si="41"/>
        <v>29.106255992645821</v>
      </c>
      <c r="F318" s="2">
        <f t="shared" si="42"/>
        <v>11.459155902616464</v>
      </c>
      <c r="G318" s="2">
        <v>8.1863170000000007</v>
      </c>
      <c r="H318" s="2">
        <f t="shared" si="43"/>
        <v>26.857996266280001</v>
      </c>
      <c r="I318" s="2">
        <f>INDEX('Wood Density Lookup'!$B$2:$B$152,MATCH(B318,'Wood Density Lookup'!$A$2:$A$152,0))</f>
        <v>0.55000000000000004</v>
      </c>
      <c r="J318" s="2">
        <f t="shared" si="44"/>
        <v>210.61283132557259</v>
      </c>
      <c r="K318" s="2">
        <f t="shared" si="48"/>
        <v>58.971592771160331</v>
      </c>
      <c r="L318" s="2">
        <f t="shared" si="49"/>
        <v>269.5844240967329</v>
      </c>
      <c r="M318" s="2">
        <f t="shared" si="45"/>
        <v>195.44870747013135</v>
      </c>
      <c r="N318" s="2">
        <f t="shared" si="46"/>
        <v>97.724353735065677</v>
      </c>
      <c r="O318" s="2">
        <f t="shared" si="47"/>
        <v>358.64837820769105</v>
      </c>
      <c r="P318" s="2">
        <v>72.549397999999997</v>
      </c>
      <c r="Q318" s="2">
        <v>23.038074999999999</v>
      </c>
    </row>
    <row r="319" spans="1:17" x14ac:dyDescent="0.25">
      <c r="A319" s="2">
        <v>343</v>
      </c>
      <c r="B319" s="2" t="s">
        <v>55</v>
      </c>
      <c r="C319" s="2">
        <v>66</v>
      </c>
      <c r="D319" s="2">
        <f t="shared" si="40"/>
        <v>167.64000000000001</v>
      </c>
      <c r="E319" s="2">
        <f t="shared" si="41"/>
        <v>53.361469319850677</v>
      </c>
      <c r="F319" s="2">
        <f t="shared" si="42"/>
        <v>21.008452488130185</v>
      </c>
      <c r="G319" s="2">
        <v>7.8441280000000004</v>
      </c>
      <c r="H319" s="2">
        <f t="shared" si="43"/>
        <v>25.73532890752</v>
      </c>
      <c r="I319" s="2">
        <f>INDEX('Wood Density Lookup'!$B$2:$B$152,MATCH(B319,'Wood Density Lookup'!$A$2:$A$152,0))</f>
        <v>0.75</v>
      </c>
      <c r="J319" s="2">
        <f t="shared" si="44"/>
        <v>892.68673740770726</v>
      </c>
      <c r="K319" s="2">
        <f t="shared" si="48"/>
        <v>249.95228647415806</v>
      </c>
      <c r="L319" s="2">
        <f t="shared" si="49"/>
        <v>1142.6390238818653</v>
      </c>
      <c r="M319" s="2">
        <f t="shared" si="45"/>
        <v>828.41329231435236</v>
      </c>
      <c r="N319" s="2">
        <f t="shared" si="46"/>
        <v>414.20664615717618</v>
      </c>
      <c r="O319" s="2">
        <f t="shared" si="47"/>
        <v>1520.1383913968366</v>
      </c>
      <c r="P319" s="2">
        <v>72.549397999999997</v>
      </c>
      <c r="Q319" s="2">
        <v>23.034544</v>
      </c>
    </row>
    <row r="320" spans="1:17" x14ac:dyDescent="0.25">
      <c r="A320" s="2">
        <v>344</v>
      </c>
      <c r="B320" s="2" t="s">
        <v>107</v>
      </c>
      <c r="C320" s="2">
        <v>8</v>
      </c>
      <c r="D320" s="2">
        <f t="shared" si="40"/>
        <v>20.32</v>
      </c>
      <c r="E320" s="2">
        <f t="shared" si="41"/>
        <v>6.4680568872546269</v>
      </c>
      <c r="F320" s="2">
        <f t="shared" si="42"/>
        <v>2.5464790894703255</v>
      </c>
      <c r="G320" s="2">
        <v>18.181498000000001</v>
      </c>
      <c r="H320" s="2">
        <f t="shared" si="43"/>
        <v>59.650585898320003</v>
      </c>
      <c r="I320" s="2">
        <f>INDEX('Wood Density Lookup'!$B$2:$B$152,MATCH(B320,'Wood Density Lookup'!$A$2:$A$152,0))</f>
        <v>0.65</v>
      </c>
      <c r="J320" s="2">
        <f t="shared" si="44"/>
        <v>28.671312141469382</v>
      </c>
      <c r="K320" s="2">
        <f t="shared" si="48"/>
        <v>8.0279673996114287</v>
      </c>
      <c r="L320" s="2">
        <f t="shared" si="49"/>
        <v>36.699279541080813</v>
      </c>
      <c r="M320" s="2">
        <f t="shared" si="45"/>
        <v>26.606977667283587</v>
      </c>
      <c r="N320" s="2">
        <f t="shared" si="46"/>
        <v>13.303488833641794</v>
      </c>
      <c r="O320" s="2">
        <f t="shared" si="47"/>
        <v>48.823804019465385</v>
      </c>
      <c r="P320" s="2">
        <v>72.549398999999994</v>
      </c>
      <c r="Q320" s="2">
        <v>23.035160999999999</v>
      </c>
    </row>
    <row r="321" spans="1:17" x14ac:dyDescent="0.25">
      <c r="A321" s="2">
        <v>345</v>
      </c>
      <c r="B321" s="2" t="s">
        <v>59</v>
      </c>
      <c r="C321" s="2">
        <v>30</v>
      </c>
      <c r="D321" s="2">
        <f t="shared" ref="D321:D384" si="50">C321*2.54</f>
        <v>76.2</v>
      </c>
      <c r="E321" s="2">
        <f t="shared" ref="E321:E384" si="51">D321/PI()</f>
        <v>24.255213327204849</v>
      </c>
      <c r="F321" s="2">
        <f t="shared" ref="F321:F384" si="52">C321/PI()</f>
        <v>9.5492965855137211</v>
      </c>
      <c r="G321" s="2">
        <v>5.5583960000000001</v>
      </c>
      <c r="H321" s="2">
        <f t="shared" ref="H321:H384" si="53">G321*3.28084</f>
        <v>18.236207932639999</v>
      </c>
      <c r="I321" s="2">
        <f>INDEX('Wood Density Lookup'!$B$2:$B$152,MATCH(B321,'Wood Density Lookup'!$A$2:$A$152,0))</f>
        <v>0.45</v>
      </c>
      <c r="J321" s="2">
        <f t="shared" ref="J321:J384" si="54">0.0673*POWER(I321*E321^2*G321,0.976)</f>
        <v>83.130563971576478</v>
      </c>
      <c r="K321" s="2">
        <f t="shared" si="48"/>
        <v>23.276557912041415</v>
      </c>
      <c r="L321" s="2">
        <f t="shared" si="49"/>
        <v>106.40712188361789</v>
      </c>
      <c r="M321" s="2">
        <f t="shared" ref="M321:M384" si="55">0.725*L321</f>
        <v>77.145163365622963</v>
      </c>
      <c r="N321" s="2">
        <f t="shared" ref="N321:N384" si="56">0.5*M321</f>
        <v>38.572581682811482</v>
      </c>
      <c r="O321" s="2">
        <f t="shared" ref="O321:O384" si="57">3.67*N321</f>
        <v>141.56137477591813</v>
      </c>
      <c r="P321" s="2">
        <v>72.549400000000006</v>
      </c>
      <c r="Q321" s="2">
        <v>23.038247999999999</v>
      </c>
    </row>
    <row r="322" spans="1:17" x14ac:dyDescent="0.25">
      <c r="A322" s="2">
        <v>346</v>
      </c>
      <c r="B322" s="2" t="s">
        <v>15</v>
      </c>
      <c r="C322" s="2">
        <v>27</v>
      </c>
      <c r="D322" s="2">
        <f t="shared" si="50"/>
        <v>68.58</v>
      </c>
      <c r="E322" s="2">
        <f t="shared" si="51"/>
        <v>21.829691994484364</v>
      </c>
      <c r="F322" s="2">
        <f t="shared" si="52"/>
        <v>8.5943669269623477</v>
      </c>
      <c r="G322" s="2">
        <v>10.017061</v>
      </c>
      <c r="H322" s="2">
        <f t="shared" si="53"/>
        <v>32.86437441124</v>
      </c>
      <c r="I322" s="2">
        <f>INDEX('Wood Density Lookup'!$B$2:$B$152,MATCH(B322,'Wood Density Lookup'!$A$2:$A$152,0))</f>
        <v>0.75</v>
      </c>
      <c r="J322" s="2">
        <f t="shared" si="54"/>
        <v>197.97864115196069</v>
      </c>
      <c r="K322" s="2">
        <f t="shared" si="48"/>
        <v>55.434019522549001</v>
      </c>
      <c r="L322" s="2">
        <f t="shared" si="49"/>
        <v>253.41266067450968</v>
      </c>
      <c r="M322" s="2">
        <f t="shared" si="55"/>
        <v>183.72417898901952</v>
      </c>
      <c r="N322" s="2">
        <f t="shared" si="56"/>
        <v>91.86208949450976</v>
      </c>
      <c r="O322" s="2">
        <f t="shared" si="57"/>
        <v>337.1338684448508</v>
      </c>
      <c r="P322" s="2">
        <v>72.549400000000006</v>
      </c>
      <c r="Q322" s="2">
        <v>23.036128999999999</v>
      </c>
    </row>
    <row r="323" spans="1:17" x14ac:dyDescent="0.25">
      <c r="A323" s="2">
        <v>348</v>
      </c>
      <c r="B323" s="2" t="s">
        <v>114</v>
      </c>
      <c r="C323" s="2">
        <v>11</v>
      </c>
      <c r="D323" s="2">
        <f t="shared" si="50"/>
        <v>27.94</v>
      </c>
      <c r="E323" s="2">
        <f t="shared" si="51"/>
        <v>8.8935782199751117</v>
      </c>
      <c r="F323" s="2">
        <f t="shared" si="52"/>
        <v>3.5014087480216975</v>
      </c>
      <c r="G323" s="2">
        <v>9.6943140000000003</v>
      </c>
      <c r="H323" s="2">
        <f t="shared" si="53"/>
        <v>31.80549314376</v>
      </c>
      <c r="I323" s="2">
        <f>INDEX('Wood Density Lookup'!$B$2:$B$152,MATCH(B323,'Wood Density Lookup'!$A$2:$A$152,0))</f>
        <v>0.55000000000000004</v>
      </c>
      <c r="J323" s="2">
        <f t="shared" si="54"/>
        <v>24.549751839570373</v>
      </c>
      <c r="K323" s="2">
        <f t="shared" ref="K323:K386" si="58">0.28*J323</f>
        <v>6.8739305150797048</v>
      </c>
      <c r="L323" s="2">
        <f t="shared" ref="L323:L386" si="59">J323+K323</f>
        <v>31.423682354650076</v>
      </c>
      <c r="M323" s="2">
        <f t="shared" si="55"/>
        <v>22.782169707121305</v>
      </c>
      <c r="N323" s="2">
        <f t="shared" si="56"/>
        <v>11.391084853560653</v>
      </c>
      <c r="O323" s="2">
        <f t="shared" si="57"/>
        <v>41.805281412567595</v>
      </c>
      <c r="P323" s="2">
        <v>72.549401000000003</v>
      </c>
      <c r="Q323" s="2">
        <v>23.035423999999999</v>
      </c>
    </row>
    <row r="324" spans="1:17" x14ac:dyDescent="0.25">
      <c r="A324" s="2">
        <v>349</v>
      </c>
      <c r="B324" s="2" t="s">
        <v>3</v>
      </c>
      <c r="C324" s="2">
        <v>28</v>
      </c>
      <c r="D324" s="2">
        <f t="shared" si="50"/>
        <v>71.12</v>
      </c>
      <c r="E324" s="2">
        <f t="shared" si="51"/>
        <v>22.638199105391195</v>
      </c>
      <c r="F324" s="2">
        <f t="shared" si="52"/>
        <v>8.91267681314614</v>
      </c>
      <c r="G324" s="2">
        <v>10.961221999999999</v>
      </c>
      <c r="H324" s="2">
        <f t="shared" si="53"/>
        <v>35.96201558648</v>
      </c>
      <c r="I324" s="2">
        <f>INDEX('Wood Density Lookup'!$B$2:$B$152,MATCH(B324,'Wood Density Lookup'!$A$2:$A$152,0))</f>
        <v>0.62</v>
      </c>
      <c r="J324" s="2">
        <f t="shared" si="54"/>
        <v>192.72721781371979</v>
      </c>
      <c r="K324" s="2">
        <f t="shared" si="58"/>
        <v>53.963620987841544</v>
      </c>
      <c r="L324" s="2">
        <f t="shared" si="59"/>
        <v>246.69083880156134</v>
      </c>
      <c r="M324" s="2">
        <f t="shared" si="55"/>
        <v>178.85085813113196</v>
      </c>
      <c r="N324" s="2">
        <f t="shared" si="56"/>
        <v>89.425429065565979</v>
      </c>
      <c r="O324" s="2">
        <f t="shared" si="57"/>
        <v>328.19132467062713</v>
      </c>
      <c r="P324" s="2">
        <v>72.549402999999998</v>
      </c>
      <c r="Q324" s="2">
        <v>23.036200000000001</v>
      </c>
    </row>
    <row r="325" spans="1:17" x14ac:dyDescent="0.25">
      <c r="A325" s="2">
        <v>350</v>
      </c>
      <c r="B325" s="2" t="s">
        <v>3</v>
      </c>
      <c r="C325" s="2">
        <v>33</v>
      </c>
      <c r="D325" s="2">
        <f t="shared" si="50"/>
        <v>83.820000000000007</v>
      </c>
      <c r="E325" s="2">
        <f t="shared" si="51"/>
        <v>26.680734659925339</v>
      </c>
      <c r="F325" s="2">
        <f t="shared" si="52"/>
        <v>10.504226244065093</v>
      </c>
      <c r="G325" s="2">
        <v>11.004738</v>
      </c>
      <c r="H325" s="2">
        <f t="shared" si="53"/>
        <v>36.104784619919997</v>
      </c>
      <c r="I325" s="2">
        <f>INDEX('Wood Density Lookup'!$B$2:$B$152,MATCH(B325,'Wood Density Lookup'!$A$2:$A$152,0))</f>
        <v>0.62</v>
      </c>
      <c r="J325" s="2">
        <f t="shared" si="54"/>
        <v>266.63012823226859</v>
      </c>
      <c r="K325" s="2">
        <f t="shared" si="58"/>
        <v>74.65643590503521</v>
      </c>
      <c r="L325" s="2">
        <f t="shared" si="59"/>
        <v>341.2865641373038</v>
      </c>
      <c r="M325" s="2">
        <f t="shared" si="55"/>
        <v>247.43275899954526</v>
      </c>
      <c r="N325" s="2">
        <f t="shared" si="56"/>
        <v>123.71637949977263</v>
      </c>
      <c r="O325" s="2">
        <f t="shared" si="57"/>
        <v>454.03911276416557</v>
      </c>
      <c r="P325" s="2">
        <v>72.549403999999996</v>
      </c>
      <c r="Q325" s="2">
        <v>23.034234999999999</v>
      </c>
    </row>
    <row r="326" spans="1:17" x14ac:dyDescent="0.25">
      <c r="A326" s="2">
        <v>351</v>
      </c>
      <c r="B326" s="2" t="s">
        <v>45</v>
      </c>
      <c r="C326" s="2">
        <v>19</v>
      </c>
      <c r="D326" s="2">
        <f t="shared" si="50"/>
        <v>48.26</v>
      </c>
      <c r="E326" s="2">
        <f t="shared" si="51"/>
        <v>15.361635107229738</v>
      </c>
      <c r="F326" s="2">
        <f t="shared" si="52"/>
        <v>6.0478878374920226</v>
      </c>
      <c r="G326" s="2">
        <v>7.1598930000000003</v>
      </c>
      <c r="H326" s="2">
        <f t="shared" si="53"/>
        <v>23.490463350120002</v>
      </c>
      <c r="I326" s="2">
        <f>INDEX('Wood Density Lookup'!$B$2:$B$152,MATCH(B326,'Wood Density Lookup'!$A$2:$A$152,0))</f>
        <v>0.6</v>
      </c>
      <c r="J326" s="2">
        <f t="shared" si="54"/>
        <v>57.783700696762196</v>
      </c>
      <c r="K326" s="2">
        <f t="shared" si="58"/>
        <v>16.179436195093416</v>
      </c>
      <c r="L326" s="2">
        <f t="shared" si="59"/>
        <v>73.963136891855612</v>
      </c>
      <c r="M326" s="2">
        <f t="shared" si="55"/>
        <v>53.623274246595315</v>
      </c>
      <c r="N326" s="2">
        <f t="shared" si="56"/>
        <v>26.811637123297658</v>
      </c>
      <c r="O326" s="2">
        <f t="shared" si="57"/>
        <v>98.398708242502408</v>
      </c>
      <c r="P326" s="2">
        <v>72.549407000000002</v>
      </c>
      <c r="Q326" s="2">
        <v>23.036559</v>
      </c>
    </row>
    <row r="327" spans="1:17" x14ac:dyDescent="0.25">
      <c r="A327" s="2">
        <v>353</v>
      </c>
      <c r="B327" s="2" t="s">
        <v>114</v>
      </c>
      <c r="C327" s="2">
        <v>23</v>
      </c>
      <c r="D327" s="2">
        <f t="shared" si="50"/>
        <v>58.42</v>
      </c>
      <c r="E327" s="2">
        <f t="shared" si="51"/>
        <v>18.595663550857051</v>
      </c>
      <c r="F327" s="2">
        <f t="shared" si="52"/>
        <v>7.3211273822271856</v>
      </c>
      <c r="G327" s="2">
        <v>14.015364</v>
      </c>
      <c r="H327" s="2">
        <f t="shared" si="53"/>
        <v>45.982166825759997</v>
      </c>
      <c r="I327" s="2">
        <f>INDEX('Wood Density Lookup'!$B$2:$B$152,MATCH(B327,'Wood Density Lookup'!$A$2:$A$152,0))</f>
        <v>0.55000000000000004</v>
      </c>
      <c r="J327" s="2">
        <f t="shared" si="54"/>
        <v>148.45216128528287</v>
      </c>
      <c r="K327" s="2">
        <f t="shared" si="58"/>
        <v>41.566605159879209</v>
      </c>
      <c r="L327" s="2">
        <f t="shared" si="59"/>
        <v>190.01876644516207</v>
      </c>
      <c r="M327" s="2">
        <f t="shared" si="55"/>
        <v>137.7636056727425</v>
      </c>
      <c r="N327" s="2">
        <f t="shared" si="56"/>
        <v>68.88180283637125</v>
      </c>
      <c r="O327" s="2">
        <f t="shared" si="57"/>
        <v>252.79621640948247</v>
      </c>
      <c r="P327" s="2">
        <v>72.549407000000002</v>
      </c>
      <c r="Q327" s="2">
        <v>23.03558</v>
      </c>
    </row>
    <row r="328" spans="1:17" x14ac:dyDescent="0.25">
      <c r="A328" s="2">
        <v>355</v>
      </c>
      <c r="B328" s="2" t="s">
        <v>142</v>
      </c>
      <c r="C328" s="2">
        <v>26</v>
      </c>
      <c r="D328" s="2">
        <f t="shared" si="50"/>
        <v>66.040000000000006</v>
      </c>
      <c r="E328" s="2">
        <f t="shared" si="51"/>
        <v>21.02118488357754</v>
      </c>
      <c r="F328" s="2">
        <f t="shared" si="52"/>
        <v>8.2760570407785572</v>
      </c>
      <c r="G328" s="2">
        <v>12.734581</v>
      </c>
      <c r="H328" s="2">
        <f t="shared" si="53"/>
        <v>41.780122728039998</v>
      </c>
      <c r="I328" s="2">
        <f>INDEX('Wood Density Lookup'!$B$2:$B$152,MATCH(B328,'Wood Density Lookup'!$A$2:$A$152,0))</f>
        <v>0.68</v>
      </c>
      <c r="J328" s="2">
        <f t="shared" si="54"/>
        <v>211.26892860568813</v>
      </c>
      <c r="K328" s="2">
        <f t="shared" si="58"/>
        <v>59.155300009592679</v>
      </c>
      <c r="L328" s="2">
        <f t="shared" si="59"/>
        <v>270.42422861528081</v>
      </c>
      <c r="M328" s="2">
        <f t="shared" si="55"/>
        <v>196.05756574607858</v>
      </c>
      <c r="N328" s="2">
        <f t="shared" si="56"/>
        <v>98.02878287303929</v>
      </c>
      <c r="O328" s="2">
        <f t="shared" si="57"/>
        <v>359.76563314405416</v>
      </c>
      <c r="P328" s="2">
        <v>72.549409999999995</v>
      </c>
      <c r="Q328" s="2">
        <v>23.035730000000001</v>
      </c>
    </row>
    <row r="329" spans="1:17" x14ac:dyDescent="0.25">
      <c r="A329" s="2">
        <v>356</v>
      </c>
      <c r="B329" s="2" t="s">
        <v>143</v>
      </c>
      <c r="C329" s="2">
        <v>72</v>
      </c>
      <c r="D329" s="2">
        <f t="shared" si="50"/>
        <v>182.88</v>
      </c>
      <c r="E329" s="2">
        <f t="shared" si="51"/>
        <v>58.212511985291641</v>
      </c>
      <c r="F329" s="2">
        <f t="shared" si="52"/>
        <v>22.918311805232928</v>
      </c>
      <c r="G329" s="2">
        <v>17.732073</v>
      </c>
      <c r="H329" s="2">
        <f t="shared" si="53"/>
        <v>58.176094381319999</v>
      </c>
      <c r="I329" s="2">
        <f>INDEX('Wood Density Lookup'!$B$2:$B$152,MATCH(B329,'Wood Density Lookup'!$A$2:$A$152,0))</f>
        <v>0.75</v>
      </c>
      <c r="J329" s="2">
        <f t="shared" si="54"/>
        <v>2345.1792124600265</v>
      </c>
      <c r="K329" s="2">
        <f t="shared" si="58"/>
        <v>656.65017948880745</v>
      </c>
      <c r="L329" s="2">
        <f t="shared" si="59"/>
        <v>3001.8293919488342</v>
      </c>
      <c r="M329" s="2">
        <f t="shared" si="55"/>
        <v>2176.3263091629046</v>
      </c>
      <c r="N329" s="2">
        <f t="shared" si="56"/>
        <v>1088.1631545814523</v>
      </c>
      <c r="O329" s="2">
        <f t="shared" si="57"/>
        <v>3993.55877731393</v>
      </c>
      <c r="P329" s="2">
        <v>72.549409999999995</v>
      </c>
      <c r="Q329" s="2">
        <v>23.035162</v>
      </c>
    </row>
    <row r="330" spans="1:17" x14ac:dyDescent="0.25">
      <c r="A330" s="2">
        <v>357</v>
      </c>
      <c r="B330" s="2" t="s">
        <v>111</v>
      </c>
      <c r="C330" s="2">
        <v>13</v>
      </c>
      <c r="D330" s="2">
        <f t="shared" si="50"/>
        <v>33.020000000000003</v>
      </c>
      <c r="E330" s="2">
        <f t="shared" si="51"/>
        <v>10.51059244178877</v>
      </c>
      <c r="F330" s="2">
        <f t="shared" si="52"/>
        <v>4.1380285203892786</v>
      </c>
      <c r="G330" s="2">
        <v>11.094346</v>
      </c>
      <c r="H330" s="2">
        <f t="shared" si="53"/>
        <v>36.39877413064</v>
      </c>
      <c r="I330" s="2">
        <f>INDEX('Wood Density Lookup'!$B$2:$B$152,MATCH(B330,'Wood Density Lookup'!$A$2:$A$152,0))</f>
        <v>0.4</v>
      </c>
      <c r="J330" s="2">
        <f t="shared" si="54"/>
        <v>28.435519566648843</v>
      </c>
      <c r="K330" s="2">
        <f t="shared" si="58"/>
        <v>7.9619454786616766</v>
      </c>
      <c r="L330" s="2">
        <f t="shared" si="59"/>
        <v>36.397465045310518</v>
      </c>
      <c r="M330" s="2">
        <f t="shared" si="55"/>
        <v>26.388162157850125</v>
      </c>
      <c r="N330" s="2">
        <f t="shared" si="56"/>
        <v>13.194081078925063</v>
      </c>
      <c r="O330" s="2">
        <f t="shared" si="57"/>
        <v>48.422277559654979</v>
      </c>
      <c r="P330" s="2">
        <v>72.549409999999995</v>
      </c>
      <c r="Q330" s="2">
        <v>23.034832000000002</v>
      </c>
    </row>
    <row r="331" spans="1:17" x14ac:dyDescent="0.25">
      <c r="A331" s="2">
        <v>361</v>
      </c>
      <c r="B331" s="2" t="s">
        <v>114</v>
      </c>
      <c r="C331" s="2">
        <v>12</v>
      </c>
      <c r="D331" s="2">
        <f t="shared" si="50"/>
        <v>30.48</v>
      </c>
      <c r="E331" s="2">
        <f t="shared" si="51"/>
        <v>9.7020853308819408</v>
      </c>
      <c r="F331" s="2">
        <f t="shared" si="52"/>
        <v>3.8197186342054881</v>
      </c>
      <c r="G331" s="2">
        <v>3.4593919999999998</v>
      </c>
      <c r="H331" s="2">
        <f t="shared" si="53"/>
        <v>11.34971164928</v>
      </c>
      <c r="I331" s="2">
        <f>INDEX('Wood Density Lookup'!$B$2:$B$152,MATCH(B331,'Wood Density Lookup'!$A$2:$A$152,0))</f>
        <v>0.55000000000000004</v>
      </c>
      <c r="J331" s="2">
        <f t="shared" si="54"/>
        <v>10.642250736941365</v>
      </c>
      <c r="K331" s="2">
        <f t="shared" si="58"/>
        <v>2.9798302063435824</v>
      </c>
      <c r="L331" s="2">
        <f t="shared" si="59"/>
        <v>13.622080943284947</v>
      </c>
      <c r="M331" s="2">
        <f t="shared" si="55"/>
        <v>9.8760086838815866</v>
      </c>
      <c r="N331" s="2">
        <f t="shared" si="56"/>
        <v>4.9380043419407933</v>
      </c>
      <c r="O331" s="2">
        <f t="shared" si="57"/>
        <v>18.122475934922711</v>
      </c>
      <c r="P331" s="2">
        <v>72.549417000000005</v>
      </c>
      <c r="Q331" s="2">
        <v>23.035426000000001</v>
      </c>
    </row>
    <row r="332" spans="1:17" x14ac:dyDescent="0.25">
      <c r="A332" s="2">
        <v>364</v>
      </c>
      <c r="B332" s="2" t="s">
        <v>114</v>
      </c>
      <c r="C332" s="2">
        <v>22</v>
      </c>
      <c r="D332" s="2">
        <f t="shared" si="50"/>
        <v>55.88</v>
      </c>
      <c r="E332" s="2">
        <f t="shared" si="51"/>
        <v>17.787156439950223</v>
      </c>
      <c r="F332" s="2">
        <f t="shared" si="52"/>
        <v>7.0028174960433951</v>
      </c>
      <c r="G332" s="2">
        <v>6.065779</v>
      </c>
      <c r="H332" s="2">
        <f t="shared" si="53"/>
        <v>19.900850374360001</v>
      </c>
      <c r="I332" s="2">
        <f>INDEX('Wood Density Lookup'!$B$2:$B$152,MATCH(B332,'Wood Density Lookup'!$A$2:$A$152,0))</f>
        <v>0.55000000000000004</v>
      </c>
      <c r="J332" s="2">
        <f t="shared" si="54"/>
        <v>60.105510577717446</v>
      </c>
      <c r="K332" s="2">
        <f t="shared" si="58"/>
        <v>16.829542961760886</v>
      </c>
      <c r="L332" s="2">
        <f t="shared" si="59"/>
        <v>76.935053539478332</v>
      </c>
      <c r="M332" s="2">
        <f t="shared" si="55"/>
        <v>55.777913816121789</v>
      </c>
      <c r="N332" s="2">
        <f t="shared" si="56"/>
        <v>27.888956908060894</v>
      </c>
      <c r="O332" s="2">
        <f t="shared" si="57"/>
        <v>102.35247185258348</v>
      </c>
      <c r="P332" s="2">
        <v>72.549419999999998</v>
      </c>
      <c r="Q332" s="2">
        <v>23.034839000000002</v>
      </c>
    </row>
    <row r="333" spans="1:17" x14ac:dyDescent="0.25">
      <c r="A333" s="2">
        <v>365</v>
      </c>
      <c r="B333" s="2" t="s">
        <v>135</v>
      </c>
      <c r="C333" s="2">
        <v>5</v>
      </c>
      <c r="D333" s="2">
        <f t="shared" si="50"/>
        <v>12.7</v>
      </c>
      <c r="E333" s="2">
        <f t="shared" si="51"/>
        <v>4.0425355545341413</v>
      </c>
      <c r="F333" s="2">
        <f t="shared" si="52"/>
        <v>1.5915494309189535</v>
      </c>
      <c r="G333" s="2">
        <v>3.5878399999999999</v>
      </c>
      <c r="H333" s="2">
        <f t="shared" si="53"/>
        <v>11.771128985599999</v>
      </c>
      <c r="I333" s="2">
        <f>INDEX('Wood Density Lookup'!$B$2:$B$152,MATCH(B333,'Wood Density Lookup'!$A$2:$A$152,0))</f>
        <v>0.8</v>
      </c>
      <c r="J333" s="2">
        <f t="shared" si="54"/>
        <v>2.8783014543320014</v>
      </c>
      <c r="K333" s="2">
        <f t="shared" si="58"/>
        <v>0.80592440721296044</v>
      </c>
      <c r="L333" s="2">
        <f t="shared" si="59"/>
        <v>3.6842258615449617</v>
      </c>
      <c r="M333" s="2">
        <f t="shared" si="55"/>
        <v>2.6710637496200973</v>
      </c>
      <c r="N333" s="2">
        <f t="shared" si="56"/>
        <v>1.3355318748100486</v>
      </c>
      <c r="O333" s="2">
        <f t="shared" si="57"/>
        <v>4.9014019805528788</v>
      </c>
      <c r="P333" s="2">
        <v>72.549420999999995</v>
      </c>
      <c r="Q333" s="2">
        <v>23.03548</v>
      </c>
    </row>
    <row r="334" spans="1:17" x14ac:dyDescent="0.25">
      <c r="A334" s="2">
        <v>367</v>
      </c>
      <c r="B334" s="2" t="s">
        <v>111</v>
      </c>
      <c r="C334" s="2">
        <v>25</v>
      </c>
      <c r="D334" s="2">
        <f t="shared" si="50"/>
        <v>63.5</v>
      </c>
      <c r="E334" s="2">
        <f t="shared" si="51"/>
        <v>20.212677772670709</v>
      </c>
      <c r="F334" s="2">
        <f t="shared" si="52"/>
        <v>7.9577471545947667</v>
      </c>
      <c r="G334" s="2">
        <v>4.9849560000000004</v>
      </c>
      <c r="H334" s="2">
        <f t="shared" si="53"/>
        <v>16.354843043040002</v>
      </c>
      <c r="I334" s="2">
        <f>INDEX('Wood Density Lookup'!$B$2:$B$152,MATCH(B334,'Wood Density Lookup'!$A$2:$A$152,0))</f>
        <v>0.4</v>
      </c>
      <c r="J334" s="2">
        <f t="shared" si="54"/>
        <v>46.678923670900254</v>
      </c>
      <c r="K334" s="2">
        <f t="shared" si="58"/>
        <v>13.070098627852072</v>
      </c>
      <c r="L334" s="2">
        <f t="shared" si="59"/>
        <v>59.749022298752323</v>
      </c>
      <c r="M334" s="2">
        <f t="shared" si="55"/>
        <v>43.318041166595435</v>
      </c>
      <c r="N334" s="2">
        <f t="shared" si="56"/>
        <v>21.659020583297718</v>
      </c>
      <c r="O334" s="2">
        <f t="shared" si="57"/>
        <v>79.488605540702622</v>
      </c>
      <c r="P334" s="2">
        <v>72.549422000000007</v>
      </c>
      <c r="Q334" s="2">
        <v>23.035508</v>
      </c>
    </row>
    <row r="335" spans="1:17" x14ac:dyDescent="0.25">
      <c r="A335" s="2">
        <v>368</v>
      </c>
      <c r="B335" s="2" t="s">
        <v>15</v>
      </c>
      <c r="C335" s="2">
        <v>93</v>
      </c>
      <c r="D335" s="2">
        <f t="shared" si="50"/>
        <v>236.22</v>
      </c>
      <c r="E335" s="2">
        <f t="shared" si="51"/>
        <v>75.191161314335034</v>
      </c>
      <c r="F335" s="2">
        <f t="shared" si="52"/>
        <v>29.602819415092533</v>
      </c>
      <c r="G335" s="2">
        <v>10.207767</v>
      </c>
      <c r="H335" s="2">
        <f t="shared" si="53"/>
        <v>33.490050284280002</v>
      </c>
      <c r="I335" s="2">
        <f>INDEX('Wood Density Lookup'!$B$2:$B$152,MATCH(B335,'Wood Density Lookup'!$A$2:$A$152,0))</f>
        <v>0.75</v>
      </c>
      <c r="J335" s="2">
        <f t="shared" si="54"/>
        <v>2254.5965943255405</v>
      </c>
      <c r="K335" s="2">
        <f t="shared" si="58"/>
        <v>631.28704641115144</v>
      </c>
      <c r="L335" s="2">
        <f t="shared" si="59"/>
        <v>2885.8836407366921</v>
      </c>
      <c r="M335" s="2">
        <f t="shared" si="55"/>
        <v>2092.2656395341019</v>
      </c>
      <c r="N335" s="2">
        <f t="shared" si="56"/>
        <v>1046.1328197670509</v>
      </c>
      <c r="O335" s="2">
        <f t="shared" si="57"/>
        <v>3839.307448545077</v>
      </c>
      <c r="P335" s="2">
        <v>72.549424000000002</v>
      </c>
      <c r="Q335" s="2">
        <v>23.036369000000001</v>
      </c>
    </row>
    <row r="336" spans="1:17" x14ac:dyDescent="0.25">
      <c r="A336" s="2">
        <v>369</v>
      </c>
      <c r="B336" s="2" t="s">
        <v>15</v>
      </c>
      <c r="C336" s="2">
        <v>22</v>
      </c>
      <c r="D336" s="2">
        <f t="shared" si="50"/>
        <v>55.88</v>
      </c>
      <c r="E336" s="2">
        <f t="shared" si="51"/>
        <v>17.787156439950223</v>
      </c>
      <c r="F336" s="2">
        <f t="shared" si="52"/>
        <v>7.0028174960433951</v>
      </c>
      <c r="G336" s="2">
        <v>6.466799</v>
      </c>
      <c r="H336" s="2">
        <f t="shared" si="53"/>
        <v>21.216532831159999</v>
      </c>
      <c r="I336" s="2">
        <f>INDEX('Wood Density Lookup'!$B$2:$B$152,MATCH(B336,'Wood Density Lookup'!$A$2:$A$152,0))</f>
        <v>0.75</v>
      </c>
      <c r="J336" s="2">
        <f t="shared" si="54"/>
        <v>86.599545235041106</v>
      </c>
      <c r="K336" s="2">
        <f t="shared" si="58"/>
        <v>24.247872665811514</v>
      </c>
      <c r="L336" s="2">
        <f t="shared" si="59"/>
        <v>110.84741790085262</v>
      </c>
      <c r="M336" s="2">
        <f t="shared" si="55"/>
        <v>80.364377978118142</v>
      </c>
      <c r="N336" s="2">
        <f t="shared" si="56"/>
        <v>40.182188989059071</v>
      </c>
      <c r="O336" s="2">
        <f t="shared" si="57"/>
        <v>147.46863358984677</v>
      </c>
      <c r="P336" s="2">
        <v>72.549426999999994</v>
      </c>
      <c r="Q336" s="2">
        <v>23.037317999999999</v>
      </c>
    </row>
    <row r="337" spans="1:17" x14ac:dyDescent="0.25">
      <c r="A337" s="2">
        <v>370</v>
      </c>
      <c r="B337" s="2" t="s">
        <v>15</v>
      </c>
      <c r="C337" s="2">
        <v>102</v>
      </c>
      <c r="D337" s="2">
        <f t="shared" si="50"/>
        <v>259.08</v>
      </c>
      <c r="E337" s="2">
        <f t="shared" si="51"/>
        <v>82.467725312496484</v>
      </c>
      <c r="F337" s="2">
        <f t="shared" si="52"/>
        <v>32.467608390746648</v>
      </c>
      <c r="G337" s="2">
        <v>3.7612679999999998</v>
      </c>
      <c r="H337" s="2">
        <f t="shared" si="53"/>
        <v>12.34011850512</v>
      </c>
      <c r="I337" s="2">
        <f>INDEX('Wood Density Lookup'!$B$2:$B$152,MATCH(B337,'Wood Density Lookup'!$A$2:$A$152,0))</f>
        <v>0.75</v>
      </c>
      <c r="J337" s="2">
        <f t="shared" si="54"/>
        <v>1019.0312732033378</v>
      </c>
      <c r="K337" s="2">
        <f t="shared" si="58"/>
        <v>285.3287564969346</v>
      </c>
      <c r="L337" s="2">
        <f t="shared" si="59"/>
        <v>1304.3600297002724</v>
      </c>
      <c r="M337" s="2">
        <f t="shared" si="55"/>
        <v>945.66102153269753</v>
      </c>
      <c r="N337" s="2">
        <f t="shared" si="56"/>
        <v>472.83051076634877</v>
      </c>
      <c r="O337" s="2">
        <f t="shared" si="57"/>
        <v>1735.2879745124999</v>
      </c>
      <c r="P337" s="2">
        <v>72.549429000000003</v>
      </c>
      <c r="Q337" s="2">
        <v>23.037403999999999</v>
      </c>
    </row>
    <row r="338" spans="1:17" x14ac:dyDescent="0.25">
      <c r="A338" s="2">
        <v>371</v>
      </c>
      <c r="B338" s="2" t="s">
        <v>111</v>
      </c>
      <c r="C338" s="2">
        <v>18</v>
      </c>
      <c r="D338" s="2">
        <f t="shared" si="50"/>
        <v>45.72</v>
      </c>
      <c r="E338" s="2">
        <f t="shared" si="51"/>
        <v>14.55312799632291</v>
      </c>
      <c r="F338" s="2">
        <f t="shared" si="52"/>
        <v>5.7295779513082321</v>
      </c>
      <c r="G338" s="2">
        <v>4.4668340000000004</v>
      </c>
      <c r="H338" s="2">
        <f t="shared" si="53"/>
        <v>14.654967660560001</v>
      </c>
      <c r="I338" s="2">
        <f>INDEX('Wood Density Lookup'!$B$2:$B$152,MATCH(B338,'Wood Density Lookup'!$A$2:$A$152,0))</f>
        <v>0.4</v>
      </c>
      <c r="J338" s="2">
        <f t="shared" si="54"/>
        <v>22.08595722582443</v>
      </c>
      <c r="K338" s="2">
        <f t="shared" si="58"/>
        <v>6.1840680232308411</v>
      </c>
      <c r="L338" s="2">
        <f t="shared" si="59"/>
        <v>28.270025249055273</v>
      </c>
      <c r="M338" s="2">
        <f t="shared" si="55"/>
        <v>20.495768305565072</v>
      </c>
      <c r="N338" s="2">
        <f t="shared" si="56"/>
        <v>10.247884152782536</v>
      </c>
      <c r="O338" s="2">
        <f t="shared" si="57"/>
        <v>37.609734840711909</v>
      </c>
      <c r="P338" s="2">
        <v>72.549431999999996</v>
      </c>
      <c r="Q338" s="2">
        <v>23.037521999999999</v>
      </c>
    </row>
    <row r="339" spans="1:17" x14ac:dyDescent="0.25">
      <c r="A339" s="2">
        <v>372</v>
      </c>
      <c r="B339" s="2" t="s">
        <v>15</v>
      </c>
      <c r="C339" s="2">
        <v>69</v>
      </c>
      <c r="D339" s="2">
        <f t="shared" si="50"/>
        <v>175.26</v>
      </c>
      <c r="E339" s="2">
        <f t="shared" si="51"/>
        <v>55.786990652571156</v>
      </c>
      <c r="F339" s="2">
        <f t="shared" si="52"/>
        <v>21.963382146681557</v>
      </c>
      <c r="G339" s="2">
        <v>13.736412</v>
      </c>
      <c r="H339" s="2">
        <f t="shared" si="53"/>
        <v>45.06696994608</v>
      </c>
      <c r="I339" s="2">
        <f>INDEX('Wood Density Lookup'!$B$2:$B$152,MATCH(B339,'Wood Density Lookup'!$A$2:$A$152,0))</f>
        <v>0.75</v>
      </c>
      <c r="J339" s="2">
        <f t="shared" si="54"/>
        <v>1682.1762406068658</v>
      </c>
      <c r="K339" s="2">
        <f t="shared" si="58"/>
        <v>471.00934736992247</v>
      </c>
      <c r="L339" s="2">
        <f t="shared" si="59"/>
        <v>2153.1855879767882</v>
      </c>
      <c r="M339" s="2">
        <f t="shared" si="55"/>
        <v>1561.0595512831715</v>
      </c>
      <c r="N339" s="2">
        <f t="shared" si="56"/>
        <v>780.52977564158573</v>
      </c>
      <c r="O339" s="2">
        <f t="shared" si="57"/>
        <v>2864.5442766046194</v>
      </c>
      <c r="P339" s="2">
        <v>72.549431999999996</v>
      </c>
      <c r="Q339" s="2">
        <v>23.035933</v>
      </c>
    </row>
    <row r="340" spans="1:17" x14ac:dyDescent="0.25">
      <c r="A340" s="2">
        <v>373</v>
      </c>
      <c r="B340" s="2" t="s">
        <v>15</v>
      </c>
      <c r="C340" s="2">
        <v>9</v>
      </c>
      <c r="D340" s="2">
        <f t="shared" si="50"/>
        <v>22.86</v>
      </c>
      <c r="E340" s="2">
        <f t="shared" si="51"/>
        <v>7.2765639981614552</v>
      </c>
      <c r="F340" s="2">
        <f t="shared" si="52"/>
        <v>2.8647889756541161</v>
      </c>
      <c r="G340" s="2">
        <v>4.4653349999999996</v>
      </c>
      <c r="H340" s="2">
        <f t="shared" si="53"/>
        <v>14.650049681399999</v>
      </c>
      <c r="I340" s="2">
        <f>INDEX('Wood Density Lookup'!$B$2:$B$152,MATCH(B340,'Wood Density Lookup'!$A$2:$A$152,0))</f>
        <v>0.75</v>
      </c>
      <c r="J340" s="2">
        <f t="shared" si="54"/>
        <v>10.539321388741762</v>
      </c>
      <c r="K340" s="2">
        <f t="shared" si="58"/>
        <v>2.9510099888476935</v>
      </c>
      <c r="L340" s="2">
        <f t="shared" si="59"/>
        <v>13.490331377589456</v>
      </c>
      <c r="M340" s="2">
        <f t="shared" si="55"/>
        <v>9.780490248752356</v>
      </c>
      <c r="N340" s="2">
        <f t="shared" si="56"/>
        <v>4.890245124376178</v>
      </c>
      <c r="O340" s="2">
        <f t="shared" si="57"/>
        <v>17.947199606460572</v>
      </c>
      <c r="P340" s="2">
        <v>72.549434000000005</v>
      </c>
      <c r="Q340" s="2">
        <v>23.036565</v>
      </c>
    </row>
    <row r="341" spans="1:17" x14ac:dyDescent="0.25">
      <c r="A341" s="2">
        <v>374</v>
      </c>
      <c r="B341" s="2" t="s">
        <v>111</v>
      </c>
      <c r="C341" s="2">
        <v>10</v>
      </c>
      <c r="D341" s="2">
        <f t="shared" si="50"/>
        <v>25.4</v>
      </c>
      <c r="E341" s="2">
        <f t="shared" si="51"/>
        <v>8.0850711090682825</v>
      </c>
      <c r="F341" s="2">
        <f t="shared" si="52"/>
        <v>3.183098861837907</v>
      </c>
      <c r="G341" s="2">
        <v>13.029674</v>
      </c>
      <c r="H341" s="2">
        <f t="shared" si="53"/>
        <v>42.748275646159996</v>
      </c>
      <c r="I341" s="2">
        <f>INDEX('Wood Density Lookup'!$B$2:$B$152,MATCH(B341,'Wood Density Lookup'!$A$2:$A$152,0))</f>
        <v>0.4</v>
      </c>
      <c r="J341" s="2">
        <f t="shared" si="54"/>
        <v>19.934237296742378</v>
      </c>
      <c r="K341" s="2">
        <f t="shared" si="58"/>
        <v>5.5815864430878666</v>
      </c>
      <c r="L341" s="2">
        <f t="shared" si="59"/>
        <v>25.515823739830246</v>
      </c>
      <c r="M341" s="2">
        <f t="shared" si="55"/>
        <v>18.498972211376927</v>
      </c>
      <c r="N341" s="2">
        <f t="shared" si="56"/>
        <v>9.2494861056884634</v>
      </c>
      <c r="O341" s="2">
        <f t="shared" si="57"/>
        <v>33.945614007876657</v>
      </c>
      <c r="P341" s="2">
        <v>72.549436</v>
      </c>
      <c r="Q341" s="2">
        <v>23.036477000000001</v>
      </c>
    </row>
    <row r="342" spans="1:17" x14ac:dyDescent="0.25">
      <c r="A342" s="2">
        <v>375</v>
      </c>
      <c r="B342" s="2" t="s">
        <v>111</v>
      </c>
      <c r="C342" s="2">
        <v>1</v>
      </c>
      <c r="D342" s="2">
        <f t="shared" si="50"/>
        <v>2.54</v>
      </c>
      <c r="E342" s="2">
        <f t="shared" si="51"/>
        <v>0.80850711090682836</v>
      </c>
      <c r="F342" s="2">
        <f t="shared" si="52"/>
        <v>0.31830988618379069</v>
      </c>
      <c r="G342" s="2">
        <v>5.5942619999999996</v>
      </c>
      <c r="H342" s="2">
        <f t="shared" si="53"/>
        <v>18.35387854008</v>
      </c>
      <c r="I342" s="2">
        <f>INDEX('Wood Density Lookup'!$B$2:$B$152,MATCH(B342,'Wood Density Lookup'!$A$2:$A$152,0))</f>
        <v>0.4</v>
      </c>
      <c r="J342" s="2">
        <f t="shared" si="54"/>
        <v>9.754869279334949E-2</v>
      </c>
      <c r="K342" s="2">
        <f t="shared" si="58"/>
        <v>2.7313633982137861E-2</v>
      </c>
      <c r="L342" s="2">
        <f t="shared" si="59"/>
        <v>0.12486232677548735</v>
      </c>
      <c r="M342" s="2">
        <f t="shared" si="55"/>
        <v>9.0525186912228328E-2</v>
      </c>
      <c r="N342" s="2">
        <f t="shared" si="56"/>
        <v>4.5262593456114164E-2</v>
      </c>
      <c r="O342" s="2">
        <f t="shared" si="57"/>
        <v>0.16611371798393898</v>
      </c>
      <c r="P342" s="2">
        <v>72.549436999999998</v>
      </c>
      <c r="Q342" s="2">
        <v>23.034929999999999</v>
      </c>
    </row>
    <row r="343" spans="1:17" x14ac:dyDescent="0.25">
      <c r="A343" s="2">
        <v>376</v>
      </c>
      <c r="B343" s="2" t="s">
        <v>148</v>
      </c>
      <c r="C343" s="2">
        <v>7</v>
      </c>
      <c r="D343" s="2">
        <f t="shared" si="50"/>
        <v>17.78</v>
      </c>
      <c r="E343" s="2">
        <f t="shared" si="51"/>
        <v>5.6595497763477987</v>
      </c>
      <c r="F343" s="2">
        <f t="shared" si="52"/>
        <v>2.228169203286535</v>
      </c>
      <c r="G343" s="2">
        <v>10.104231</v>
      </c>
      <c r="H343" s="2">
        <f t="shared" si="53"/>
        <v>33.150365234040002</v>
      </c>
      <c r="I343" s="2">
        <f>INDEX('Wood Density Lookup'!$B$2:$B$152,MATCH(B343,'Wood Density Lookup'!$A$2:$A$152,0))</f>
        <v>0.5</v>
      </c>
      <c r="J343" s="2">
        <f t="shared" si="54"/>
        <v>9.6390717691838397</v>
      </c>
      <c r="K343" s="2">
        <f t="shared" si="58"/>
        <v>2.6989400953714755</v>
      </c>
      <c r="L343" s="2">
        <f t="shared" si="59"/>
        <v>12.338011864555316</v>
      </c>
      <c r="M343" s="2">
        <f t="shared" si="55"/>
        <v>8.9450586018026037</v>
      </c>
      <c r="N343" s="2">
        <f t="shared" si="56"/>
        <v>4.4725293009013019</v>
      </c>
      <c r="O343" s="2">
        <f t="shared" si="57"/>
        <v>16.414182534307777</v>
      </c>
      <c r="P343" s="2">
        <v>72.549441999999999</v>
      </c>
      <c r="Q343" s="2">
        <v>23.035734999999999</v>
      </c>
    </row>
    <row r="344" spans="1:17" x14ac:dyDescent="0.25">
      <c r="A344" s="2">
        <v>377</v>
      </c>
      <c r="B344" s="2" t="s">
        <v>114</v>
      </c>
      <c r="C344" s="2">
        <v>21</v>
      </c>
      <c r="D344" s="2">
        <f t="shared" si="50"/>
        <v>53.34</v>
      </c>
      <c r="E344" s="2">
        <f t="shared" si="51"/>
        <v>16.978649329043396</v>
      </c>
      <c r="F344" s="2">
        <f t="shared" si="52"/>
        <v>6.6845076098596046</v>
      </c>
      <c r="G344" s="2">
        <v>15.489341</v>
      </c>
      <c r="H344" s="2">
        <f t="shared" si="53"/>
        <v>50.818049526439999</v>
      </c>
      <c r="I344" s="2">
        <f>INDEX('Wood Density Lookup'!$B$2:$B$152,MATCH(B344,'Wood Density Lookup'!$A$2:$A$152,0))</f>
        <v>0.55000000000000004</v>
      </c>
      <c r="J344" s="2">
        <f t="shared" si="54"/>
        <v>137.04150712668948</v>
      </c>
      <c r="K344" s="2">
        <f t="shared" si="58"/>
        <v>38.371621995473056</v>
      </c>
      <c r="L344" s="2">
        <f t="shared" si="59"/>
        <v>175.41312912216253</v>
      </c>
      <c r="M344" s="2">
        <f t="shared" si="55"/>
        <v>127.17451861356783</v>
      </c>
      <c r="N344" s="2">
        <f t="shared" si="56"/>
        <v>63.587259306783913</v>
      </c>
      <c r="O344" s="2">
        <f t="shared" si="57"/>
        <v>233.36524165589697</v>
      </c>
      <c r="P344" s="2">
        <v>72.549442999999997</v>
      </c>
      <c r="Q344" s="2">
        <v>23.034844</v>
      </c>
    </row>
    <row r="345" spans="1:17" x14ac:dyDescent="0.25">
      <c r="A345" s="2">
        <v>378</v>
      </c>
      <c r="B345" s="2" t="s">
        <v>62</v>
      </c>
      <c r="C345" s="2">
        <v>32</v>
      </c>
      <c r="D345" s="2">
        <f t="shared" si="50"/>
        <v>81.28</v>
      </c>
      <c r="E345" s="2">
        <f t="shared" si="51"/>
        <v>25.872227549018508</v>
      </c>
      <c r="F345" s="2">
        <f t="shared" si="52"/>
        <v>10.185916357881302</v>
      </c>
      <c r="G345" s="2">
        <v>8.0801470000000002</v>
      </c>
      <c r="H345" s="2">
        <f t="shared" si="53"/>
        <v>26.50966948348</v>
      </c>
      <c r="I345" s="2">
        <f>INDEX('Wood Density Lookup'!$B$2:$B$152,MATCH(B345,'Wood Density Lookup'!$A$2:$A$152,0))</f>
        <v>0.47</v>
      </c>
      <c r="J345" s="2">
        <f t="shared" si="54"/>
        <v>141.7344406631012</v>
      </c>
      <c r="K345" s="2">
        <f t="shared" si="58"/>
        <v>39.685643385668335</v>
      </c>
      <c r="L345" s="2">
        <f t="shared" si="59"/>
        <v>181.42008404876952</v>
      </c>
      <c r="M345" s="2">
        <f t="shared" si="55"/>
        <v>131.52956093535789</v>
      </c>
      <c r="N345" s="2">
        <f t="shared" si="56"/>
        <v>65.764780467678946</v>
      </c>
      <c r="O345" s="2">
        <f t="shared" si="57"/>
        <v>241.35674431638174</v>
      </c>
      <c r="P345" s="2">
        <v>72.549445000000006</v>
      </c>
      <c r="Q345" s="2">
        <v>23.037295</v>
      </c>
    </row>
    <row r="346" spans="1:17" x14ac:dyDescent="0.25">
      <c r="A346" s="2">
        <v>379</v>
      </c>
      <c r="B346" s="2" t="s">
        <v>111</v>
      </c>
      <c r="C346" s="2">
        <v>6</v>
      </c>
      <c r="D346" s="2">
        <f t="shared" si="50"/>
        <v>15.24</v>
      </c>
      <c r="E346" s="2">
        <f t="shared" si="51"/>
        <v>4.8510426654409704</v>
      </c>
      <c r="F346" s="2">
        <f t="shared" si="52"/>
        <v>1.909859317102744</v>
      </c>
      <c r="G346" s="2">
        <v>6.8413399999999998</v>
      </c>
      <c r="H346" s="2">
        <f t="shared" si="53"/>
        <v>22.445341925599998</v>
      </c>
      <c r="I346" s="2">
        <f>INDEX('Wood Density Lookup'!$B$2:$B$152,MATCH(B346,'Wood Density Lookup'!$A$2:$A$152,0))</f>
        <v>0.4</v>
      </c>
      <c r="J346" s="2">
        <f t="shared" si="54"/>
        <v>3.921692215630336</v>
      </c>
      <c r="K346" s="2">
        <f t="shared" si="58"/>
        <v>1.0980738203764941</v>
      </c>
      <c r="L346" s="2">
        <f t="shared" si="59"/>
        <v>5.0197660360068301</v>
      </c>
      <c r="M346" s="2">
        <f t="shared" si="55"/>
        <v>3.6393303761049518</v>
      </c>
      <c r="N346" s="2">
        <f t="shared" si="56"/>
        <v>1.8196651880524759</v>
      </c>
      <c r="O346" s="2">
        <f t="shared" si="57"/>
        <v>6.6781712401525866</v>
      </c>
      <c r="P346" s="2">
        <v>72.549449999999993</v>
      </c>
      <c r="Q346" s="2">
        <v>23.035518</v>
      </c>
    </row>
    <row r="347" spans="1:17" x14ac:dyDescent="0.25">
      <c r="A347" s="2">
        <v>381</v>
      </c>
      <c r="B347" s="2" t="s">
        <v>122</v>
      </c>
      <c r="C347" s="2">
        <v>4</v>
      </c>
      <c r="D347" s="2">
        <f t="shared" si="50"/>
        <v>10.16</v>
      </c>
      <c r="E347" s="2">
        <f t="shared" si="51"/>
        <v>3.2340284436273135</v>
      </c>
      <c r="F347" s="2">
        <f t="shared" si="52"/>
        <v>1.2732395447351628</v>
      </c>
      <c r="G347" s="2">
        <v>12.226055000000001</v>
      </c>
      <c r="H347" s="2">
        <f t="shared" si="53"/>
        <v>40.1117302862</v>
      </c>
      <c r="I347" s="2">
        <f>INDEX('Wood Density Lookup'!$B$2:$B$152,MATCH(B347,'Wood Density Lookup'!$A$2:$A$152,0))</f>
        <v>0.75</v>
      </c>
      <c r="J347" s="2">
        <f t="shared" si="54"/>
        <v>5.7847726683737015</v>
      </c>
      <c r="K347" s="2">
        <f t="shared" si="58"/>
        <v>1.6197363471446367</v>
      </c>
      <c r="L347" s="2">
        <f t="shared" si="59"/>
        <v>7.4045090155183377</v>
      </c>
      <c r="M347" s="2">
        <f t="shared" si="55"/>
        <v>5.368269036250795</v>
      </c>
      <c r="N347" s="2">
        <f t="shared" si="56"/>
        <v>2.6841345181253975</v>
      </c>
      <c r="O347" s="2">
        <f t="shared" si="57"/>
        <v>9.8507736815202094</v>
      </c>
      <c r="P347" s="2">
        <v>72.549453</v>
      </c>
      <c r="Q347" s="2">
        <v>23.038724999999999</v>
      </c>
    </row>
    <row r="348" spans="1:17" x14ac:dyDescent="0.25">
      <c r="A348" s="2">
        <v>382</v>
      </c>
      <c r="B348" s="2" t="s">
        <v>62</v>
      </c>
      <c r="C348" s="2">
        <v>57</v>
      </c>
      <c r="D348" s="2">
        <f t="shared" si="50"/>
        <v>144.78</v>
      </c>
      <c r="E348" s="2">
        <f t="shared" si="51"/>
        <v>46.084905321689213</v>
      </c>
      <c r="F348" s="2">
        <f t="shared" si="52"/>
        <v>18.143663512476071</v>
      </c>
      <c r="G348" s="2">
        <v>3.5016020000000001</v>
      </c>
      <c r="H348" s="2">
        <f t="shared" si="53"/>
        <v>11.48819590568</v>
      </c>
      <c r="I348" s="2">
        <f>INDEX('Wood Density Lookup'!$B$2:$B$152,MATCH(B348,'Wood Density Lookup'!$A$2:$A$152,0))</f>
        <v>0.47</v>
      </c>
      <c r="J348" s="2">
        <f t="shared" si="54"/>
        <v>193.39869269561234</v>
      </c>
      <c r="K348" s="2">
        <f t="shared" si="58"/>
        <v>54.151633954771462</v>
      </c>
      <c r="L348" s="2">
        <f t="shared" si="59"/>
        <v>247.55032665038379</v>
      </c>
      <c r="M348" s="2">
        <f t="shared" si="55"/>
        <v>179.47398682152826</v>
      </c>
      <c r="N348" s="2">
        <f t="shared" si="56"/>
        <v>89.736993410764128</v>
      </c>
      <c r="O348" s="2">
        <f t="shared" si="57"/>
        <v>329.33476581750432</v>
      </c>
      <c r="P348" s="2">
        <v>72.549453999999997</v>
      </c>
      <c r="Q348" s="2">
        <v>23.037436</v>
      </c>
    </row>
    <row r="349" spans="1:17" x14ac:dyDescent="0.25">
      <c r="A349" s="2">
        <v>384</v>
      </c>
      <c r="B349" s="2" t="s">
        <v>15</v>
      </c>
      <c r="C349" s="2">
        <v>11</v>
      </c>
      <c r="D349" s="2">
        <f t="shared" si="50"/>
        <v>27.94</v>
      </c>
      <c r="E349" s="2">
        <f t="shared" si="51"/>
        <v>8.8935782199751117</v>
      </c>
      <c r="F349" s="2">
        <f t="shared" si="52"/>
        <v>3.5014087480216975</v>
      </c>
      <c r="G349" s="2">
        <v>4.3828230000000001</v>
      </c>
      <c r="H349" s="2">
        <f t="shared" si="53"/>
        <v>14.379341011320001</v>
      </c>
      <c r="I349" s="2">
        <f>INDEX('Wood Density Lookup'!$B$2:$B$152,MATCH(B349,'Wood Density Lookup'!$A$2:$A$152,0))</f>
        <v>0.75</v>
      </c>
      <c r="J349" s="2">
        <f t="shared" si="54"/>
        <v>15.311723562208023</v>
      </c>
      <c r="K349" s="2">
        <f t="shared" si="58"/>
        <v>4.2872825974182467</v>
      </c>
      <c r="L349" s="2">
        <f t="shared" si="59"/>
        <v>19.599006159626271</v>
      </c>
      <c r="M349" s="2">
        <f t="shared" si="55"/>
        <v>14.209279465729045</v>
      </c>
      <c r="N349" s="2">
        <f t="shared" si="56"/>
        <v>7.1046397328645225</v>
      </c>
      <c r="O349" s="2">
        <f t="shared" si="57"/>
        <v>26.074027819612798</v>
      </c>
      <c r="P349" s="2">
        <v>72.549460999999994</v>
      </c>
      <c r="Q349" s="2">
        <v>23.038139000000001</v>
      </c>
    </row>
    <row r="350" spans="1:17" x14ac:dyDescent="0.25">
      <c r="A350" s="2">
        <v>385</v>
      </c>
      <c r="B350" s="2" t="s">
        <v>34</v>
      </c>
      <c r="C350" s="2">
        <v>77</v>
      </c>
      <c r="D350" s="2">
        <f t="shared" si="50"/>
        <v>195.58</v>
      </c>
      <c r="E350" s="2">
        <f t="shared" si="51"/>
        <v>62.255047539825789</v>
      </c>
      <c r="F350" s="2">
        <f t="shared" si="52"/>
        <v>24.509861236151881</v>
      </c>
      <c r="G350" s="2">
        <v>15.685352</v>
      </c>
      <c r="H350" s="2">
        <f t="shared" si="53"/>
        <v>51.461130255679997</v>
      </c>
      <c r="I350" s="2">
        <f>INDEX('Wood Density Lookup'!$B$2:$B$152,MATCH(B350,'Wood Density Lookup'!$A$2:$A$152,0))</f>
        <v>0.6</v>
      </c>
      <c r="J350" s="2">
        <f t="shared" si="54"/>
        <v>1907.7517047128802</v>
      </c>
      <c r="K350" s="2">
        <f t="shared" si="58"/>
        <v>534.17047731960645</v>
      </c>
      <c r="L350" s="2">
        <f t="shared" si="59"/>
        <v>2441.9221820324865</v>
      </c>
      <c r="M350" s="2">
        <f t="shared" si="55"/>
        <v>1770.3935819735527</v>
      </c>
      <c r="N350" s="2">
        <f t="shared" si="56"/>
        <v>885.19679098677636</v>
      </c>
      <c r="O350" s="2">
        <f t="shared" si="57"/>
        <v>3248.6722229214693</v>
      </c>
      <c r="P350" s="2">
        <v>72.549462000000005</v>
      </c>
      <c r="Q350" s="2">
        <v>23.035592999999999</v>
      </c>
    </row>
    <row r="351" spans="1:17" x14ac:dyDescent="0.25">
      <c r="A351" s="2">
        <v>386</v>
      </c>
      <c r="B351" s="2" t="s">
        <v>114</v>
      </c>
      <c r="C351" s="2">
        <v>17</v>
      </c>
      <c r="D351" s="2">
        <f t="shared" si="50"/>
        <v>43.18</v>
      </c>
      <c r="E351" s="2">
        <f t="shared" si="51"/>
        <v>13.744620885416081</v>
      </c>
      <c r="F351" s="2">
        <f t="shared" si="52"/>
        <v>5.4112680651244416</v>
      </c>
      <c r="G351" s="2">
        <v>10.273398</v>
      </c>
      <c r="H351" s="2">
        <f t="shared" si="53"/>
        <v>33.705375094319997</v>
      </c>
      <c r="I351" s="2">
        <f>INDEX('Wood Density Lookup'!$B$2:$B$152,MATCH(B351,'Wood Density Lookup'!$A$2:$A$152,0))</f>
        <v>0.55000000000000004</v>
      </c>
      <c r="J351" s="2">
        <f t="shared" si="54"/>
        <v>60.768313238616443</v>
      </c>
      <c r="K351" s="2">
        <f t="shared" si="58"/>
        <v>17.015127706812606</v>
      </c>
      <c r="L351" s="2">
        <f t="shared" si="59"/>
        <v>77.783440945429049</v>
      </c>
      <c r="M351" s="2">
        <f t="shared" si="55"/>
        <v>56.392994685436058</v>
      </c>
      <c r="N351" s="2">
        <f t="shared" si="56"/>
        <v>28.196497342718029</v>
      </c>
      <c r="O351" s="2">
        <f t="shared" si="57"/>
        <v>103.48114524777516</v>
      </c>
      <c r="P351" s="2">
        <v>72.549463000000003</v>
      </c>
      <c r="Q351" s="2">
        <v>23.036608000000001</v>
      </c>
    </row>
    <row r="352" spans="1:17" x14ac:dyDescent="0.25">
      <c r="A352" s="2">
        <v>388</v>
      </c>
      <c r="B352" s="2" t="s">
        <v>15</v>
      </c>
      <c r="C352" s="2">
        <v>65</v>
      </c>
      <c r="D352" s="2">
        <f t="shared" si="50"/>
        <v>165.1</v>
      </c>
      <c r="E352" s="2">
        <f t="shared" si="51"/>
        <v>52.552962208943839</v>
      </c>
      <c r="F352" s="2">
        <f t="shared" si="52"/>
        <v>20.690142601946395</v>
      </c>
      <c r="G352" s="2">
        <v>12.009625</v>
      </c>
      <c r="H352" s="2">
        <f t="shared" si="53"/>
        <v>39.401658085000001</v>
      </c>
      <c r="I352" s="2">
        <f>INDEX('Wood Density Lookup'!$B$2:$B$152,MATCH(B352,'Wood Density Lookup'!$A$2:$A$152,0))</f>
        <v>0.75</v>
      </c>
      <c r="J352" s="2">
        <f t="shared" si="54"/>
        <v>1313.1106777337002</v>
      </c>
      <c r="K352" s="2">
        <f t="shared" si="58"/>
        <v>367.6709897654361</v>
      </c>
      <c r="L352" s="2">
        <f t="shared" si="59"/>
        <v>1680.7816674991363</v>
      </c>
      <c r="M352" s="2">
        <f t="shared" si="55"/>
        <v>1218.5667089368737</v>
      </c>
      <c r="N352" s="2">
        <f t="shared" si="56"/>
        <v>609.28335446843687</v>
      </c>
      <c r="O352" s="2">
        <f t="shared" si="57"/>
        <v>2236.0699108991635</v>
      </c>
      <c r="P352" s="2">
        <v>72.549464999999998</v>
      </c>
      <c r="Q352" s="2">
        <v>23.037595</v>
      </c>
    </row>
    <row r="353" spans="1:17" x14ac:dyDescent="0.25">
      <c r="A353" s="2">
        <v>390</v>
      </c>
      <c r="B353" s="2" t="s">
        <v>145</v>
      </c>
      <c r="C353" s="2">
        <v>28</v>
      </c>
      <c r="D353" s="2">
        <f t="shared" si="50"/>
        <v>71.12</v>
      </c>
      <c r="E353" s="2">
        <f t="shared" si="51"/>
        <v>22.638199105391195</v>
      </c>
      <c r="F353" s="2">
        <f t="shared" si="52"/>
        <v>8.91267681314614</v>
      </c>
      <c r="G353" s="2">
        <v>9.9196200000000001</v>
      </c>
      <c r="H353" s="2">
        <f t="shared" si="53"/>
        <v>32.544686080799998</v>
      </c>
      <c r="I353" s="2">
        <f>INDEX('Wood Density Lookup'!$B$2:$B$152,MATCH(B353,'Wood Density Lookup'!$A$2:$A$152,0))</f>
        <v>0.55000000000000004</v>
      </c>
      <c r="J353" s="2">
        <f t="shared" si="54"/>
        <v>155.53908665507228</v>
      </c>
      <c r="K353" s="2">
        <f t="shared" si="58"/>
        <v>43.550944263420241</v>
      </c>
      <c r="L353" s="2">
        <f t="shared" si="59"/>
        <v>199.09003091849252</v>
      </c>
      <c r="M353" s="2">
        <f t="shared" si="55"/>
        <v>144.34027241590707</v>
      </c>
      <c r="N353" s="2">
        <f t="shared" si="56"/>
        <v>72.170136207953533</v>
      </c>
      <c r="O353" s="2">
        <f t="shared" si="57"/>
        <v>264.86439988318944</v>
      </c>
      <c r="P353" s="2">
        <v>72.549465999999995</v>
      </c>
      <c r="Q353" s="2">
        <v>23.035689000000001</v>
      </c>
    </row>
    <row r="354" spans="1:17" x14ac:dyDescent="0.25">
      <c r="A354" s="2">
        <v>391</v>
      </c>
      <c r="B354" s="2" t="s">
        <v>29</v>
      </c>
      <c r="C354" s="2">
        <v>36</v>
      </c>
      <c r="D354" s="2">
        <f t="shared" si="50"/>
        <v>91.44</v>
      </c>
      <c r="E354" s="2">
        <f t="shared" si="51"/>
        <v>29.106255992645821</v>
      </c>
      <c r="F354" s="2">
        <f t="shared" si="52"/>
        <v>11.459155902616464</v>
      </c>
      <c r="G354" s="2">
        <v>14.18135</v>
      </c>
      <c r="H354" s="2">
        <f t="shared" si="53"/>
        <v>46.526740334000003</v>
      </c>
      <c r="I354" s="2">
        <f>INDEX('Wood Density Lookup'!$B$2:$B$152,MATCH(B354,'Wood Density Lookup'!$A$2:$A$152,0))</f>
        <v>0.65</v>
      </c>
      <c r="J354" s="2">
        <f t="shared" si="54"/>
        <v>423.83439631190168</v>
      </c>
      <c r="K354" s="2">
        <f t="shared" si="58"/>
        <v>118.67363096733249</v>
      </c>
      <c r="L354" s="2">
        <f t="shared" si="59"/>
        <v>542.50802727923417</v>
      </c>
      <c r="M354" s="2">
        <f t="shared" si="55"/>
        <v>393.31831977744474</v>
      </c>
      <c r="N354" s="2">
        <f t="shared" si="56"/>
        <v>196.65915988872237</v>
      </c>
      <c r="O354" s="2">
        <f t="shared" si="57"/>
        <v>721.73911679161108</v>
      </c>
      <c r="P354" s="2">
        <v>72.549465999999995</v>
      </c>
      <c r="Q354" s="2">
        <v>23.035795</v>
      </c>
    </row>
    <row r="355" spans="1:17" x14ac:dyDescent="0.25">
      <c r="A355" s="2">
        <v>392</v>
      </c>
      <c r="B355" s="2" t="s">
        <v>111</v>
      </c>
      <c r="C355" s="2">
        <v>37</v>
      </c>
      <c r="D355" s="2">
        <f t="shared" si="50"/>
        <v>93.98</v>
      </c>
      <c r="E355" s="2">
        <f t="shared" si="51"/>
        <v>29.914763103552648</v>
      </c>
      <c r="F355" s="2">
        <f t="shared" si="52"/>
        <v>11.777465788800255</v>
      </c>
      <c r="G355" s="2">
        <v>4.6593340000000003</v>
      </c>
      <c r="H355" s="2">
        <f t="shared" si="53"/>
        <v>15.286529360560001</v>
      </c>
      <c r="I355" s="2">
        <f>INDEX('Wood Density Lookup'!$B$2:$B$152,MATCH(B355,'Wood Density Lookup'!$A$2:$A$152,0))</f>
        <v>0.4</v>
      </c>
      <c r="J355" s="2">
        <f t="shared" si="54"/>
        <v>93.937352454612778</v>
      </c>
      <c r="K355" s="2">
        <f t="shared" si="58"/>
        <v>26.30245868729158</v>
      </c>
      <c r="L355" s="2">
        <f t="shared" si="59"/>
        <v>120.23981114190435</v>
      </c>
      <c r="M355" s="2">
        <f t="shared" si="55"/>
        <v>87.173863077880654</v>
      </c>
      <c r="N355" s="2">
        <f t="shared" si="56"/>
        <v>43.586931538940327</v>
      </c>
      <c r="O355" s="2">
        <f t="shared" si="57"/>
        <v>159.96403874791099</v>
      </c>
      <c r="P355" s="2">
        <v>72.549467000000007</v>
      </c>
      <c r="Q355" s="2">
        <v>23.034859000000001</v>
      </c>
    </row>
    <row r="356" spans="1:17" x14ac:dyDescent="0.25">
      <c r="A356" s="2">
        <v>394</v>
      </c>
      <c r="B356" s="2" t="s">
        <v>114</v>
      </c>
      <c r="C356" s="2">
        <v>2</v>
      </c>
      <c r="D356" s="2">
        <f t="shared" si="50"/>
        <v>5.08</v>
      </c>
      <c r="E356" s="2">
        <f t="shared" si="51"/>
        <v>1.6170142218136567</v>
      </c>
      <c r="F356" s="2">
        <f t="shared" si="52"/>
        <v>0.63661977236758138</v>
      </c>
      <c r="G356" s="2">
        <v>4.205889</v>
      </c>
      <c r="H356" s="2">
        <f t="shared" si="53"/>
        <v>13.79884886676</v>
      </c>
      <c r="I356" s="2">
        <f>INDEX('Wood Density Lookup'!$B$2:$B$152,MATCH(B356,'Wood Density Lookup'!$A$2:$A$152,0))</f>
        <v>0.55000000000000004</v>
      </c>
      <c r="J356" s="2">
        <f t="shared" si="54"/>
        <v>0.38985551610487357</v>
      </c>
      <c r="K356" s="2">
        <f t="shared" si="58"/>
        <v>0.1091595445093646</v>
      </c>
      <c r="L356" s="2">
        <f t="shared" si="59"/>
        <v>0.49901506061423817</v>
      </c>
      <c r="M356" s="2">
        <f t="shared" si="55"/>
        <v>0.36178591894532264</v>
      </c>
      <c r="N356" s="2">
        <f t="shared" si="56"/>
        <v>0.18089295947266132</v>
      </c>
      <c r="O356" s="2">
        <f t="shared" si="57"/>
        <v>0.663877161264667</v>
      </c>
      <c r="P356" s="2">
        <v>72.549469999999999</v>
      </c>
      <c r="Q356" s="2">
        <v>23.034510999999998</v>
      </c>
    </row>
    <row r="357" spans="1:17" x14ac:dyDescent="0.25">
      <c r="A357" s="2">
        <v>395</v>
      </c>
      <c r="B357" s="2" t="s">
        <v>111</v>
      </c>
      <c r="C357" s="2">
        <v>18</v>
      </c>
      <c r="D357" s="2">
        <f t="shared" si="50"/>
        <v>45.72</v>
      </c>
      <c r="E357" s="2">
        <f t="shared" si="51"/>
        <v>14.55312799632291</v>
      </c>
      <c r="F357" s="2">
        <f t="shared" si="52"/>
        <v>5.7295779513082321</v>
      </c>
      <c r="G357" s="2">
        <v>3.3523399999999999</v>
      </c>
      <c r="H357" s="2">
        <f t="shared" si="53"/>
        <v>10.998491165599999</v>
      </c>
      <c r="I357" s="2">
        <f>INDEX('Wood Density Lookup'!$B$2:$B$152,MATCH(B357,'Wood Density Lookup'!$A$2:$A$152,0))</f>
        <v>0.4</v>
      </c>
      <c r="J357" s="2">
        <f t="shared" si="54"/>
        <v>16.689991470114414</v>
      </c>
      <c r="K357" s="2">
        <f t="shared" si="58"/>
        <v>4.6731976116320366</v>
      </c>
      <c r="L357" s="2">
        <f t="shared" si="59"/>
        <v>21.363189081746452</v>
      </c>
      <c r="M357" s="2">
        <f t="shared" si="55"/>
        <v>15.488312084266177</v>
      </c>
      <c r="N357" s="2">
        <f t="shared" si="56"/>
        <v>7.7441560421330884</v>
      </c>
      <c r="O357" s="2">
        <f t="shared" si="57"/>
        <v>28.421052674628434</v>
      </c>
      <c r="P357" s="2">
        <v>72.549471999999994</v>
      </c>
      <c r="Q357" s="2">
        <v>23.036539000000001</v>
      </c>
    </row>
    <row r="358" spans="1:17" x14ac:dyDescent="0.25">
      <c r="A358" s="2">
        <v>399</v>
      </c>
      <c r="B358" s="2" t="s">
        <v>111</v>
      </c>
      <c r="C358" s="2">
        <v>5</v>
      </c>
      <c r="D358" s="2">
        <f t="shared" si="50"/>
        <v>12.7</v>
      </c>
      <c r="E358" s="2">
        <f t="shared" si="51"/>
        <v>4.0425355545341413</v>
      </c>
      <c r="F358" s="2">
        <f t="shared" si="52"/>
        <v>1.5915494309189535</v>
      </c>
      <c r="G358" s="2">
        <v>17.936544000000001</v>
      </c>
      <c r="H358" s="2">
        <f t="shared" si="53"/>
        <v>58.846931016960006</v>
      </c>
      <c r="I358" s="2">
        <f>INDEX('Wood Density Lookup'!$B$2:$B$152,MATCH(B358,'Wood Density Lookup'!$A$2:$A$152,0))</f>
        <v>0.4</v>
      </c>
      <c r="J358" s="2">
        <f t="shared" si="54"/>
        <v>7.0382220506761479</v>
      </c>
      <c r="K358" s="2">
        <f t="shared" si="58"/>
        <v>1.9707021741893216</v>
      </c>
      <c r="L358" s="2">
        <f t="shared" si="59"/>
        <v>9.0089242248654688</v>
      </c>
      <c r="M358" s="2">
        <f t="shared" si="55"/>
        <v>6.5314700630274647</v>
      </c>
      <c r="N358" s="2">
        <f t="shared" si="56"/>
        <v>3.2657350315137323</v>
      </c>
      <c r="O358" s="2">
        <f t="shared" si="57"/>
        <v>11.985247565655397</v>
      </c>
      <c r="P358" s="2">
        <v>72.549480000000003</v>
      </c>
      <c r="Q358" s="2">
        <v>23.035534999999999</v>
      </c>
    </row>
    <row r="359" spans="1:17" x14ac:dyDescent="0.25">
      <c r="A359" s="2">
        <v>400</v>
      </c>
      <c r="B359" s="2" t="s">
        <v>111</v>
      </c>
      <c r="C359" s="2">
        <v>6</v>
      </c>
      <c r="D359" s="2">
        <f t="shared" si="50"/>
        <v>15.24</v>
      </c>
      <c r="E359" s="2">
        <f t="shared" si="51"/>
        <v>4.8510426654409704</v>
      </c>
      <c r="F359" s="2">
        <f t="shared" si="52"/>
        <v>1.909859317102744</v>
      </c>
      <c r="G359" s="2">
        <v>17.371449999999999</v>
      </c>
      <c r="H359" s="2">
        <f t="shared" si="53"/>
        <v>56.992948018</v>
      </c>
      <c r="I359" s="2">
        <f>INDEX('Wood Density Lookup'!$B$2:$B$152,MATCH(B359,'Wood Density Lookup'!$A$2:$A$152,0))</f>
        <v>0.4</v>
      </c>
      <c r="J359" s="2">
        <f t="shared" si="54"/>
        <v>9.7376850709407297</v>
      </c>
      <c r="K359" s="2">
        <f t="shared" si="58"/>
        <v>2.7265518198634044</v>
      </c>
      <c r="L359" s="2">
        <f t="shared" si="59"/>
        <v>12.464236890804134</v>
      </c>
      <c r="M359" s="2">
        <f t="shared" si="55"/>
        <v>9.0365717458329975</v>
      </c>
      <c r="N359" s="2">
        <f t="shared" si="56"/>
        <v>4.5182858729164987</v>
      </c>
      <c r="O359" s="2">
        <f t="shared" si="57"/>
        <v>16.58210915360355</v>
      </c>
      <c r="P359" s="2">
        <v>72.549481</v>
      </c>
      <c r="Q359" s="2">
        <v>23.035513999999999</v>
      </c>
    </row>
    <row r="360" spans="1:17" x14ac:dyDescent="0.25">
      <c r="A360" s="2">
        <v>401</v>
      </c>
      <c r="B360" s="2" t="s">
        <v>34</v>
      </c>
      <c r="C360" s="2">
        <v>63</v>
      </c>
      <c r="D360" s="2">
        <f t="shared" si="50"/>
        <v>160.02000000000001</v>
      </c>
      <c r="E360" s="2">
        <f t="shared" si="51"/>
        <v>50.935947987130191</v>
      </c>
      <c r="F360" s="2">
        <f t="shared" si="52"/>
        <v>20.053522829578814</v>
      </c>
      <c r="G360" s="2">
        <v>17.942731999999999</v>
      </c>
      <c r="H360" s="2">
        <f t="shared" si="53"/>
        <v>58.867232854880001</v>
      </c>
      <c r="I360" s="2">
        <f>INDEX('Wood Density Lookup'!$B$2:$B$152,MATCH(B360,'Wood Density Lookup'!$A$2:$A$152,0))</f>
        <v>0.6</v>
      </c>
      <c r="J360" s="2">
        <f t="shared" si="54"/>
        <v>1470.2715213011318</v>
      </c>
      <c r="K360" s="2">
        <f t="shared" si="58"/>
        <v>411.67602596431692</v>
      </c>
      <c r="L360" s="2">
        <f t="shared" si="59"/>
        <v>1881.9475472654487</v>
      </c>
      <c r="M360" s="2">
        <f t="shared" si="55"/>
        <v>1364.4119717674503</v>
      </c>
      <c r="N360" s="2">
        <f t="shared" si="56"/>
        <v>682.20598588372513</v>
      </c>
      <c r="O360" s="2">
        <f t="shared" si="57"/>
        <v>2503.6959681932713</v>
      </c>
      <c r="P360" s="2">
        <v>72.549481999999998</v>
      </c>
      <c r="Q360" s="2">
        <v>23.035504</v>
      </c>
    </row>
    <row r="361" spans="1:17" x14ac:dyDescent="0.25">
      <c r="A361" s="2">
        <v>403</v>
      </c>
      <c r="B361" s="2" t="s">
        <v>135</v>
      </c>
      <c r="C361" s="2">
        <v>8</v>
      </c>
      <c r="D361" s="2">
        <f t="shared" si="50"/>
        <v>20.32</v>
      </c>
      <c r="E361" s="2">
        <f t="shared" si="51"/>
        <v>6.4680568872546269</v>
      </c>
      <c r="F361" s="2">
        <f t="shared" si="52"/>
        <v>2.5464790894703255</v>
      </c>
      <c r="G361" s="2">
        <v>2.940185</v>
      </c>
      <c r="H361" s="2">
        <f t="shared" si="53"/>
        <v>9.6462765554000001</v>
      </c>
      <c r="I361" s="2">
        <f>INDEX('Wood Density Lookup'!$B$2:$B$152,MATCH(B361,'Wood Density Lookup'!$A$2:$A$152,0))</f>
        <v>0.8</v>
      </c>
      <c r="J361" s="2">
        <f t="shared" si="54"/>
        <v>5.9319171311000067</v>
      </c>
      <c r="K361" s="2">
        <f t="shared" si="58"/>
        <v>1.660936796708002</v>
      </c>
      <c r="L361" s="2">
        <f t="shared" si="59"/>
        <v>7.5928539278080089</v>
      </c>
      <c r="M361" s="2">
        <f t="shared" si="55"/>
        <v>5.504819097660806</v>
      </c>
      <c r="N361" s="2">
        <f t="shared" si="56"/>
        <v>2.752409548830403</v>
      </c>
      <c r="O361" s="2">
        <f t="shared" si="57"/>
        <v>10.101343044207578</v>
      </c>
      <c r="P361" s="2">
        <v>72.549482999999995</v>
      </c>
      <c r="Q361" s="2">
        <v>23.037032</v>
      </c>
    </row>
    <row r="362" spans="1:17" x14ac:dyDescent="0.25">
      <c r="A362" s="2">
        <v>404</v>
      </c>
      <c r="B362" s="2" t="s">
        <v>15</v>
      </c>
      <c r="C362" s="2">
        <v>23</v>
      </c>
      <c r="D362" s="2">
        <f t="shared" si="50"/>
        <v>58.42</v>
      </c>
      <c r="E362" s="2">
        <f t="shared" si="51"/>
        <v>18.595663550857051</v>
      </c>
      <c r="F362" s="2">
        <f t="shared" si="52"/>
        <v>7.3211273822271856</v>
      </c>
      <c r="G362" s="2">
        <v>9.3382149999999999</v>
      </c>
      <c r="H362" s="2">
        <f t="shared" si="53"/>
        <v>30.637189300599999</v>
      </c>
      <c r="I362" s="2">
        <f>INDEX('Wood Density Lookup'!$B$2:$B$152,MATCH(B362,'Wood Density Lookup'!$A$2:$A$152,0))</f>
        <v>0.75</v>
      </c>
      <c r="J362" s="2">
        <f t="shared" si="54"/>
        <v>135.18982082748644</v>
      </c>
      <c r="K362" s="2">
        <f t="shared" si="58"/>
        <v>37.853149831696207</v>
      </c>
      <c r="L362" s="2">
        <f t="shared" si="59"/>
        <v>173.04297065918266</v>
      </c>
      <c r="M362" s="2">
        <f t="shared" si="55"/>
        <v>125.45615372790742</v>
      </c>
      <c r="N362" s="2">
        <f t="shared" si="56"/>
        <v>62.72807686395371</v>
      </c>
      <c r="O362" s="2">
        <f t="shared" si="57"/>
        <v>230.2120420907101</v>
      </c>
      <c r="P362" s="2">
        <v>72.549487999999997</v>
      </c>
      <c r="Q362" s="2">
        <v>23.036736999999999</v>
      </c>
    </row>
    <row r="363" spans="1:17" x14ac:dyDescent="0.25">
      <c r="A363" s="2">
        <v>405</v>
      </c>
      <c r="B363" s="2" t="s">
        <v>78</v>
      </c>
      <c r="C363" s="2">
        <v>22</v>
      </c>
      <c r="D363" s="2">
        <f t="shared" si="50"/>
        <v>55.88</v>
      </c>
      <c r="E363" s="2">
        <f t="shared" si="51"/>
        <v>17.787156439950223</v>
      </c>
      <c r="F363" s="2">
        <f t="shared" si="52"/>
        <v>7.0028174960433951</v>
      </c>
      <c r="G363" s="2">
        <v>9.4752960000000002</v>
      </c>
      <c r="H363" s="2">
        <f t="shared" si="53"/>
        <v>31.086930128639999</v>
      </c>
      <c r="I363" s="2">
        <f>INDEX('Wood Density Lookup'!$B$2:$B$152,MATCH(B363,'Wood Density Lookup'!$A$2:$A$152,0))</f>
        <v>0.55000000000000004</v>
      </c>
      <c r="J363" s="2">
        <f t="shared" si="54"/>
        <v>92.89055216696832</v>
      </c>
      <c r="K363" s="2">
        <f t="shared" si="58"/>
        <v>26.009354606751131</v>
      </c>
      <c r="L363" s="2">
        <f t="shared" si="59"/>
        <v>118.89990677371945</v>
      </c>
      <c r="M363" s="2">
        <f t="shared" si="55"/>
        <v>86.202432410946599</v>
      </c>
      <c r="N363" s="2">
        <f t="shared" si="56"/>
        <v>43.1012162054733</v>
      </c>
      <c r="O363" s="2">
        <f t="shared" si="57"/>
        <v>158.181463474087</v>
      </c>
      <c r="P363" s="2">
        <v>72.549487999999997</v>
      </c>
      <c r="Q363" s="2">
        <v>23.037282999999999</v>
      </c>
    </row>
    <row r="364" spans="1:17" x14ac:dyDescent="0.25">
      <c r="A364" s="2">
        <v>406</v>
      </c>
      <c r="B364" s="2" t="s">
        <v>15</v>
      </c>
      <c r="C364" s="2">
        <v>62</v>
      </c>
      <c r="D364" s="2">
        <f t="shared" si="50"/>
        <v>157.47999999999999</v>
      </c>
      <c r="E364" s="2">
        <f t="shared" si="51"/>
        <v>50.127440876223353</v>
      </c>
      <c r="F364" s="2">
        <f t="shared" si="52"/>
        <v>19.735212943395023</v>
      </c>
      <c r="G364" s="2">
        <v>10.191841999999999</v>
      </c>
      <c r="H364" s="2">
        <f t="shared" si="53"/>
        <v>33.437802907279995</v>
      </c>
      <c r="I364" s="2">
        <f>INDEX('Wood Density Lookup'!$B$2:$B$152,MATCH(B364,'Wood Density Lookup'!$A$2:$A$152,0))</f>
        <v>0.75</v>
      </c>
      <c r="J364" s="2">
        <f t="shared" si="54"/>
        <v>1020.1802614741231</v>
      </c>
      <c r="K364" s="2">
        <f t="shared" si="58"/>
        <v>285.65047321275449</v>
      </c>
      <c r="L364" s="2">
        <f t="shared" si="59"/>
        <v>1305.8307346868776</v>
      </c>
      <c r="M364" s="2">
        <f t="shared" si="55"/>
        <v>946.72728264798616</v>
      </c>
      <c r="N364" s="2">
        <f t="shared" si="56"/>
        <v>473.36364132399308</v>
      </c>
      <c r="O364" s="2">
        <f t="shared" si="57"/>
        <v>1737.2445636590546</v>
      </c>
      <c r="P364" s="2">
        <v>72.549488999999994</v>
      </c>
      <c r="Q364" s="2">
        <v>23.036835</v>
      </c>
    </row>
    <row r="365" spans="1:17" x14ac:dyDescent="0.25">
      <c r="A365" s="2">
        <v>407</v>
      </c>
      <c r="B365" s="2" t="s">
        <v>148</v>
      </c>
      <c r="C365" s="2">
        <v>5</v>
      </c>
      <c r="D365" s="2">
        <f t="shared" si="50"/>
        <v>12.7</v>
      </c>
      <c r="E365" s="2">
        <f t="shared" si="51"/>
        <v>4.0425355545341413</v>
      </c>
      <c r="F365" s="2">
        <f t="shared" si="52"/>
        <v>1.5915494309189535</v>
      </c>
      <c r="G365" s="2">
        <v>3.07037</v>
      </c>
      <c r="H365" s="2">
        <f t="shared" si="53"/>
        <v>10.0733927108</v>
      </c>
      <c r="I365" s="2">
        <f>INDEX('Wood Density Lookup'!$B$2:$B$152,MATCH(B365,'Wood Density Lookup'!$A$2:$A$152,0))</f>
        <v>0.5</v>
      </c>
      <c r="J365" s="2">
        <f t="shared" si="54"/>
        <v>1.5627742155840159</v>
      </c>
      <c r="K365" s="2">
        <f t="shared" si="58"/>
        <v>0.43757678036352449</v>
      </c>
      <c r="L365" s="2">
        <f t="shared" si="59"/>
        <v>2.0003509959475405</v>
      </c>
      <c r="M365" s="2">
        <f t="shared" si="55"/>
        <v>1.4502544720619668</v>
      </c>
      <c r="N365" s="2">
        <f t="shared" si="56"/>
        <v>0.72512723603098339</v>
      </c>
      <c r="O365" s="2">
        <f t="shared" si="57"/>
        <v>2.6612169562337091</v>
      </c>
      <c r="P365" s="2">
        <v>72.549488999999994</v>
      </c>
      <c r="Q365" s="2">
        <v>23.036981000000001</v>
      </c>
    </row>
    <row r="366" spans="1:17" x14ac:dyDescent="0.25">
      <c r="A366" s="2">
        <v>408</v>
      </c>
      <c r="B366" s="2" t="s">
        <v>114</v>
      </c>
      <c r="C366" s="2">
        <v>1</v>
      </c>
      <c r="D366" s="2">
        <f t="shared" si="50"/>
        <v>2.54</v>
      </c>
      <c r="E366" s="2">
        <f t="shared" si="51"/>
        <v>0.80850711090682836</v>
      </c>
      <c r="F366" s="2">
        <f t="shared" si="52"/>
        <v>0.31830988618379069</v>
      </c>
      <c r="G366" s="2">
        <v>2.5569760000000001</v>
      </c>
      <c r="H366" s="2">
        <f t="shared" si="53"/>
        <v>8.3890291398399999</v>
      </c>
      <c r="I366" s="2">
        <f>INDEX('Wood Density Lookup'!$B$2:$B$152,MATCH(B366,'Wood Density Lookup'!$A$2:$A$152,0))</f>
        <v>0.55000000000000004</v>
      </c>
      <c r="J366" s="2">
        <f t="shared" si="54"/>
        <v>6.1993923719987278E-2</v>
      </c>
      <c r="K366" s="2">
        <f t="shared" si="58"/>
        <v>1.735829864159644E-2</v>
      </c>
      <c r="L366" s="2">
        <f t="shared" si="59"/>
        <v>7.9352222361583721E-2</v>
      </c>
      <c r="M366" s="2">
        <f t="shared" si="55"/>
        <v>5.7530361212148197E-2</v>
      </c>
      <c r="N366" s="2">
        <f t="shared" si="56"/>
        <v>2.8765180606074098E-2</v>
      </c>
      <c r="O366" s="2">
        <f t="shared" si="57"/>
        <v>0.10556821282429193</v>
      </c>
      <c r="P366" s="2">
        <v>72.549490000000006</v>
      </c>
      <c r="Q366" s="2">
        <v>23.037044999999999</v>
      </c>
    </row>
    <row r="367" spans="1:17" x14ac:dyDescent="0.25">
      <c r="A367" s="2">
        <v>409</v>
      </c>
      <c r="B367" s="2" t="s">
        <v>62</v>
      </c>
      <c r="C367" s="2">
        <v>12</v>
      </c>
      <c r="D367" s="2">
        <f t="shared" si="50"/>
        <v>30.48</v>
      </c>
      <c r="E367" s="2">
        <f t="shared" si="51"/>
        <v>9.7020853308819408</v>
      </c>
      <c r="F367" s="2">
        <f t="shared" si="52"/>
        <v>3.8197186342054881</v>
      </c>
      <c r="G367" s="2">
        <v>9.0507600000000004</v>
      </c>
      <c r="H367" s="2">
        <f t="shared" si="53"/>
        <v>29.694095438400002</v>
      </c>
      <c r="I367" s="2">
        <f>INDEX('Wood Density Lookup'!$B$2:$B$152,MATCH(B367,'Wood Density Lookup'!$A$2:$A$152,0))</f>
        <v>0.47</v>
      </c>
      <c r="J367" s="2">
        <f t="shared" si="54"/>
        <v>23.338225771158633</v>
      </c>
      <c r="K367" s="2">
        <f t="shared" si="58"/>
        <v>6.5347032159244183</v>
      </c>
      <c r="L367" s="2">
        <f t="shared" si="59"/>
        <v>29.87292898708305</v>
      </c>
      <c r="M367" s="2">
        <f t="shared" si="55"/>
        <v>21.65787351563521</v>
      </c>
      <c r="N367" s="2">
        <f t="shared" si="56"/>
        <v>10.828936757817605</v>
      </c>
      <c r="O367" s="2">
        <f t="shared" si="57"/>
        <v>39.742197901190607</v>
      </c>
      <c r="P367" s="2">
        <v>72.549492000000001</v>
      </c>
      <c r="Q367" s="2">
        <v>23.036960000000001</v>
      </c>
    </row>
    <row r="368" spans="1:17" x14ac:dyDescent="0.25">
      <c r="A368" s="2">
        <v>410</v>
      </c>
      <c r="B368" s="2" t="s">
        <v>3</v>
      </c>
      <c r="C368" s="2">
        <v>24</v>
      </c>
      <c r="D368" s="2">
        <f t="shared" si="50"/>
        <v>60.96</v>
      </c>
      <c r="E368" s="2">
        <f t="shared" si="51"/>
        <v>19.404170661763882</v>
      </c>
      <c r="F368" s="2">
        <f t="shared" si="52"/>
        <v>7.6394372684109761</v>
      </c>
      <c r="G368" s="2">
        <v>8.2403580000000005</v>
      </c>
      <c r="H368" s="2">
        <f t="shared" si="53"/>
        <v>27.03529614072</v>
      </c>
      <c r="I368" s="2">
        <f>INDEX('Wood Density Lookup'!$B$2:$B$152,MATCH(B368,'Wood Density Lookup'!$A$2:$A$152,0))</f>
        <v>0.62</v>
      </c>
      <c r="J368" s="2">
        <f t="shared" si="54"/>
        <v>107.97517940748293</v>
      </c>
      <c r="K368" s="2">
        <f t="shared" si="58"/>
        <v>30.233050234095224</v>
      </c>
      <c r="L368" s="2">
        <f t="shared" si="59"/>
        <v>138.20822964157816</v>
      </c>
      <c r="M368" s="2">
        <f t="shared" si="55"/>
        <v>100.20096649014415</v>
      </c>
      <c r="N368" s="2">
        <f t="shared" si="56"/>
        <v>50.100483245072077</v>
      </c>
      <c r="O368" s="2">
        <f t="shared" si="57"/>
        <v>183.86877350941452</v>
      </c>
      <c r="P368" s="2">
        <v>72.549492999999998</v>
      </c>
      <c r="Q368" s="2">
        <v>23.034182000000001</v>
      </c>
    </row>
    <row r="369" spans="1:17" x14ac:dyDescent="0.25">
      <c r="A369" s="2">
        <v>411</v>
      </c>
      <c r="B369" s="2" t="s">
        <v>114</v>
      </c>
      <c r="C369" s="2">
        <v>8</v>
      </c>
      <c r="D369" s="2">
        <f t="shared" si="50"/>
        <v>20.32</v>
      </c>
      <c r="E369" s="2">
        <f t="shared" si="51"/>
        <v>6.4680568872546269</v>
      </c>
      <c r="F369" s="2">
        <f t="shared" si="52"/>
        <v>2.5464790894703255</v>
      </c>
      <c r="G369" s="2">
        <v>9.0677470000000007</v>
      </c>
      <c r="H369" s="2">
        <f t="shared" si="53"/>
        <v>29.749827067480002</v>
      </c>
      <c r="I369" s="2">
        <f>INDEX('Wood Density Lookup'!$B$2:$B$152,MATCH(B369,'Wood Density Lookup'!$A$2:$A$152,0))</f>
        <v>0.55000000000000004</v>
      </c>
      <c r="J369" s="2">
        <f t="shared" si="54"/>
        <v>12.35261699758245</v>
      </c>
      <c r="K369" s="2">
        <f t="shared" si="58"/>
        <v>3.4587327593230861</v>
      </c>
      <c r="L369" s="2">
        <f t="shared" si="59"/>
        <v>15.811349756905535</v>
      </c>
      <c r="M369" s="2">
        <f t="shared" si="55"/>
        <v>11.463228573756513</v>
      </c>
      <c r="N369" s="2">
        <f t="shared" si="56"/>
        <v>5.7316142868782567</v>
      </c>
      <c r="O369" s="2">
        <f t="shared" si="57"/>
        <v>21.035024432843201</v>
      </c>
      <c r="P369" s="2">
        <v>72.549493999999996</v>
      </c>
      <c r="Q369" s="2">
        <v>23.035824999999999</v>
      </c>
    </row>
    <row r="370" spans="1:17" x14ac:dyDescent="0.25">
      <c r="A370" s="2">
        <v>412</v>
      </c>
      <c r="B370" s="2" t="s">
        <v>34</v>
      </c>
      <c r="C370" s="2">
        <v>21</v>
      </c>
      <c r="D370" s="2">
        <f t="shared" si="50"/>
        <v>53.34</v>
      </c>
      <c r="E370" s="2">
        <f t="shared" si="51"/>
        <v>16.978649329043396</v>
      </c>
      <c r="F370" s="2">
        <f t="shared" si="52"/>
        <v>6.6845076098596046</v>
      </c>
      <c r="G370" s="2">
        <v>8.7251019999999997</v>
      </c>
      <c r="H370" s="2">
        <f t="shared" si="53"/>
        <v>28.62566364568</v>
      </c>
      <c r="I370" s="2">
        <f>INDEX('Wood Density Lookup'!$B$2:$B$152,MATCH(B370,'Wood Density Lookup'!$A$2:$A$152,0))</f>
        <v>0.6</v>
      </c>
      <c r="J370" s="2">
        <f t="shared" si="54"/>
        <v>85.202753812976113</v>
      </c>
      <c r="K370" s="2">
        <f t="shared" si="58"/>
        <v>23.856771067633314</v>
      </c>
      <c r="L370" s="2">
        <f t="shared" si="59"/>
        <v>109.05952488060943</v>
      </c>
      <c r="M370" s="2">
        <f t="shared" si="55"/>
        <v>79.068155538441829</v>
      </c>
      <c r="N370" s="2">
        <f t="shared" si="56"/>
        <v>39.534077769220914</v>
      </c>
      <c r="O370" s="2">
        <f t="shared" si="57"/>
        <v>145.09006541304075</v>
      </c>
      <c r="P370" s="2">
        <v>72.549494999999993</v>
      </c>
      <c r="Q370" s="2">
        <v>23.037236</v>
      </c>
    </row>
    <row r="371" spans="1:17" x14ac:dyDescent="0.25">
      <c r="A371" s="2">
        <v>413</v>
      </c>
      <c r="B371" s="2" t="s">
        <v>115</v>
      </c>
      <c r="C371" s="2">
        <v>47</v>
      </c>
      <c r="D371" s="2">
        <f t="shared" si="50"/>
        <v>119.38</v>
      </c>
      <c r="E371" s="2">
        <f t="shared" si="51"/>
        <v>37.999834212620932</v>
      </c>
      <c r="F371" s="2">
        <f t="shared" si="52"/>
        <v>14.960564650638162</v>
      </c>
      <c r="G371" s="2">
        <v>10.233696</v>
      </c>
      <c r="H371" s="2">
        <f t="shared" si="53"/>
        <v>33.575119184640002</v>
      </c>
      <c r="I371" s="2">
        <f>INDEX('Wood Density Lookup'!$B$2:$B$152,MATCH(B371,'Wood Density Lookup'!$A$2:$A$152,0))</f>
        <v>0.65</v>
      </c>
      <c r="J371" s="2">
        <f t="shared" si="54"/>
        <v>518.73328265030398</v>
      </c>
      <c r="K371" s="2">
        <f t="shared" si="58"/>
        <v>145.24531914208512</v>
      </c>
      <c r="L371" s="2">
        <f t="shared" si="59"/>
        <v>663.9786017923891</v>
      </c>
      <c r="M371" s="2">
        <f t="shared" si="55"/>
        <v>481.38448629948209</v>
      </c>
      <c r="N371" s="2">
        <f t="shared" si="56"/>
        <v>240.69224314974105</v>
      </c>
      <c r="O371" s="2">
        <f t="shared" si="57"/>
        <v>883.34053235954957</v>
      </c>
      <c r="P371" s="2">
        <v>72.549496000000005</v>
      </c>
      <c r="Q371" s="2">
        <v>23.036916000000002</v>
      </c>
    </row>
    <row r="372" spans="1:17" x14ac:dyDescent="0.25">
      <c r="A372" s="2">
        <v>416</v>
      </c>
      <c r="B372" s="2" t="s">
        <v>115</v>
      </c>
      <c r="C372" s="2">
        <v>26</v>
      </c>
      <c r="D372" s="2">
        <f t="shared" si="50"/>
        <v>66.040000000000006</v>
      </c>
      <c r="E372" s="2">
        <f t="shared" si="51"/>
        <v>21.02118488357754</v>
      </c>
      <c r="F372" s="2">
        <f t="shared" si="52"/>
        <v>8.2760570407785572</v>
      </c>
      <c r="G372" s="2">
        <v>6.394069</v>
      </c>
      <c r="H372" s="2">
        <f t="shared" si="53"/>
        <v>20.977917337960001</v>
      </c>
      <c r="I372" s="2">
        <f>INDEX('Wood Density Lookup'!$B$2:$B$152,MATCH(B372,'Wood Density Lookup'!$A$2:$A$152,0))</f>
        <v>0.65</v>
      </c>
      <c r="J372" s="2">
        <f t="shared" si="54"/>
        <v>103.20102286833941</v>
      </c>
      <c r="K372" s="2">
        <f t="shared" si="58"/>
        <v>28.896286403135036</v>
      </c>
      <c r="L372" s="2">
        <f t="shared" si="59"/>
        <v>132.09730927147444</v>
      </c>
      <c r="M372" s="2">
        <f t="shared" si="55"/>
        <v>95.770549221818968</v>
      </c>
      <c r="N372" s="2">
        <f t="shared" si="56"/>
        <v>47.885274610909484</v>
      </c>
      <c r="O372" s="2">
        <f t="shared" si="57"/>
        <v>175.7389578220378</v>
      </c>
      <c r="P372" s="2">
        <v>72.549501000000006</v>
      </c>
      <c r="Q372" s="2">
        <v>23.037120999999999</v>
      </c>
    </row>
    <row r="373" spans="1:17" x14ac:dyDescent="0.25">
      <c r="A373" s="2">
        <v>417</v>
      </c>
      <c r="B373" s="2" t="s">
        <v>15</v>
      </c>
      <c r="C373" s="2">
        <v>34</v>
      </c>
      <c r="D373" s="2">
        <f t="shared" si="50"/>
        <v>86.36</v>
      </c>
      <c r="E373" s="2">
        <f t="shared" si="51"/>
        <v>27.489241770832162</v>
      </c>
      <c r="F373" s="2">
        <f t="shared" si="52"/>
        <v>10.822536130248883</v>
      </c>
      <c r="G373" s="2">
        <v>5.9261100000000004</v>
      </c>
      <c r="H373" s="2">
        <f t="shared" si="53"/>
        <v>19.4426187324</v>
      </c>
      <c r="I373" s="2">
        <f>INDEX('Wood Density Lookup'!$B$2:$B$152,MATCH(B373,'Wood Density Lookup'!$A$2:$A$152,0))</f>
        <v>0.75</v>
      </c>
      <c r="J373" s="2">
        <f t="shared" si="54"/>
        <v>186.01321637657426</v>
      </c>
      <c r="K373" s="2">
        <f t="shared" si="58"/>
        <v>52.083700585440802</v>
      </c>
      <c r="L373" s="2">
        <f t="shared" si="59"/>
        <v>238.09691696201506</v>
      </c>
      <c r="M373" s="2">
        <f t="shared" si="55"/>
        <v>172.62026479746092</v>
      </c>
      <c r="N373" s="2">
        <f t="shared" si="56"/>
        <v>86.31013239873046</v>
      </c>
      <c r="O373" s="2">
        <f t="shared" si="57"/>
        <v>316.7581859033408</v>
      </c>
      <c r="P373" s="2">
        <v>72.549502000000004</v>
      </c>
      <c r="Q373" s="2">
        <v>23.034490999999999</v>
      </c>
    </row>
    <row r="374" spans="1:17" x14ac:dyDescent="0.25">
      <c r="A374" s="2">
        <v>419</v>
      </c>
      <c r="B374" s="2" t="s">
        <v>107</v>
      </c>
      <c r="C374" s="2">
        <v>37</v>
      </c>
      <c r="D374" s="2">
        <f t="shared" si="50"/>
        <v>93.98</v>
      </c>
      <c r="E374" s="2">
        <f t="shared" si="51"/>
        <v>29.914763103552648</v>
      </c>
      <c r="F374" s="2">
        <f t="shared" si="52"/>
        <v>11.777465788800255</v>
      </c>
      <c r="G374" s="2">
        <v>11.764972</v>
      </c>
      <c r="H374" s="2">
        <f t="shared" si="53"/>
        <v>38.598990736479998</v>
      </c>
      <c r="I374" s="2">
        <f>INDEX('Wood Density Lookup'!$B$2:$B$152,MATCH(B374,'Wood Density Lookup'!$A$2:$A$152,0))</f>
        <v>0.65</v>
      </c>
      <c r="J374" s="2">
        <f t="shared" si="54"/>
        <v>372.60085351284545</v>
      </c>
      <c r="K374" s="2">
        <f t="shared" si="58"/>
        <v>104.32823898359673</v>
      </c>
      <c r="L374" s="2">
        <f t="shared" si="59"/>
        <v>476.92909249644219</v>
      </c>
      <c r="M374" s="2">
        <f t="shared" si="55"/>
        <v>345.77359205992059</v>
      </c>
      <c r="N374" s="2">
        <f t="shared" si="56"/>
        <v>172.88679602996029</v>
      </c>
      <c r="O374" s="2">
        <f t="shared" si="57"/>
        <v>634.49454142995421</v>
      </c>
      <c r="P374" s="2">
        <v>72.549504999999996</v>
      </c>
      <c r="Q374" s="2">
        <v>23.035152</v>
      </c>
    </row>
    <row r="375" spans="1:17" x14ac:dyDescent="0.25">
      <c r="A375" s="2">
        <v>420</v>
      </c>
      <c r="B375" s="2" t="s">
        <v>62</v>
      </c>
      <c r="C375" s="2">
        <v>32</v>
      </c>
      <c r="D375" s="2">
        <f t="shared" si="50"/>
        <v>81.28</v>
      </c>
      <c r="E375" s="2">
        <f t="shared" si="51"/>
        <v>25.872227549018508</v>
      </c>
      <c r="F375" s="2">
        <f t="shared" si="52"/>
        <v>10.185916357881302</v>
      </c>
      <c r="G375" s="2">
        <v>8.8110429999999997</v>
      </c>
      <c r="H375" s="2">
        <f t="shared" si="53"/>
        <v>28.907622316119998</v>
      </c>
      <c r="I375" s="2">
        <f>INDEX('Wood Density Lookup'!$B$2:$B$152,MATCH(B375,'Wood Density Lookup'!$A$2:$A$152,0))</f>
        <v>0.47</v>
      </c>
      <c r="J375" s="2">
        <f t="shared" si="54"/>
        <v>154.23426195274754</v>
      </c>
      <c r="K375" s="2">
        <f t="shared" si="58"/>
        <v>43.185593346769316</v>
      </c>
      <c r="L375" s="2">
        <f t="shared" si="59"/>
        <v>197.41985529951685</v>
      </c>
      <c r="M375" s="2">
        <f t="shared" si="55"/>
        <v>143.12939509214971</v>
      </c>
      <c r="N375" s="2">
        <f t="shared" si="56"/>
        <v>71.564697546074854</v>
      </c>
      <c r="O375" s="2">
        <f t="shared" si="57"/>
        <v>262.64243999409473</v>
      </c>
      <c r="P375" s="2">
        <v>72.549505999999994</v>
      </c>
      <c r="Q375" s="2">
        <v>23.037251999999999</v>
      </c>
    </row>
    <row r="376" spans="1:17" x14ac:dyDescent="0.25">
      <c r="A376" s="2">
        <v>421</v>
      </c>
      <c r="B376" s="2" t="s">
        <v>12</v>
      </c>
      <c r="C376" s="2">
        <v>7</v>
      </c>
      <c r="D376" s="2">
        <f t="shared" si="50"/>
        <v>17.78</v>
      </c>
      <c r="E376" s="2">
        <f t="shared" si="51"/>
        <v>5.6595497763477987</v>
      </c>
      <c r="F376" s="2">
        <f t="shared" si="52"/>
        <v>2.228169203286535</v>
      </c>
      <c r="G376" s="2">
        <v>1.9579029999999999</v>
      </c>
      <c r="H376" s="2">
        <f t="shared" si="53"/>
        <v>6.4235664785199997</v>
      </c>
      <c r="I376" s="2">
        <f>INDEX('Wood Density Lookup'!$B$2:$B$152,MATCH(B376,'Wood Density Lookup'!$A$2:$A$152,0))</f>
        <v>0.6</v>
      </c>
      <c r="J376" s="2">
        <f t="shared" si="54"/>
        <v>2.3211815278734735</v>
      </c>
      <c r="K376" s="2">
        <f t="shared" si="58"/>
        <v>0.64993082780457267</v>
      </c>
      <c r="L376" s="2">
        <f t="shared" si="59"/>
        <v>2.9711123556780463</v>
      </c>
      <c r="M376" s="2">
        <f t="shared" si="55"/>
        <v>2.1540564578665835</v>
      </c>
      <c r="N376" s="2">
        <f t="shared" si="56"/>
        <v>1.0770282289332918</v>
      </c>
      <c r="O376" s="2">
        <f t="shared" si="57"/>
        <v>3.9526936001851807</v>
      </c>
      <c r="P376" s="2">
        <v>72.549508000000003</v>
      </c>
      <c r="Q376" s="2">
        <v>23.034562999999999</v>
      </c>
    </row>
    <row r="377" spans="1:17" x14ac:dyDescent="0.25">
      <c r="A377" s="2">
        <v>422</v>
      </c>
      <c r="B377" s="2" t="s">
        <v>15</v>
      </c>
      <c r="C377" s="2">
        <v>34</v>
      </c>
      <c r="D377" s="2">
        <f t="shared" si="50"/>
        <v>86.36</v>
      </c>
      <c r="E377" s="2">
        <f t="shared" si="51"/>
        <v>27.489241770832162</v>
      </c>
      <c r="F377" s="2">
        <f t="shared" si="52"/>
        <v>10.822536130248883</v>
      </c>
      <c r="G377" s="2">
        <v>3.3723709999999998</v>
      </c>
      <c r="H377" s="2">
        <f t="shared" si="53"/>
        <v>11.064209671639999</v>
      </c>
      <c r="I377" s="2">
        <f>INDEX('Wood Density Lookup'!$B$2:$B$152,MATCH(B377,'Wood Density Lookup'!$A$2:$A$152,0))</f>
        <v>0.75</v>
      </c>
      <c r="J377" s="2">
        <f t="shared" si="54"/>
        <v>107.2964774833566</v>
      </c>
      <c r="K377" s="2">
        <f t="shared" si="58"/>
        <v>30.043013695339852</v>
      </c>
      <c r="L377" s="2">
        <f t="shared" si="59"/>
        <v>137.33949117869645</v>
      </c>
      <c r="M377" s="2">
        <f t="shared" si="55"/>
        <v>99.571131104554922</v>
      </c>
      <c r="N377" s="2">
        <f t="shared" si="56"/>
        <v>49.785565552277461</v>
      </c>
      <c r="O377" s="2">
        <f t="shared" si="57"/>
        <v>182.71302557685829</v>
      </c>
      <c r="P377" s="2">
        <v>72.549508000000003</v>
      </c>
      <c r="Q377" s="2">
        <v>23.03875</v>
      </c>
    </row>
    <row r="378" spans="1:17" x14ac:dyDescent="0.25">
      <c r="A378" s="2">
        <v>423</v>
      </c>
      <c r="B378" s="2" t="s">
        <v>114</v>
      </c>
      <c r="C378" s="2">
        <v>10</v>
      </c>
      <c r="D378" s="2">
        <f t="shared" si="50"/>
        <v>25.4</v>
      </c>
      <c r="E378" s="2">
        <f t="shared" si="51"/>
        <v>8.0850711090682825</v>
      </c>
      <c r="F378" s="2">
        <f t="shared" si="52"/>
        <v>3.183098861837907</v>
      </c>
      <c r="G378" s="2">
        <v>8.9193789999999993</v>
      </c>
      <c r="H378" s="2">
        <f t="shared" si="53"/>
        <v>29.263055398359999</v>
      </c>
      <c r="I378" s="2">
        <f>INDEX('Wood Density Lookup'!$B$2:$B$152,MATCH(B378,'Wood Density Lookup'!$A$2:$A$152,0))</f>
        <v>0.55000000000000004</v>
      </c>
      <c r="J378" s="2">
        <f t="shared" si="54"/>
        <v>18.790334005548782</v>
      </c>
      <c r="K378" s="2">
        <f t="shared" si="58"/>
        <v>5.2612935215536591</v>
      </c>
      <c r="L378" s="2">
        <f t="shared" si="59"/>
        <v>24.05162752710244</v>
      </c>
      <c r="M378" s="2">
        <f t="shared" si="55"/>
        <v>17.43742995714927</v>
      </c>
      <c r="N378" s="2">
        <f t="shared" si="56"/>
        <v>8.718714978574635</v>
      </c>
      <c r="O378" s="2">
        <f t="shared" si="57"/>
        <v>31.997683971368911</v>
      </c>
      <c r="P378" s="2">
        <v>72.549510999999995</v>
      </c>
      <c r="Q378" s="2">
        <v>23.036878000000002</v>
      </c>
    </row>
    <row r="379" spans="1:17" x14ac:dyDescent="0.25">
      <c r="A379" s="2">
        <v>424</v>
      </c>
      <c r="B379" s="2" t="s">
        <v>115</v>
      </c>
      <c r="C379" s="2">
        <v>26</v>
      </c>
      <c r="D379" s="2">
        <f t="shared" si="50"/>
        <v>66.040000000000006</v>
      </c>
      <c r="E379" s="2">
        <f t="shared" si="51"/>
        <v>21.02118488357754</v>
      </c>
      <c r="F379" s="2">
        <f t="shared" si="52"/>
        <v>8.2760570407785572</v>
      </c>
      <c r="G379" s="2">
        <v>6.9738569999999998</v>
      </c>
      <c r="H379" s="2">
        <f t="shared" si="53"/>
        <v>22.880108999879997</v>
      </c>
      <c r="I379" s="2">
        <f>INDEX('Wood Density Lookup'!$B$2:$B$152,MATCH(B379,'Wood Density Lookup'!$A$2:$A$152,0))</f>
        <v>0.65</v>
      </c>
      <c r="J379" s="2">
        <f t="shared" si="54"/>
        <v>112.32463702114937</v>
      </c>
      <c r="K379" s="2">
        <f t="shared" si="58"/>
        <v>31.450898365921827</v>
      </c>
      <c r="L379" s="2">
        <f t="shared" si="59"/>
        <v>143.77553538707119</v>
      </c>
      <c r="M379" s="2">
        <f t="shared" si="55"/>
        <v>104.23726315562661</v>
      </c>
      <c r="N379" s="2">
        <f t="shared" si="56"/>
        <v>52.118631577813304</v>
      </c>
      <c r="O379" s="2">
        <f t="shared" si="57"/>
        <v>191.27537789057482</v>
      </c>
      <c r="P379" s="2">
        <v>72.549511999999993</v>
      </c>
      <c r="Q379" s="2">
        <v>23.036961000000002</v>
      </c>
    </row>
    <row r="380" spans="1:17" x14ac:dyDescent="0.25">
      <c r="A380" s="2">
        <v>425</v>
      </c>
      <c r="B380" s="2" t="s">
        <v>114</v>
      </c>
      <c r="C380" s="2">
        <v>11</v>
      </c>
      <c r="D380" s="2">
        <f t="shared" si="50"/>
        <v>27.94</v>
      </c>
      <c r="E380" s="2">
        <f t="shared" si="51"/>
        <v>8.8935782199751117</v>
      </c>
      <c r="F380" s="2">
        <f t="shared" si="52"/>
        <v>3.5014087480216975</v>
      </c>
      <c r="G380" s="2">
        <v>10.948479000000001</v>
      </c>
      <c r="H380" s="2">
        <f t="shared" si="53"/>
        <v>35.92020784236</v>
      </c>
      <c r="I380" s="2">
        <f>INDEX('Wood Density Lookup'!$B$2:$B$152,MATCH(B380,'Wood Density Lookup'!$A$2:$A$152,0))</f>
        <v>0.55000000000000004</v>
      </c>
      <c r="J380" s="2">
        <f t="shared" si="54"/>
        <v>27.644945155739283</v>
      </c>
      <c r="K380" s="2">
        <f t="shared" si="58"/>
        <v>7.7405846436069998</v>
      </c>
      <c r="L380" s="2">
        <f t="shared" si="59"/>
        <v>35.38552979934628</v>
      </c>
      <c r="M380" s="2">
        <f t="shared" si="55"/>
        <v>25.654509104526053</v>
      </c>
      <c r="N380" s="2">
        <f t="shared" si="56"/>
        <v>12.827254552263026</v>
      </c>
      <c r="O380" s="2">
        <f t="shared" si="57"/>
        <v>47.076024206805307</v>
      </c>
      <c r="P380" s="2">
        <v>72.549514000000002</v>
      </c>
      <c r="Q380" s="2">
        <v>23.036815000000001</v>
      </c>
    </row>
    <row r="381" spans="1:17" x14ac:dyDescent="0.25">
      <c r="A381" s="2">
        <v>426</v>
      </c>
      <c r="B381" s="2" t="s">
        <v>114</v>
      </c>
      <c r="C381" s="2">
        <v>4</v>
      </c>
      <c r="D381" s="2">
        <f t="shared" si="50"/>
        <v>10.16</v>
      </c>
      <c r="E381" s="2">
        <f t="shared" si="51"/>
        <v>3.2340284436273135</v>
      </c>
      <c r="F381" s="2">
        <f t="shared" si="52"/>
        <v>1.2732395447351628</v>
      </c>
      <c r="G381" s="2">
        <v>2.2148430000000001</v>
      </c>
      <c r="H381" s="2">
        <f t="shared" si="53"/>
        <v>7.2665455081200001</v>
      </c>
      <c r="I381" s="2">
        <f>INDEX('Wood Density Lookup'!$B$2:$B$152,MATCH(B381,'Wood Density Lookup'!$A$2:$A$152,0))</f>
        <v>0.55000000000000004</v>
      </c>
      <c r="J381" s="2">
        <f t="shared" si="54"/>
        <v>0.80664738712718098</v>
      </c>
      <c r="K381" s="2">
        <f t="shared" si="58"/>
        <v>0.22586126839561069</v>
      </c>
      <c r="L381" s="2">
        <f t="shared" si="59"/>
        <v>1.0325086555227916</v>
      </c>
      <c r="M381" s="2">
        <f t="shared" si="55"/>
        <v>0.74856877525402388</v>
      </c>
      <c r="N381" s="2">
        <f t="shared" si="56"/>
        <v>0.37428438762701194</v>
      </c>
      <c r="O381" s="2">
        <f t="shared" si="57"/>
        <v>1.3736237025911338</v>
      </c>
      <c r="P381" s="2">
        <v>72.549515</v>
      </c>
      <c r="Q381" s="2">
        <v>23.034837</v>
      </c>
    </row>
    <row r="382" spans="1:17" x14ac:dyDescent="0.25">
      <c r="A382" s="2">
        <v>427</v>
      </c>
      <c r="B382" s="2" t="s">
        <v>37</v>
      </c>
      <c r="C382" s="2">
        <v>27</v>
      </c>
      <c r="D382" s="2">
        <f t="shared" si="50"/>
        <v>68.58</v>
      </c>
      <c r="E382" s="2">
        <f t="shared" si="51"/>
        <v>21.829691994484364</v>
      </c>
      <c r="F382" s="2">
        <f t="shared" si="52"/>
        <v>8.5943669269623477</v>
      </c>
      <c r="G382" s="2">
        <v>14.20593</v>
      </c>
      <c r="H382" s="2">
        <f t="shared" si="53"/>
        <v>46.607383381200002</v>
      </c>
      <c r="I382" s="2">
        <f>INDEX('Wood Density Lookup'!$B$2:$B$152,MATCH(B382,'Wood Density Lookup'!$A$2:$A$152,0))</f>
        <v>0.27</v>
      </c>
      <c r="J382" s="2">
        <f t="shared" si="54"/>
        <v>102.72057156967183</v>
      </c>
      <c r="K382" s="2">
        <f t="shared" si="58"/>
        <v>28.761760039508115</v>
      </c>
      <c r="L382" s="2">
        <f t="shared" si="59"/>
        <v>131.48233160917994</v>
      </c>
      <c r="M382" s="2">
        <f t="shared" si="55"/>
        <v>95.324690416655457</v>
      </c>
      <c r="N382" s="2">
        <f t="shared" si="56"/>
        <v>47.662345208327729</v>
      </c>
      <c r="O382" s="2">
        <f t="shared" si="57"/>
        <v>174.92080691456277</v>
      </c>
      <c r="P382" s="2">
        <v>72.549518000000006</v>
      </c>
      <c r="Q382" s="2">
        <v>23.034247000000001</v>
      </c>
    </row>
    <row r="383" spans="1:17" x14ac:dyDescent="0.25">
      <c r="A383" s="2">
        <v>428</v>
      </c>
      <c r="B383" s="2" t="s">
        <v>3</v>
      </c>
      <c r="C383" s="2">
        <v>30</v>
      </c>
      <c r="D383" s="2">
        <f t="shared" si="50"/>
        <v>76.2</v>
      </c>
      <c r="E383" s="2">
        <f t="shared" si="51"/>
        <v>24.255213327204849</v>
      </c>
      <c r="F383" s="2">
        <f t="shared" si="52"/>
        <v>9.5492965855137211</v>
      </c>
      <c r="G383" s="2">
        <v>3.171891</v>
      </c>
      <c r="H383" s="2">
        <f t="shared" si="53"/>
        <v>10.406466868440001</v>
      </c>
      <c r="I383" s="2">
        <f>INDEX('Wood Density Lookup'!$B$2:$B$152,MATCH(B383,'Wood Density Lookup'!$A$2:$A$152,0))</f>
        <v>0.62</v>
      </c>
      <c r="J383" s="2">
        <f t="shared" si="54"/>
        <v>65.737853962872066</v>
      </c>
      <c r="K383" s="2">
        <f t="shared" si="58"/>
        <v>18.40659910960418</v>
      </c>
      <c r="L383" s="2">
        <f t="shared" si="59"/>
        <v>84.144453072476239</v>
      </c>
      <c r="M383" s="2">
        <f t="shared" si="55"/>
        <v>61.004728477545271</v>
      </c>
      <c r="N383" s="2">
        <f t="shared" si="56"/>
        <v>30.502364238772635</v>
      </c>
      <c r="O383" s="2">
        <f t="shared" si="57"/>
        <v>111.94367675629557</v>
      </c>
      <c r="P383" s="2">
        <v>72.549520000000001</v>
      </c>
      <c r="Q383" s="2">
        <v>23.036380000000001</v>
      </c>
    </row>
    <row r="384" spans="1:17" x14ac:dyDescent="0.25">
      <c r="A384" s="2">
        <v>429</v>
      </c>
      <c r="B384" s="2" t="s">
        <v>50</v>
      </c>
      <c r="C384" s="2">
        <v>30</v>
      </c>
      <c r="D384" s="2">
        <f t="shared" si="50"/>
        <v>76.2</v>
      </c>
      <c r="E384" s="2">
        <f t="shared" si="51"/>
        <v>24.255213327204849</v>
      </c>
      <c r="F384" s="2">
        <f t="shared" si="52"/>
        <v>9.5492965855137211</v>
      </c>
      <c r="G384" s="2">
        <v>1.1207290000000001</v>
      </c>
      <c r="H384" s="2">
        <f t="shared" si="53"/>
        <v>3.6769325323600004</v>
      </c>
      <c r="I384" s="2">
        <f>INDEX('Wood Density Lookup'!$B$2:$B$152,MATCH(B384,'Wood Density Lookup'!$A$2:$A$152,0))</f>
        <v>0.5</v>
      </c>
      <c r="J384" s="2">
        <f t="shared" si="54"/>
        <v>19.304650184114323</v>
      </c>
      <c r="K384" s="2">
        <f t="shared" si="58"/>
        <v>5.4053020515520105</v>
      </c>
      <c r="L384" s="2">
        <f t="shared" si="59"/>
        <v>24.709952235666332</v>
      </c>
      <c r="M384" s="2">
        <f t="shared" si="55"/>
        <v>17.91471537085809</v>
      </c>
      <c r="N384" s="2">
        <f t="shared" si="56"/>
        <v>8.9573576854290451</v>
      </c>
      <c r="O384" s="2">
        <f t="shared" si="57"/>
        <v>32.873502705524594</v>
      </c>
      <c r="P384" s="2">
        <v>72.549520000000001</v>
      </c>
      <c r="Q384" s="2">
        <v>23.036649000000001</v>
      </c>
    </row>
    <row r="385" spans="1:17" x14ac:dyDescent="0.25">
      <c r="A385" s="2">
        <v>430</v>
      </c>
      <c r="B385" s="2" t="s">
        <v>50</v>
      </c>
      <c r="C385" s="2">
        <v>3</v>
      </c>
      <c r="D385" s="2">
        <f t="shared" ref="D385:D448" si="60">C385*2.54</f>
        <v>7.62</v>
      </c>
      <c r="E385" s="2">
        <f t="shared" ref="E385:E448" si="61">D385/PI()</f>
        <v>2.4255213327204852</v>
      </c>
      <c r="F385" s="2">
        <f t="shared" ref="F385:F448" si="62">C385/PI()</f>
        <v>0.95492965855137202</v>
      </c>
      <c r="G385" s="2">
        <v>13.002063</v>
      </c>
      <c r="H385" s="2">
        <f t="shared" ref="H385:H448" si="63">G385*3.28084</f>
        <v>42.657688372919999</v>
      </c>
      <c r="I385" s="2">
        <f>INDEX('Wood Density Lookup'!$B$2:$B$152,MATCH(B385,'Wood Density Lookup'!$A$2:$A$152,0))</f>
        <v>0.5</v>
      </c>
      <c r="J385" s="2">
        <f t="shared" ref="J385:J448" si="64">0.0673*POWER(I385*E385^2*G385,0.976)</f>
        <v>2.358442610044285</v>
      </c>
      <c r="K385" s="2">
        <f t="shared" si="58"/>
        <v>0.66036393081239986</v>
      </c>
      <c r="L385" s="2">
        <f t="shared" si="59"/>
        <v>3.0188065408566849</v>
      </c>
      <c r="M385" s="2">
        <f t="shared" ref="M385:M448" si="65">0.725*L385</f>
        <v>2.1886347421210965</v>
      </c>
      <c r="N385" s="2">
        <f t="shared" ref="N385:N448" si="66">0.5*M385</f>
        <v>1.0943173710605483</v>
      </c>
      <c r="O385" s="2">
        <f t="shared" ref="O385:O448" si="67">3.67*N385</f>
        <v>4.0161447517922122</v>
      </c>
      <c r="P385" s="2">
        <v>72.549524000000005</v>
      </c>
      <c r="Q385" s="2">
        <v>23.036614</v>
      </c>
    </row>
    <row r="386" spans="1:17" x14ac:dyDescent="0.25">
      <c r="A386" s="2">
        <v>431</v>
      </c>
      <c r="B386" s="2" t="s">
        <v>145</v>
      </c>
      <c r="C386" s="2">
        <v>63</v>
      </c>
      <c r="D386" s="2">
        <f t="shared" si="60"/>
        <v>160.02000000000001</v>
      </c>
      <c r="E386" s="2">
        <f t="shared" si="61"/>
        <v>50.935947987130191</v>
      </c>
      <c r="F386" s="2">
        <f t="shared" si="62"/>
        <v>20.053522829578814</v>
      </c>
      <c r="G386" s="2">
        <v>11.782977000000001</v>
      </c>
      <c r="H386" s="2">
        <f t="shared" si="63"/>
        <v>38.658062260680005</v>
      </c>
      <c r="I386" s="2">
        <f>INDEX('Wood Density Lookup'!$B$2:$B$152,MATCH(B386,'Wood Density Lookup'!$A$2:$A$152,0))</f>
        <v>0.55000000000000004</v>
      </c>
      <c r="J386" s="2">
        <f t="shared" si="64"/>
        <v>895.91245515307253</v>
      </c>
      <c r="K386" s="2">
        <f t="shared" si="58"/>
        <v>250.85548744286032</v>
      </c>
      <c r="L386" s="2">
        <f t="shared" si="59"/>
        <v>1146.7679425959329</v>
      </c>
      <c r="M386" s="2">
        <f t="shared" si="65"/>
        <v>831.40675838205141</v>
      </c>
      <c r="N386" s="2">
        <f t="shared" si="66"/>
        <v>415.7033791910257</v>
      </c>
      <c r="O386" s="2">
        <f t="shared" si="67"/>
        <v>1525.6314016310644</v>
      </c>
      <c r="P386" s="2">
        <v>72.549525000000003</v>
      </c>
      <c r="Q386" s="2">
        <v>23.034901999999999</v>
      </c>
    </row>
    <row r="387" spans="1:17" x14ac:dyDescent="0.25">
      <c r="A387" s="2">
        <v>432</v>
      </c>
      <c r="B387" s="2" t="s">
        <v>15</v>
      </c>
      <c r="C387" s="2">
        <v>20</v>
      </c>
      <c r="D387" s="2">
        <f t="shared" si="60"/>
        <v>50.8</v>
      </c>
      <c r="E387" s="2">
        <f t="shared" si="61"/>
        <v>16.170142218136565</v>
      </c>
      <c r="F387" s="2">
        <f t="shared" si="62"/>
        <v>6.366197723675814</v>
      </c>
      <c r="G387" s="2">
        <v>6.8604240000000001</v>
      </c>
      <c r="H387" s="2">
        <f t="shared" si="63"/>
        <v>22.507953476160001</v>
      </c>
      <c r="I387" s="2">
        <f>INDEX('Wood Density Lookup'!$B$2:$B$152,MATCH(B387,'Wood Density Lookup'!$A$2:$A$152,0))</f>
        <v>0.75</v>
      </c>
      <c r="J387" s="2">
        <f t="shared" si="64"/>
        <v>76.166290840727228</v>
      </c>
      <c r="K387" s="2">
        <f t="shared" ref="K387:K450" si="68">0.28*J387</f>
        <v>21.326561435403626</v>
      </c>
      <c r="L387" s="2">
        <f t="shared" ref="L387:L450" si="69">J387+K387</f>
        <v>97.492852276130861</v>
      </c>
      <c r="M387" s="2">
        <f t="shared" si="65"/>
        <v>70.682317900194874</v>
      </c>
      <c r="N387" s="2">
        <f t="shared" si="66"/>
        <v>35.341158950097437</v>
      </c>
      <c r="O387" s="2">
        <f t="shared" si="67"/>
        <v>129.70205334685758</v>
      </c>
      <c r="P387" s="2">
        <v>72.549526999999998</v>
      </c>
      <c r="Q387" s="2">
        <v>23.036562</v>
      </c>
    </row>
    <row r="388" spans="1:17" x14ac:dyDescent="0.25">
      <c r="A388" s="2">
        <v>433</v>
      </c>
      <c r="B388" s="2" t="s">
        <v>50</v>
      </c>
      <c r="C388" s="2">
        <v>40</v>
      </c>
      <c r="D388" s="2">
        <f t="shared" si="60"/>
        <v>101.6</v>
      </c>
      <c r="E388" s="2">
        <f t="shared" si="61"/>
        <v>32.34028443627313</v>
      </c>
      <c r="F388" s="2">
        <f t="shared" si="62"/>
        <v>12.732395447351628</v>
      </c>
      <c r="G388" s="2">
        <v>5.1261270000000003</v>
      </c>
      <c r="H388" s="2">
        <f t="shared" si="63"/>
        <v>16.818002506679999</v>
      </c>
      <c r="I388" s="2">
        <f>INDEX('Wood Density Lookup'!$B$2:$B$152,MATCH(B388,'Wood Density Lookup'!$A$2:$A$152,0))</f>
        <v>0.5</v>
      </c>
      <c r="J388" s="2">
        <f t="shared" si="64"/>
        <v>149.2740004642697</v>
      </c>
      <c r="K388" s="2">
        <f t="shared" si="68"/>
        <v>41.796720129995521</v>
      </c>
      <c r="L388" s="2">
        <f t="shared" si="69"/>
        <v>191.07072059426523</v>
      </c>
      <c r="M388" s="2">
        <f t="shared" si="65"/>
        <v>138.52627243084228</v>
      </c>
      <c r="N388" s="2">
        <f t="shared" si="66"/>
        <v>69.263136215421142</v>
      </c>
      <c r="O388" s="2">
        <f t="shared" si="67"/>
        <v>254.19570991059558</v>
      </c>
      <c r="P388" s="2">
        <v>72.549529000000007</v>
      </c>
      <c r="Q388" s="2">
        <v>23.037466999999999</v>
      </c>
    </row>
    <row r="389" spans="1:17" x14ac:dyDescent="0.25">
      <c r="A389" s="2">
        <v>434</v>
      </c>
      <c r="B389" s="2" t="s">
        <v>3</v>
      </c>
      <c r="C389" s="2">
        <v>25</v>
      </c>
      <c r="D389" s="2">
        <f t="shared" si="60"/>
        <v>63.5</v>
      </c>
      <c r="E389" s="2">
        <f t="shared" si="61"/>
        <v>20.212677772670709</v>
      </c>
      <c r="F389" s="2">
        <f t="shared" si="62"/>
        <v>7.9577471545947667</v>
      </c>
      <c r="G389" s="2">
        <v>9.6471160000000005</v>
      </c>
      <c r="H389" s="2">
        <f t="shared" si="63"/>
        <v>31.650644057440001</v>
      </c>
      <c r="I389" s="2">
        <f>INDEX('Wood Density Lookup'!$B$2:$B$152,MATCH(B389,'Wood Density Lookup'!$A$2:$A$152,0))</f>
        <v>0.62</v>
      </c>
      <c r="J389" s="2">
        <f t="shared" si="64"/>
        <v>136.37635356361938</v>
      </c>
      <c r="K389" s="2">
        <f t="shared" si="68"/>
        <v>38.18537899781343</v>
      </c>
      <c r="L389" s="2">
        <f t="shared" si="69"/>
        <v>174.56173256143279</v>
      </c>
      <c r="M389" s="2">
        <f t="shared" si="65"/>
        <v>126.55725610703877</v>
      </c>
      <c r="N389" s="2">
        <f t="shared" si="66"/>
        <v>63.278628053519384</v>
      </c>
      <c r="O389" s="2">
        <f t="shared" si="67"/>
        <v>232.23256495641613</v>
      </c>
      <c r="P389" s="2">
        <v>72.549530000000004</v>
      </c>
      <c r="Q389" s="2">
        <v>23.036113</v>
      </c>
    </row>
    <row r="390" spans="1:17" x14ac:dyDescent="0.25">
      <c r="A390" s="2">
        <v>435</v>
      </c>
      <c r="B390" s="2" t="s">
        <v>114</v>
      </c>
      <c r="C390" s="2">
        <v>9</v>
      </c>
      <c r="D390" s="2">
        <f t="shared" si="60"/>
        <v>22.86</v>
      </c>
      <c r="E390" s="2">
        <f t="shared" si="61"/>
        <v>7.2765639981614552</v>
      </c>
      <c r="F390" s="2">
        <f t="shared" si="62"/>
        <v>2.8647889756541161</v>
      </c>
      <c r="G390" s="2">
        <v>2.1322890000000001</v>
      </c>
      <c r="H390" s="2">
        <f t="shared" si="63"/>
        <v>6.9956990427600001</v>
      </c>
      <c r="I390" s="2">
        <f>INDEX('Wood Density Lookup'!$B$2:$B$152,MATCH(B390,'Wood Density Lookup'!$A$2:$A$152,0))</f>
        <v>0.55000000000000004</v>
      </c>
      <c r="J390" s="2">
        <f t="shared" si="64"/>
        <v>3.7848010178230203</v>
      </c>
      <c r="K390" s="2">
        <f t="shared" si="68"/>
        <v>1.0597442849904457</v>
      </c>
      <c r="L390" s="2">
        <f t="shared" si="69"/>
        <v>4.844545302813466</v>
      </c>
      <c r="M390" s="2">
        <f t="shared" si="65"/>
        <v>3.5122953445397629</v>
      </c>
      <c r="N390" s="2">
        <f t="shared" si="66"/>
        <v>1.7561476722698814</v>
      </c>
      <c r="O390" s="2">
        <f t="shared" si="67"/>
        <v>6.4450619572304646</v>
      </c>
      <c r="P390" s="2">
        <v>72.549531000000002</v>
      </c>
      <c r="Q390" s="2">
        <v>23.035927999999998</v>
      </c>
    </row>
    <row r="391" spans="1:17" x14ac:dyDescent="0.25">
      <c r="A391" s="2">
        <v>436</v>
      </c>
      <c r="B391" s="2" t="s">
        <v>114</v>
      </c>
      <c r="C391" s="2">
        <v>6</v>
      </c>
      <c r="D391" s="2">
        <f t="shared" si="60"/>
        <v>15.24</v>
      </c>
      <c r="E391" s="2">
        <f t="shared" si="61"/>
        <v>4.8510426654409704</v>
      </c>
      <c r="F391" s="2">
        <f t="shared" si="62"/>
        <v>1.909859317102744</v>
      </c>
      <c r="G391" s="2">
        <v>1.817901</v>
      </c>
      <c r="H391" s="2">
        <f t="shared" si="63"/>
        <v>5.9642423168400001</v>
      </c>
      <c r="I391" s="2">
        <f>INDEX('Wood Density Lookup'!$B$2:$B$152,MATCH(B391,'Wood Density Lookup'!$A$2:$A$152,0))</f>
        <v>0.55000000000000004</v>
      </c>
      <c r="J391" s="2">
        <f t="shared" si="64"/>
        <v>1.4679109032665945</v>
      </c>
      <c r="K391" s="2">
        <f t="shared" si="68"/>
        <v>0.41101505291464646</v>
      </c>
      <c r="L391" s="2">
        <f t="shared" si="69"/>
        <v>1.878925956181241</v>
      </c>
      <c r="M391" s="2">
        <f t="shared" si="65"/>
        <v>1.3622213182313998</v>
      </c>
      <c r="N391" s="2">
        <f t="shared" si="66"/>
        <v>0.6811106591156999</v>
      </c>
      <c r="O391" s="2">
        <f t="shared" si="67"/>
        <v>2.4996761189546186</v>
      </c>
      <c r="P391" s="2">
        <v>72.549531000000002</v>
      </c>
      <c r="Q391" s="2">
        <v>23.035861000000001</v>
      </c>
    </row>
    <row r="392" spans="1:17" x14ac:dyDescent="0.25">
      <c r="A392" s="2">
        <v>438</v>
      </c>
      <c r="B392" s="2" t="s">
        <v>62</v>
      </c>
      <c r="C392" s="2">
        <v>14</v>
      </c>
      <c r="D392" s="2">
        <f t="shared" si="60"/>
        <v>35.56</v>
      </c>
      <c r="E392" s="2">
        <f t="shared" si="61"/>
        <v>11.319099552695597</v>
      </c>
      <c r="F392" s="2">
        <f t="shared" si="62"/>
        <v>4.45633840657307</v>
      </c>
      <c r="G392" s="2">
        <v>14.320088</v>
      </c>
      <c r="H392" s="2">
        <f t="shared" si="63"/>
        <v>46.981917513920003</v>
      </c>
      <c r="I392" s="2">
        <f>INDEX('Wood Density Lookup'!$B$2:$B$152,MATCH(B392,'Wood Density Lookup'!$A$2:$A$152,0))</f>
        <v>0.47</v>
      </c>
      <c r="J392" s="2">
        <f t="shared" si="64"/>
        <v>49.343091154919954</v>
      </c>
      <c r="K392" s="2">
        <f t="shared" si="68"/>
        <v>13.816065523377588</v>
      </c>
      <c r="L392" s="2">
        <f t="shared" si="69"/>
        <v>63.159156678297542</v>
      </c>
      <c r="M392" s="2">
        <f t="shared" si="65"/>
        <v>45.790388591765719</v>
      </c>
      <c r="N392" s="2">
        <f t="shared" si="66"/>
        <v>22.89519429588286</v>
      </c>
      <c r="O392" s="2">
        <f t="shared" si="67"/>
        <v>84.02536306589009</v>
      </c>
      <c r="P392" s="2">
        <v>72.549532999999997</v>
      </c>
      <c r="Q392" s="2">
        <v>23.038701</v>
      </c>
    </row>
    <row r="393" spans="1:17" x14ac:dyDescent="0.25">
      <c r="A393" s="2">
        <v>439</v>
      </c>
      <c r="B393" s="2" t="s">
        <v>93</v>
      </c>
      <c r="C393" s="2">
        <v>24</v>
      </c>
      <c r="D393" s="2">
        <f t="shared" si="60"/>
        <v>60.96</v>
      </c>
      <c r="E393" s="2">
        <f t="shared" si="61"/>
        <v>19.404170661763882</v>
      </c>
      <c r="F393" s="2">
        <f t="shared" si="62"/>
        <v>7.6394372684109761</v>
      </c>
      <c r="G393" s="2">
        <v>10.789529999999999</v>
      </c>
      <c r="H393" s="2">
        <f t="shared" si="63"/>
        <v>35.398721605199995</v>
      </c>
      <c r="I393" s="2">
        <f>INDEX('Wood Density Lookup'!$B$2:$B$152,MATCH(B393,'Wood Density Lookup'!$A$2:$A$152,0))</f>
        <v>0.9</v>
      </c>
      <c r="J393" s="2">
        <f t="shared" si="64"/>
        <v>202.08655797022743</v>
      </c>
      <c r="K393" s="2">
        <f t="shared" si="68"/>
        <v>56.584236231663688</v>
      </c>
      <c r="L393" s="2">
        <f t="shared" si="69"/>
        <v>258.67079420189111</v>
      </c>
      <c r="M393" s="2">
        <f t="shared" si="65"/>
        <v>187.53632579637105</v>
      </c>
      <c r="N393" s="2">
        <f t="shared" si="66"/>
        <v>93.768162898185523</v>
      </c>
      <c r="O393" s="2">
        <f t="shared" si="67"/>
        <v>344.12915783634088</v>
      </c>
      <c r="P393" s="2">
        <v>72.549533999999994</v>
      </c>
      <c r="Q393" s="2">
        <v>23.037172000000002</v>
      </c>
    </row>
    <row r="394" spans="1:17" x14ac:dyDescent="0.25">
      <c r="A394" s="2">
        <v>441</v>
      </c>
      <c r="B394" s="2" t="s">
        <v>114</v>
      </c>
      <c r="C394" s="2">
        <v>7</v>
      </c>
      <c r="D394" s="2">
        <f t="shared" si="60"/>
        <v>17.78</v>
      </c>
      <c r="E394" s="2">
        <f t="shared" si="61"/>
        <v>5.6595497763477987</v>
      </c>
      <c r="F394" s="2">
        <f t="shared" si="62"/>
        <v>2.228169203286535</v>
      </c>
      <c r="G394" s="2">
        <v>2.62723</v>
      </c>
      <c r="H394" s="2">
        <f t="shared" si="63"/>
        <v>8.6195212732000002</v>
      </c>
      <c r="I394" s="2">
        <f>INDEX('Wood Density Lookup'!$B$2:$B$152,MATCH(B394,'Wood Density Lookup'!$A$2:$A$152,0))</f>
        <v>0.55000000000000004</v>
      </c>
      <c r="J394" s="2">
        <f t="shared" si="64"/>
        <v>2.8409881808943558</v>
      </c>
      <c r="K394" s="2">
        <f t="shared" si="68"/>
        <v>0.7954766906504197</v>
      </c>
      <c r="L394" s="2">
        <f t="shared" si="69"/>
        <v>3.6364648715447756</v>
      </c>
      <c r="M394" s="2">
        <f t="shared" si="65"/>
        <v>2.6364370318699621</v>
      </c>
      <c r="N394" s="2">
        <f t="shared" si="66"/>
        <v>1.3182185159349811</v>
      </c>
      <c r="O394" s="2">
        <f t="shared" si="67"/>
        <v>4.8378619534813803</v>
      </c>
      <c r="P394" s="2">
        <v>72.549535000000006</v>
      </c>
      <c r="Q394" s="2">
        <v>23.035889000000001</v>
      </c>
    </row>
    <row r="395" spans="1:17" x14ac:dyDescent="0.25">
      <c r="A395" s="2">
        <v>442</v>
      </c>
      <c r="B395" s="2" t="s">
        <v>114</v>
      </c>
      <c r="C395" s="2">
        <v>6</v>
      </c>
      <c r="D395" s="2">
        <f t="shared" si="60"/>
        <v>15.24</v>
      </c>
      <c r="E395" s="2">
        <f t="shared" si="61"/>
        <v>4.8510426654409704</v>
      </c>
      <c r="F395" s="2">
        <f t="shared" si="62"/>
        <v>1.909859317102744</v>
      </c>
      <c r="G395" s="2">
        <v>1.752173</v>
      </c>
      <c r="H395" s="2">
        <f t="shared" si="63"/>
        <v>5.7485992653200002</v>
      </c>
      <c r="I395" s="2">
        <f>INDEX('Wood Density Lookup'!$B$2:$B$152,MATCH(B395,'Wood Density Lookup'!$A$2:$A$152,0))</f>
        <v>0.55000000000000004</v>
      </c>
      <c r="J395" s="2">
        <f t="shared" si="64"/>
        <v>1.4160881529228717</v>
      </c>
      <c r="K395" s="2">
        <f t="shared" si="68"/>
        <v>0.39650468281840412</v>
      </c>
      <c r="L395" s="2">
        <f t="shared" si="69"/>
        <v>1.8125928357412757</v>
      </c>
      <c r="M395" s="2">
        <f t="shared" si="65"/>
        <v>1.3141298059124249</v>
      </c>
      <c r="N395" s="2">
        <f t="shared" si="66"/>
        <v>0.65706490295621245</v>
      </c>
      <c r="O395" s="2">
        <f t="shared" si="67"/>
        <v>2.4114281938492996</v>
      </c>
      <c r="P395" s="2">
        <v>72.549535000000006</v>
      </c>
      <c r="Q395" s="2">
        <v>23.035872999999999</v>
      </c>
    </row>
    <row r="396" spans="1:17" x14ac:dyDescent="0.25">
      <c r="A396" s="2">
        <v>443</v>
      </c>
      <c r="B396" s="2" t="s">
        <v>61</v>
      </c>
      <c r="C396" s="2">
        <v>39</v>
      </c>
      <c r="D396" s="2">
        <f t="shared" si="60"/>
        <v>99.06</v>
      </c>
      <c r="E396" s="2">
        <f t="shared" si="61"/>
        <v>31.531777325366306</v>
      </c>
      <c r="F396" s="2">
        <f t="shared" si="62"/>
        <v>12.414085561167836</v>
      </c>
      <c r="G396" s="2">
        <v>9.9616849999999992</v>
      </c>
      <c r="H396" s="2">
        <f t="shared" si="63"/>
        <v>32.682694615399996</v>
      </c>
      <c r="I396" s="2">
        <f>INDEX('Wood Density Lookup'!$B$2:$B$152,MATCH(B396,'Wood Density Lookup'!$A$2:$A$152,0))</f>
        <v>0.5</v>
      </c>
      <c r="J396" s="2">
        <f t="shared" si="64"/>
        <v>271.73124719530324</v>
      </c>
      <c r="K396" s="2">
        <f t="shared" si="68"/>
        <v>76.084749214684919</v>
      </c>
      <c r="L396" s="2">
        <f t="shared" si="69"/>
        <v>347.81599640998814</v>
      </c>
      <c r="M396" s="2">
        <f t="shared" si="65"/>
        <v>252.16659739724139</v>
      </c>
      <c r="N396" s="2">
        <f t="shared" si="66"/>
        <v>126.08329869862069</v>
      </c>
      <c r="O396" s="2">
        <f t="shared" si="67"/>
        <v>462.72570622393795</v>
      </c>
      <c r="P396" s="2">
        <v>72.549536000000003</v>
      </c>
      <c r="Q396" s="2">
        <v>23.037216000000001</v>
      </c>
    </row>
    <row r="397" spans="1:17" x14ac:dyDescent="0.25">
      <c r="A397" s="2">
        <v>444</v>
      </c>
      <c r="B397" s="2" t="s">
        <v>3</v>
      </c>
      <c r="C397" s="2">
        <v>13</v>
      </c>
      <c r="D397" s="2">
        <f t="shared" si="60"/>
        <v>33.020000000000003</v>
      </c>
      <c r="E397" s="2">
        <f t="shared" si="61"/>
        <v>10.51059244178877</v>
      </c>
      <c r="F397" s="2">
        <f t="shared" si="62"/>
        <v>4.1380285203892786</v>
      </c>
      <c r="G397" s="2">
        <v>3.2215989999999999</v>
      </c>
      <c r="H397" s="2">
        <f t="shared" si="63"/>
        <v>10.56955086316</v>
      </c>
      <c r="I397" s="2">
        <f>INDEX('Wood Density Lookup'!$B$2:$B$152,MATCH(B397,'Wood Density Lookup'!$A$2:$A$152,0))</f>
        <v>0.62</v>
      </c>
      <c r="J397" s="2">
        <f t="shared" si="64"/>
        <v>13.04618120757983</v>
      </c>
      <c r="K397" s="2">
        <f t="shared" si="68"/>
        <v>3.6529307381223526</v>
      </c>
      <c r="L397" s="2">
        <f t="shared" si="69"/>
        <v>16.699111945702182</v>
      </c>
      <c r="M397" s="2">
        <f t="shared" si="65"/>
        <v>12.106856160634081</v>
      </c>
      <c r="N397" s="2">
        <f t="shared" si="66"/>
        <v>6.0534280803170404</v>
      </c>
      <c r="O397" s="2">
        <f t="shared" si="67"/>
        <v>22.216081054763539</v>
      </c>
      <c r="P397" s="2">
        <v>72.549541000000005</v>
      </c>
      <c r="Q397" s="2">
        <v>23.036382</v>
      </c>
    </row>
    <row r="398" spans="1:17" x14ac:dyDescent="0.25">
      <c r="A398" s="2">
        <v>445</v>
      </c>
      <c r="B398" s="2" t="s">
        <v>148</v>
      </c>
      <c r="C398" s="2">
        <v>28</v>
      </c>
      <c r="D398" s="2">
        <f t="shared" si="60"/>
        <v>71.12</v>
      </c>
      <c r="E398" s="2">
        <f t="shared" si="61"/>
        <v>22.638199105391195</v>
      </c>
      <c r="F398" s="2">
        <f t="shared" si="62"/>
        <v>8.91267681314614</v>
      </c>
      <c r="G398" s="2">
        <v>3.9633690000000001</v>
      </c>
      <c r="H398" s="2">
        <f t="shared" si="63"/>
        <v>13.00317954996</v>
      </c>
      <c r="I398" s="2">
        <f>INDEX('Wood Density Lookup'!$B$2:$B$152,MATCH(B398,'Wood Density Lookup'!$A$2:$A$152,0))</f>
        <v>0.5</v>
      </c>
      <c r="J398" s="2">
        <f t="shared" si="64"/>
        <v>57.885806556982132</v>
      </c>
      <c r="K398" s="2">
        <f t="shared" si="68"/>
        <v>16.208025835954999</v>
      </c>
      <c r="L398" s="2">
        <f t="shared" si="69"/>
        <v>74.093832392937131</v>
      </c>
      <c r="M398" s="2">
        <f t="shared" si="65"/>
        <v>53.718028484879419</v>
      </c>
      <c r="N398" s="2">
        <f t="shared" si="66"/>
        <v>26.859014242439709</v>
      </c>
      <c r="O398" s="2">
        <f t="shared" si="67"/>
        <v>98.572582269753738</v>
      </c>
      <c r="P398" s="2">
        <v>72.549543999999997</v>
      </c>
      <c r="Q398" s="2">
        <v>23.036514</v>
      </c>
    </row>
    <row r="399" spans="1:17" x14ac:dyDescent="0.25">
      <c r="A399" s="2">
        <v>446</v>
      </c>
      <c r="B399" s="2" t="s">
        <v>114</v>
      </c>
      <c r="C399" s="2">
        <v>9</v>
      </c>
      <c r="D399" s="2">
        <f t="shared" si="60"/>
        <v>22.86</v>
      </c>
      <c r="E399" s="2">
        <f t="shared" si="61"/>
        <v>7.2765639981614552</v>
      </c>
      <c r="F399" s="2">
        <f t="shared" si="62"/>
        <v>2.8647889756541161</v>
      </c>
      <c r="G399" s="2">
        <v>4.2379709999999999</v>
      </c>
      <c r="H399" s="2">
        <f t="shared" si="63"/>
        <v>13.90410477564</v>
      </c>
      <c r="I399" s="2">
        <f>INDEX('Wood Density Lookup'!$B$2:$B$152,MATCH(B399,'Wood Density Lookup'!$A$2:$A$152,0))</f>
        <v>0.55000000000000004</v>
      </c>
      <c r="J399" s="2">
        <f t="shared" si="64"/>
        <v>7.3993825315757276</v>
      </c>
      <c r="K399" s="2">
        <f t="shared" si="68"/>
        <v>2.0718271088412039</v>
      </c>
      <c r="L399" s="2">
        <f t="shared" si="69"/>
        <v>9.4712096404169319</v>
      </c>
      <c r="M399" s="2">
        <f t="shared" si="65"/>
        <v>6.8666269893022758</v>
      </c>
      <c r="N399" s="2">
        <f t="shared" si="66"/>
        <v>3.4333134946511379</v>
      </c>
      <c r="O399" s="2">
        <f t="shared" si="67"/>
        <v>12.600260525369675</v>
      </c>
      <c r="P399" s="2">
        <v>72.549543999999997</v>
      </c>
      <c r="Q399" s="2">
        <v>23.035952999999999</v>
      </c>
    </row>
    <row r="400" spans="1:17" x14ac:dyDescent="0.25">
      <c r="A400" s="2">
        <v>449</v>
      </c>
      <c r="B400" s="2" t="s">
        <v>15</v>
      </c>
      <c r="C400" s="2">
        <v>19</v>
      </c>
      <c r="D400" s="2">
        <f t="shared" si="60"/>
        <v>48.26</v>
      </c>
      <c r="E400" s="2">
        <f t="shared" si="61"/>
        <v>15.361635107229738</v>
      </c>
      <c r="F400" s="2">
        <f t="shared" si="62"/>
        <v>6.0478878374920226</v>
      </c>
      <c r="G400" s="2">
        <v>8.4699170000000006</v>
      </c>
      <c r="H400" s="2">
        <f t="shared" si="63"/>
        <v>27.788442490280001</v>
      </c>
      <c r="I400" s="2">
        <f>INDEX('Wood Density Lookup'!$B$2:$B$152,MATCH(B400,'Wood Density Lookup'!$A$2:$A$152,0))</f>
        <v>0.75</v>
      </c>
      <c r="J400" s="2">
        <f t="shared" si="64"/>
        <v>84.646850655615552</v>
      </c>
      <c r="K400" s="2">
        <f t="shared" si="68"/>
        <v>23.701118183572358</v>
      </c>
      <c r="L400" s="2">
        <f t="shared" si="69"/>
        <v>108.34796883918791</v>
      </c>
      <c r="M400" s="2">
        <f t="shared" si="65"/>
        <v>78.552277408411229</v>
      </c>
      <c r="N400" s="2">
        <f t="shared" si="66"/>
        <v>39.276138704205614</v>
      </c>
      <c r="O400" s="2">
        <f t="shared" si="67"/>
        <v>144.14342904443461</v>
      </c>
      <c r="P400" s="2">
        <v>72.549553000000003</v>
      </c>
      <c r="Q400" s="2">
        <v>23.03614</v>
      </c>
    </row>
    <row r="401" spans="1:17" x14ac:dyDescent="0.25">
      <c r="A401" s="2">
        <v>450</v>
      </c>
      <c r="B401" s="2" t="s">
        <v>50</v>
      </c>
      <c r="C401" s="2">
        <v>8</v>
      </c>
      <c r="D401" s="2">
        <f t="shared" si="60"/>
        <v>20.32</v>
      </c>
      <c r="E401" s="2">
        <f t="shared" si="61"/>
        <v>6.4680568872546269</v>
      </c>
      <c r="F401" s="2">
        <f t="shared" si="62"/>
        <v>2.5464790894703255</v>
      </c>
      <c r="G401" s="2">
        <v>5.7513719999999999</v>
      </c>
      <c r="H401" s="2">
        <f t="shared" si="63"/>
        <v>18.86933131248</v>
      </c>
      <c r="I401" s="2">
        <f>INDEX('Wood Density Lookup'!$B$2:$B$152,MATCH(B401,'Wood Density Lookup'!$A$2:$A$152,0))</f>
        <v>0.5</v>
      </c>
      <c r="J401" s="2">
        <f t="shared" si="64"/>
        <v>7.2173414176838415</v>
      </c>
      <c r="K401" s="2">
        <f t="shared" si="68"/>
        <v>2.0208555969514759</v>
      </c>
      <c r="L401" s="2">
        <f t="shared" si="69"/>
        <v>9.2381970146353183</v>
      </c>
      <c r="M401" s="2">
        <f t="shared" si="65"/>
        <v>6.6976928356106056</v>
      </c>
      <c r="N401" s="2">
        <f t="shared" si="66"/>
        <v>3.3488464178053028</v>
      </c>
      <c r="O401" s="2">
        <f t="shared" si="67"/>
        <v>12.29026635334546</v>
      </c>
      <c r="P401" s="2">
        <v>72.549558000000005</v>
      </c>
      <c r="Q401" s="2">
        <v>23.037136</v>
      </c>
    </row>
    <row r="402" spans="1:17" x14ac:dyDescent="0.25">
      <c r="A402" s="2">
        <v>451</v>
      </c>
      <c r="B402" s="2" t="s">
        <v>62</v>
      </c>
      <c r="C402" s="2">
        <v>34</v>
      </c>
      <c r="D402" s="2">
        <f t="shared" si="60"/>
        <v>86.36</v>
      </c>
      <c r="E402" s="2">
        <f t="shared" si="61"/>
        <v>27.489241770832162</v>
      </c>
      <c r="F402" s="2">
        <f t="shared" si="62"/>
        <v>10.822536130248883</v>
      </c>
      <c r="G402" s="2">
        <v>12.052682000000001</v>
      </c>
      <c r="H402" s="2">
        <f t="shared" si="63"/>
        <v>39.542921212880003</v>
      </c>
      <c r="I402" s="2">
        <f>INDEX('Wood Density Lookup'!$B$2:$B$152,MATCH(B402,'Wood Density Lookup'!$A$2:$A$152,0))</f>
        <v>0.47</v>
      </c>
      <c r="J402" s="2">
        <f t="shared" si="64"/>
        <v>235.70346795351972</v>
      </c>
      <c r="K402" s="2">
        <f t="shared" si="68"/>
        <v>65.996971026985534</v>
      </c>
      <c r="L402" s="2">
        <f t="shared" si="69"/>
        <v>301.70043898050528</v>
      </c>
      <c r="M402" s="2">
        <f t="shared" si="65"/>
        <v>218.73281826086631</v>
      </c>
      <c r="N402" s="2">
        <f t="shared" si="66"/>
        <v>109.36640913043315</v>
      </c>
      <c r="O402" s="2">
        <f t="shared" si="67"/>
        <v>401.37472150868967</v>
      </c>
      <c r="P402" s="2">
        <v>72.549559000000002</v>
      </c>
      <c r="Q402" s="2">
        <v>23.038674</v>
      </c>
    </row>
    <row r="403" spans="1:17" x14ac:dyDescent="0.25">
      <c r="A403" s="2">
        <v>452</v>
      </c>
      <c r="B403" s="2" t="s">
        <v>107</v>
      </c>
      <c r="C403" s="2">
        <v>2</v>
      </c>
      <c r="D403" s="2">
        <f t="shared" si="60"/>
        <v>5.08</v>
      </c>
      <c r="E403" s="2">
        <f t="shared" si="61"/>
        <v>1.6170142218136567</v>
      </c>
      <c r="F403" s="2">
        <f t="shared" si="62"/>
        <v>0.63661977236758138</v>
      </c>
      <c r="G403" s="2">
        <v>8.564012</v>
      </c>
      <c r="H403" s="2">
        <f t="shared" si="63"/>
        <v>28.097153130079999</v>
      </c>
      <c r="I403" s="2">
        <f>INDEX('Wood Density Lookup'!$B$2:$B$152,MATCH(B403,'Wood Density Lookup'!$A$2:$A$152,0))</f>
        <v>0.65</v>
      </c>
      <c r="J403" s="2">
        <f t="shared" si="64"/>
        <v>0.91858833891864999</v>
      </c>
      <c r="K403" s="2">
        <f t="shared" si="68"/>
        <v>0.25720473489722201</v>
      </c>
      <c r="L403" s="2">
        <f t="shared" si="69"/>
        <v>1.1757930738158719</v>
      </c>
      <c r="M403" s="2">
        <f t="shared" si="65"/>
        <v>0.85244997851650717</v>
      </c>
      <c r="N403" s="2">
        <f t="shared" si="66"/>
        <v>0.42622498925825358</v>
      </c>
      <c r="O403" s="2">
        <f t="shared" si="67"/>
        <v>1.5642457105777907</v>
      </c>
      <c r="P403" s="2">
        <v>72.549560999999997</v>
      </c>
      <c r="Q403" s="2">
        <v>23.03763</v>
      </c>
    </row>
    <row r="404" spans="1:17" x14ac:dyDescent="0.25">
      <c r="A404" s="2">
        <v>453</v>
      </c>
      <c r="B404" s="2" t="s">
        <v>95</v>
      </c>
      <c r="C404" s="2">
        <v>47</v>
      </c>
      <c r="D404" s="2">
        <f t="shared" si="60"/>
        <v>119.38</v>
      </c>
      <c r="E404" s="2">
        <f t="shared" si="61"/>
        <v>37.999834212620932</v>
      </c>
      <c r="F404" s="2">
        <f t="shared" si="62"/>
        <v>14.960564650638162</v>
      </c>
      <c r="G404" s="2">
        <v>1.0660780000000001</v>
      </c>
      <c r="H404" s="2">
        <f t="shared" si="63"/>
        <v>3.4976313455200003</v>
      </c>
      <c r="I404" s="2">
        <f>INDEX('Wood Density Lookup'!$B$2:$B$152,MATCH(B404,'Wood Density Lookup'!$A$2:$A$152,0))</f>
        <v>0.3</v>
      </c>
      <c r="J404" s="2">
        <f t="shared" si="64"/>
        <v>26.8250991885301</v>
      </c>
      <c r="K404" s="2">
        <f t="shared" si="68"/>
        <v>7.5110277727884283</v>
      </c>
      <c r="L404" s="2">
        <f t="shared" si="69"/>
        <v>34.336126961318527</v>
      </c>
      <c r="M404" s="2">
        <f t="shared" si="65"/>
        <v>24.89369204695593</v>
      </c>
      <c r="N404" s="2">
        <f t="shared" si="66"/>
        <v>12.446846023477965</v>
      </c>
      <c r="O404" s="2">
        <f t="shared" si="67"/>
        <v>45.679924906164132</v>
      </c>
      <c r="P404" s="2">
        <v>72.549564000000004</v>
      </c>
      <c r="Q404" s="2">
        <v>23.037707999999999</v>
      </c>
    </row>
    <row r="405" spans="1:17" x14ac:dyDescent="0.25">
      <c r="A405" s="2">
        <v>454</v>
      </c>
      <c r="B405" s="2" t="s">
        <v>111</v>
      </c>
      <c r="C405" s="2">
        <v>2</v>
      </c>
      <c r="D405" s="2">
        <f t="shared" si="60"/>
        <v>5.08</v>
      </c>
      <c r="E405" s="2">
        <f t="shared" si="61"/>
        <v>1.6170142218136567</v>
      </c>
      <c r="F405" s="2">
        <f t="shared" si="62"/>
        <v>0.63661977236758138</v>
      </c>
      <c r="G405" s="2">
        <v>3.7291189999999999</v>
      </c>
      <c r="H405" s="2">
        <f t="shared" si="63"/>
        <v>12.23464277996</v>
      </c>
      <c r="I405" s="2">
        <f>INDEX('Wood Density Lookup'!$B$2:$B$152,MATCH(B405,'Wood Density Lookup'!$A$2:$A$152,0))</f>
        <v>0.4</v>
      </c>
      <c r="J405" s="2">
        <f t="shared" si="64"/>
        <v>0.25405206141349768</v>
      </c>
      <c r="K405" s="2">
        <f t="shared" si="68"/>
        <v>7.1134577195779355E-2</v>
      </c>
      <c r="L405" s="2">
        <f t="shared" si="69"/>
        <v>0.32518663860927705</v>
      </c>
      <c r="M405" s="2">
        <f t="shared" si="65"/>
        <v>0.23576031299172584</v>
      </c>
      <c r="N405" s="2">
        <f t="shared" si="66"/>
        <v>0.11788015649586292</v>
      </c>
      <c r="O405" s="2">
        <f t="shared" si="67"/>
        <v>0.43262017433981692</v>
      </c>
      <c r="P405" s="2">
        <v>72.549565000000001</v>
      </c>
      <c r="Q405" s="2">
        <v>23.035443000000001</v>
      </c>
    </row>
    <row r="406" spans="1:17" x14ac:dyDescent="0.25">
      <c r="A406" s="2">
        <v>455</v>
      </c>
      <c r="B406" s="2" t="s">
        <v>15</v>
      </c>
      <c r="C406" s="2">
        <v>76</v>
      </c>
      <c r="D406" s="2">
        <f t="shared" si="60"/>
        <v>193.04</v>
      </c>
      <c r="E406" s="2">
        <f t="shared" si="61"/>
        <v>61.446540428918951</v>
      </c>
      <c r="F406" s="2">
        <f t="shared" si="62"/>
        <v>24.191551349968091</v>
      </c>
      <c r="G406" s="2">
        <v>13.491505999999999</v>
      </c>
      <c r="H406" s="2">
        <f t="shared" si="63"/>
        <v>44.263472545039996</v>
      </c>
      <c r="I406" s="2">
        <f>INDEX('Wood Density Lookup'!$B$2:$B$152,MATCH(B406,'Wood Density Lookup'!$A$2:$A$152,0))</f>
        <v>0.75</v>
      </c>
      <c r="J406" s="2">
        <f t="shared" si="64"/>
        <v>1996.0013618750811</v>
      </c>
      <c r="K406" s="2">
        <f t="shared" si="68"/>
        <v>558.88038132502277</v>
      </c>
      <c r="L406" s="2">
        <f t="shared" si="69"/>
        <v>2554.8817432001038</v>
      </c>
      <c r="M406" s="2">
        <f t="shared" si="65"/>
        <v>1852.2892638200751</v>
      </c>
      <c r="N406" s="2">
        <f t="shared" si="66"/>
        <v>926.14463191003756</v>
      </c>
      <c r="O406" s="2">
        <f t="shared" si="67"/>
        <v>3398.9507991098376</v>
      </c>
      <c r="P406" s="2">
        <v>72.549567999999994</v>
      </c>
      <c r="Q406" s="2">
        <v>23.035786999999999</v>
      </c>
    </row>
    <row r="407" spans="1:17" x14ac:dyDescent="0.25">
      <c r="A407" s="2">
        <v>457</v>
      </c>
      <c r="B407" s="2" t="s">
        <v>15</v>
      </c>
      <c r="C407" s="2">
        <v>32</v>
      </c>
      <c r="D407" s="2">
        <f t="shared" si="60"/>
        <v>81.28</v>
      </c>
      <c r="E407" s="2">
        <f t="shared" si="61"/>
        <v>25.872227549018508</v>
      </c>
      <c r="F407" s="2">
        <f t="shared" si="62"/>
        <v>10.185916357881302</v>
      </c>
      <c r="G407" s="2">
        <v>5.7967599999999999</v>
      </c>
      <c r="H407" s="2">
        <f t="shared" si="63"/>
        <v>19.0182420784</v>
      </c>
      <c r="I407" s="2">
        <f>INDEX('Wood Density Lookup'!$B$2:$B$152,MATCH(B407,'Wood Density Lookup'!$A$2:$A$152,0))</f>
        <v>0.75</v>
      </c>
      <c r="J407" s="2">
        <f t="shared" si="64"/>
        <v>161.73177410370019</v>
      </c>
      <c r="K407" s="2">
        <f t="shared" si="68"/>
        <v>45.284896749036058</v>
      </c>
      <c r="L407" s="2">
        <f t="shared" si="69"/>
        <v>207.01667085273624</v>
      </c>
      <c r="M407" s="2">
        <f t="shared" si="65"/>
        <v>150.08708636823377</v>
      </c>
      <c r="N407" s="2">
        <f t="shared" si="66"/>
        <v>75.043543184116885</v>
      </c>
      <c r="O407" s="2">
        <f t="shared" si="67"/>
        <v>275.40980348570895</v>
      </c>
      <c r="P407" s="2">
        <v>72.549571</v>
      </c>
      <c r="Q407" s="2">
        <v>23.037025</v>
      </c>
    </row>
    <row r="408" spans="1:17" x14ac:dyDescent="0.25">
      <c r="A408" s="2">
        <v>458</v>
      </c>
      <c r="B408" s="2" t="s">
        <v>111</v>
      </c>
      <c r="C408" s="2">
        <v>3</v>
      </c>
      <c r="D408" s="2">
        <f t="shared" si="60"/>
        <v>7.62</v>
      </c>
      <c r="E408" s="2">
        <f t="shared" si="61"/>
        <v>2.4255213327204852</v>
      </c>
      <c r="F408" s="2">
        <f t="shared" si="62"/>
        <v>0.95492965855137202</v>
      </c>
      <c r="G408" s="2">
        <v>3.67645</v>
      </c>
      <c r="H408" s="2">
        <f t="shared" si="63"/>
        <v>12.061844217999999</v>
      </c>
      <c r="I408" s="2">
        <f>INDEX('Wood Density Lookup'!$B$2:$B$152,MATCH(B408,'Wood Density Lookup'!$A$2:$A$152,0))</f>
        <v>0.4</v>
      </c>
      <c r="J408" s="2">
        <f t="shared" si="64"/>
        <v>0.55287066138184249</v>
      </c>
      <c r="K408" s="2">
        <f t="shared" si="68"/>
        <v>0.1548037851869159</v>
      </c>
      <c r="L408" s="2">
        <f t="shared" si="69"/>
        <v>0.70767444656875833</v>
      </c>
      <c r="M408" s="2">
        <f t="shared" si="65"/>
        <v>0.5130639737623498</v>
      </c>
      <c r="N408" s="2">
        <f t="shared" si="66"/>
        <v>0.2565319868811749</v>
      </c>
      <c r="O408" s="2">
        <f t="shared" si="67"/>
        <v>0.94147239185391185</v>
      </c>
      <c r="P408" s="2">
        <v>72.549571999999998</v>
      </c>
      <c r="Q408" s="2">
        <v>23.035443999999998</v>
      </c>
    </row>
    <row r="409" spans="1:17" x14ac:dyDescent="0.25">
      <c r="A409" s="2">
        <v>459</v>
      </c>
      <c r="B409" s="2" t="s">
        <v>15</v>
      </c>
      <c r="C409" s="2">
        <v>9</v>
      </c>
      <c r="D409" s="2">
        <f t="shared" si="60"/>
        <v>22.86</v>
      </c>
      <c r="E409" s="2">
        <f t="shared" si="61"/>
        <v>7.2765639981614552</v>
      </c>
      <c r="F409" s="2">
        <f t="shared" si="62"/>
        <v>2.8647889756541161</v>
      </c>
      <c r="G409" s="2">
        <v>3.776729</v>
      </c>
      <c r="H409" s="2">
        <f t="shared" si="63"/>
        <v>12.39084357236</v>
      </c>
      <c r="I409" s="2">
        <f>INDEX('Wood Density Lookup'!$B$2:$B$152,MATCH(B409,'Wood Density Lookup'!$A$2:$A$152,0))</f>
        <v>0.75</v>
      </c>
      <c r="J409" s="2">
        <f t="shared" si="64"/>
        <v>8.9499403817994345</v>
      </c>
      <c r="K409" s="2">
        <f t="shared" si="68"/>
        <v>2.505983306903842</v>
      </c>
      <c r="L409" s="2">
        <f t="shared" si="69"/>
        <v>11.455923688703276</v>
      </c>
      <c r="M409" s="2">
        <f t="shared" si="65"/>
        <v>8.3055446743098749</v>
      </c>
      <c r="N409" s="2">
        <f t="shared" si="66"/>
        <v>4.1527723371549374</v>
      </c>
      <c r="O409" s="2">
        <f t="shared" si="67"/>
        <v>15.24067447735862</v>
      </c>
      <c r="P409" s="2">
        <v>72.549574000000007</v>
      </c>
      <c r="Q409" s="2">
        <v>23.037979</v>
      </c>
    </row>
    <row r="410" spans="1:17" x14ac:dyDescent="0.25">
      <c r="A410" s="2">
        <v>460</v>
      </c>
      <c r="B410" s="2" t="s">
        <v>114</v>
      </c>
      <c r="C410" s="2">
        <v>20</v>
      </c>
      <c r="D410" s="2">
        <f t="shared" si="60"/>
        <v>50.8</v>
      </c>
      <c r="E410" s="2">
        <f t="shared" si="61"/>
        <v>16.170142218136565</v>
      </c>
      <c r="F410" s="2">
        <f t="shared" si="62"/>
        <v>6.366197723675814</v>
      </c>
      <c r="G410" s="2">
        <v>7.6462870000000001</v>
      </c>
      <c r="H410" s="2">
        <f t="shared" si="63"/>
        <v>25.086244241079999</v>
      </c>
      <c r="I410" s="2">
        <f>INDEX('Wood Density Lookup'!$B$2:$B$152,MATCH(B410,'Wood Density Lookup'!$A$2:$A$152,0))</f>
        <v>0.55000000000000004</v>
      </c>
      <c r="J410" s="2">
        <f t="shared" si="64"/>
        <v>62.555607322913403</v>
      </c>
      <c r="K410" s="2">
        <f t="shared" si="68"/>
        <v>17.515570050415754</v>
      </c>
      <c r="L410" s="2">
        <f t="shared" si="69"/>
        <v>80.071177373329164</v>
      </c>
      <c r="M410" s="2">
        <f t="shared" si="65"/>
        <v>58.051603595663643</v>
      </c>
      <c r="N410" s="2">
        <f t="shared" si="66"/>
        <v>29.025801797831821</v>
      </c>
      <c r="O410" s="2">
        <f t="shared" si="67"/>
        <v>106.52469259804278</v>
      </c>
      <c r="P410" s="2">
        <v>72.549575000000004</v>
      </c>
      <c r="Q410" s="2">
        <v>23.038139000000001</v>
      </c>
    </row>
    <row r="411" spans="1:17" x14ac:dyDescent="0.25">
      <c r="A411" s="2">
        <v>461</v>
      </c>
      <c r="B411" s="2" t="s">
        <v>111</v>
      </c>
      <c r="C411" s="2">
        <v>4</v>
      </c>
      <c r="D411" s="2">
        <f t="shared" si="60"/>
        <v>10.16</v>
      </c>
      <c r="E411" s="2">
        <f t="shared" si="61"/>
        <v>3.2340284436273135</v>
      </c>
      <c r="F411" s="2">
        <f t="shared" si="62"/>
        <v>1.2732395447351628</v>
      </c>
      <c r="G411" s="2">
        <v>4.1914369999999996</v>
      </c>
      <c r="H411" s="2">
        <f t="shared" si="63"/>
        <v>13.751434167079999</v>
      </c>
      <c r="I411" s="2">
        <f>INDEX('Wood Density Lookup'!$B$2:$B$152,MATCH(B411,'Wood Density Lookup'!$A$2:$A$152,0))</f>
        <v>0.4</v>
      </c>
      <c r="J411" s="2">
        <f t="shared" si="64"/>
        <v>1.1017214736968004</v>
      </c>
      <c r="K411" s="2">
        <f t="shared" si="68"/>
        <v>0.30848201263510416</v>
      </c>
      <c r="L411" s="2">
        <f t="shared" si="69"/>
        <v>1.4102034863319046</v>
      </c>
      <c r="M411" s="2">
        <f t="shared" si="65"/>
        <v>1.0223975275906307</v>
      </c>
      <c r="N411" s="2">
        <f t="shared" si="66"/>
        <v>0.51119876379531537</v>
      </c>
      <c r="O411" s="2">
        <f t="shared" si="67"/>
        <v>1.8760994631288073</v>
      </c>
      <c r="P411" s="2">
        <v>72.549576999999999</v>
      </c>
      <c r="Q411" s="2">
        <v>23.035444999999999</v>
      </c>
    </row>
    <row r="412" spans="1:17" x14ac:dyDescent="0.25">
      <c r="A412" s="2">
        <v>462</v>
      </c>
      <c r="B412" s="2" t="s">
        <v>62</v>
      </c>
      <c r="C412" s="2">
        <v>34</v>
      </c>
      <c r="D412" s="2">
        <f t="shared" si="60"/>
        <v>86.36</v>
      </c>
      <c r="E412" s="2">
        <f t="shared" si="61"/>
        <v>27.489241770832162</v>
      </c>
      <c r="F412" s="2">
        <f t="shared" si="62"/>
        <v>10.822536130248883</v>
      </c>
      <c r="G412" s="2">
        <v>2.8400889999999999</v>
      </c>
      <c r="H412" s="2">
        <f t="shared" si="63"/>
        <v>9.3178775947599988</v>
      </c>
      <c r="I412" s="2">
        <f>INDEX('Wood Density Lookup'!$B$2:$B$152,MATCH(B412,'Wood Density Lookup'!$A$2:$A$152,0))</f>
        <v>0.47</v>
      </c>
      <c r="J412" s="2">
        <f t="shared" si="64"/>
        <v>57.501644581664443</v>
      </c>
      <c r="K412" s="2">
        <f t="shared" si="68"/>
        <v>16.100460482866044</v>
      </c>
      <c r="L412" s="2">
        <f t="shared" si="69"/>
        <v>73.602105064530491</v>
      </c>
      <c r="M412" s="2">
        <f t="shared" si="65"/>
        <v>53.361526171784604</v>
      </c>
      <c r="N412" s="2">
        <f t="shared" si="66"/>
        <v>26.680763085892302</v>
      </c>
      <c r="O412" s="2">
        <f t="shared" si="67"/>
        <v>97.91840052522474</v>
      </c>
      <c r="P412" s="2">
        <v>72.549577999999997</v>
      </c>
      <c r="Q412" s="2">
        <v>23.038729</v>
      </c>
    </row>
    <row r="413" spans="1:17" x14ac:dyDescent="0.25">
      <c r="A413" s="2">
        <v>463</v>
      </c>
      <c r="B413" s="2" t="s">
        <v>3</v>
      </c>
      <c r="C413" s="2">
        <v>24</v>
      </c>
      <c r="D413" s="2">
        <f t="shared" si="60"/>
        <v>60.96</v>
      </c>
      <c r="E413" s="2">
        <f t="shared" si="61"/>
        <v>19.404170661763882</v>
      </c>
      <c r="F413" s="2">
        <f t="shared" si="62"/>
        <v>7.6394372684109761</v>
      </c>
      <c r="G413" s="2">
        <v>3.1179559999999999</v>
      </c>
      <c r="H413" s="2">
        <f t="shared" si="63"/>
        <v>10.229514763039999</v>
      </c>
      <c r="I413" s="2">
        <f>INDEX('Wood Density Lookup'!$B$2:$B$152,MATCH(B413,'Wood Density Lookup'!$A$2:$A$152,0))</f>
        <v>0.62</v>
      </c>
      <c r="J413" s="2">
        <f t="shared" si="64"/>
        <v>41.819387044238198</v>
      </c>
      <c r="K413" s="2">
        <f t="shared" si="68"/>
        <v>11.709428372386697</v>
      </c>
      <c r="L413" s="2">
        <f t="shared" si="69"/>
        <v>53.528815416624894</v>
      </c>
      <c r="M413" s="2">
        <f t="shared" si="65"/>
        <v>38.808391177053046</v>
      </c>
      <c r="N413" s="2">
        <f t="shared" si="66"/>
        <v>19.404195588526523</v>
      </c>
      <c r="O413" s="2">
        <f t="shared" si="67"/>
        <v>71.213397809892342</v>
      </c>
      <c r="P413" s="2">
        <v>72.549578999999994</v>
      </c>
      <c r="Q413" s="2">
        <v>23.036415000000002</v>
      </c>
    </row>
    <row r="414" spans="1:17" x14ac:dyDescent="0.25">
      <c r="A414" s="2">
        <v>464</v>
      </c>
      <c r="B414" s="2" t="s">
        <v>15</v>
      </c>
      <c r="C414" s="2">
        <v>18</v>
      </c>
      <c r="D414" s="2">
        <f t="shared" si="60"/>
        <v>45.72</v>
      </c>
      <c r="E414" s="2">
        <f t="shared" si="61"/>
        <v>14.55312799632291</v>
      </c>
      <c r="F414" s="2">
        <f t="shared" si="62"/>
        <v>5.7295779513082321</v>
      </c>
      <c r="G414" s="2">
        <v>7.7824600000000004</v>
      </c>
      <c r="H414" s="2">
        <f t="shared" si="63"/>
        <v>25.533006066400002</v>
      </c>
      <c r="I414" s="2">
        <f>INDEX('Wood Density Lookup'!$B$2:$B$152,MATCH(B414,'Wood Density Lookup'!$A$2:$A$152,0))</f>
        <v>0.75</v>
      </c>
      <c r="J414" s="2">
        <f t="shared" si="64"/>
        <v>70.128692563962616</v>
      </c>
      <c r="K414" s="2">
        <f t="shared" si="68"/>
        <v>19.636033917909533</v>
      </c>
      <c r="L414" s="2">
        <f t="shared" si="69"/>
        <v>89.764726481872145</v>
      </c>
      <c r="M414" s="2">
        <f t="shared" si="65"/>
        <v>65.079426699357299</v>
      </c>
      <c r="N414" s="2">
        <f t="shared" si="66"/>
        <v>32.539713349678649</v>
      </c>
      <c r="O414" s="2">
        <f t="shared" si="67"/>
        <v>119.42074799332065</v>
      </c>
      <c r="P414" s="2">
        <v>72.549581000000003</v>
      </c>
      <c r="Q414" s="2">
        <v>23.036134000000001</v>
      </c>
    </row>
    <row r="415" spans="1:17" x14ac:dyDescent="0.25">
      <c r="A415" s="2">
        <v>465</v>
      </c>
      <c r="B415" s="2" t="s">
        <v>111</v>
      </c>
      <c r="C415" s="2">
        <v>4</v>
      </c>
      <c r="D415" s="2">
        <f t="shared" si="60"/>
        <v>10.16</v>
      </c>
      <c r="E415" s="2">
        <f t="shared" si="61"/>
        <v>3.2340284436273135</v>
      </c>
      <c r="F415" s="2">
        <f t="shared" si="62"/>
        <v>1.2732395447351628</v>
      </c>
      <c r="G415" s="2">
        <v>4.8880169999999996</v>
      </c>
      <c r="H415" s="2">
        <f t="shared" si="63"/>
        <v>16.036801694279998</v>
      </c>
      <c r="I415" s="2">
        <f>INDEX('Wood Density Lookup'!$B$2:$B$152,MATCH(B415,'Wood Density Lookup'!$A$2:$A$152,0))</f>
        <v>0.4</v>
      </c>
      <c r="J415" s="2">
        <f t="shared" si="64"/>
        <v>1.2800858733459033</v>
      </c>
      <c r="K415" s="2">
        <f t="shared" si="68"/>
        <v>0.35842404453685295</v>
      </c>
      <c r="L415" s="2">
        <f t="shared" si="69"/>
        <v>1.6385099178827562</v>
      </c>
      <c r="M415" s="2">
        <f t="shared" si="65"/>
        <v>1.1879196904649982</v>
      </c>
      <c r="N415" s="2">
        <f t="shared" si="66"/>
        <v>0.59395984523249912</v>
      </c>
      <c r="O415" s="2">
        <f t="shared" si="67"/>
        <v>2.1798326320032717</v>
      </c>
      <c r="P415" s="2">
        <v>72.549582000000001</v>
      </c>
      <c r="Q415" s="2">
        <v>23.035446</v>
      </c>
    </row>
    <row r="416" spans="1:17" x14ac:dyDescent="0.25">
      <c r="A416" s="2">
        <v>467</v>
      </c>
      <c r="B416" s="2" t="s">
        <v>114</v>
      </c>
      <c r="C416" s="2">
        <v>19</v>
      </c>
      <c r="D416" s="2">
        <f t="shared" si="60"/>
        <v>48.26</v>
      </c>
      <c r="E416" s="2">
        <f t="shared" si="61"/>
        <v>15.361635107229738</v>
      </c>
      <c r="F416" s="2">
        <f t="shared" si="62"/>
        <v>6.0478878374920226</v>
      </c>
      <c r="G416" s="2">
        <v>5.7964089999999997</v>
      </c>
      <c r="H416" s="2">
        <f t="shared" si="63"/>
        <v>19.017090503559999</v>
      </c>
      <c r="I416" s="2">
        <f>INDEX('Wood Density Lookup'!$B$2:$B$152,MATCH(B416,'Wood Density Lookup'!$A$2:$A$152,0))</f>
        <v>0.55000000000000004</v>
      </c>
      <c r="J416" s="2">
        <f t="shared" si="64"/>
        <v>43.1894971008143</v>
      </c>
      <c r="K416" s="2">
        <f t="shared" si="68"/>
        <v>12.093059188228006</v>
      </c>
      <c r="L416" s="2">
        <f t="shared" si="69"/>
        <v>55.282556289042304</v>
      </c>
      <c r="M416" s="2">
        <f t="shared" si="65"/>
        <v>40.079853309555666</v>
      </c>
      <c r="N416" s="2">
        <f t="shared" si="66"/>
        <v>20.039926654777833</v>
      </c>
      <c r="O416" s="2">
        <f t="shared" si="67"/>
        <v>73.546530823034644</v>
      </c>
      <c r="P416" s="2">
        <v>72.549587000000002</v>
      </c>
      <c r="Q416" s="2">
        <v>23.035644000000001</v>
      </c>
    </row>
    <row r="417" spans="1:17" x14ac:dyDescent="0.25">
      <c r="A417" s="2">
        <v>468</v>
      </c>
      <c r="B417" s="2" t="s">
        <v>15</v>
      </c>
      <c r="C417" s="2">
        <v>21</v>
      </c>
      <c r="D417" s="2">
        <f t="shared" si="60"/>
        <v>53.34</v>
      </c>
      <c r="E417" s="2">
        <f t="shared" si="61"/>
        <v>16.978649329043396</v>
      </c>
      <c r="F417" s="2">
        <f t="shared" si="62"/>
        <v>6.6845076098596046</v>
      </c>
      <c r="G417" s="2">
        <v>5.9145159999999999</v>
      </c>
      <c r="H417" s="2">
        <f t="shared" si="63"/>
        <v>19.404580673439998</v>
      </c>
      <c r="I417" s="2">
        <f>INDEX('Wood Density Lookup'!$B$2:$B$152,MATCH(B417,'Wood Density Lookup'!$A$2:$A$152,0))</f>
        <v>0.75</v>
      </c>
      <c r="J417" s="2">
        <f t="shared" si="64"/>
        <v>72.483462947304886</v>
      </c>
      <c r="K417" s="2">
        <f t="shared" si="68"/>
        <v>20.295369625245371</v>
      </c>
      <c r="L417" s="2">
        <f t="shared" si="69"/>
        <v>92.778832572550257</v>
      </c>
      <c r="M417" s="2">
        <f t="shared" si="65"/>
        <v>67.264653615098936</v>
      </c>
      <c r="N417" s="2">
        <f t="shared" si="66"/>
        <v>33.632326807549468</v>
      </c>
      <c r="O417" s="2">
        <f t="shared" si="67"/>
        <v>123.43063938370655</v>
      </c>
      <c r="P417" s="2">
        <v>72.549588</v>
      </c>
      <c r="Q417" s="2">
        <v>23.037469999999999</v>
      </c>
    </row>
    <row r="418" spans="1:17" x14ac:dyDescent="0.25">
      <c r="A418" s="2">
        <v>469</v>
      </c>
      <c r="B418" s="2" t="s">
        <v>111</v>
      </c>
      <c r="C418" s="2">
        <v>14</v>
      </c>
      <c r="D418" s="2">
        <f t="shared" si="60"/>
        <v>35.56</v>
      </c>
      <c r="E418" s="2">
        <f t="shared" si="61"/>
        <v>11.319099552695597</v>
      </c>
      <c r="F418" s="2">
        <f t="shared" si="62"/>
        <v>4.45633840657307</v>
      </c>
      <c r="G418" s="2">
        <v>4.1448549999999997</v>
      </c>
      <c r="H418" s="2">
        <f t="shared" si="63"/>
        <v>13.5986060782</v>
      </c>
      <c r="I418" s="2">
        <f>INDEX('Wood Density Lookup'!$B$2:$B$152,MATCH(B418,'Wood Density Lookup'!$A$2:$A$152,0))</f>
        <v>0.4</v>
      </c>
      <c r="J418" s="2">
        <f t="shared" si="64"/>
        <v>12.570585975312076</v>
      </c>
      <c r="K418" s="2">
        <f t="shared" si="68"/>
        <v>3.5197640730873814</v>
      </c>
      <c r="L418" s="2">
        <f t="shared" si="69"/>
        <v>16.090350048399458</v>
      </c>
      <c r="M418" s="2">
        <f t="shared" si="65"/>
        <v>11.665503785089607</v>
      </c>
      <c r="N418" s="2">
        <f t="shared" si="66"/>
        <v>5.8327518925448034</v>
      </c>
      <c r="O418" s="2">
        <f t="shared" si="67"/>
        <v>21.406199445639427</v>
      </c>
      <c r="P418" s="2">
        <v>72.549588</v>
      </c>
      <c r="Q418" s="2">
        <v>23.037165999999999</v>
      </c>
    </row>
    <row r="419" spans="1:17" x14ac:dyDescent="0.25">
      <c r="A419" s="2">
        <v>470</v>
      </c>
      <c r="B419" s="2" t="s">
        <v>15</v>
      </c>
      <c r="C419" s="2">
        <v>186</v>
      </c>
      <c r="D419" s="2">
        <f t="shared" si="60"/>
        <v>472.44</v>
      </c>
      <c r="E419" s="2">
        <f t="shared" si="61"/>
        <v>150.38232262867007</v>
      </c>
      <c r="F419" s="2">
        <f t="shared" si="62"/>
        <v>59.205638830185066</v>
      </c>
      <c r="G419" s="2">
        <v>11.921545999999999</v>
      </c>
      <c r="H419" s="2">
        <f t="shared" si="63"/>
        <v>39.112684978639997</v>
      </c>
      <c r="I419" s="2">
        <f>INDEX('Wood Density Lookup'!$B$2:$B$152,MATCH(B419,'Wood Density Lookup'!$A$2:$A$152,0))</f>
        <v>0.75</v>
      </c>
      <c r="J419" s="2">
        <f t="shared" si="64"/>
        <v>10149.942564883637</v>
      </c>
      <c r="K419" s="2">
        <f t="shared" si="68"/>
        <v>2841.9839181674188</v>
      </c>
      <c r="L419" s="2">
        <f t="shared" si="69"/>
        <v>12991.926483051055</v>
      </c>
      <c r="M419" s="2">
        <f t="shared" si="65"/>
        <v>9419.1467002120135</v>
      </c>
      <c r="N419" s="2">
        <f t="shared" si="66"/>
        <v>4709.5733501060067</v>
      </c>
      <c r="O419" s="2">
        <f t="shared" si="67"/>
        <v>17284.134194889044</v>
      </c>
      <c r="P419" s="2">
        <v>72.549592000000004</v>
      </c>
      <c r="Q419" s="2">
        <v>23.037804000000001</v>
      </c>
    </row>
    <row r="420" spans="1:17" x14ac:dyDescent="0.25">
      <c r="A420" s="2">
        <v>471</v>
      </c>
      <c r="B420" s="2" t="s">
        <v>82</v>
      </c>
      <c r="C420" s="2">
        <v>21</v>
      </c>
      <c r="D420" s="2">
        <f t="shared" si="60"/>
        <v>53.34</v>
      </c>
      <c r="E420" s="2">
        <f t="shared" si="61"/>
        <v>16.978649329043396</v>
      </c>
      <c r="F420" s="2">
        <f t="shared" si="62"/>
        <v>6.6845076098596046</v>
      </c>
      <c r="G420" s="2">
        <v>2.331858</v>
      </c>
      <c r="H420" s="2">
        <f t="shared" si="63"/>
        <v>7.6504530007199998</v>
      </c>
      <c r="I420" s="2">
        <f>INDEX('Wood Density Lookup'!$B$2:$B$152,MATCH(B420,'Wood Density Lookup'!$A$2:$A$152,0))</f>
        <v>0.7</v>
      </c>
      <c r="J420" s="2">
        <f t="shared" si="64"/>
        <v>27.319888830080412</v>
      </c>
      <c r="K420" s="2">
        <f t="shared" si="68"/>
        <v>7.6495688724225159</v>
      </c>
      <c r="L420" s="2">
        <f t="shared" si="69"/>
        <v>34.969457702502929</v>
      </c>
      <c r="M420" s="2">
        <f t="shared" si="65"/>
        <v>25.352856834314622</v>
      </c>
      <c r="N420" s="2">
        <f t="shared" si="66"/>
        <v>12.676428417157311</v>
      </c>
      <c r="O420" s="2">
        <f t="shared" si="67"/>
        <v>46.522492290967328</v>
      </c>
      <c r="P420" s="2">
        <v>72.549594999999997</v>
      </c>
      <c r="Q420" s="2">
        <v>23.036489</v>
      </c>
    </row>
    <row r="421" spans="1:17" x14ac:dyDescent="0.25">
      <c r="A421" s="2">
        <v>472</v>
      </c>
      <c r="B421" s="2" t="s">
        <v>15</v>
      </c>
      <c r="C421" s="2">
        <v>29</v>
      </c>
      <c r="D421" s="2">
        <f t="shared" si="60"/>
        <v>73.66</v>
      </c>
      <c r="E421" s="2">
        <f t="shared" si="61"/>
        <v>23.446706216298022</v>
      </c>
      <c r="F421" s="2">
        <f t="shared" si="62"/>
        <v>9.2309866993299305</v>
      </c>
      <c r="G421" s="2">
        <v>9.2086120000000005</v>
      </c>
      <c r="H421" s="2">
        <f t="shared" si="63"/>
        <v>30.211982594080002</v>
      </c>
      <c r="I421" s="2">
        <f>INDEX('Wood Density Lookup'!$B$2:$B$152,MATCH(B421,'Wood Density Lookup'!$A$2:$A$152,0))</f>
        <v>0.75</v>
      </c>
      <c r="J421" s="2">
        <f t="shared" si="64"/>
        <v>209.6660565396285</v>
      </c>
      <c r="K421" s="2">
        <f t="shared" si="68"/>
        <v>58.706495831095985</v>
      </c>
      <c r="L421" s="2">
        <f t="shared" si="69"/>
        <v>268.37255237072446</v>
      </c>
      <c r="M421" s="2">
        <f t="shared" si="65"/>
        <v>194.57010046877522</v>
      </c>
      <c r="N421" s="2">
        <f t="shared" si="66"/>
        <v>97.285050234387612</v>
      </c>
      <c r="O421" s="2">
        <f t="shared" si="67"/>
        <v>357.03613436020254</v>
      </c>
      <c r="P421" s="2">
        <v>72.549598000000003</v>
      </c>
      <c r="Q421" s="2">
        <v>23.038077999999999</v>
      </c>
    </row>
    <row r="422" spans="1:17" x14ac:dyDescent="0.25">
      <c r="A422" s="2">
        <v>475</v>
      </c>
      <c r="B422" s="2" t="s">
        <v>107</v>
      </c>
      <c r="C422" s="2">
        <v>26</v>
      </c>
      <c r="D422" s="2">
        <f t="shared" si="60"/>
        <v>66.040000000000006</v>
      </c>
      <c r="E422" s="2">
        <f t="shared" si="61"/>
        <v>21.02118488357754</v>
      </c>
      <c r="F422" s="2">
        <f t="shared" si="62"/>
        <v>8.2760570407785572</v>
      </c>
      <c r="G422" s="2">
        <v>8.4456109999999995</v>
      </c>
      <c r="H422" s="2">
        <f t="shared" si="63"/>
        <v>27.708698393239999</v>
      </c>
      <c r="I422" s="2">
        <f>INDEX('Wood Density Lookup'!$B$2:$B$152,MATCH(B422,'Wood Density Lookup'!$A$2:$A$152,0))</f>
        <v>0.65</v>
      </c>
      <c r="J422" s="2">
        <f t="shared" si="64"/>
        <v>135.40579996775907</v>
      </c>
      <c r="K422" s="2">
        <f t="shared" si="68"/>
        <v>37.913623990972539</v>
      </c>
      <c r="L422" s="2">
        <f t="shared" si="69"/>
        <v>173.31942395873159</v>
      </c>
      <c r="M422" s="2">
        <f t="shared" si="65"/>
        <v>125.6565823700804</v>
      </c>
      <c r="N422" s="2">
        <f t="shared" si="66"/>
        <v>62.8282911850402</v>
      </c>
      <c r="O422" s="2">
        <f t="shared" si="67"/>
        <v>230.57982864909752</v>
      </c>
      <c r="P422" s="2">
        <v>72.549601999999993</v>
      </c>
      <c r="Q422" s="2">
        <v>23.037559999999999</v>
      </c>
    </row>
    <row r="423" spans="1:17" x14ac:dyDescent="0.25">
      <c r="A423" s="2">
        <v>476</v>
      </c>
      <c r="B423" s="2" t="s">
        <v>15</v>
      </c>
      <c r="C423" s="2">
        <v>21</v>
      </c>
      <c r="D423" s="2">
        <f t="shared" si="60"/>
        <v>53.34</v>
      </c>
      <c r="E423" s="2">
        <f t="shared" si="61"/>
        <v>16.978649329043396</v>
      </c>
      <c r="F423" s="2">
        <f t="shared" si="62"/>
        <v>6.6845076098596046</v>
      </c>
      <c r="G423" s="2">
        <v>8.7652049999999999</v>
      </c>
      <c r="H423" s="2">
        <f t="shared" si="63"/>
        <v>28.757235172199998</v>
      </c>
      <c r="I423" s="2">
        <f>INDEX('Wood Density Lookup'!$B$2:$B$152,MATCH(B423,'Wood Density Lookup'!$A$2:$A$152,0))</f>
        <v>0.75</v>
      </c>
      <c r="J423" s="2">
        <f t="shared" si="64"/>
        <v>106.4097865151771</v>
      </c>
      <c r="K423" s="2">
        <f t="shared" si="68"/>
        <v>29.79474022424959</v>
      </c>
      <c r="L423" s="2">
        <f t="shared" si="69"/>
        <v>136.20452673942668</v>
      </c>
      <c r="M423" s="2">
        <f t="shared" si="65"/>
        <v>98.748281886084342</v>
      </c>
      <c r="N423" s="2">
        <f t="shared" si="66"/>
        <v>49.374140943042171</v>
      </c>
      <c r="O423" s="2">
        <f t="shared" si="67"/>
        <v>181.20309726096477</v>
      </c>
      <c r="P423" s="2">
        <v>72.549605</v>
      </c>
      <c r="Q423" s="2">
        <v>23.036137</v>
      </c>
    </row>
    <row r="424" spans="1:17" x14ac:dyDescent="0.25">
      <c r="A424" s="2">
        <v>477</v>
      </c>
      <c r="B424" s="2" t="s">
        <v>114</v>
      </c>
      <c r="C424" s="2">
        <v>10</v>
      </c>
      <c r="D424" s="2">
        <f t="shared" si="60"/>
        <v>25.4</v>
      </c>
      <c r="E424" s="2">
        <f t="shared" si="61"/>
        <v>8.0850711090682825</v>
      </c>
      <c r="F424" s="2">
        <f t="shared" si="62"/>
        <v>3.183098861837907</v>
      </c>
      <c r="G424" s="2">
        <v>10.495574</v>
      </c>
      <c r="H424" s="2">
        <f t="shared" si="63"/>
        <v>34.434299002159996</v>
      </c>
      <c r="I424" s="2">
        <f>INDEX('Wood Density Lookup'!$B$2:$B$152,MATCH(B424,'Wood Density Lookup'!$A$2:$A$152,0))</f>
        <v>0.55000000000000004</v>
      </c>
      <c r="J424" s="2">
        <f t="shared" si="64"/>
        <v>22.024697833316441</v>
      </c>
      <c r="K424" s="2">
        <f t="shared" si="68"/>
        <v>6.1669153933286038</v>
      </c>
      <c r="L424" s="2">
        <f t="shared" si="69"/>
        <v>28.191613226645046</v>
      </c>
      <c r="M424" s="2">
        <f t="shared" si="65"/>
        <v>20.438919589317656</v>
      </c>
      <c r="N424" s="2">
        <f t="shared" si="66"/>
        <v>10.219459794658828</v>
      </c>
      <c r="O424" s="2">
        <f t="shared" si="67"/>
        <v>37.5054174463979</v>
      </c>
      <c r="P424" s="2">
        <v>72.549608000000006</v>
      </c>
      <c r="Q424" s="2">
        <v>23.034842999999999</v>
      </c>
    </row>
    <row r="425" spans="1:17" x14ac:dyDescent="0.25">
      <c r="A425" s="2">
        <v>478</v>
      </c>
      <c r="B425" s="2" t="s">
        <v>114</v>
      </c>
      <c r="C425" s="2">
        <v>30</v>
      </c>
      <c r="D425" s="2">
        <f t="shared" si="60"/>
        <v>76.2</v>
      </c>
      <c r="E425" s="2">
        <f t="shared" si="61"/>
        <v>24.255213327204849</v>
      </c>
      <c r="F425" s="2">
        <f t="shared" si="62"/>
        <v>9.5492965855137211</v>
      </c>
      <c r="G425" s="2">
        <v>11.925148</v>
      </c>
      <c r="H425" s="2">
        <f t="shared" si="63"/>
        <v>39.124502564319997</v>
      </c>
      <c r="I425" s="2">
        <f>INDEX('Wood Density Lookup'!$B$2:$B$152,MATCH(B425,'Wood Density Lookup'!$A$2:$A$152,0))</f>
        <v>0.55000000000000004</v>
      </c>
      <c r="J425" s="2">
        <f t="shared" si="64"/>
        <v>212.99884513332879</v>
      </c>
      <c r="K425" s="2">
        <f t="shared" si="68"/>
        <v>59.639676637332066</v>
      </c>
      <c r="L425" s="2">
        <f t="shared" si="69"/>
        <v>272.63852177066087</v>
      </c>
      <c r="M425" s="2">
        <f t="shared" si="65"/>
        <v>197.66292828372912</v>
      </c>
      <c r="N425" s="2">
        <f t="shared" si="66"/>
        <v>98.831464141864558</v>
      </c>
      <c r="O425" s="2">
        <f t="shared" si="67"/>
        <v>362.71147340064294</v>
      </c>
      <c r="P425" s="2">
        <v>72.549610999999999</v>
      </c>
      <c r="Q425" s="2">
        <v>23.037960999999999</v>
      </c>
    </row>
    <row r="426" spans="1:17" x14ac:dyDescent="0.25">
      <c r="A426" s="2">
        <v>480</v>
      </c>
      <c r="B426" s="2" t="s">
        <v>93</v>
      </c>
      <c r="C426" s="2">
        <v>6</v>
      </c>
      <c r="D426" s="2">
        <f t="shared" si="60"/>
        <v>15.24</v>
      </c>
      <c r="E426" s="2">
        <f t="shared" si="61"/>
        <v>4.8510426654409704</v>
      </c>
      <c r="F426" s="2">
        <f t="shared" si="62"/>
        <v>1.909859317102744</v>
      </c>
      <c r="G426" s="2">
        <v>2.787693</v>
      </c>
      <c r="H426" s="2">
        <f t="shared" si="63"/>
        <v>9.1459747021200002</v>
      </c>
      <c r="I426" s="2">
        <f>INDEX('Wood Density Lookup'!$B$2:$B$152,MATCH(B426,'Wood Density Lookup'!$A$2:$A$152,0))</f>
        <v>0.9</v>
      </c>
      <c r="J426" s="2">
        <f t="shared" si="64"/>
        <v>3.6030054862033327</v>
      </c>
      <c r="K426" s="2">
        <f t="shared" si="68"/>
        <v>1.0088415361369332</v>
      </c>
      <c r="L426" s="2">
        <f t="shared" si="69"/>
        <v>4.6118470223402657</v>
      </c>
      <c r="M426" s="2">
        <f t="shared" si="65"/>
        <v>3.3435890911966926</v>
      </c>
      <c r="N426" s="2">
        <f t="shared" si="66"/>
        <v>1.6717945455983463</v>
      </c>
      <c r="O426" s="2">
        <f t="shared" si="67"/>
        <v>6.1354859823459309</v>
      </c>
      <c r="P426" s="2">
        <v>72.549615000000003</v>
      </c>
      <c r="Q426" s="2">
        <v>23.034351999999998</v>
      </c>
    </row>
    <row r="427" spans="1:17" x14ac:dyDescent="0.25">
      <c r="A427" s="2">
        <v>481</v>
      </c>
      <c r="B427" s="2" t="s">
        <v>3</v>
      </c>
      <c r="C427" s="2">
        <v>14</v>
      </c>
      <c r="D427" s="2">
        <f t="shared" si="60"/>
        <v>35.56</v>
      </c>
      <c r="E427" s="2">
        <f t="shared" si="61"/>
        <v>11.319099552695597</v>
      </c>
      <c r="F427" s="2">
        <f t="shared" si="62"/>
        <v>4.45633840657307</v>
      </c>
      <c r="G427" s="2">
        <v>6.2316459999999996</v>
      </c>
      <c r="H427" s="2">
        <f t="shared" si="63"/>
        <v>20.445033462639998</v>
      </c>
      <c r="I427" s="2">
        <f>INDEX('Wood Density Lookup'!$B$2:$B$152,MATCH(B427,'Wood Density Lookup'!$A$2:$A$152,0))</f>
        <v>0.62</v>
      </c>
      <c r="J427" s="2">
        <f t="shared" si="64"/>
        <v>28.705323794542405</v>
      </c>
      <c r="K427" s="2">
        <f t="shared" si="68"/>
        <v>8.0374906624718747</v>
      </c>
      <c r="L427" s="2">
        <f t="shared" si="69"/>
        <v>36.742814457014276</v>
      </c>
      <c r="M427" s="2">
        <f t="shared" si="65"/>
        <v>26.638540481335351</v>
      </c>
      <c r="N427" s="2">
        <f t="shared" si="66"/>
        <v>13.319270240667676</v>
      </c>
      <c r="O427" s="2">
        <f t="shared" si="67"/>
        <v>48.88172178325037</v>
      </c>
      <c r="P427" s="2">
        <v>72.549620000000004</v>
      </c>
      <c r="Q427" s="2">
        <v>23.034199999999998</v>
      </c>
    </row>
    <row r="428" spans="1:17" x14ac:dyDescent="0.25">
      <c r="A428" s="2">
        <v>482</v>
      </c>
      <c r="B428" s="2" t="s">
        <v>114</v>
      </c>
      <c r="C428" s="2">
        <v>9</v>
      </c>
      <c r="D428" s="2">
        <f t="shared" si="60"/>
        <v>22.86</v>
      </c>
      <c r="E428" s="2">
        <f t="shared" si="61"/>
        <v>7.2765639981614552</v>
      </c>
      <c r="F428" s="2">
        <f t="shared" si="62"/>
        <v>2.8647889756541161</v>
      </c>
      <c r="G428" s="2">
        <v>10.433357000000001</v>
      </c>
      <c r="H428" s="2">
        <f t="shared" si="63"/>
        <v>34.230174979880005</v>
      </c>
      <c r="I428" s="2">
        <f>INDEX('Wood Density Lookup'!$B$2:$B$152,MATCH(B428,'Wood Density Lookup'!$A$2:$A$152,0))</f>
        <v>0.55000000000000004</v>
      </c>
      <c r="J428" s="2">
        <f t="shared" si="64"/>
        <v>17.826709249476817</v>
      </c>
      <c r="K428" s="2">
        <f t="shared" si="68"/>
        <v>4.991478589853509</v>
      </c>
      <c r="L428" s="2">
        <f t="shared" si="69"/>
        <v>22.818187839330328</v>
      </c>
      <c r="M428" s="2">
        <f t="shared" si="65"/>
        <v>16.543186183514486</v>
      </c>
      <c r="N428" s="2">
        <f t="shared" si="66"/>
        <v>8.2715930917572429</v>
      </c>
      <c r="O428" s="2">
        <f t="shared" si="67"/>
        <v>30.35674664674908</v>
      </c>
      <c r="P428" s="2">
        <v>72.549620000000004</v>
      </c>
      <c r="Q428" s="2">
        <v>23.034842999999999</v>
      </c>
    </row>
    <row r="429" spans="1:17" x14ac:dyDescent="0.25">
      <c r="A429" s="2">
        <v>484</v>
      </c>
      <c r="B429" s="2" t="s">
        <v>24</v>
      </c>
      <c r="C429" s="2">
        <v>18</v>
      </c>
      <c r="D429" s="2">
        <f t="shared" si="60"/>
        <v>45.72</v>
      </c>
      <c r="E429" s="2">
        <f t="shared" si="61"/>
        <v>14.55312799632291</v>
      </c>
      <c r="F429" s="2">
        <f t="shared" si="62"/>
        <v>5.7295779513082321</v>
      </c>
      <c r="G429" s="2">
        <v>11.958451</v>
      </c>
      <c r="H429" s="2">
        <f t="shared" si="63"/>
        <v>39.23376437884</v>
      </c>
      <c r="I429" s="2">
        <f>INDEX('Wood Density Lookup'!$B$2:$B$152,MATCH(B429,'Wood Density Lookup'!$A$2:$A$152,0))</f>
        <v>0.55000000000000004</v>
      </c>
      <c r="J429" s="2">
        <f t="shared" si="64"/>
        <v>78.797161372256227</v>
      </c>
      <c r="K429" s="2">
        <f t="shared" si="68"/>
        <v>22.063205184231744</v>
      </c>
      <c r="L429" s="2">
        <f t="shared" si="69"/>
        <v>100.86036655648797</v>
      </c>
      <c r="M429" s="2">
        <f t="shared" si="65"/>
        <v>73.123765753453782</v>
      </c>
      <c r="N429" s="2">
        <f t="shared" si="66"/>
        <v>36.561882876726891</v>
      </c>
      <c r="O429" s="2">
        <f t="shared" si="67"/>
        <v>134.18211015758769</v>
      </c>
      <c r="P429" s="2">
        <v>72.549622999999997</v>
      </c>
      <c r="Q429" s="2">
        <v>23.035979999999999</v>
      </c>
    </row>
    <row r="430" spans="1:17" x14ac:dyDescent="0.25">
      <c r="A430" s="2">
        <v>485</v>
      </c>
      <c r="B430" s="2" t="s">
        <v>15</v>
      </c>
      <c r="C430" s="2">
        <v>44</v>
      </c>
      <c r="D430" s="2">
        <f t="shared" si="60"/>
        <v>111.76</v>
      </c>
      <c r="E430" s="2">
        <f t="shared" si="61"/>
        <v>35.574312879900447</v>
      </c>
      <c r="F430" s="2">
        <f t="shared" si="62"/>
        <v>14.00563499208679</v>
      </c>
      <c r="G430" s="2">
        <v>11.794090000000001</v>
      </c>
      <c r="H430" s="2">
        <f t="shared" si="63"/>
        <v>38.694522235600004</v>
      </c>
      <c r="I430" s="2">
        <f>INDEX('Wood Density Lookup'!$B$2:$B$152,MATCH(B430,'Wood Density Lookup'!$A$2:$A$152,0))</f>
        <v>0.75</v>
      </c>
      <c r="J430" s="2">
        <f t="shared" si="64"/>
        <v>602.33463472179801</v>
      </c>
      <c r="K430" s="2">
        <f t="shared" si="68"/>
        <v>168.65369772210346</v>
      </c>
      <c r="L430" s="2">
        <f t="shared" si="69"/>
        <v>770.98833244390153</v>
      </c>
      <c r="M430" s="2">
        <f t="shared" si="65"/>
        <v>558.96654102182856</v>
      </c>
      <c r="N430" s="2">
        <f t="shared" si="66"/>
        <v>279.48327051091428</v>
      </c>
      <c r="O430" s="2">
        <f t="shared" si="67"/>
        <v>1025.7036027750553</v>
      </c>
      <c r="P430" s="2">
        <v>72.549622999999997</v>
      </c>
      <c r="Q430" s="2">
        <v>23.037027999999999</v>
      </c>
    </row>
    <row r="431" spans="1:17" x14ac:dyDescent="0.25">
      <c r="A431" s="2">
        <v>486</v>
      </c>
      <c r="B431" s="2" t="s">
        <v>82</v>
      </c>
      <c r="C431" s="2">
        <v>20</v>
      </c>
      <c r="D431" s="2">
        <f t="shared" si="60"/>
        <v>50.8</v>
      </c>
      <c r="E431" s="2">
        <f t="shared" si="61"/>
        <v>16.170142218136565</v>
      </c>
      <c r="F431" s="2">
        <f t="shared" si="62"/>
        <v>6.366197723675814</v>
      </c>
      <c r="G431" s="2">
        <v>8.2346819999999994</v>
      </c>
      <c r="H431" s="2">
        <f t="shared" si="63"/>
        <v>27.016674092879999</v>
      </c>
      <c r="I431" s="2">
        <f>INDEX('Wood Density Lookup'!$B$2:$B$152,MATCH(B431,'Wood Density Lookup'!$A$2:$A$152,0))</f>
        <v>0.7</v>
      </c>
      <c r="J431" s="2">
        <f t="shared" si="64"/>
        <v>85.096456259736954</v>
      </c>
      <c r="K431" s="2">
        <f t="shared" si="68"/>
        <v>23.827007752726349</v>
      </c>
      <c r="L431" s="2">
        <f t="shared" si="69"/>
        <v>108.9234640124633</v>
      </c>
      <c r="M431" s="2">
        <f t="shared" si="65"/>
        <v>78.969511409035889</v>
      </c>
      <c r="N431" s="2">
        <f t="shared" si="66"/>
        <v>39.484755704517944</v>
      </c>
      <c r="O431" s="2">
        <f t="shared" si="67"/>
        <v>144.90905343558086</v>
      </c>
      <c r="P431" s="2">
        <v>72.549622999999997</v>
      </c>
      <c r="Q431" s="2">
        <v>23.036534</v>
      </c>
    </row>
    <row r="432" spans="1:17" x14ac:dyDescent="0.25">
      <c r="A432" s="2">
        <v>487</v>
      </c>
      <c r="B432" s="2" t="s">
        <v>15</v>
      </c>
      <c r="C432" s="2">
        <v>5</v>
      </c>
      <c r="D432" s="2">
        <f t="shared" si="60"/>
        <v>12.7</v>
      </c>
      <c r="E432" s="2">
        <f t="shared" si="61"/>
        <v>4.0425355545341413</v>
      </c>
      <c r="F432" s="2">
        <f t="shared" si="62"/>
        <v>1.5915494309189535</v>
      </c>
      <c r="G432" s="2">
        <v>9.8606440000000006</v>
      </c>
      <c r="H432" s="2">
        <f t="shared" si="63"/>
        <v>32.351195260960004</v>
      </c>
      <c r="I432" s="2">
        <f>INDEX('Wood Density Lookup'!$B$2:$B$152,MATCH(B432,'Wood Density Lookup'!$A$2:$A$152,0))</f>
        <v>0.75</v>
      </c>
      <c r="J432" s="2">
        <f t="shared" si="64"/>
        <v>7.2496113052649411</v>
      </c>
      <c r="K432" s="2">
        <f t="shared" si="68"/>
        <v>2.0298911654741838</v>
      </c>
      <c r="L432" s="2">
        <f t="shared" si="69"/>
        <v>9.2795024707391249</v>
      </c>
      <c r="M432" s="2">
        <f t="shared" si="65"/>
        <v>6.7276392912858656</v>
      </c>
      <c r="N432" s="2">
        <f t="shared" si="66"/>
        <v>3.3638196456429328</v>
      </c>
      <c r="O432" s="2">
        <f t="shared" si="67"/>
        <v>12.345218099509562</v>
      </c>
      <c r="P432" s="2">
        <v>72.549622999999997</v>
      </c>
      <c r="Q432" s="2">
        <v>23.035944000000001</v>
      </c>
    </row>
    <row r="433" spans="1:17" x14ac:dyDescent="0.25">
      <c r="A433" s="2">
        <v>488</v>
      </c>
      <c r="B433" s="2" t="s">
        <v>34</v>
      </c>
      <c r="C433" s="2">
        <v>34</v>
      </c>
      <c r="D433" s="2">
        <f t="shared" si="60"/>
        <v>86.36</v>
      </c>
      <c r="E433" s="2">
        <f t="shared" si="61"/>
        <v>27.489241770832162</v>
      </c>
      <c r="F433" s="2">
        <f t="shared" si="62"/>
        <v>10.822536130248883</v>
      </c>
      <c r="G433" s="2">
        <v>13.861158</v>
      </c>
      <c r="H433" s="2">
        <f t="shared" si="63"/>
        <v>45.476241612719996</v>
      </c>
      <c r="I433" s="2">
        <f>INDEX('Wood Density Lookup'!$B$2:$B$152,MATCH(B433,'Wood Density Lookup'!$A$2:$A$152,0))</f>
        <v>0.6</v>
      </c>
      <c r="J433" s="2">
        <f t="shared" si="64"/>
        <v>342.8725517966223</v>
      </c>
      <c r="K433" s="2">
        <f t="shared" si="68"/>
        <v>96.00431450305426</v>
      </c>
      <c r="L433" s="2">
        <f t="shared" si="69"/>
        <v>438.87686629967658</v>
      </c>
      <c r="M433" s="2">
        <f t="shared" si="65"/>
        <v>318.18572806726553</v>
      </c>
      <c r="N433" s="2">
        <f t="shared" si="66"/>
        <v>159.09286403363276</v>
      </c>
      <c r="O433" s="2">
        <f t="shared" si="67"/>
        <v>583.87081100343221</v>
      </c>
      <c r="P433" s="2">
        <v>72.549625000000006</v>
      </c>
      <c r="Q433" s="2">
        <v>23.038682999999999</v>
      </c>
    </row>
    <row r="434" spans="1:17" x14ac:dyDescent="0.25">
      <c r="A434" s="2">
        <v>489</v>
      </c>
      <c r="B434" s="2" t="s">
        <v>82</v>
      </c>
      <c r="C434" s="2">
        <v>14</v>
      </c>
      <c r="D434" s="2">
        <f t="shared" si="60"/>
        <v>35.56</v>
      </c>
      <c r="E434" s="2">
        <f t="shared" si="61"/>
        <v>11.319099552695597</v>
      </c>
      <c r="F434" s="2">
        <f t="shared" si="62"/>
        <v>4.45633840657307</v>
      </c>
      <c r="G434" s="2">
        <v>5.0345269999999998</v>
      </c>
      <c r="H434" s="2">
        <f t="shared" si="63"/>
        <v>16.51747756268</v>
      </c>
      <c r="I434" s="2">
        <f>INDEX('Wood Density Lookup'!$B$2:$B$152,MATCH(B434,'Wood Density Lookup'!$A$2:$A$152,0))</f>
        <v>0.7</v>
      </c>
      <c r="J434" s="2">
        <f t="shared" si="64"/>
        <v>26.241170701694546</v>
      </c>
      <c r="K434" s="2">
        <f t="shared" si="68"/>
        <v>7.3475277964744734</v>
      </c>
      <c r="L434" s="2">
        <f t="shared" si="69"/>
        <v>33.588698498169023</v>
      </c>
      <c r="M434" s="2">
        <f t="shared" si="65"/>
        <v>24.351806411172539</v>
      </c>
      <c r="N434" s="2">
        <f t="shared" si="66"/>
        <v>12.17590320558627</v>
      </c>
      <c r="O434" s="2">
        <f t="shared" si="67"/>
        <v>44.685564764501606</v>
      </c>
      <c r="P434" s="2">
        <v>72.549625000000006</v>
      </c>
      <c r="Q434" s="2">
        <v>23.035917999999999</v>
      </c>
    </row>
    <row r="435" spans="1:17" x14ac:dyDescent="0.25">
      <c r="A435" s="2">
        <v>490</v>
      </c>
      <c r="B435" s="2" t="s">
        <v>45</v>
      </c>
      <c r="C435" s="2">
        <v>24</v>
      </c>
      <c r="D435" s="2">
        <f t="shared" si="60"/>
        <v>60.96</v>
      </c>
      <c r="E435" s="2">
        <f t="shared" si="61"/>
        <v>19.404170661763882</v>
      </c>
      <c r="F435" s="2">
        <f t="shared" si="62"/>
        <v>7.6394372684109761</v>
      </c>
      <c r="G435" s="2">
        <v>5.4242600000000003</v>
      </c>
      <c r="H435" s="2">
        <f t="shared" si="63"/>
        <v>17.796129178400001</v>
      </c>
      <c r="I435" s="2">
        <f>INDEX('Wood Density Lookup'!$B$2:$B$152,MATCH(B435,'Wood Density Lookup'!$A$2:$A$152,0))</f>
        <v>0.6</v>
      </c>
      <c r="J435" s="2">
        <f t="shared" si="64"/>
        <v>69.530958794499867</v>
      </c>
      <c r="K435" s="2">
        <f t="shared" si="68"/>
        <v>19.468668462459963</v>
      </c>
      <c r="L435" s="2">
        <f t="shared" si="69"/>
        <v>88.999627256959826</v>
      </c>
      <c r="M435" s="2">
        <f t="shared" si="65"/>
        <v>64.524729761295873</v>
      </c>
      <c r="N435" s="2">
        <f t="shared" si="66"/>
        <v>32.262364880647937</v>
      </c>
      <c r="O435" s="2">
        <f t="shared" si="67"/>
        <v>118.40287911197792</v>
      </c>
      <c r="P435" s="2">
        <v>72.549627000000001</v>
      </c>
      <c r="Q435" s="2">
        <v>23.035582000000002</v>
      </c>
    </row>
    <row r="436" spans="1:17" x14ac:dyDescent="0.25">
      <c r="A436" s="2">
        <v>491</v>
      </c>
      <c r="B436" s="2" t="s">
        <v>114</v>
      </c>
      <c r="C436" s="2">
        <v>27</v>
      </c>
      <c r="D436" s="2">
        <f t="shared" si="60"/>
        <v>68.58</v>
      </c>
      <c r="E436" s="2">
        <f t="shared" si="61"/>
        <v>21.829691994484364</v>
      </c>
      <c r="F436" s="2">
        <f t="shared" si="62"/>
        <v>8.5943669269623477</v>
      </c>
      <c r="G436" s="2">
        <v>8.0138820000000006</v>
      </c>
      <c r="H436" s="2">
        <f t="shared" si="63"/>
        <v>26.292264620880001</v>
      </c>
      <c r="I436" s="2">
        <f>INDEX('Wood Density Lookup'!$B$2:$B$152,MATCH(B436,'Wood Density Lookup'!$A$2:$A$152,0))</f>
        <v>0.55000000000000004</v>
      </c>
      <c r="J436" s="2">
        <f t="shared" si="64"/>
        <v>117.6469555109924</v>
      </c>
      <c r="K436" s="2">
        <f t="shared" si="68"/>
        <v>32.941147543077875</v>
      </c>
      <c r="L436" s="2">
        <f t="shared" si="69"/>
        <v>150.58810305407027</v>
      </c>
      <c r="M436" s="2">
        <f t="shared" si="65"/>
        <v>109.17637471420095</v>
      </c>
      <c r="N436" s="2">
        <f t="shared" si="66"/>
        <v>54.588187357100473</v>
      </c>
      <c r="O436" s="2">
        <f t="shared" si="67"/>
        <v>200.33864760055874</v>
      </c>
      <c r="P436" s="2">
        <v>72.549627999999998</v>
      </c>
      <c r="Q436" s="2">
        <v>23.035706999999999</v>
      </c>
    </row>
    <row r="437" spans="1:17" x14ac:dyDescent="0.25">
      <c r="A437" s="2">
        <v>493</v>
      </c>
      <c r="B437" s="2" t="s">
        <v>45</v>
      </c>
      <c r="C437" s="2">
        <v>13</v>
      </c>
      <c r="D437" s="2">
        <f t="shared" si="60"/>
        <v>33.020000000000003</v>
      </c>
      <c r="E437" s="2">
        <f t="shared" si="61"/>
        <v>10.51059244178877</v>
      </c>
      <c r="F437" s="2">
        <f t="shared" si="62"/>
        <v>4.1380285203892786</v>
      </c>
      <c r="G437" s="2">
        <v>5.1912159999999998</v>
      </c>
      <c r="H437" s="2">
        <f t="shared" si="63"/>
        <v>17.03154910144</v>
      </c>
      <c r="I437" s="2">
        <f>INDEX('Wood Density Lookup'!$B$2:$B$152,MATCH(B437,'Wood Density Lookup'!$A$2:$A$152,0))</f>
        <v>0.6</v>
      </c>
      <c r="J437" s="2">
        <f t="shared" si="64"/>
        <v>20.128416621249691</v>
      </c>
      <c r="K437" s="2">
        <f t="shared" si="68"/>
        <v>5.635956653949914</v>
      </c>
      <c r="L437" s="2">
        <f t="shared" si="69"/>
        <v>25.764373275199606</v>
      </c>
      <c r="M437" s="2">
        <f t="shared" si="65"/>
        <v>18.679170624519713</v>
      </c>
      <c r="N437" s="2">
        <f t="shared" si="66"/>
        <v>9.3395853122598567</v>
      </c>
      <c r="O437" s="2">
        <f t="shared" si="67"/>
        <v>34.276278095993675</v>
      </c>
      <c r="P437" s="2">
        <v>72.549627999999998</v>
      </c>
      <c r="Q437" s="2">
        <v>23.035626000000001</v>
      </c>
    </row>
    <row r="438" spans="1:17" x14ac:dyDescent="0.25">
      <c r="A438" s="2">
        <v>494</v>
      </c>
      <c r="B438" s="2" t="s">
        <v>43</v>
      </c>
      <c r="C438" s="2">
        <v>11</v>
      </c>
      <c r="D438" s="2">
        <f t="shared" si="60"/>
        <v>27.94</v>
      </c>
      <c r="E438" s="2">
        <f t="shared" si="61"/>
        <v>8.8935782199751117</v>
      </c>
      <c r="F438" s="2">
        <f t="shared" si="62"/>
        <v>3.5014087480216975</v>
      </c>
      <c r="G438" s="2">
        <v>1.5888329999999999</v>
      </c>
      <c r="H438" s="2">
        <f t="shared" si="63"/>
        <v>5.2127068597199999</v>
      </c>
      <c r="I438" s="2">
        <f>INDEX('Wood Density Lookup'!$B$2:$B$152,MATCH(B438,'Wood Density Lookup'!$A$2:$A$152,0))</f>
        <v>0.6</v>
      </c>
      <c r="J438" s="2">
        <f t="shared" si="64"/>
        <v>4.5744664090641818</v>
      </c>
      <c r="K438" s="2">
        <f t="shared" si="68"/>
        <v>1.2808505945379711</v>
      </c>
      <c r="L438" s="2">
        <f t="shared" si="69"/>
        <v>5.8553170036021527</v>
      </c>
      <c r="M438" s="2">
        <f t="shared" si="65"/>
        <v>4.2451048276115602</v>
      </c>
      <c r="N438" s="2">
        <f t="shared" si="66"/>
        <v>2.1225524138057801</v>
      </c>
      <c r="O438" s="2">
        <f t="shared" si="67"/>
        <v>7.7897673586672127</v>
      </c>
      <c r="P438" s="2">
        <v>72.549627999999998</v>
      </c>
      <c r="Q438" s="2">
        <v>23.037172999999999</v>
      </c>
    </row>
    <row r="439" spans="1:17" x14ac:dyDescent="0.25">
      <c r="A439" s="2">
        <v>495</v>
      </c>
      <c r="B439" s="2" t="s">
        <v>15</v>
      </c>
      <c r="C439" s="2">
        <v>46</v>
      </c>
      <c r="D439" s="2">
        <f t="shared" si="60"/>
        <v>116.84</v>
      </c>
      <c r="E439" s="2">
        <f t="shared" si="61"/>
        <v>37.191327101714101</v>
      </c>
      <c r="F439" s="2">
        <f t="shared" si="62"/>
        <v>14.642254764454371</v>
      </c>
      <c r="G439" s="2">
        <v>8.7340350000000004</v>
      </c>
      <c r="H439" s="2">
        <f t="shared" si="63"/>
        <v>28.6549713894</v>
      </c>
      <c r="I439" s="2">
        <f>INDEX('Wood Density Lookup'!$B$2:$B$152,MATCH(B439,'Wood Density Lookup'!$A$2:$A$152,0))</f>
        <v>0.75</v>
      </c>
      <c r="J439" s="2">
        <f t="shared" si="64"/>
        <v>490.00755687594284</v>
      </c>
      <c r="K439" s="2">
        <f t="shared" si="68"/>
        <v>137.202115925264</v>
      </c>
      <c r="L439" s="2">
        <f t="shared" si="69"/>
        <v>627.20967280120681</v>
      </c>
      <c r="M439" s="2">
        <f t="shared" si="65"/>
        <v>454.72701278087493</v>
      </c>
      <c r="N439" s="2">
        <f t="shared" si="66"/>
        <v>227.36350639043746</v>
      </c>
      <c r="O439" s="2">
        <f t="shared" si="67"/>
        <v>834.42406845290543</v>
      </c>
      <c r="P439" s="2">
        <v>72.549644000000001</v>
      </c>
      <c r="Q439" s="2">
        <v>23.036375</v>
      </c>
    </row>
    <row r="440" spans="1:17" x14ac:dyDescent="0.25">
      <c r="A440" s="2">
        <v>496</v>
      </c>
      <c r="B440" s="2" t="s">
        <v>50</v>
      </c>
      <c r="C440" s="2">
        <v>44</v>
      </c>
      <c r="D440" s="2">
        <f t="shared" si="60"/>
        <v>111.76</v>
      </c>
      <c r="E440" s="2">
        <f t="shared" si="61"/>
        <v>35.574312879900447</v>
      </c>
      <c r="F440" s="2">
        <f t="shared" si="62"/>
        <v>14.00563499208679</v>
      </c>
      <c r="G440" s="2">
        <v>1.273188</v>
      </c>
      <c r="H440" s="2">
        <f t="shared" si="63"/>
        <v>4.1771261179200003</v>
      </c>
      <c r="I440" s="2">
        <f>INDEX('Wood Density Lookup'!$B$2:$B$152,MATCH(B440,'Wood Density Lookup'!$A$2:$A$152,0))</f>
        <v>0.5</v>
      </c>
      <c r="J440" s="2">
        <f t="shared" si="64"/>
        <v>46.174626597113161</v>
      </c>
      <c r="K440" s="2">
        <f t="shared" si="68"/>
        <v>12.928895447191687</v>
      </c>
      <c r="L440" s="2">
        <f t="shared" si="69"/>
        <v>59.103522044304846</v>
      </c>
      <c r="M440" s="2">
        <f t="shared" si="65"/>
        <v>42.850053482121012</v>
      </c>
      <c r="N440" s="2">
        <f t="shared" si="66"/>
        <v>21.425026741060506</v>
      </c>
      <c r="O440" s="2">
        <f t="shared" si="67"/>
        <v>78.629848139692058</v>
      </c>
      <c r="P440" s="2">
        <v>72.549648000000005</v>
      </c>
      <c r="Q440" s="2">
        <v>23.034945</v>
      </c>
    </row>
    <row r="441" spans="1:17" x14ac:dyDescent="0.25">
      <c r="A441" s="2">
        <v>497</v>
      </c>
      <c r="B441" s="2" t="s">
        <v>111</v>
      </c>
      <c r="C441" s="2">
        <v>16</v>
      </c>
      <c r="D441" s="2">
        <f t="shared" si="60"/>
        <v>40.64</v>
      </c>
      <c r="E441" s="2">
        <f t="shared" si="61"/>
        <v>12.936113774509254</v>
      </c>
      <c r="F441" s="2">
        <f t="shared" si="62"/>
        <v>5.0929581789406511</v>
      </c>
      <c r="G441" s="2">
        <v>3.1593290000000001</v>
      </c>
      <c r="H441" s="2">
        <f t="shared" si="63"/>
        <v>10.365252956360001</v>
      </c>
      <c r="I441" s="2">
        <f>INDEX('Wood Density Lookup'!$B$2:$B$152,MATCH(B441,'Wood Density Lookup'!$A$2:$A$152,0))</f>
        <v>0.4</v>
      </c>
      <c r="J441" s="2">
        <f t="shared" si="64"/>
        <v>12.516164507861291</v>
      </c>
      <c r="K441" s="2">
        <f t="shared" si="68"/>
        <v>3.5045260622011618</v>
      </c>
      <c r="L441" s="2">
        <f t="shared" si="69"/>
        <v>16.020690570062452</v>
      </c>
      <c r="M441" s="2">
        <f t="shared" si="65"/>
        <v>11.615000663295278</v>
      </c>
      <c r="N441" s="2">
        <f t="shared" si="66"/>
        <v>5.8075003316476392</v>
      </c>
      <c r="O441" s="2">
        <f t="shared" si="67"/>
        <v>21.313526217146837</v>
      </c>
      <c r="P441" s="2">
        <v>72.54965</v>
      </c>
      <c r="Q441" s="2">
        <v>23.038174000000001</v>
      </c>
    </row>
    <row r="442" spans="1:17" x14ac:dyDescent="0.25">
      <c r="A442" s="2">
        <v>498</v>
      </c>
      <c r="B442" s="2" t="s">
        <v>148</v>
      </c>
      <c r="C442" s="2">
        <v>32</v>
      </c>
      <c r="D442" s="2">
        <f t="shared" si="60"/>
        <v>81.28</v>
      </c>
      <c r="E442" s="2">
        <f t="shared" si="61"/>
        <v>25.872227549018508</v>
      </c>
      <c r="F442" s="2">
        <f t="shared" si="62"/>
        <v>10.185916357881302</v>
      </c>
      <c r="G442" s="2">
        <v>5.2447039999999996</v>
      </c>
      <c r="H442" s="2">
        <f t="shared" si="63"/>
        <v>17.207034671359999</v>
      </c>
      <c r="I442" s="2">
        <f>INDEX('Wood Density Lookup'!$B$2:$B$152,MATCH(B442,'Wood Density Lookup'!$A$2:$A$152,0))</f>
        <v>0.5</v>
      </c>
      <c r="J442" s="2">
        <f t="shared" si="64"/>
        <v>98.743629955734619</v>
      </c>
      <c r="K442" s="2">
        <f t="shared" si="68"/>
        <v>27.648216387605697</v>
      </c>
      <c r="L442" s="2">
        <f t="shared" si="69"/>
        <v>126.39184634334032</v>
      </c>
      <c r="M442" s="2">
        <f t="shared" si="65"/>
        <v>91.634088598921736</v>
      </c>
      <c r="N442" s="2">
        <f t="shared" si="66"/>
        <v>45.817044299460868</v>
      </c>
      <c r="O442" s="2">
        <f t="shared" si="67"/>
        <v>168.14855257902138</v>
      </c>
      <c r="P442" s="2">
        <v>72.54965</v>
      </c>
      <c r="Q442" s="2">
        <v>23.035862000000002</v>
      </c>
    </row>
    <row r="443" spans="1:17" x14ac:dyDescent="0.25">
      <c r="A443" s="2">
        <v>499</v>
      </c>
      <c r="B443" s="2" t="s">
        <v>3</v>
      </c>
      <c r="C443" s="2">
        <v>27</v>
      </c>
      <c r="D443" s="2">
        <f t="shared" si="60"/>
        <v>68.58</v>
      </c>
      <c r="E443" s="2">
        <f t="shared" si="61"/>
        <v>21.829691994484364</v>
      </c>
      <c r="F443" s="2">
        <f t="shared" si="62"/>
        <v>8.5943669269623477</v>
      </c>
      <c r="G443" s="2">
        <v>7.5664660000000001</v>
      </c>
      <c r="H443" s="2">
        <f t="shared" si="63"/>
        <v>24.82436431144</v>
      </c>
      <c r="I443" s="2">
        <f>INDEX('Wood Density Lookup'!$B$2:$B$152,MATCH(B443,'Wood Density Lookup'!$A$2:$A$152,0))</f>
        <v>0.62</v>
      </c>
      <c r="J443" s="2">
        <f t="shared" si="64"/>
        <v>125.02876317728352</v>
      </c>
      <c r="K443" s="2">
        <f t="shared" si="68"/>
        <v>35.008053689639389</v>
      </c>
      <c r="L443" s="2">
        <f t="shared" si="69"/>
        <v>160.03681686692292</v>
      </c>
      <c r="M443" s="2">
        <f t="shared" si="65"/>
        <v>116.02669222851911</v>
      </c>
      <c r="N443" s="2">
        <f t="shared" si="66"/>
        <v>58.013346114259555</v>
      </c>
      <c r="O443" s="2">
        <f t="shared" si="67"/>
        <v>212.90898023933255</v>
      </c>
      <c r="P443" s="2">
        <v>72.549650999999997</v>
      </c>
      <c r="Q443" s="2">
        <v>23.036131000000001</v>
      </c>
    </row>
    <row r="444" spans="1:17" x14ac:dyDescent="0.25">
      <c r="A444" s="2">
        <v>500</v>
      </c>
      <c r="B444" s="2" t="s">
        <v>62</v>
      </c>
      <c r="C444" s="2">
        <v>34</v>
      </c>
      <c r="D444" s="2">
        <f t="shared" si="60"/>
        <v>86.36</v>
      </c>
      <c r="E444" s="2">
        <f t="shared" si="61"/>
        <v>27.489241770832162</v>
      </c>
      <c r="F444" s="2">
        <f t="shared" si="62"/>
        <v>10.822536130248883</v>
      </c>
      <c r="G444" s="2">
        <v>11.160581000000001</v>
      </c>
      <c r="H444" s="2">
        <f t="shared" si="63"/>
        <v>36.616080568040005</v>
      </c>
      <c r="I444" s="2">
        <f>INDEX('Wood Density Lookup'!$B$2:$B$152,MATCH(B444,'Wood Density Lookup'!$A$2:$A$152,0))</f>
        <v>0.47</v>
      </c>
      <c r="J444" s="2">
        <f t="shared" si="64"/>
        <v>218.66063424266443</v>
      </c>
      <c r="K444" s="2">
        <f t="shared" si="68"/>
        <v>61.224977587946043</v>
      </c>
      <c r="L444" s="2">
        <f t="shared" si="69"/>
        <v>279.88561183061046</v>
      </c>
      <c r="M444" s="2">
        <f t="shared" si="65"/>
        <v>202.91706857719257</v>
      </c>
      <c r="N444" s="2">
        <f t="shared" si="66"/>
        <v>101.45853428859628</v>
      </c>
      <c r="O444" s="2">
        <f t="shared" si="67"/>
        <v>372.35282083914836</v>
      </c>
      <c r="P444" s="2">
        <v>72.549650999999997</v>
      </c>
      <c r="Q444" s="2">
        <v>23.038699999999999</v>
      </c>
    </row>
    <row r="445" spans="1:17" x14ac:dyDescent="0.25">
      <c r="A445" s="2">
        <v>501</v>
      </c>
      <c r="B445" s="2" t="s">
        <v>17</v>
      </c>
      <c r="C445" s="2">
        <v>62</v>
      </c>
      <c r="D445" s="2">
        <f t="shared" si="60"/>
        <v>157.47999999999999</v>
      </c>
      <c r="E445" s="2">
        <f t="shared" si="61"/>
        <v>50.127440876223353</v>
      </c>
      <c r="F445" s="2">
        <f t="shared" si="62"/>
        <v>19.735212943395023</v>
      </c>
      <c r="G445" s="2">
        <v>14.645519999999999</v>
      </c>
      <c r="H445" s="2">
        <f t="shared" si="63"/>
        <v>48.0496078368</v>
      </c>
      <c r="I445" s="2">
        <f>INDEX('Wood Density Lookup'!$B$2:$B$152,MATCH(B445,'Wood Density Lookup'!$A$2:$A$152,0))</f>
        <v>0.75</v>
      </c>
      <c r="J445" s="2">
        <f t="shared" si="64"/>
        <v>1453.2829541897149</v>
      </c>
      <c r="K445" s="2">
        <f t="shared" si="68"/>
        <v>406.91922717312019</v>
      </c>
      <c r="L445" s="2">
        <f t="shared" si="69"/>
        <v>1860.2021813628351</v>
      </c>
      <c r="M445" s="2">
        <f t="shared" si="65"/>
        <v>1348.6465814880553</v>
      </c>
      <c r="N445" s="2">
        <f t="shared" si="66"/>
        <v>674.32329074402764</v>
      </c>
      <c r="O445" s="2">
        <f t="shared" si="67"/>
        <v>2474.7664770305814</v>
      </c>
      <c r="P445" s="2">
        <v>72.549651999999995</v>
      </c>
      <c r="Q445" s="2">
        <v>23.034590999999999</v>
      </c>
    </row>
    <row r="446" spans="1:17" x14ac:dyDescent="0.25">
      <c r="A446" s="2">
        <v>502</v>
      </c>
      <c r="B446" s="2" t="s">
        <v>62</v>
      </c>
      <c r="C446" s="2">
        <v>19</v>
      </c>
      <c r="D446" s="2">
        <f t="shared" si="60"/>
        <v>48.26</v>
      </c>
      <c r="E446" s="2">
        <f t="shared" si="61"/>
        <v>15.361635107229738</v>
      </c>
      <c r="F446" s="2">
        <f t="shared" si="62"/>
        <v>6.0478878374920226</v>
      </c>
      <c r="G446" s="2">
        <v>11.378354</v>
      </c>
      <c r="H446" s="2">
        <f t="shared" si="63"/>
        <v>37.330558937359996</v>
      </c>
      <c r="I446" s="2">
        <f>INDEX('Wood Density Lookup'!$B$2:$B$152,MATCH(B446,'Wood Density Lookup'!$A$2:$A$152,0))</f>
        <v>0.47</v>
      </c>
      <c r="J446" s="2">
        <f t="shared" si="64"/>
        <v>71.555331930837426</v>
      </c>
      <c r="K446" s="2">
        <f t="shared" si="68"/>
        <v>20.03549294063448</v>
      </c>
      <c r="L446" s="2">
        <f t="shared" si="69"/>
        <v>91.590824871471909</v>
      </c>
      <c r="M446" s="2">
        <f t="shared" si="65"/>
        <v>66.403348031817131</v>
      </c>
      <c r="N446" s="2">
        <f t="shared" si="66"/>
        <v>33.201674015908566</v>
      </c>
      <c r="O446" s="2">
        <f t="shared" si="67"/>
        <v>121.85014363838444</v>
      </c>
      <c r="P446" s="2">
        <v>72.549653000000006</v>
      </c>
      <c r="Q446" s="2">
        <v>23.038039000000001</v>
      </c>
    </row>
    <row r="447" spans="1:17" x14ac:dyDescent="0.25">
      <c r="A447" s="2">
        <v>503</v>
      </c>
      <c r="B447" s="2" t="s">
        <v>15</v>
      </c>
      <c r="C447" s="2">
        <v>33</v>
      </c>
      <c r="D447" s="2">
        <f t="shared" si="60"/>
        <v>83.820000000000007</v>
      </c>
      <c r="E447" s="2">
        <f t="shared" si="61"/>
        <v>26.680734659925339</v>
      </c>
      <c r="F447" s="2">
        <f t="shared" si="62"/>
        <v>10.504226244065093</v>
      </c>
      <c r="G447" s="2">
        <v>8.4437259999999998</v>
      </c>
      <c r="H447" s="2">
        <f t="shared" si="63"/>
        <v>27.702514009839998</v>
      </c>
      <c r="I447" s="2">
        <f>INDEX('Wood Density Lookup'!$B$2:$B$152,MATCH(B447,'Wood Density Lookup'!$A$2:$A$152,0))</f>
        <v>0.75</v>
      </c>
      <c r="J447" s="2">
        <f t="shared" si="64"/>
        <v>247.91924694568269</v>
      </c>
      <c r="K447" s="2">
        <f t="shared" si="68"/>
        <v>69.417389144791159</v>
      </c>
      <c r="L447" s="2">
        <f t="shared" si="69"/>
        <v>317.33663609047386</v>
      </c>
      <c r="M447" s="2">
        <f t="shared" si="65"/>
        <v>230.06906116559355</v>
      </c>
      <c r="N447" s="2">
        <f t="shared" si="66"/>
        <v>115.03453058279678</v>
      </c>
      <c r="O447" s="2">
        <f t="shared" si="67"/>
        <v>422.17672723886415</v>
      </c>
      <c r="P447" s="2">
        <v>72.549657999999994</v>
      </c>
      <c r="Q447" s="2">
        <v>23.036379</v>
      </c>
    </row>
    <row r="448" spans="1:17" x14ac:dyDescent="0.25">
      <c r="A448" s="2">
        <v>504</v>
      </c>
      <c r="B448" s="2" t="s">
        <v>77</v>
      </c>
      <c r="C448" s="2">
        <v>62</v>
      </c>
      <c r="D448" s="2">
        <f t="shared" si="60"/>
        <v>157.47999999999999</v>
      </c>
      <c r="E448" s="2">
        <f t="shared" si="61"/>
        <v>50.127440876223353</v>
      </c>
      <c r="F448" s="2">
        <f t="shared" si="62"/>
        <v>19.735212943395023</v>
      </c>
      <c r="G448" s="2">
        <v>13.125356</v>
      </c>
      <c r="H448" s="2">
        <f t="shared" si="63"/>
        <v>43.062192979039999</v>
      </c>
      <c r="I448" s="2">
        <f>INDEX('Wood Density Lookup'!$B$2:$B$152,MATCH(B448,'Wood Density Lookup'!$A$2:$A$152,0))</f>
        <v>0.65</v>
      </c>
      <c r="J448" s="2">
        <f t="shared" si="64"/>
        <v>1135.644408640542</v>
      </c>
      <c r="K448" s="2">
        <f t="shared" si="68"/>
        <v>317.98043441935181</v>
      </c>
      <c r="L448" s="2">
        <f t="shared" si="69"/>
        <v>1453.6248430598939</v>
      </c>
      <c r="M448" s="2">
        <f t="shared" si="65"/>
        <v>1053.8780112184231</v>
      </c>
      <c r="N448" s="2">
        <f t="shared" si="66"/>
        <v>526.93900560921156</v>
      </c>
      <c r="O448" s="2">
        <f t="shared" si="67"/>
        <v>1933.8661505858065</v>
      </c>
      <c r="P448" s="2">
        <v>72.549659000000005</v>
      </c>
      <c r="Q448" s="2">
        <v>23.035753</v>
      </c>
    </row>
    <row r="449" spans="1:17" x14ac:dyDescent="0.25">
      <c r="A449" s="2">
        <v>505</v>
      </c>
      <c r="B449" s="2" t="s">
        <v>15</v>
      </c>
      <c r="C449" s="2">
        <v>32</v>
      </c>
      <c r="D449" s="2">
        <f t="shared" ref="D449:D512" si="70">C449*2.54</f>
        <v>81.28</v>
      </c>
      <c r="E449" s="2">
        <f t="shared" ref="E449:E512" si="71">D449/PI()</f>
        <v>25.872227549018508</v>
      </c>
      <c r="F449" s="2">
        <f t="shared" ref="F449:F512" si="72">C449/PI()</f>
        <v>10.185916357881302</v>
      </c>
      <c r="G449" s="2">
        <v>6.5968669999999996</v>
      </c>
      <c r="H449" s="2">
        <f t="shared" ref="H449:H512" si="73">G449*3.28084</f>
        <v>21.643265128279999</v>
      </c>
      <c r="I449" s="2">
        <f>INDEX('Wood Density Lookup'!$B$2:$B$152,MATCH(B449,'Wood Density Lookup'!$A$2:$A$152,0))</f>
        <v>0.75</v>
      </c>
      <c r="J449" s="2">
        <f t="shared" ref="J449:J512" si="74">0.0673*POWER(I449*E449^2*G449,0.976)</f>
        <v>183.48480351403285</v>
      </c>
      <c r="K449" s="2">
        <f t="shared" si="68"/>
        <v>51.375744983929202</v>
      </c>
      <c r="L449" s="2">
        <f t="shared" si="69"/>
        <v>234.86054849796204</v>
      </c>
      <c r="M449" s="2">
        <f t="shared" ref="M449:M512" si="75">0.725*L449</f>
        <v>170.27389766102249</v>
      </c>
      <c r="N449" s="2">
        <f t="shared" ref="N449:N512" si="76">0.5*M449</f>
        <v>85.136948830511244</v>
      </c>
      <c r="O449" s="2">
        <f t="shared" ref="O449:O512" si="77">3.67*N449</f>
        <v>312.45260220797627</v>
      </c>
      <c r="P449" s="2">
        <v>72.549661</v>
      </c>
      <c r="Q449" s="2">
        <v>23.03613</v>
      </c>
    </row>
    <row r="450" spans="1:17" x14ac:dyDescent="0.25">
      <c r="A450" s="2">
        <v>506</v>
      </c>
      <c r="B450" s="2" t="s">
        <v>34</v>
      </c>
      <c r="C450" s="2">
        <v>55</v>
      </c>
      <c r="D450" s="2">
        <f t="shared" si="70"/>
        <v>139.69999999999999</v>
      </c>
      <c r="E450" s="2">
        <f t="shared" si="71"/>
        <v>44.467891099875558</v>
      </c>
      <c r="F450" s="2">
        <f t="shared" si="72"/>
        <v>17.507043740108486</v>
      </c>
      <c r="G450" s="2">
        <v>5.7272189999999998</v>
      </c>
      <c r="H450" s="2">
        <f t="shared" si="73"/>
        <v>18.790089183959999</v>
      </c>
      <c r="I450" s="2">
        <f>INDEX('Wood Density Lookup'!$B$2:$B$152,MATCH(B450,'Wood Density Lookup'!$A$2:$A$152,0))</f>
        <v>0.6</v>
      </c>
      <c r="J450" s="2">
        <f t="shared" si="74"/>
        <v>370.02465046393974</v>
      </c>
      <c r="K450" s="2">
        <f t="shared" si="68"/>
        <v>103.60690212990313</v>
      </c>
      <c r="L450" s="2">
        <f t="shared" si="69"/>
        <v>473.63155259384286</v>
      </c>
      <c r="M450" s="2">
        <f t="shared" si="75"/>
        <v>343.38287563053603</v>
      </c>
      <c r="N450" s="2">
        <f t="shared" si="76"/>
        <v>171.69143781526802</v>
      </c>
      <c r="O450" s="2">
        <f t="shared" si="77"/>
        <v>630.10757678203356</v>
      </c>
      <c r="P450" s="2">
        <v>72.549671000000004</v>
      </c>
      <c r="Q450" s="2">
        <v>23.037479999999999</v>
      </c>
    </row>
    <row r="451" spans="1:17" x14ac:dyDescent="0.25">
      <c r="A451" s="2">
        <v>507</v>
      </c>
      <c r="B451" s="2" t="s">
        <v>15</v>
      </c>
      <c r="C451" s="2">
        <v>43</v>
      </c>
      <c r="D451" s="2">
        <f t="shared" si="70"/>
        <v>109.22</v>
      </c>
      <c r="E451" s="2">
        <f t="shared" si="71"/>
        <v>34.765805768993616</v>
      </c>
      <c r="F451" s="2">
        <f t="shared" si="72"/>
        <v>13.687325105903</v>
      </c>
      <c r="G451" s="2">
        <v>11.663689</v>
      </c>
      <c r="H451" s="2">
        <f t="shared" si="73"/>
        <v>38.266697418759996</v>
      </c>
      <c r="I451" s="2">
        <f>INDEX('Wood Density Lookup'!$B$2:$B$152,MATCH(B451,'Wood Density Lookup'!$A$2:$A$152,0))</f>
        <v>0.75</v>
      </c>
      <c r="J451" s="2">
        <f t="shared" si="74"/>
        <v>569.68661373967609</v>
      </c>
      <c r="K451" s="2">
        <f t="shared" ref="K451:K514" si="78">0.28*J451</f>
        <v>159.51225184710933</v>
      </c>
      <c r="L451" s="2">
        <f t="shared" ref="L451:L514" si="79">J451+K451</f>
        <v>729.19886558678536</v>
      </c>
      <c r="M451" s="2">
        <f t="shared" si="75"/>
        <v>528.66917755041936</v>
      </c>
      <c r="N451" s="2">
        <f t="shared" si="76"/>
        <v>264.33458877520968</v>
      </c>
      <c r="O451" s="2">
        <f t="shared" si="77"/>
        <v>970.10794080501955</v>
      </c>
      <c r="P451" s="2">
        <v>72.549673999999996</v>
      </c>
      <c r="Q451" s="2">
        <v>23.03867</v>
      </c>
    </row>
    <row r="452" spans="1:17" x14ac:dyDescent="0.25">
      <c r="A452" s="2">
        <v>508</v>
      </c>
      <c r="B452" s="2" t="s">
        <v>15</v>
      </c>
      <c r="C452" s="2">
        <v>4</v>
      </c>
      <c r="D452" s="2">
        <f t="shared" si="70"/>
        <v>10.16</v>
      </c>
      <c r="E452" s="2">
        <f t="shared" si="71"/>
        <v>3.2340284436273135</v>
      </c>
      <c r="F452" s="2">
        <f t="shared" si="72"/>
        <v>1.2732395447351628</v>
      </c>
      <c r="G452" s="2">
        <v>10.653808</v>
      </c>
      <c r="H452" s="2">
        <f t="shared" si="73"/>
        <v>34.953439438719997</v>
      </c>
      <c r="I452" s="2">
        <f>INDEX('Wood Density Lookup'!$B$2:$B$152,MATCH(B452,'Wood Density Lookup'!$A$2:$A$152,0))</f>
        <v>0.75</v>
      </c>
      <c r="J452" s="2">
        <f t="shared" si="74"/>
        <v>5.0575428697815878</v>
      </c>
      <c r="K452" s="2">
        <f t="shared" si="78"/>
        <v>1.4161120035388448</v>
      </c>
      <c r="L452" s="2">
        <f t="shared" si="79"/>
        <v>6.4736548733204327</v>
      </c>
      <c r="M452" s="2">
        <f t="shared" si="75"/>
        <v>4.6933997831573135</v>
      </c>
      <c r="N452" s="2">
        <f t="shared" si="76"/>
        <v>2.3466998915786568</v>
      </c>
      <c r="O452" s="2">
        <f t="shared" si="77"/>
        <v>8.6123886020936702</v>
      </c>
      <c r="P452" s="2">
        <v>72.549673999999996</v>
      </c>
      <c r="Q452" s="2">
        <v>23.038114</v>
      </c>
    </row>
    <row r="453" spans="1:17" x14ac:dyDescent="0.25">
      <c r="A453" s="2">
        <v>509</v>
      </c>
      <c r="B453" s="2" t="s">
        <v>72</v>
      </c>
      <c r="C453" s="2">
        <v>82</v>
      </c>
      <c r="D453" s="2">
        <f t="shared" si="70"/>
        <v>208.28</v>
      </c>
      <c r="E453" s="2">
        <f t="shared" si="71"/>
        <v>66.297583094359922</v>
      </c>
      <c r="F453" s="2">
        <f t="shared" si="72"/>
        <v>26.101410667070837</v>
      </c>
      <c r="G453" s="2">
        <v>13.618517000000001</v>
      </c>
      <c r="H453" s="2">
        <f t="shared" si="73"/>
        <v>44.68017531428</v>
      </c>
      <c r="I453" s="2">
        <f>INDEX('Wood Density Lookup'!$B$2:$B$152,MATCH(B453,'Wood Density Lookup'!$A$2:$A$152,0))</f>
        <v>0.65</v>
      </c>
      <c r="J453" s="2">
        <f t="shared" si="74"/>
        <v>2031.8549680404858</v>
      </c>
      <c r="K453" s="2">
        <f t="shared" si="78"/>
        <v>568.91939105133611</v>
      </c>
      <c r="L453" s="2">
        <f t="shared" si="79"/>
        <v>2600.7743590918217</v>
      </c>
      <c r="M453" s="2">
        <f t="shared" si="75"/>
        <v>1885.5614103415708</v>
      </c>
      <c r="N453" s="2">
        <f t="shared" si="76"/>
        <v>942.78070517078538</v>
      </c>
      <c r="O453" s="2">
        <f t="shared" si="77"/>
        <v>3460.0051879767825</v>
      </c>
      <c r="P453" s="2">
        <v>72.549682000000004</v>
      </c>
      <c r="Q453" s="2">
        <v>23.036542000000001</v>
      </c>
    </row>
    <row r="454" spans="1:17" x14ac:dyDescent="0.25">
      <c r="A454" s="2">
        <v>510</v>
      </c>
      <c r="B454" s="2" t="s">
        <v>36</v>
      </c>
      <c r="C454" s="2">
        <v>26</v>
      </c>
      <c r="D454" s="2">
        <f t="shared" si="70"/>
        <v>66.040000000000006</v>
      </c>
      <c r="E454" s="2">
        <f t="shared" si="71"/>
        <v>21.02118488357754</v>
      </c>
      <c r="F454" s="2">
        <f t="shared" si="72"/>
        <v>8.2760570407785572</v>
      </c>
      <c r="G454" s="2">
        <v>5.2359419999999997</v>
      </c>
      <c r="H454" s="2">
        <f t="shared" si="73"/>
        <v>17.178287951279998</v>
      </c>
      <c r="I454" s="2">
        <f>INDEX('Wood Density Lookup'!$B$2:$B$152,MATCH(B454,'Wood Density Lookup'!$A$2:$A$152,0))</f>
        <v>0.9</v>
      </c>
      <c r="J454" s="2">
        <f t="shared" si="74"/>
        <v>116.65988481004715</v>
      </c>
      <c r="K454" s="2">
        <f t="shared" si="78"/>
        <v>32.664767746813204</v>
      </c>
      <c r="L454" s="2">
        <f t="shared" si="79"/>
        <v>149.32465255686034</v>
      </c>
      <c r="M454" s="2">
        <f t="shared" si="75"/>
        <v>108.26037310372375</v>
      </c>
      <c r="N454" s="2">
        <f t="shared" si="76"/>
        <v>54.130186551861875</v>
      </c>
      <c r="O454" s="2">
        <f t="shared" si="77"/>
        <v>198.65778464533307</v>
      </c>
      <c r="P454" s="2">
        <v>72.549685999999994</v>
      </c>
      <c r="Q454" s="2">
        <v>23.034884000000002</v>
      </c>
    </row>
    <row r="455" spans="1:17" x14ac:dyDescent="0.25">
      <c r="A455" s="2">
        <v>511</v>
      </c>
      <c r="B455" s="2" t="s">
        <v>36</v>
      </c>
      <c r="C455" s="2">
        <v>21</v>
      </c>
      <c r="D455" s="2">
        <f t="shared" si="70"/>
        <v>53.34</v>
      </c>
      <c r="E455" s="2">
        <f t="shared" si="71"/>
        <v>16.978649329043396</v>
      </c>
      <c r="F455" s="2">
        <f t="shared" si="72"/>
        <v>6.6845076098596046</v>
      </c>
      <c r="G455" s="2">
        <v>5.1113910000000002</v>
      </c>
      <c r="H455" s="2">
        <f t="shared" si="73"/>
        <v>16.769656048440002</v>
      </c>
      <c r="I455" s="2">
        <f>INDEX('Wood Density Lookup'!$B$2:$B$152,MATCH(B455,'Wood Density Lookup'!$A$2:$A$152,0))</f>
        <v>0.9</v>
      </c>
      <c r="J455" s="2">
        <f t="shared" si="74"/>
        <v>75.10361567774153</v>
      </c>
      <c r="K455" s="2">
        <f t="shared" si="78"/>
        <v>21.02901238976763</v>
      </c>
      <c r="L455" s="2">
        <f t="shared" si="79"/>
        <v>96.13262806750916</v>
      </c>
      <c r="M455" s="2">
        <f t="shared" si="75"/>
        <v>69.696155348944131</v>
      </c>
      <c r="N455" s="2">
        <f t="shared" si="76"/>
        <v>34.848077674472066</v>
      </c>
      <c r="O455" s="2">
        <f t="shared" si="77"/>
        <v>127.89244506531247</v>
      </c>
      <c r="P455" s="2">
        <v>72.549689000000001</v>
      </c>
      <c r="Q455" s="2">
        <v>23.034859000000001</v>
      </c>
    </row>
    <row r="456" spans="1:17" x14ac:dyDescent="0.25">
      <c r="A456" s="2">
        <v>513</v>
      </c>
      <c r="B456" s="2" t="s">
        <v>55</v>
      </c>
      <c r="C456" s="2">
        <v>42</v>
      </c>
      <c r="D456" s="2">
        <f t="shared" si="70"/>
        <v>106.68</v>
      </c>
      <c r="E456" s="2">
        <f t="shared" si="71"/>
        <v>33.957298658086792</v>
      </c>
      <c r="F456" s="2">
        <f t="shared" si="72"/>
        <v>13.369015219719209</v>
      </c>
      <c r="G456" s="2">
        <v>8.0156880000000008</v>
      </c>
      <c r="H456" s="2">
        <f t="shared" si="73"/>
        <v>26.298189817920001</v>
      </c>
      <c r="I456" s="2">
        <f>INDEX('Wood Density Lookup'!$B$2:$B$152,MATCH(B456,'Wood Density Lookup'!$A$2:$A$152,0))</f>
        <v>0.75</v>
      </c>
      <c r="J456" s="2">
        <f t="shared" si="74"/>
        <v>377.31368808215933</v>
      </c>
      <c r="K456" s="2">
        <f t="shared" si="78"/>
        <v>105.64783266300462</v>
      </c>
      <c r="L456" s="2">
        <f t="shared" si="79"/>
        <v>482.96152074516397</v>
      </c>
      <c r="M456" s="2">
        <f t="shared" si="75"/>
        <v>350.14710254024385</v>
      </c>
      <c r="N456" s="2">
        <f t="shared" si="76"/>
        <v>175.07355127012192</v>
      </c>
      <c r="O456" s="2">
        <f t="shared" si="77"/>
        <v>642.51993316134747</v>
      </c>
      <c r="P456" s="2">
        <v>72.549693000000005</v>
      </c>
      <c r="Q456" s="2">
        <v>23.036006</v>
      </c>
    </row>
    <row r="457" spans="1:17" x14ac:dyDescent="0.25">
      <c r="A457" s="2">
        <v>514</v>
      </c>
      <c r="B457" s="2" t="s">
        <v>111</v>
      </c>
      <c r="C457" s="2">
        <v>23</v>
      </c>
      <c r="D457" s="2">
        <f t="shared" si="70"/>
        <v>58.42</v>
      </c>
      <c r="E457" s="2">
        <f t="shared" si="71"/>
        <v>18.595663550857051</v>
      </c>
      <c r="F457" s="2">
        <f t="shared" si="72"/>
        <v>7.3211273822271856</v>
      </c>
      <c r="G457" s="2">
        <v>4.6450329999999997</v>
      </c>
      <c r="H457" s="2">
        <f t="shared" si="73"/>
        <v>15.239610067719999</v>
      </c>
      <c r="I457" s="2">
        <f>INDEX('Wood Density Lookup'!$B$2:$B$152,MATCH(B457,'Wood Density Lookup'!$A$2:$A$152,0))</f>
        <v>0.4</v>
      </c>
      <c r="J457" s="2">
        <f t="shared" si="74"/>
        <v>37.025274537943076</v>
      </c>
      <c r="K457" s="2">
        <f t="shared" si="78"/>
        <v>10.367076870624063</v>
      </c>
      <c r="L457" s="2">
        <f t="shared" si="79"/>
        <v>47.392351408567137</v>
      </c>
      <c r="M457" s="2">
        <f t="shared" si="75"/>
        <v>34.359454771211176</v>
      </c>
      <c r="N457" s="2">
        <f t="shared" si="76"/>
        <v>17.179727385605588</v>
      </c>
      <c r="O457" s="2">
        <f t="shared" si="77"/>
        <v>63.049599505172509</v>
      </c>
      <c r="P457" s="2">
        <v>72.549693000000005</v>
      </c>
      <c r="Q457" s="2">
        <v>23.036670999999998</v>
      </c>
    </row>
    <row r="458" spans="1:17" x14ac:dyDescent="0.25">
      <c r="A458" s="2">
        <v>515</v>
      </c>
      <c r="B458" s="2" t="s">
        <v>114</v>
      </c>
      <c r="C458" s="2">
        <v>12</v>
      </c>
      <c r="D458" s="2">
        <f t="shared" si="70"/>
        <v>30.48</v>
      </c>
      <c r="E458" s="2">
        <f t="shared" si="71"/>
        <v>9.7020853308819408</v>
      </c>
      <c r="F458" s="2">
        <f t="shared" si="72"/>
        <v>3.8197186342054881</v>
      </c>
      <c r="G458" s="2">
        <v>9.5308309999999992</v>
      </c>
      <c r="H458" s="2">
        <f t="shared" si="73"/>
        <v>31.269131578039996</v>
      </c>
      <c r="I458" s="2">
        <f>INDEX('Wood Density Lookup'!$B$2:$B$152,MATCH(B458,'Wood Density Lookup'!$A$2:$A$152,0))</f>
        <v>0.55000000000000004</v>
      </c>
      <c r="J458" s="2">
        <f t="shared" si="74"/>
        <v>28.615499757978238</v>
      </c>
      <c r="K458" s="2">
        <f t="shared" si="78"/>
        <v>8.0123399322339068</v>
      </c>
      <c r="L458" s="2">
        <f t="shared" si="79"/>
        <v>36.627839690212141</v>
      </c>
      <c r="M458" s="2">
        <f t="shared" si="75"/>
        <v>26.555183775403801</v>
      </c>
      <c r="N458" s="2">
        <f t="shared" si="76"/>
        <v>13.277591887701901</v>
      </c>
      <c r="O458" s="2">
        <f t="shared" si="77"/>
        <v>48.728762227865971</v>
      </c>
      <c r="P458" s="2">
        <v>72.549693000000005</v>
      </c>
      <c r="Q458" s="2">
        <v>23.035454999999999</v>
      </c>
    </row>
    <row r="459" spans="1:17" x14ac:dyDescent="0.25">
      <c r="A459" s="2">
        <v>516</v>
      </c>
      <c r="B459" s="2" t="s">
        <v>50</v>
      </c>
      <c r="C459" s="2">
        <v>9</v>
      </c>
      <c r="D459" s="2">
        <f t="shared" si="70"/>
        <v>22.86</v>
      </c>
      <c r="E459" s="2">
        <f t="shared" si="71"/>
        <v>7.2765639981614552</v>
      </c>
      <c r="F459" s="2">
        <f t="shared" si="72"/>
        <v>2.8647889756541161</v>
      </c>
      <c r="G459" s="2">
        <v>6.8164439999999997</v>
      </c>
      <c r="H459" s="2">
        <f t="shared" si="73"/>
        <v>22.363662132959998</v>
      </c>
      <c r="I459" s="2">
        <f>INDEX('Wood Density Lookup'!$B$2:$B$152,MATCH(B459,'Wood Density Lookup'!$A$2:$A$152,0))</f>
        <v>0.5</v>
      </c>
      <c r="J459" s="2">
        <f t="shared" si="74"/>
        <v>10.721178146913712</v>
      </c>
      <c r="K459" s="2">
        <f t="shared" si="78"/>
        <v>3.0019298811358395</v>
      </c>
      <c r="L459" s="2">
        <f t="shared" si="79"/>
        <v>13.723108028049552</v>
      </c>
      <c r="M459" s="2">
        <f t="shared" si="75"/>
        <v>9.9492533203359255</v>
      </c>
      <c r="N459" s="2">
        <f t="shared" si="76"/>
        <v>4.9746266601679627</v>
      </c>
      <c r="O459" s="2">
        <f t="shared" si="77"/>
        <v>18.256879842816424</v>
      </c>
      <c r="P459" s="2">
        <v>72.549696999999995</v>
      </c>
      <c r="Q459" s="2">
        <v>23.036960000000001</v>
      </c>
    </row>
    <row r="460" spans="1:17" x14ac:dyDescent="0.25">
      <c r="A460" s="2">
        <v>518</v>
      </c>
      <c r="B460" s="2" t="s">
        <v>15</v>
      </c>
      <c r="C460" s="2">
        <v>36</v>
      </c>
      <c r="D460" s="2">
        <f t="shared" si="70"/>
        <v>91.44</v>
      </c>
      <c r="E460" s="2">
        <f t="shared" si="71"/>
        <v>29.106255992645821</v>
      </c>
      <c r="F460" s="2">
        <f t="shared" si="72"/>
        <v>11.459155902616464</v>
      </c>
      <c r="G460" s="2">
        <v>8.5062069999999999</v>
      </c>
      <c r="H460" s="2">
        <f t="shared" si="73"/>
        <v>27.90750417388</v>
      </c>
      <c r="I460" s="2">
        <f>INDEX('Wood Density Lookup'!$B$2:$B$152,MATCH(B460,'Wood Density Lookup'!$A$2:$A$152,0))</f>
        <v>0.75</v>
      </c>
      <c r="J460" s="2">
        <f t="shared" si="74"/>
        <v>295.93646823289828</v>
      </c>
      <c r="K460" s="2">
        <f t="shared" si="78"/>
        <v>82.862211105211529</v>
      </c>
      <c r="L460" s="2">
        <f t="shared" si="79"/>
        <v>378.79867933810982</v>
      </c>
      <c r="M460" s="2">
        <f t="shared" si="75"/>
        <v>274.62904252012959</v>
      </c>
      <c r="N460" s="2">
        <f t="shared" si="76"/>
        <v>137.31452126006479</v>
      </c>
      <c r="O460" s="2">
        <f t="shared" si="77"/>
        <v>503.9442930244378</v>
      </c>
      <c r="P460" s="2">
        <v>72.549706999999998</v>
      </c>
      <c r="Q460" s="2">
        <v>23.036133</v>
      </c>
    </row>
    <row r="461" spans="1:17" x14ac:dyDescent="0.25">
      <c r="A461" s="2">
        <v>519</v>
      </c>
      <c r="B461" s="2" t="s">
        <v>15</v>
      </c>
      <c r="C461" s="2">
        <v>29</v>
      </c>
      <c r="D461" s="2">
        <f t="shared" si="70"/>
        <v>73.66</v>
      </c>
      <c r="E461" s="2">
        <f t="shared" si="71"/>
        <v>23.446706216298022</v>
      </c>
      <c r="F461" s="2">
        <f t="shared" si="72"/>
        <v>9.2309866993299305</v>
      </c>
      <c r="G461" s="2">
        <v>8.9354379999999995</v>
      </c>
      <c r="H461" s="2">
        <f t="shared" si="73"/>
        <v>29.315742407919998</v>
      </c>
      <c r="I461" s="2">
        <f>INDEX('Wood Density Lookup'!$B$2:$B$152,MATCH(B461,'Wood Density Lookup'!$A$2:$A$152,0))</f>
        <v>0.75</v>
      </c>
      <c r="J461" s="2">
        <f t="shared" si="74"/>
        <v>203.59339196108579</v>
      </c>
      <c r="K461" s="2">
        <f t="shared" si="78"/>
        <v>57.006149749104026</v>
      </c>
      <c r="L461" s="2">
        <f t="shared" si="79"/>
        <v>260.59954171018978</v>
      </c>
      <c r="M461" s="2">
        <f t="shared" si="75"/>
        <v>188.93466773988757</v>
      </c>
      <c r="N461" s="2">
        <f t="shared" si="76"/>
        <v>94.467333869943786</v>
      </c>
      <c r="O461" s="2">
        <f t="shared" si="77"/>
        <v>346.69511530269369</v>
      </c>
      <c r="P461" s="2">
        <v>72.549707999999995</v>
      </c>
      <c r="Q461" s="2">
        <v>23.037095999999998</v>
      </c>
    </row>
    <row r="462" spans="1:17" x14ac:dyDescent="0.25">
      <c r="A462" s="2">
        <v>520</v>
      </c>
      <c r="B462" s="2" t="s">
        <v>85</v>
      </c>
      <c r="C462" s="2">
        <v>37</v>
      </c>
      <c r="D462" s="2">
        <f t="shared" si="70"/>
        <v>93.98</v>
      </c>
      <c r="E462" s="2">
        <f t="shared" si="71"/>
        <v>29.914763103552648</v>
      </c>
      <c r="F462" s="2">
        <f t="shared" si="72"/>
        <v>11.777465788800255</v>
      </c>
      <c r="G462" s="2">
        <v>10.594466000000001</v>
      </c>
      <c r="H462" s="2">
        <f t="shared" si="73"/>
        <v>34.758747831440004</v>
      </c>
      <c r="I462" s="2">
        <f>INDEX('Wood Density Lookup'!$B$2:$B$152,MATCH(B462,'Wood Density Lookup'!$A$2:$A$152,0))</f>
        <v>0.6</v>
      </c>
      <c r="J462" s="2">
        <f t="shared" si="74"/>
        <v>311.09747568826043</v>
      </c>
      <c r="K462" s="2">
        <f t="shared" si="78"/>
        <v>87.10729319271293</v>
      </c>
      <c r="L462" s="2">
        <f t="shared" si="79"/>
        <v>398.20476888097335</v>
      </c>
      <c r="M462" s="2">
        <f t="shared" si="75"/>
        <v>288.69845743870565</v>
      </c>
      <c r="N462" s="2">
        <f t="shared" si="76"/>
        <v>144.34922871935282</v>
      </c>
      <c r="O462" s="2">
        <f t="shared" si="77"/>
        <v>529.76166940002486</v>
      </c>
      <c r="P462" s="2">
        <v>72.549707999999995</v>
      </c>
      <c r="Q462" s="2">
        <v>23.035478000000001</v>
      </c>
    </row>
    <row r="463" spans="1:17" x14ac:dyDescent="0.25">
      <c r="A463" s="2">
        <v>521</v>
      </c>
      <c r="B463" s="2" t="s">
        <v>15</v>
      </c>
      <c r="C463" s="2">
        <v>124</v>
      </c>
      <c r="D463" s="2">
        <f t="shared" si="70"/>
        <v>314.95999999999998</v>
      </c>
      <c r="E463" s="2">
        <f t="shared" si="71"/>
        <v>100.25488175244671</v>
      </c>
      <c r="F463" s="2">
        <f t="shared" si="72"/>
        <v>39.470425886790046</v>
      </c>
      <c r="G463" s="2">
        <v>1.2768969999999999</v>
      </c>
      <c r="H463" s="2">
        <f t="shared" si="73"/>
        <v>4.1892947534799996</v>
      </c>
      <c r="I463" s="2">
        <f>INDEX('Wood Density Lookup'!$B$2:$B$152,MATCH(B463,'Wood Density Lookup'!$A$2:$A$152,0))</f>
        <v>0.75</v>
      </c>
      <c r="J463" s="2">
        <f t="shared" si="74"/>
        <v>519.80562625426819</v>
      </c>
      <c r="K463" s="2">
        <f t="shared" si="78"/>
        <v>145.54557535119511</v>
      </c>
      <c r="L463" s="2">
        <f t="shared" si="79"/>
        <v>665.3512016054633</v>
      </c>
      <c r="M463" s="2">
        <f t="shared" si="75"/>
        <v>482.37962116396091</v>
      </c>
      <c r="N463" s="2">
        <f t="shared" si="76"/>
        <v>241.18981058198045</v>
      </c>
      <c r="O463" s="2">
        <f t="shared" si="77"/>
        <v>885.16660483586827</v>
      </c>
      <c r="P463" s="2">
        <v>72.549711000000002</v>
      </c>
      <c r="Q463" s="2">
        <v>23.037928999999998</v>
      </c>
    </row>
    <row r="464" spans="1:17" x14ac:dyDescent="0.25">
      <c r="A464" s="2">
        <v>522</v>
      </c>
      <c r="B464" s="2" t="s">
        <v>114</v>
      </c>
      <c r="C464" s="2">
        <v>31</v>
      </c>
      <c r="D464" s="2">
        <f t="shared" si="70"/>
        <v>78.739999999999995</v>
      </c>
      <c r="E464" s="2">
        <f t="shared" si="71"/>
        <v>25.063720438111677</v>
      </c>
      <c r="F464" s="2">
        <f t="shared" si="72"/>
        <v>9.8676064716975116</v>
      </c>
      <c r="G464" s="2">
        <v>5.9835989999999999</v>
      </c>
      <c r="H464" s="2">
        <f t="shared" si="73"/>
        <v>19.631230943159999</v>
      </c>
      <c r="I464" s="2">
        <f>INDEX('Wood Density Lookup'!$B$2:$B$152,MATCH(B464,'Wood Density Lookup'!$A$2:$A$152,0))</f>
        <v>0.55000000000000004</v>
      </c>
      <c r="J464" s="2">
        <f t="shared" si="74"/>
        <v>115.84073922411345</v>
      </c>
      <c r="K464" s="2">
        <f t="shared" si="78"/>
        <v>32.435406982751772</v>
      </c>
      <c r="L464" s="2">
        <f t="shared" si="79"/>
        <v>148.27614620686523</v>
      </c>
      <c r="M464" s="2">
        <f t="shared" si="75"/>
        <v>107.5002059999773</v>
      </c>
      <c r="N464" s="2">
        <f t="shared" si="76"/>
        <v>53.750102999988648</v>
      </c>
      <c r="O464" s="2">
        <f t="shared" si="77"/>
        <v>197.26287800995834</v>
      </c>
      <c r="P464" s="2">
        <v>72.549716000000004</v>
      </c>
      <c r="Q464" s="2">
        <v>23.034887999999999</v>
      </c>
    </row>
    <row r="465" spans="1:17" x14ac:dyDescent="0.25">
      <c r="A465" s="2">
        <v>523</v>
      </c>
      <c r="B465" s="2" t="s">
        <v>59</v>
      </c>
      <c r="C465" s="2">
        <v>2</v>
      </c>
      <c r="D465" s="2">
        <f t="shared" si="70"/>
        <v>5.08</v>
      </c>
      <c r="E465" s="2">
        <f t="shared" si="71"/>
        <v>1.6170142218136567</v>
      </c>
      <c r="F465" s="2">
        <f t="shared" si="72"/>
        <v>0.63661977236758138</v>
      </c>
      <c r="G465" s="2">
        <v>4.8209910000000002</v>
      </c>
      <c r="H465" s="2">
        <f t="shared" si="73"/>
        <v>15.816900112440001</v>
      </c>
      <c r="I465" s="2">
        <f>INDEX('Wood Density Lookup'!$B$2:$B$152,MATCH(B465,'Wood Density Lookup'!$A$2:$A$152,0))</f>
        <v>0.45</v>
      </c>
      <c r="J465" s="2">
        <f t="shared" si="74"/>
        <v>0.36618532985719632</v>
      </c>
      <c r="K465" s="2">
        <f t="shared" si="78"/>
        <v>0.10253189236001498</v>
      </c>
      <c r="L465" s="2">
        <f t="shared" si="79"/>
        <v>0.46871722221721129</v>
      </c>
      <c r="M465" s="2">
        <f t="shared" si="75"/>
        <v>0.33981998610747816</v>
      </c>
      <c r="N465" s="2">
        <f t="shared" si="76"/>
        <v>0.16990999305373908</v>
      </c>
      <c r="O465" s="2">
        <f t="shared" si="77"/>
        <v>0.62356967450722245</v>
      </c>
      <c r="P465" s="2">
        <v>72.549717999999999</v>
      </c>
      <c r="Q465" s="2">
        <v>23.038171999999999</v>
      </c>
    </row>
    <row r="466" spans="1:17" x14ac:dyDescent="0.25">
      <c r="A466" s="2">
        <v>524</v>
      </c>
      <c r="B466" s="2" t="s">
        <v>148</v>
      </c>
      <c r="C466" s="2">
        <v>12</v>
      </c>
      <c r="D466" s="2">
        <f t="shared" si="70"/>
        <v>30.48</v>
      </c>
      <c r="E466" s="2">
        <f t="shared" si="71"/>
        <v>9.7020853308819408</v>
      </c>
      <c r="F466" s="2">
        <f t="shared" si="72"/>
        <v>3.8197186342054881</v>
      </c>
      <c r="G466" s="2">
        <v>5.6376109999999997</v>
      </c>
      <c r="H466" s="2">
        <f t="shared" si="73"/>
        <v>18.49609967324</v>
      </c>
      <c r="I466" s="2">
        <f>INDEX('Wood Density Lookup'!$B$2:$B$152,MATCH(B466,'Wood Density Lookup'!$A$2:$A$152,0))</f>
        <v>0.5</v>
      </c>
      <c r="J466" s="2">
        <f t="shared" si="74"/>
        <v>15.618498039936147</v>
      </c>
      <c r="K466" s="2">
        <f t="shared" si="78"/>
        <v>4.3731794511821214</v>
      </c>
      <c r="L466" s="2">
        <f t="shared" si="79"/>
        <v>19.991677491118267</v>
      </c>
      <c r="M466" s="2">
        <f t="shared" si="75"/>
        <v>14.493966181060744</v>
      </c>
      <c r="N466" s="2">
        <f t="shared" si="76"/>
        <v>7.2469830905303718</v>
      </c>
      <c r="O466" s="2">
        <f t="shared" si="77"/>
        <v>26.596427942246464</v>
      </c>
      <c r="P466" s="2">
        <v>72.549718999999996</v>
      </c>
      <c r="Q466" s="2">
        <v>23.034254000000001</v>
      </c>
    </row>
    <row r="467" spans="1:17" x14ac:dyDescent="0.25">
      <c r="A467" s="2">
        <v>528</v>
      </c>
      <c r="B467" s="2" t="s">
        <v>17</v>
      </c>
      <c r="C467" s="2">
        <v>21</v>
      </c>
      <c r="D467" s="2">
        <f t="shared" si="70"/>
        <v>53.34</v>
      </c>
      <c r="E467" s="2">
        <f t="shared" si="71"/>
        <v>16.978649329043396</v>
      </c>
      <c r="F467" s="2">
        <f t="shared" si="72"/>
        <v>6.6845076098596046</v>
      </c>
      <c r="G467" s="2">
        <v>10.980333999999999</v>
      </c>
      <c r="H467" s="2">
        <f t="shared" si="73"/>
        <v>36.024719000559998</v>
      </c>
      <c r="I467" s="2">
        <f>INDEX('Wood Density Lookup'!$B$2:$B$152,MATCH(B467,'Wood Density Lookup'!$A$2:$A$152,0))</f>
        <v>0.75</v>
      </c>
      <c r="J467" s="2">
        <f t="shared" si="74"/>
        <v>132.5826091503109</v>
      </c>
      <c r="K467" s="2">
        <f t="shared" si="78"/>
        <v>37.123130562087056</v>
      </c>
      <c r="L467" s="2">
        <f t="shared" si="79"/>
        <v>169.70573971239796</v>
      </c>
      <c r="M467" s="2">
        <f t="shared" si="75"/>
        <v>123.03666129148851</v>
      </c>
      <c r="N467" s="2">
        <f t="shared" si="76"/>
        <v>61.518330645744257</v>
      </c>
      <c r="O467" s="2">
        <f t="shared" si="77"/>
        <v>225.77227346988141</v>
      </c>
      <c r="P467" s="2">
        <v>72.549727000000004</v>
      </c>
      <c r="Q467" s="2">
        <v>23.034610000000001</v>
      </c>
    </row>
    <row r="468" spans="1:17" x14ac:dyDescent="0.25">
      <c r="A468" s="2">
        <v>529</v>
      </c>
      <c r="B468" s="2" t="s">
        <v>114</v>
      </c>
      <c r="C468" s="2">
        <v>8</v>
      </c>
      <c r="D468" s="2">
        <f t="shared" si="70"/>
        <v>20.32</v>
      </c>
      <c r="E468" s="2">
        <f t="shared" si="71"/>
        <v>6.4680568872546269</v>
      </c>
      <c r="F468" s="2">
        <f t="shared" si="72"/>
        <v>2.5464790894703255</v>
      </c>
      <c r="G468" s="2">
        <v>12.581053000000001</v>
      </c>
      <c r="H468" s="2">
        <f t="shared" si="73"/>
        <v>41.276421924520001</v>
      </c>
      <c r="I468" s="2">
        <f>INDEX('Wood Density Lookup'!$B$2:$B$152,MATCH(B468,'Wood Density Lookup'!$A$2:$A$152,0))</f>
        <v>0.55000000000000004</v>
      </c>
      <c r="J468" s="2">
        <f t="shared" si="74"/>
        <v>17.00447982562968</v>
      </c>
      <c r="K468" s="2">
        <f t="shared" si="78"/>
        <v>4.7612543511763112</v>
      </c>
      <c r="L468" s="2">
        <f t="shared" si="79"/>
        <v>21.765734176805992</v>
      </c>
      <c r="M468" s="2">
        <f t="shared" si="75"/>
        <v>15.780157278184344</v>
      </c>
      <c r="N468" s="2">
        <f t="shared" si="76"/>
        <v>7.890078639092172</v>
      </c>
      <c r="O468" s="2">
        <f t="shared" si="77"/>
        <v>28.956588605468269</v>
      </c>
      <c r="P468" s="2">
        <v>72.549735999999996</v>
      </c>
      <c r="Q468" s="2">
        <v>23.034959000000001</v>
      </c>
    </row>
    <row r="469" spans="1:17" x14ac:dyDescent="0.25">
      <c r="A469" s="2">
        <v>530</v>
      </c>
      <c r="B469" s="2" t="s">
        <v>114</v>
      </c>
      <c r="C469" s="2">
        <v>17</v>
      </c>
      <c r="D469" s="2">
        <f t="shared" si="70"/>
        <v>43.18</v>
      </c>
      <c r="E469" s="2">
        <f t="shared" si="71"/>
        <v>13.744620885416081</v>
      </c>
      <c r="F469" s="2">
        <f t="shared" si="72"/>
        <v>5.4112680651244416</v>
      </c>
      <c r="G469" s="2">
        <v>5.2147940000000004</v>
      </c>
      <c r="H469" s="2">
        <f t="shared" si="73"/>
        <v>17.10890474696</v>
      </c>
      <c r="I469" s="2">
        <f>INDEX('Wood Density Lookup'!$B$2:$B$152,MATCH(B469,'Wood Density Lookup'!$A$2:$A$152,0))</f>
        <v>0.55000000000000004</v>
      </c>
      <c r="J469" s="2">
        <f t="shared" si="74"/>
        <v>31.352174843995471</v>
      </c>
      <c r="K469" s="2">
        <f t="shared" si="78"/>
        <v>8.7786089563187328</v>
      </c>
      <c r="L469" s="2">
        <f t="shared" si="79"/>
        <v>40.130783800314205</v>
      </c>
      <c r="M469" s="2">
        <f t="shared" si="75"/>
        <v>29.094818255227796</v>
      </c>
      <c r="N469" s="2">
        <f t="shared" si="76"/>
        <v>14.547409127613898</v>
      </c>
      <c r="O469" s="2">
        <f t="shared" si="77"/>
        <v>53.388991498343003</v>
      </c>
      <c r="P469" s="2">
        <v>72.549736999999993</v>
      </c>
      <c r="Q469" s="2">
        <v>23.034880999999999</v>
      </c>
    </row>
    <row r="470" spans="1:17" x14ac:dyDescent="0.25">
      <c r="A470" s="2">
        <v>531</v>
      </c>
      <c r="B470" s="2" t="s">
        <v>62</v>
      </c>
      <c r="C470" s="2">
        <v>21</v>
      </c>
      <c r="D470" s="2">
        <f t="shared" si="70"/>
        <v>53.34</v>
      </c>
      <c r="E470" s="2">
        <f t="shared" si="71"/>
        <v>16.978649329043396</v>
      </c>
      <c r="F470" s="2">
        <f t="shared" si="72"/>
        <v>6.6845076098596046</v>
      </c>
      <c r="G470" s="2">
        <v>6.520867</v>
      </c>
      <c r="H470" s="2">
        <f t="shared" si="73"/>
        <v>21.393921288280001</v>
      </c>
      <c r="I470" s="2">
        <f>INDEX('Wood Density Lookup'!$B$2:$B$152,MATCH(B470,'Wood Density Lookup'!$A$2:$A$152,0))</f>
        <v>0.47</v>
      </c>
      <c r="J470" s="2">
        <f t="shared" si="74"/>
        <v>50.526069417902505</v>
      </c>
      <c r="K470" s="2">
        <f t="shared" si="78"/>
        <v>14.147299437012704</v>
      </c>
      <c r="L470" s="2">
        <f t="shared" si="79"/>
        <v>64.673368854915211</v>
      </c>
      <c r="M470" s="2">
        <f t="shared" si="75"/>
        <v>46.888192419813528</v>
      </c>
      <c r="N470" s="2">
        <f t="shared" si="76"/>
        <v>23.444096209906764</v>
      </c>
      <c r="O470" s="2">
        <f t="shared" si="77"/>
        <v>86.039833090357817</v>
      </c>
      <c r="P470" s="2">
        <v>72.54974</v>
      </c>
      <c r="Q470" s="2">
        <v>23.036686</v>
      </c>
    </row>
    <row r="471" spans="1:17" x14ac:dyDescent="0.25">
      <c r="A471" s="2">
        <v>532</v>
      </c>
      <c r="B471" s="2" t="s">
        <v>15</v>
      </c>
      <c r="C471" s="2">
        <v>33</v>
      </c>
      <c r="D471" s="2">
        <f t="shared" si="70"/>
        <v>83.820000000000007</v>
      </c>
      <c r="E471" s="2">
        <f t="shared" si="71"/>
        <v>26.680734659925339</v>
      </c>
      <c r="F471" s="2">
        <f t="shared" si="72"/>
        <v>10.504226244065093</v>
      </c>
      <c r="G471" s="2">
        <v>10.148967000000001</v>
      </c>
      <c r="H471" s="2">
        <f t="shared" si="73"/>
        <v>33.297136892280001</v>
      </c>
      <c r="I471" s="2">
        <f>INDEX('Wood Density Lookup'!$B$2:$B$152,MATCH(B471,'Wood Density Lookup'!$A$2:$A$152,0))</f>
        <v>0.75</v>
      </c>
      <c r="J471" s="2">
        <f t="shared" si="74"/>
        <v>296.67479263731957</v>
      </c>
      <c r="K471" s="2">
        <f t="shared" si="78"/>
        <v>83.068941938449484</v>
      </c>
      <c r="L471" s="2">
        <f t="shared" si="79"/>
        <v>379.74373457576905</v>
      </c>
      <c r="M471" s="2">
        <f t="shared" si="75"/>
        <v>275.31420756743256</v>
      </c>
      <c r="N471" s="2">
        <f t="shared" si="76"/>
        <v>137.65710378371628</v>
      </c>
      <c r="O471" s="2">
        <f t="shared" si="77"/>
        <v>505.20157088623876</v>
      </c>
      <c r="P471" s="2">
        <v>72.549740999999997</v>
      </c>
      <c r="Q471" s="2">
        <v>23.03838</v>
      </c>
    </row>
    <row r="472" spans="1:17" x14ac:dyDescent="0.25">
      <c r="A472" s="2">
        <v>533</v>
      </c>
      <c r="B472" s="2" t="s">
        <v>141</v>
      </c>
      <c r="C472" s="2">
        <v>5</v>
      </c>
      <c r="D472" s="2">
        <f t="shared" si="70"/>
        <v>12.7</v>
      </c>
      <c r="E472" s="2">
        <f t="shared" si="71"/>
        <v>4.0425355545341413</v>
      </c>
      <c r="F472" s="2">
        <f t="shared" si="72"/>
        <v>1.5915494309189535</v>
      </c>
      <c r="G472" s="2">
        <v>5.3392140000000001</v>
      </c>
      <c r="H472" s="2">
        <f t="shared" si="73"/>
        <v>17.517106859760002</v>
      </c>
      <c r="I472" s="2">
        <f>INDEX('Wood Density Lookup'!$B$2:$B$152,MATCH(B472,'Wood Density Lookup'!$A$2:$A$152,0))</f>
        <v>0.6</v>
      </c>
      <c r="J472" s="2">
        <f t="shared" si="74"/>
        <v>3.2040321748312559</v>
      </c>
      <c r="K472" s="2">
        <f t="shared" si="78"/>
        <v>0.89712900895275172</v>
      </c>
      <c r="L472" s="2">
        <f t="shared" si="79"/>
        <v>4.1011611837840078</v>
      </c>
      <c r="M472" s="2">
        <f t="shared" si="75"/>
        <v>2.9733418582434057</v>
      </c>
      <c r="N472" s="2">
        <f t="shared" si="76"/>
        <v>1.4866709291217028</v>
      </c>
      <c r="O472" s="2">
        <f t="shared" si="77"/>
        <v>5.4560823098766491</v>
      </c>
      <c r="P472" s="2">
        <v>72.549745000000001</v>
      </c>
      <c r="Q472" s="2">
        <v>23.034271</v>
      </c>
    </row>
    <row r="473" spans="1:17" x14ac:dyDescent="0.25">
      <c r="A473" s="2">
        <v>534</v>
      </c>
      <c r="B473" s="2" t="s">
        <v>115</v>
      </c>
      <c r="C473" s="2">
        <v>25</v>
      </c>
      <c r="D473" s="2">
        <f t="shared" si="70"/>
        <v>63.5</v>
      </c>
      <c r="E473" s="2">
        <f t="shared" si="71"/>
        <v>20.212677772670709</v>
      </c>
      <c r="F473" s="2">
        <f t="shared" si="72"/>
        <v>7.9577471545947667</v>
      </c>
      <c r="G473" s="2">
        <v>9.4010239999999996</v>
      </c>
      <c r="H473" s="2">
        <f t="shared" si="73"/>
        <v>30.843255580159997</v>
      </c>
      <c r="I473" s="2">
        <f>INDEX('Wood Density Lookup'!$B$2:$B$152,MATCH(B473,'Wood Density Lookup'!$A$2:$A$152,0))</f>
        <v>0.65</v>
      </c>
      <c r="J473" s="2">
        <f t="shared" si="74"/>
        <v>139.25641741947916</v>
      </c>
      <c r="K473" s="2">
        <f t="shared" si="78"/>
        <v>38.991796877454171</v>
      </c>
      <c r="L473" s="2">
        <f t="shared" si="79"/>
        <v>178.24821429693333</v>
      </c>
      <c r="M473" s="2">
        <f t="shared" si="75"/>
        <v>129.22995536527665</v>
      </c>
      <c r="N473" s="2">
        <f t="shared" si="76"/>
        <v>64.614977682638326</v>
      </c>
      <c r="O473" s="2">
        <f t="shared" si="77"/>
        <v>237.13696809528264</v>
      </c>
      <c r="P473" s="2">
        <v>72.549745999999999</v>
      </c>
      <c r="Q473" s="2">
        <v>23.035945999999999</v>
      </c>
    </row>
    <row r="474" spans="1:17" x14ac:dyDescent="0.25">
      <c r="A474" s="2">
        <v>535</v>
      </c>
      <c r="B474" s="2" t="s">
        <v>114</v>
      </c>
      <c r="C474" s="2">
        <v>56</v>
      </c>
      <c r="D474" s="2">
        <f t="shared" si="70"/>
        <v>142.24</v>
      </c>
      <c r="E474" s="2">
        <f t="shared" si="71"/>
        <v>45.276398210782389</v>
      </c>
      <c r="F474" s="2">
        <f t="shared" si="72"/>
        <v>17.82535362629228</v>
      </c>
      <c r="G474" s="2">
        <v>9.8411969999999993</v>
      </c>
      <c r="H474" s="2">
        <f t="shared" si="73"/>
        <v>32.28739276548</v>
      </c>
      <c r="I474" s="2">
        <f>INDEX('Wood Density Lookup'!$B$2:$B$152,MATCH(B474,'Wood Density Lookup'!$A$2:$A$152,0))</f>
        <v>0.55000000000000004</v>
      </c>
      <c r="J474" s="2">
        <f t="shared" si="74"/>
        <v>597.15313488579318</v>
      </c>
      <c r="K474" s="2">
        <f t="shared" si="78"/>
        <v>167.20287776802212</v>
      </c>
      <c r="L474" s="2">
        <f t="shared" si="79"/>
        <v>764.35601265381524</v>
      </c>
      <c r="M474" s="2">
        <f t="shared" si="75"/>
        <v>554.15810917401609</v>
      </c>
      <c r="N474" s="2">
        <f t="shared" si="76"/>
        <v>277.07905458700805</v>
      </c>
      <c r="O474" s="2">
        <f t="shared" si="77"/>
        <v>1016.8801303343195</v>
      </c>
      <c r="P474" s="2">
        <v>72.549745999999999</v>
      </c>
      <c r="Q474" s="2">
        <v>23.034586999999998</v>
      </c>
    </row>
    <row r="475" spans="1:17" x14ac:dyDescent="0.25">
      <c r="A475" s="2">
        <v>537</v>
      </c>
      <c r="B475" s="2" t="s">
        <v>114</v>
      </c>
      <c r="C475" s="2">
        <v>14</v>
      </c>
      <c r="D475" s="2">
        <f t="shared" si="70"/>
        <v>35.56</v>
      </c>
      <c r="E475" s="2">
        <f t="shared" si="71"/>
        <v>11.319099552695597</v>
      </c>
      <c r="F475" s="2">
        <f t="shared" si="72"/>
        <v>4.45633840657307</v>
      </c>
      <c r="G475" s="2">
        <v>5.5104649999999999</v>
      </c>
      <c r="H475" s="2">
        <f t="shared" si="73"/>
        <v>18.078953990599999</v>
      </c>
      <c r="I475" s="2">
        <f>INDEX('Wood Density Lookup'!$B$2:$B$152,MATCH(B475,'Wood Density Lookup'!$A$2:$A$152,0))</f>
        <v>0.55000000000000004</v>
      </c>
      <c r="J475" s="2">
        <f t="shared" si="74"/>
        <v>22.64902799031087</v>
      </c>
      <c r="K475" s="2">
        <f t="shared" si="78"/>
        <v>6.3417278372870438</v>
      </c>
      <c r="L475" s="2">
        <f t="shared" si="79"/>
        <v>28.990755827597916</v>
      </c>
      <c r="M475" s="2">
        <f t="shared" si="75"/>
        <v>21.018297975008487</v>
      </c>
      <c r="N475" s="2">
        <f t="shared" si="76"/>
        <v>10.509148987504243</v>
      </c>
      <c r="O475" s="2">
        <f t="shared" si="77"/>
        <v>38.568576784140575</v>
      </c>
      <c r="P475" s="2">
        <v>72.549746999999996</v>
      </c>
      <c r="Q475" s="2">
        <v>23.034845000000001</v>
      </c>
    </row>
    <row r="476" spans="1:17" x14ac:dyDescent="0.25">
      <c r="A476" s="2">
        <v>539</v>
      </c>
      <c r="B476" s="2" t="s">
        <v>77</v>
      </c>
      <c r="C476" s="2">
        <v>123</v>
      </c>
      <c r="D476" s="2">
        <f t="shared" si="70"/>
        <v>312.42</v>
      </c>
      <c r="E476" s="2">
        <f t="shared" si="71"/>
        <v>99.44637464153989</v>
      </c>
      <c r="F476" s="2">
        <f t="shared" si="72"/>
        <v>39.152116000606256</v>
      </c>
      <c r="G476" s="2">
        <v>14.043766</v>
      </c>
      <c r="H476" s="2">
        <f t="shared" si="73"/>
        <v>46.075349243440002</v>
      </c>
      <c r="I476" s="2">
        <f>INDEX('Wood Density Lookup'!$B$2:$B$152,MATCH(B476,'Wood Density Lookup'!$A$2:$A$152,0))</f>
        <v>0.65</v>
      </c>
      <c r="J476" s="2">
        <f t="shared" si="74"/>
        <v>4620.1504670935992</v>
      </c>
      <c r="K476" s="2">
        <f t="shared" si="78"/>
        <v>1293.6421307862079</v>
      </c>
      <c r="L476" s="2">
        <f t="shared" si="79"/>
        <v>5913.7925978798066</v>
      </c>
      <c r="M476" s="2">
        <f t="shared" si="75"/>
        <v>4287.4996334628595</v>
      </c>
      <c r="N476" s="2">
        <f t="shared" si="76"/>
        <v>2143.7498167314297</v>
      </c>
      <c r="O476" s="2">
        <f t="shared" si="77"/>
        <v>7867.5618274043472</v>
      </c>
      <c r="P476" s="2">
        <v>72.549751000000001</v>
      </c>
      <c r="Q476" s="2">
        <v>23.035708</v>
      </c>
    </row>
    <row r="477" spans="1:17" x14ac:dyDescent="0.25">
      <c r="A477" s="2">
        <v>540</v>
      </c>
      <c r="B477" s="2" t="s">
        <v>15</v>
      </c>
      <c r="C477" s="2">
        <v>26</v>
      </c>
      <c r="D477" s="2">
        <f t="shared" si="70"/>
        <v>66.040000000000006</v>
      </c>
      <c r="E477" s="2">
        <f t="shared" si="71"/>
        <v>21.02118488357754</v>
      </c>
      <c r="F477" s="2">
        <f t="shared" si="72"/>
        <v>8.2760570407785572</v>
      </c>
      <c r="G477" s="2">
        <v>7.6597879999999998</v>
      </c>
      <c r="H477" s="2">
        <f t="shared" si="73"/>
        <v>25.130538861919998</v>
      </c>
      <c r="I477" s="2">
        <f>INDEX('Wood Density Lookup'!$B$2:$B$152,MATCH(B477,'Wood Density Lookup'!$A$2:$A$152,0))</f>
        <v>0.75</v>
      </c>
      <c r="J477" s="2">
        <f t="shared" si="74"/>
        <v>141.5458835547374</v>
      </c>
      <c r="K477" s="2">
        <f t="shared" si="78"/>
        <v>39.632847395326479</v>
      </c>
      <c r="L477" s="2">
        <f t="shared" si="79"/>
        <v>181.17873095006388</v>
      </c>
      <c r="M477" s="2">
        <f t="shared" si="75"/>
        <v>131.35457993879632</v>
      </c>
      <c r="N477" s="2">
        <f t="shared" si="76"/>
        <v>65.67728996939816</v>
      </c>
      <c r="O477" s="2">
        <f t="shared" si="77"/>
        <v>241.03565418769125</v>
      </c>
      <c r="P477" s="2">
        <v>72.549751999999998</v>
      </c>
      <c r="Q477" s="2">
        <v>23.036950000000001</v>
      </c>
    </row>
    <row r="478" spans="1:17" x14ac:dyDescent="0.25">
      <c r="A478" s="2">
        <v>542</v>
      </c>
      <c r="B478" s="2" t="s">
        <v>141</v>
      </c>
      <c r="C478" s="2">
        <v>5</v>
      </c>
      <c r="D478" s="2">
        <f t="shared" si="70"/>
        <v>12.7</v>
      </c>
      <c r="E478" s="2">
        <f t="shared" si="71"/>
        <v>4.0425355545341413</v>
      </c>
      <c r="F478" s="2">
        <f t="shared" si="72"/>
        <v>1.5915494309189535</v>
      </c>
      <c r="G478" s="2">
        <v>4.787547</v>
      </c>
      <c r="H478" s="2">
        <f t="shared" si="73"/>
        <v>15.70717569948</v>
      </c>
      <c r="I478" s="2">
        <f>INDEX('Wood Density Lookup'!$B$2:$B$152,MATCH(B478,'Wood Density Lookup'!$A$2:$A$152,0))</f>
        <v>0.6</v>
      </c>
      <c r="J478" s="2">
        <f t="shared" si="74"/>
        <v>2.8805096448454832</v>
      </c>
      <c r="K478" s="2">
        <f t="shared" si="78"/>
        <v>0.80654270055673538</v>
      </c>
      <c r="L478" s="2">
        <f t="shared" si="79"/>
        <v>3.6870523454022184</v>
      </c>
      <c r="M478" s="2">
        <f t="shared" si="75"/>
        <v>2.6731129504166082</v>
      </c>
      <c r="N478" s="2">
        <f t="shared" si="76"/>
        <v>1.3365564752083041</v>
      </c>
      <c r="O478" s="2">
        <f t="shared" si="77"/>
        <v>4.9051622640144759</v>
      </c>
      <c r="P478" s="2">
        <v>72.549752999999995</v>
      </c>
      <c r="Q478" s="2">
        <v>23.034275999999998</v>
      </c>
    </row>
    <row r="479" spans="1:17" x14ac:dyDescent="0.25">
      <c r="A479" s="2">
        <v>543</v>
      </c>
      <c r="B479" s="2" t="s">
        <v>111</v>
      </c>
      <c r="C479" s="2">
        <v>2</v>
      </c>
      <c r="D479" s="2">
        <f t="shared" si="70"/>
        <v>5.08</v>
      </c>
      <c r="E479" s="2">
        <f t="shared" si="71"/>
        <v>1.6170142218136567</v>
      </c>
      <c r="F479" s="2">
        <f t="shared" si="72"/>
        <v>0.63661977236758138</v>
      </c>
      <c r="G479" s="2">
        <v>4.5190599999999996</v>
      </c>
      <c r="H479" s="2">
        <f t="shared" si="73"/>
        <v>14.826312810399999</v>
      </c>
      <c r="I479" s="2">
        <f>INDEX('Wood Density Lookup'!$B$2:$B$152,MATCH(B479,'Wood Density Lookup'!$A$2:$A$152,0))</f>
        <v>0.4</v>
      </c>
      <c r="J479" s="2">
        <f t="shared" si="74"/>
        <v>0.3064516638098731</v>
      </c>
      <c r="K479" s="2">
        <f t="shared" si="78"/>
        <v>8.5806465866764478E-2</v>
      </c>
      <c r="L479" s="2">
        <f t="shared" si="79"/>
        <v>0.39225812967663759</v>
      </c>
      <c r="M479" s="2">
        <f t="shared" si="75"/>
        <v>0.28438714401556225</v>
      </c>
      <c r="N479" s="2">
        <f t="shared" si="76"/>
        <v>0.14219357200778113</v>
      </c>
      <c r="O479" s="2">
        <f t="shared" si="77"/>
        <v>0.52185040926855675</v>
      </c>
      <c r="P479" s="2">
        <v>72.549753999999993</v>
      </c>
      <c r="Q479" s="2">
        <v>23.034790999999998</v>
      </c>
    </row>
    <row r="480" spans="1:17" x14ac:dyDescent="0.25">
      <c r="A480" s="2">
        <v>544</v>
      </c>
      <c r="B480" s="2" t="s">
        <v>148</v>
      </c>
      <c r="C480" s="2">
        <v>26</v>
      </c>
      <c r="D480" s="2">
        <f t="shared" si="70"/>
        <v>66.040000000000006</v>
      </c>
      <c r="E480" s="2">
        <f t="shared" si="71"/>
        <v>21.02118488357754</v>
      </c>
      <c r="F480" s="2">
        <f t="shared" si="72"/>
        <v>8.2760570407785572</v>
      </c>
      <c r="G480" s="2">
        <v>6.0362369999999999</v>
      </c>
      <c r="H480" s="2">
        <f t="shared" si="73"/>
        <v>19.80392779908</v>
      </c>
      <c r="I480" s="2">
        <f>INDEX('Wood Density Lookup'!$B$2:$B$152,MATCH(B480,'Wood Density Lookup'!$A$2:$A$152,0))</f>
        <v>0.5</v>
      </c>
      <c r="J480" s="2">
        <f t="shared" si="74"/>
        <v>75.520441344342956</v>
      </c>
      <c r="K480" s="2">
        <f t="shared" si="78"/>
        <v>21.145723576416028</v>
      </c>
      <c r="L480" s="2">
        <f t="shared" si="79"/>
        <v>96.666164920758987</v>
      </c>
      <c r="M480" s="2">
        <f t="shared" si="75"/>
        <v>70.082969567550265</v>
      </c>
      <c r="N480" s="2">
        <f t="shared" si="76"/>
        <v>35.041484783775132</v>
      </c>
      <c r="O480" s="2">
        <f t="shared" si="77"/>
        <v>128.60224915645475</v>
      </c>
      <c r="P480" s="2">
        <v>72.549755000000005</v>
      </c>
      <c r="Q480" s="2">
        <v>23.036674999999999</v>
      </c>
    </row>
    <row r="481" spans="1:17" x14ac:dyDescent="0.25">
      <c r="A481" s="2">
        <v>545</v>
      </c>
      <c r="B481" s="2" t="s">
        <v>141</v>
      </c>
      <c r="C481" s="2">
        <v>4</v>
      </c>
      <c r="D481" s="2">
        <f t="shared" si="70"/>
        <v>10.16</v>
      </c>
      <c r="E481" s="2">
        <f t="shared" si="71"/>
        <v>3.2340284436273135</v>
      </c>
      <c r="F481" s="2">
        <f t="shared" si="72"/>
        <v>1.2732395447351628</v>
      </c>
      <c r="G481" s="2">
        <v>5.2263760000000001</v>
      </c>
      <c r="H481" s="2">
        <f t="shared" si="73"/>
        <v>17.146903435839999</v>
      </c>
      <c r="I481" s="2">
        <f>INDEX('Wood Density Lookup'!$B$2:$B$152,MATCH(B481,'Wood Density Lookup'!$A$2:$A$152,0))</f>
        <v>0.6</v>
      </c>
      <c r="J481" s="2">
        <f t="shared" si="74"/>
        <v>2.0298992647287553</v>
      </c>
      <c r="K481" s="2">
        <f t="shared" si="78"/>
        <v>0.56837179412405148</v>
      </c>
      <c r="L481" s="2">
        <f t="shared" si="79"/>
        <v>2.5982710588528066</v>
      </c>
      <c r="M481" s="2">
        <f t="shared" si="75"/>
        <v>1.8837465176682848</v>
      </c>
      <c r="N481" s="2">
        <f t="shared" si="76"/>
        <v>0.94187325883414241</v>
      </c>
      <c r="O481" s="2">
        <f t="shared" si="77"/>
        <v>3.4566748599213026</v>
      </c>
      <c r="P481" s="2">
        <v>72.549762000000001</v>
      </c>
      <c r="Q481" s="2">
        <v>23.034275999999998</v>
      </c>
    </row>
    <row r="482" spans="1:17" x14ac:dyDescent="0.25">
      <c r="A482" s="2">
        <v>546</v>
      </c>
      <c r="B482" s="2" t="s">
        <v>111</v>
      </c>
      <c r="C482" s="2">
        <v>13</v>
      </c>
      <c r="D482" s="2">
        <f t="shared" si="70"/>
        <v>33.020000000000003</v>
      </c>
      <c r="E482" s="2">
        <f t="shared" si="71"/>
        <v>10.51059244178877</v>
      </c>
      <c r="F482" s="2">
        <f t="shared" si="72"/>
        <v>4.1380285203892786</v>
      </c>
      <c r="G482" s="2">
        <v>3.8191739999999998</v>
      </c>
      <c r="H482" s="2">
        <f t="shared" si="73"/>
        <v>12.53009882616</v>
      </c>
      <c r="I482" s="2">
        <f>INDEX('Wood Density Lookup'!$B$2:$B$152,MATCH(B482,'Wood Density Lookup'!$A$2:$A$152,0))</f>
        <v>0.4</v>
      </c>
      <c r="J482" s="2">
        <f t="shared" si="74"/>
        <v>10.042551816263515</v>
      </c>
      <c r="K482" s="2">
        <f t="shared" si="78"/>
        <v>2.8119145085537847</v>
      </c>
      <c r="L482" s="2">
        <f t="shared" si="79"/>
        <v>12.854466324817299</v>
      </c>
      <c r="M482" s="2">
        <f t="shared" si="75"/>
        <v>9.3194880854925408</v>
      </c>
      <c r="N482" s="2">
        <f t="shared" si="76"/>
        <v>4.6597440427462704</v>
      </c>
      <c r="O482" s="2">
        <f t="shared" si="77"/>
        <v>17.101260636878813</v>
      </c>
      <c r="P482" s="2">
        <v>72.549763999999996</v>
      </c>
      <c r="Q482" s="2">
        <v>23.034655999999998</v>
      </c>
    </row>
    <row r="483" spans="1:17" x14ac:dyDescent="0.25">
      <c r="A483" s="2">
        <v>547</v>
      </c>
      <c r="B483" s="2" t="s">
        <v>10</v>
      </c>
      <c r="C483" s="2">
        <v>112</v>
      </c>
      <c r="D483" s="2">
        <f t="shared" si="70"/>
        <v>284.48</v>
      </c>
      <c r="E483" s="2">
        <f t="shared" si="71"/>
        <v>90.552796421564778</v>
      </c>
      <c r="F483" s="2">
        <f t="shared" si="72"/>
        <v>35.65070725258456</v>
      </c>
      <c r="G483" s="2">
        <v>16.704003</v>
      </c>
      <c r="H483" s="2">
        <f t="shared" si="73"/>
        <v>54.803161202520002</v>
      </c>
      <c r="I483" s="2">
        <f>INDEX('Wood Density Lookup'!$B$2:$B$152,MATCH(B483,'Wood Density Lookup'!$A$2:$A$152,0))</f>
        <v>0.65</v>
      </c>
      <c r="J483" s="2">
        <f t="shared" si="74"/>
        <v>4557.8896859974975</v>
      </c>
      <c r="K483" s="2">
        <f t="shared" si="78"/>
        <v>1276.2091120792995</v>
      </c>
      <c r="L483" s="2">
        <f t="shared" si="79"/>
        <v>5834.0987980767968</v>
      </c>
      <c r="M483" s="2">
        <f t="shared" si="75"/>
        <v>4229.7216286056773</v>
      </c>
      <c r="N483" s="2">
        <f t="shared" si="76"/>
        <v>2114.8608143028387</v>
      </c>
      <c r="O483" s="2">
        <f t="shared" si="77"/>
        <v>7761.5391884914179</v>
      </c>
      <c r="P483" s="2">
        <v>72.549768</v>
      </c>
      <c r="Q483" s="2">
        <v>23.038502000000001</v>
      </c>
    </row>
    <row r="484" spans="1:17" x14ac:dyDescent="0.25">
      <c r="A484" s="2">
        <v>548</v>
      </c>
      <c r="B484" s="2" t="s">
        <v>107</v>
      </c>
      <c r="C484" s="2">
        <v>3</v>
      </c>
      <c r="D484" s="2">
        <f t="shared" si="70"/>
        <v>7.62</v>
      </c>
      <c r="E484" s="2">
        <f t="shared" si="71"/>
        <v>2.4255213327204852</v>
      </c>
      <c r="F484" s="2">
        <f t="shared" si="72"/>
        <v>0.95492965855137202</v>
      </c>
      <c r="G484" s="2">
        <v>1.010561</v>
      </c>
      <c r="H484" s="2">
        <f t="shared" si="73"/>
        <v>3.3154889512400003</v>
      </c>
      <c r="I484" s="2">
        <f>INDEX('Wood Density Lookup'!$B$2:$B$152,MATCH(B484,'Wood Density Lookup'!$A$2:$A$152,0))</f>
        <v>0.65</v>
      </c>
      <c r="J484" s="2">
        <f t="shared" si="74"/>
        <v>0.25177411948042755</v>
      </c>
      <c r="K484" s="2">
        <f t="shared" si="78"/>
        <v>7.0496753454519723E-2</v>
      </c>
      <c r="L484" s="2">
        <f t="shared" si="79"/>
        <v>0.32227087293494727</v>
      </c>
      <c r="M484" s="2">
        <f t="shared" si="75"/>
        <v>0.23364638287783676</v>
      </c>
      <c r="N484" s="2">
        <f t="shared" si="76"/>
        <v>0.11682319143891838</v>
      </c>
      <c r="O484" s="2">
        <f t="shared" si="77"/>
        <v>0.42874111258083047</v>
      </c>
      <c r="P484" s="2">
        <v>72.549768</v>
      </c>
      <c r="Q484" s="2">
        <v>23.035958000000001</v>
      </c>
    </row>
    <row r="485" spans="1:17" x14ac:dyDescent="0.25">
      <c r="A485" s="2">
        <v>549</v>
      </c>
      <c r="B485" s="2" t="s">
        <v>114</v>
      </c>
      <c r="C485" s="2">
        <v>5</v>
      </c>
      <c r="D485" s="2">
        <f t="shared" si="70"/>
        <v>12.7</v>
      </c>
      <c r="E485" s="2">
        <f t="shared" si="71"/>
        <v>4.0425355545341413</v>
      </c>
      <c r="F485" s="2">
        <f t="shared" si="72"/>
        <v>1.5915494309189535</v>
      </c>
      <c r="G485" s="2">
        <v>12.092525</v>
      </c>
      <c r="H485" s="2">
        <f t="shared" si="73"/>
        <v>39.673639721000001</v>
      </c>
      <c r="I485" s="2">
        <f>INDEX('Wood Density Lookup'!$B$2:$B$152,MATCH(B485,'Wood Density Lookup'!$A$2:$A$152,0))</f>
        <v>0.55000000000000004</v>
      </c>
      <c r="J485" s="2">
        <f t="shared" si="74"/>
        <v>6.5363296496002015</v>
      </c>
      <c r="K485" s="2">
        <f t="shared" si="78"/>
        <v>1.8301723018880567</v>
      </c>
      <c r="L485" s="2">
        <f t="shared" si="79"/>
        <v>8.3665019514882584</v>
      </c>
      <c r="M485" s="2">
        <f t="shared" si="75"/>
        <v>6.0657139148289874</v>
      </c>
      <c r="N485" s="2">
        <f t="shared" si="76"/>
        <v>3.0328569574144937</v>
      </c>
      <c r="O485" s="2">
        <f t="shared" si="77"/>
        <v>11.130585033711192</v>
      </c>
      <c r="P485" s="2">
        <v>72.549768</v>
      </c>
      <c r="Q485" s="2">
        <v>23.035682000000001</v>
      </c>
    </row>
    <row r="486" spans="1:17" x14ac:dyDescent="0.25">
      <c r="A486" s="2">
        <v>550</v>
      </c>
      <c r="B486" s="2" t="s">
        <v>50</v>
      </c>
      <c r="C486" s="2">
        <v>27</v>
      </c>
      <c r="D486" s="2">
        <f t="shared" si="70"/>
        <v>68.58</v>
      </c>
      <c r="E486" s="2">
        <f t="shared" si="71"/>
        <v>21.829691994484364</v>
      </c>
      <c r="F486" s="2">
        <f t="shared" si="72"/>
        <v>8.5943669269623477</v>
      </c>
      <c r="G486" s="2">
        <v>6.2463470000000001</v>
      </c>
      <c r="H486" s="2">
        <f t="shared" si="73"/>
        <v>20.493265091480001</v>
      </c>
      <c r="I486" s="2">
        <f>INDEX('Wood Density Lookup'!$B$2:$B$152,MATCH(B486,'Wood Density Lookup'!$A$2:$A$152,0))</f>
        <v>0.5</v>
      </c>
      <c r="J486" s="2">
        <f t="shared" si="74"/>
        <v>84.054660734127751</v>
      </c>
      <c r="K486" s="2">
        <f t="shared" si="78"/>
        <v>23.535305005555774</v>
      </c>
      <c r="L486" s="2">
        <f t="shared" si="79"/>
        <v>107.58996573968352</v>
      </c>
      <c r="M486" s="2">
        <f t="shared" si="75"/>
        <v>78.002725161270547</v>
      </c>
      <c r="N486" s="2">
        <f t="shared" si="76"/>
        <v>39.001362580635274</v>
      </c>
      <c r="O486" s="2">
        <f t="shared" si="77"/>
        <v>143.13500067093145</v>
      </c>
      <c r="P486" s="2">
        <v>72.549771000000007</v>
      </c>
      <c r="Q486" s="2">
        <v>23.037043000000001</v>
      </c>
    </row>
    <row r="487" spans="1:17" x14ac:dyDescent="0.25">
      <c r="A487" s="2">
        <v>552</v>
      </c>
      <c r="B487" s="2" t="s">
        <v>15</v>
      </c>
      <c r="C487" s="2">
        <v>23</v>
      </c>
      <c r="D487" s="2">
        <f t="shared" si="70"/>
        <v>58.42</v>
      </c>
      <c r="E487" s="2">
        <f t="shared" si="71"/>
        <v>18.595663550857051</v>
      </c>
      <c r="F487" s="2">
        <f t="shared" si="72"/>
        <v>7.3211273822271856</v>
      </c>
      <c r="G487" s="2">
        <v>5.5754469999999996</v>
      </c>
      <c r="H487" s="2">
        <f t="shared" si="73"/>
        <v>18.29214953548</v>
      </c>
      <c r="I487" s="2">
        <f>INDEX('Wood Density Lookup'!$B$2:$B$152,MATCH(B487,'Wood Density Lookup'!$A$2:$A$152,0))</f>
        <v>0.75</v>
      </c>
      <c r="J487" s="2">
        <f t="shared" si="74"/>
        <v>81.721331814225792</v>
      </c>
      <c r="K487" s="2">
        <f t="shared" si="78"/>
        <v>22.881972907983222</v>
      </c>
      <c r="L487" s="2">
        <f t="shared" si="79"/>
        <v>104.60330472220902</v>
      </c>
      <c r="M487" s="2">
        <f t="shared" si="75"/>
        <v>75.837395923601534</v>
      </c>
      <c r="N487" s="2">
        <f t="shared" si="76"/>
        <v>37.918697961800767</v>
      </c>
      <c r="O487" s="2">
        <f t="shared" si="77"/>
        <v>139.16162151980882</v>
      </c>
      <c r="P487" s="2">
        <v>72.549771000000007</v>
      </c>
      <c r="Q487" s="2">
        <v>23.036145000000001</v>
      </c>
    </row>
    <row r="488" spans="1:17" x14ac:dyDescent="0.25">
      <c r="A488" s="2">
        <v>553</v>
      </c>
      <c r="B488" s="2" t="s">
        <v>34</v>
      </c>
      <c r="C488" s="2">
        <v>44</v>
      </c>
      <c r="D488" s="2">
        <f t="shared" si="70"/>
        <v>111.76</v>
      </c>
      <c r="E488" s="2">
        <f t="shared" si="71"/>
        <v>35.574312879900447</v>
      </c>
      <c r="F488" s="2">
        <f t="shared" si="72"/>
        <v>14.00563499208679</v>
      </c>
      <c r="G488" s="2">
        <v>11.131596</v>
      </c>
      <c r="H488" s="2">
        <f t="shared" si="73"/>
        <v>36.520985420640002</v>
      </c>
      <c r="I488" s="2">
        <f>INDEX('Wood Density Lookup'!$B$2:$B$152,MATCH(B488,'Wood Density Lookup'!$A$2:$A$152,0))</f>
        <v>0.6</v>
      </c>
      <c r="J488" s="2">
        <f t="shared" si="74"/>
        <v>457.87742316324352</v>
      </c>
      <c r="K488" s="2">
        <f t="shared" si="78"/>
        <v>128.20567848570821</v>
      </c>
      <c r="L488" s="2">
        <f t="shared" si="79"/>
        <v>586.0831016489517</v>
      </c>
      <c r="M488" s="2">
        <f t="shared" si="75"/>
        <v>424.91024869548994</v>
      </c>
      <c r="N488" s="2">
        <f t="shared" si="76"/>
        <v>212.45512434774497</v>
      </c>
      <c r="O488" s="2">
        <f t="shared" si="77"/>
        <v>779.71030635622401</v>
      </c>
      <c r="P488" s="2">
        <v>72.549772000000004</v>
      </c>
      <c r="Q488" s="2">
        <v>23.036494999999999</v>
      </c>
    </row>
    <row r="489" spans="1:17" x14ac:dyDescent="0.25">
      <c r="A489" s="2">
        <v>554</v>
      </c>
      <c r="B489" s="2" t="s">
        <v>140</v>
      </c>
      <c r="C489" s="2">
        <v>5</v>
      </c>
      <c r="D489" s="2">
        <f t="shared" si="70"/>
        <v>12.7</v>
      </c>
      <c r="E489" s="2">
        <f t="shared" si="71"/>
        <v>4.0425355545341413</v>
      </c>
      <c r="F489" s="2">
        <f t="shared" si="72"/>
        <v>1.5915494309189535</v>
      </c>
      <c r="G489" s="2">
        <v>7.8513609999999998</v>
      </c>
      <c r="H489" s="2">
        <f t="shared" si="73"/>
        <v>25.759059223239998</v>
      </c>
      <c r="I489" s="2">
        <f>INDEX('Wood Density Lookup'!$B$2:$B$152,MATCH(B489,'Wood Density Lookup'!$A$2:$A$152,0))</f>
        <v>0.6</v>
      </c>
      <c r="J489" s="2">
        <f t="shared" si="74"/>
        <v>4.6681549598873682</v>
      </c>
      <c r="K489" s="2">
        <f t="shared" si="78"/>
        <v>1.3070833887684632</v>
      </c>
      <c r="L489" s="2">
        <f t="shared" si="79"/>
        <v>5.9752383486558314</v>
      </c>
      <c r="M489" s="2">
        <f t="shared" si="75"/>
        <v>4.3320478027754774</v>
      </c>
      <c r="N489" s="2">
        <f t="shared" si="76"/>
        <v>2.1660239013877387</v>
      </c>
      <c r="O489" s="2">
        <f t="shared" si="77"/>
        <v>7.9493077180930012</v>
      </c>
      <c r="P489" s="2">
        <v>72.549772000000004</v>
      </c>
      <c r="Q489" s="2">
        <v>23.034278</v>
      </c>
    </row>
    <row r="490" spans="1:17" x14ac:dyDescent="0.25">
      <c r="A490" s="2">
        <v>555</v>
      </c>
      <c r="B490" s="2" t="s">
        <v>141</v>
      </c>
      <c r="C490" s="2">
        <v>6</v>
      </c>
      <c r="D490" s="2">
        <f t="shared" si="70"/>
        <v>15.24</v>
      </c>
      <c r="E490" s="2">
        <f t="shared" si="71"/>
        <v>4.8510426654409704</v>
      </c>
      <c r="F490" s="2">
        <f t="shared" si="72"/>
        <v>1.909859317102744</v>
      </c>
      <c r="G490" s="2">
        <v>5.9968199999999996</v>
      </c>
      <c r="H490" s="2">
        <f t="shared" si="73"/>
        <v>19.674606928799999</v>
      </c>
      <c r="I490" s="2">
        <f>INDEX('Wood Density Lookup'!$B$2:$B$152,MATCH(B490,'Wood Density Lookup'!$A$2:$A$152,0))</f>
        <v>0.6</v>
      </c>
      <c r="J490" s="2">
        <f t="shared" si="74"/>
        <v>5.1226147734980048</v>
      </c>
      <c r="K490" s="2">
        <f t="shared" si="78"/>
        <v>1.4343321365794415</v>
      </c>
      <c r="L490" s="2">
        <f t="shared" si="79"/>
        <v>6.5569469100774462</v>
      </c>
      <c r="M490" s="2">
        <f t="shared" si="75"/>
        <v>4.7537865098061483</v>
      </c>
      <c r="N490" s="2">
        <f t="shared" si="76"/>
        <v>2.3768932549030741</v>
      </c>
      <c r="O490" s="2">
        <f t="shared" si="77"/>
        <v>8.7231982454942827</v>
      </c>
      <c r="P490" s="2">
        <v>72.549773000000002</v>
      </c>
      <c r="Q490" s="2">
        <v>23.034284</v>
      </c>
    </row>
    <row r="491" spans="1:17" x14ac:dyDescent="0.25">
      <c r="A491" s="2">
        <v>556</v>
      </c>
      <c r="B491" s="2" t="s">
        <v>10</v>
      </c>
      <c r="C491" s="2">
        <v>52</v>
      </c>
      <c r="D491" s="2">
        <f t="shared" si="70"/>
        <v>132.08000000000001</v>
      </c>
      <c r="E491" s="2">
        <f t="shared" si="71"/>
        <v>42.04236976715508</v>
      </c>
      <c r="F491" s="2">
        <f t="shared" si="72"/>
        <v>16.552114081557114</v>
      </c>
      <c r="G491" s="2">
        <v>14.765847000000001</v>
      </c>
      <c r="H491" s="2">
        <f t="shared" si="73"/>
        <v>48.44438147148</v>
      </c>
      <c r="I491" s="2">
        <f>INDEX('Wood Density Lookup'!$B$2:$B$152,MATCH(B491,'Wood Density Lookup'!$A$2:$A$152,0))</f>
        <v>0.65</v>
      </c>
      <c r="J491" s="2">
        <f t="shared" si="74"/>
        <v>903.75778999776435</v>
      </c>
      <c r="K491" s="2">
        <f t="shared" si="78"/>
        <v>253.05218119937405</v>
      </c>
      <c r="L491" s="2">
        <f t="shared" si="79"/>
        <v>1156.8099711971383</v>
      </c>
      <c r="M491" s="2">
        <f t="shared" si="75"/>
        <v>838.68722911792531</v>
      </c>
      <c r="N491" s="2">
        <f t="shared" si="76"/>
        <v>419.34361455896266</v>
      </c>
      <c r="O491" s="2">
        <f t="shared" si="77"/>
        <v>1538.9910654313928</v>
      </c>
      <c r="P491" s="2">
        <v>72.549773999999999</v>
      </c>
      <c r="Q491" s="2">
        <v>23.038449</v>
      </c>
    </row>
    <row r="492" spans="1:17" x14ac:dyDescent="0.25">
      <c r="A492" s="2">
        <v>557</v>
      </c>
      <c r="B492" s="2" t="s">
        <v>114</v>
      </c>
      <c r="C492" s="2">
        <v>14</v>
      </c>
      <c r="D492" s="2">
        <f t="shared" si="70"/>
        <v>35.56</v>
      </c>
      <c r="E492" s="2">
        <f t="shared" si="71"/>
        <v>11.319099552695597</v>
      </c>
      <c r="F492" s="2">
        <f t="shared" si="72"/>
        <v>4.45633840657307</v>
      </c>
      <c r="G492" s="2">
        <v>6.3723840000000003</v>
      </c>
      <c r="H492" s="2">
        <f t="shared" si="73"/>
        <v>20.906772322560002</v>
      </c>
      <c r="I492" s="2">
        <f>INDEX('Wood Density Lookup'!$B$2:$B$152,MATCH(B492,'Wood Density Lookup'!$A$2:$A$152,0))</f>
        <v>0.55000000000000004</v>
      </c>
      <c r="J492" s="2">
        <f t="shared" si="74"/>
        <v>26.100482154896469</v>
      </c>
      <c r="K492" s="2">
        <f t="shared" si="78"/>
        <v>7.308135003371012</v>
      </c>
      <c r="L492" s="2">
        <f t="shared" si="79"/>
        <v>33.408617158267482</v>
      </c>
      <c r="M492" s="2">
        <f t="shared" si="75"/>
        <v>24.221247439743923</v>
      </c>
      <c r="N492" s="2">
        <f t="shared" si="76"/>
        <v>12.110623719871962</v>
      </c>
      <c r="O492" s="2">
        <f t="shared" si="77"/>
        <v>44.445989051930098</v>
      </c>
      <c r="P492" s="2">
        <v>72.549773999999999</v>
      </c>
      <c r="Q492" s="2">
        <v>23.035461999999999</v>
      </c>
    </row>
    <row r="493" spans="1:17" x14ac:dyDescent="0.25">
      <c r="A493" s="2">
        <v>558</v>
      </c>
      <c r="B493" s="2" t="s">
        <v>142</v>
      </c>
      <c r="C493" s="2">
        <v>6</v>
      </c>
      <c r="D493" s="2">
        <f t="shared" si="70"/>
        <v>15.24</v>
      </c>
      <c r="E493" s="2">
        <f t="shared" si="71"/>
        <v>4.8510426654409704</v>
      </c>
      <c r="F493" s="2">
        <f t="shared" si="72"/>
        <v>1.909859317102744</v>
      </c>
      <c r="G493" s="2">
        <v>8.1770499999999995</v>
      </c>
      <c r="H493" s="2">
        <f t="shared" si="73"/>
        <v>26.827592721999999</v>
      </c>
      <c r="I493" s="2">
        <f>INDEX('Wood Density Lookup'!$B$2:$B$152,MATCH(B493,'Wood Density Lookup'!$A$2:$A$152,0))</f>
        <v>0.68</v>
      </c>
      <c r="J493" s="2">
        <f t="shared" si="74"/>
        <v>7.8340835826073905</v>
      </c>
      <c r="K493" s="2">
        <f t="shared" si="78"/>
        <v>2.1935434031300693</v>
      </c>
      <c r="L493" s="2">
        <f t="shared" si="79"/>
        <v>10.027626985737459</v>
      </c>
      <c r="M493" s="2">
        <f t="shared" si="75"/>
        <v>7.2700295646596578</v>
      </c>
      <c r="N493" s="2">
        <f t="shared" si="76"/>
        <v>3.6350147823298289</v>
      </c>
      <c r="O493" s="2">
        <f t="shared" si="77"/>
        <v>13.340504251150472</v>
      </c>
      <c r="P493" s="2">
        <v>72.549774999999997</v>
      </c>
      <c r="Q493" s="2">
        <v>23.034682</v>
      </c>
    </row>
    <row r="494" spans="1:17" x14ac:dyDescent="0.25">
      <c r="A494" s="2">
        <v>559</v>
      </c>
      <c r="B494" s="2" t="s">
        <v>111</v>
      </c>
      <c r="C494" s="2">
        <v>11</v>
      </c>
      <c r="D494" s="2">
        <f t="shared" si="70"/>
        <v>27.94</v>
      </c>
      <c r="E494" s="2">
        <f t="shared" si="71"/>
        <v>8.8935782199751117</v>
      </c>
      <c r="F494" s="2">
        <f t="shared" si="72"/>
        <v>3.5014087480216975</v>
      </c>
      <c r="G494" s="2">
        <v>3.865704</v>
      </c>
      <c r="H494" s="2">
        <f t="shared" si="73"/>
        <v>12.68275631136</v>
      </c>
      <c r="I494" s="2">
        <f>INDEX('Wood Density Lookup'!$B$2:$B$152,MATCH(B494,'Wood Density Lookup'!$A$2:$A$152,0))</f>
        <v>0.4</v>
      </c>
      <c r="J494" s="2">
        <f t="shared" si="74"/>
        <v>7.3342905540878345</v>
      </c>
      <c r="K494" s="2">
        <f t="shared" si="78"/>
        <v>2.0536013551445937</v>
      </c>
      <c r="L494" s="2">
        <f t="shared" si="79"/>
        <v>9.3878919092324278</v>
      </c>
      <c r="M494" s="2">
        <f t="shared" si="75"/>
        <v>6.80622163419351</v>
      </c>
      <c r="N494" s="2">
        <f t="shared" si="76"/>
        <v>3.403110817096755</v>
      </c>
      <c r="O494" s="2">
        <f t="shared" si="77"/>
        <v>12.489416698745091</v>
      </c>
      <c r="P494" s="2">
        <v>72.549774999999997</v>
      </c>
      <c r="Q494" s="2">
        <v>23.034962</v>
      </c>
    </row>
    <row r="495" spans="1:17" x14ac:dyDescent="0.25">
      <c r="A495" s="2">
        <v>560</v>
      </c>
      <c r="B495" s="2" t="s">
        <v>34</v>
      </c>
      <c r="C495" s="2">
        <v>43</v>
      </c>
      <c r="D495" s="2">
        <f t="shared" si="70"/>
        <v>109.22</v>
      </c>
      <c r="E495" s="2">
        <f t="shared" si="71"/>
        <v>34.765805768993616</v>
      </c>
      <c r="F495" s="2">
        <f t="shared" si="72"/>
        <v>13.687325105903</v>
      </c>
      <c r="G495" s="2">
        <v>8.2878139999999991</v>
      </c>
      <c r="H495" s="2">
        <f t="shared" si="73"/>
        <v>27.190991683759997</v>
      </c>
      <c r="I495" s="2">
        <f>INDEX('Wood Density Lookup'!$B$2:$B$152,MATCH(B495,'Wood Density Lookup'!$A$2:$A$152,0))</f>
        <v>0.6</v>
      </c>
      <c r="J495" s="2">
        <f t="shared" si="74"/>
        <v>328.25957974225611</v>
      </c>
      <c r="K495" s="2">
        <f t="shared" si="78"/>
        <v>91.912682327831718</v>
      </c>
      <c r="L495" s="2">
        <f t="shared" si="79"/>
        <v>420.17226207008781</v>
      </c>
      <c r="M495" s="2">
        <f t="shared" si="75"/>
        <v>304.62489000081365</v>
      </c>
      <c r="N495" s="2">
        <f t="shared" si="76"/>
        <v>152.31244500040683</v>
      </c>
      <c r="O495" s="2">
        <f t="shared" si="77"/>
        <v>558.98667315149305</v>
      </c>
      <c r="P495" s="2">
        <v>72.549779000000001</v>
      </c>
      <c r="Q495" s="2">
        <v>23.037472000000001</v>
      </c>
    </row>
    <row r="496" spans="1:17" x14ac:dyDescent="0.25">
      <c r="A496" s="2">
        <v>561</v>
      </c>
      <c r="B496" s="2" t="s">
        <v>114</v>
      </c>
      <c r="C496" s="2">
        <v>29</v>
      </c>
      <c r="D496" s="2">
        <f t="shared" si="70"/>
        <v>73.66</v>
      </c>
      <c r="E496" s="2">
        <f t="shared" si="71"/>
        <v>23.446706216298022</v>
      </c>
      <c r="F496" s="2">
        <f t="shared" si="72"/>
        <v>9.2309866993299305</v>
      </c>
      <c r="G496" s="2">
        <v>7.4721729999999997</v>
      </c>
      <c r="H496" s="2">
        <f t="shared" si="73"/>
        <v>24.515004065319999</v>
      </c>
      <c r="I496" s="2">
        <f>INDEX('Wood Density Lookup'!$B$2:$B$152,MATCH(B496,'Wood Density Lookup'!$A$2:$A$152,0))</f>
        <v>0.55000000000000004</v>
      </c>
      <c r="J496" s="2">
        <f t="shared" si="74"/>
        <v>126.32607328111226</v>
      </c>
      <c r="K496" s="2">
        <f t="shared" si="78"/>
        <v>35.371300518711436</v>
      </c>
      <c r="L496" s="2">
        <f t="shared" si="79"/>
        <v>161.69737379982371</v>
      </c>
      <c r="M496" s="2">
        <f t="shared" si="75"/>
        <v>117.23059600487218</v>
      </c>
      <c r="N496" s="2">
        <f t="shared" si="76"/>
        <v>58.615298002436091</v>
      </c>
      <c r="O496" s="2">
        <f t="shared" si="77"/>
        <v>215.11814366894046</v>
      </c>
      <c r="P496" s="2">
        <v>72.549779000000001</v>
      </c>
      <c r="Q496" s="2">
        <v>23.034894999999999</v>
      </c>
    </row>
    <row r="497" spans="1:17" x14ac:dyDescent="0.25">
      <c r="A497" s="2">
        <v>562</v>
      </c>
      <c r="B497" s="2" t="s">
        <v>15</v>
      </c>
      <c r="C497" s="2">
        <v>76</v>
      </c>
      <c r="D497" s="2">
        <f t="shared" si="70"/>
        <v>193.04</v>
      </c>
      <c r="E497" s="2">
        <f t="shared" si="71"/>
        <v>61.446540428918951</v>
      </c>
      <c r="F497" s="2">
        <f t="shared" si="72"/>
        <v>24.191551349968091</v>
      </c>
      <c r="G497" s="2">
        <v>9.1681469999999994</v>
      </c>
      <c r="H497" s="2">
        <f t="shared" si="73"/>
        <v>30.079223403479997</v>
      </c>
      <c r="I497" s="2">
        <f>INDEX('Wood Density Lookup'!$B$2:$B$152,MATCH(B497,'Wood Density Lookup'!$A$2:$A$152,0))</f>
        <v>0.75</v>
      </c>
      <c r="J497" s="2">
        <f t="shared" si="74"/>
        <v>1369.0164392173399</v>
      </c>
      <c r="K497" s="2">
        <f t="shared" si="78"/>
        <v>383.32460298085522</v>
      </c>
      <c r="L497" s="2">
        <f t="shared" si="79"/>
        <v>1752.3410421981951</v>
      </c>
      <c r="M497" s="2">
        <f t="shared" si="75"/>
        <v>1270.4472555936914</v>
      </c>
      <c r="N497" s="2">
        <f t="shared" si="76"/>
        <v>635.22362779684568</v>
      </c>
      <c r="O497" s="2">
        <f t="shared" si="77"/>
        <v>2331.2707140144234</v>
      </c>
      <c r="P497" s="2">
        <v>72.549780999999996</v>
      </c>
      <c r="Q497" s="2">
        <v>23.036393</v>
      </c>
    </row>
    <row r="498" spans="1:17" x14ac:dyDescent="0.25">
      <c r="A498" s="2">
        <v>563</v>
      </c>
      <c r="B498" s="2" t="s">
        <v>142</v>
      </c>
      <c r="C498" s="2">
        <v>7</v>
      </c>
      <c r="D498" s="2">
        <f t="shared" si="70"/>
        <v>17.78</v>
      </c>
      <c r="E498" s="2">
        <f t="shared" si="71"/>
        <v>5.6595497763477987</v>
      </c>
      <c r="F498" s="2">
        <f t="shared" si="72"/>
        <v>2.228169203286535</v>
      </c>
      <c r="G498" s="2">
        <v>8.1705670000000001</v>
      </c>
      <c r="H498" s="2">
        <f t="shared" si="73"/>
        <v>26.806323036280002</v>
      </c>
      <c r="I498" s="2">
        <f>INDEX('Wood Density Lookup'!$B$2:$B$152,MATCH(B498,'Wood Density Lookup'!$A$2:$A$152,0))</f>
        <v>0.68</v>
      </c>
      <c r="J498" s="2">
        <f t="shared" si="74"/>
        <v>10.576260602023954</v>
      </c>
      <c r="K498" s="2">
        <f t="shared" si="78"/>
        <v>2.9613529685667075</v>
      </c>
      <c r="L498" s="2">
        <f t="shared" si="79"/>
        <v>13.537613570590661</v>
      </c>
      <c r="M498" s="2">
        <f t="shared" si="75"/>
        <v>9.8147698386782292</v>
      </c>
      <c r="N498" s="2">
        <f t="shared" si="76"/>
        <v>4.9073849193391146</v>
      </c>
      <c r="O498" s="2">
        <f t="shared" si="77"/>
        <v>18.010102653974549</v>
      </c>
      <c r="P498" s="2">
        <v>72.549781999999993</v>
      </c>
      <c r="Q498" s="2">
        <v>23.034662000000001</v>
      </c>
    </row>
    <row r="499" spans="1:17" x14ac:dyDescent="0.25">
      <c r="A499" s="2">
        <v>564</v>
      </c>
      <c r="B499" s="2" t="s">
        <v>15</v>
      </c>
      <c r="C499" s="2">
        <v>37</v>
      </c>
      <c r="D499" s="2">
        <f t="shared" si="70"/>
        <v>93.98</v>
      </c>
      <c r="E499" s="2">
        <f t="shared" si="71"/>
        <v>29.914763103552648</v>
      </c>
      <c r="F499" s="2">
        <f t="shared" si="72"/>
        <v>11.777465788800255</v>
      </c>
      <c r="G499" s="2">
        <v>8.9117490000000004</v>
      </c>
      <c r="H499" s="2">
        <f t="shared" si="73"/>
        <v>29.23802258916</v>
      </c>
      <c r="I499" s="2">
        <f>INDEX('Wood Density Lookup'!$B$2:$B$152,MATCH(B499,'Wood Density Lookup'!$A$2:$A$152,0))</f>
        <v>0.75</v>
      </c>
      <c r="J499" s="2">
        <f t="shared" si="74"/>
        <v>326.71368146791747</v>
      </c>
      <c r="K499" s="2">
        <f t="shared" si="78"/>
        <v>91.479830811016896</v>
      </c>
      <c r="L499" s="2">
        <f t="shared" si="79"/>
        <v>418.19351227893435</v>
      </c>
      <c r="M499" s="2">
        <f t="shared" si="75"/>
        <v>303.19029640222737</v>
      </c>
      <c r="N499" s="2">
        <f t="shared" si="76"/>
        <v>151.59514820111369</v>
      </c>
      <c r="O499" s="2">
        <f t="shared" si="77"/>
        <v>556.35419389808726</v>
      </c>
      <c r="P499" s="2">
        <v>72.549783000000005</v>
      </c>
      <c r="Q499" s="2">
        <v>23.038611</v>
      </c>
    </row>
    <row r="500" spans="1:17" x14ac:dyDescent="0.25">
      <c r="A500" s="2">
        <v>565</v>
      </c>
      <c r="B500" s="2" t="s">
        <v>145</v>
      </c>
      <c r="C500" s="2">
        <v>29</v>
      </c>
      <c r="D500" s="2">
        <f t="shared" si="70"/>
        <v>73.66</v>
      </c>
      <c r="E500" s="2">
        <f t="shared" si="71"/>
        <v>23.446706216298022</v>
      </c>
      <c r="F500" s="2">
        <f t="shared" si="72"/>
        <v>9.2309866993299305</v>
      </c>
      <c r="G500" s="2">
        <v>10.360367</v>
      </c>
      <c r="H500" s="2">
        <f t="shared" si="73"/>
        <v>33.990706468280003</v>
      </c>
      <c r="I500" s="2">
        <f>INDEX('Wood Density Lookup'!$B$2:$B$152,MATCH(B500,'Wood Density Lookup'!$A$2:$A$152,0))</f>
        <v>0.55000000000000004</v>
      </c>
      <c r="J500" s="2">
        <f t="shared" si="74"/>
        <v>173.78606149986845</v>
      </c>
      <c r="K500" s="2">
        <f t="shared" si="78"/>
        <v>48.66009721996317</v>
      </c>
      <c r="L500" s="2">
        <f t="shared" si="79"/>
        <v>222.44615871983163</v>
      </c>
      <c r="M500" s="2">
        <f t="shared" si="75"/>
        <v>161.27346507187792</v>
      </c>
      <c r="N500" s="2">
        <f t="shared" si="76"/>
        <v>80.636732535938961</v>
      </c>
      <c r="O500" s="2">
        <f t="shared" si="77"/>
        <v>295.93680840689598</v>
      </c>
      <c r="P500" s="2">
        <v>72.549783000000005</v>
      </c>
      <c r="Q500" s="2">
        <v>23.034745999999998</v>
      </c>
    </row>
    <row r="501" spans="1:17" x14ac:dyDescent="0.25">
      <c r="A501" s="2">
        <v>566</v>
      </c>
      <c r="B501" s="2" t="s">
        <v>111</v>
      </c>
      <c r="C501" s="2">
        <v>3</v>
      </c>
      <c r="D501" s="2">
        <f t="shared" si="70"/>
        <v>7.62</v>
      </c>
      <c r="E501" s="2">
        <f t="shared" si="71"/>
        <v>2.4255213327204852</v>
      </c>
      <c r="F501" s="2">
        <f t="shared" si="72"/>
        <v>0.95492965855137202</v>
      </c>
      <c r="G501" s="2">
        <v>6.4595549999999999</v>
      </c>
      <c r="H501" s="2">
        <f t="shared" si="73"/>
        <v>21.192766426199999</v>
      </c>
      <c r="I501" s="2">
        <f>INDEX('Wood Density Lookup'!$B$2:$B$152,MATCH(B501,'Wood Density Lookup'!$A$2:$A$152,0))</f>
        <v>0.4</v>
      </c>
      <c r="J501" s="2">
        <f t="shared" si="74"/>
        <v>0.95834726176041463</v>
      </c>
      <c r="K501" s="2">
        <f t="shared" si="78"/>
        <v>0.26833723329291614</v>
      </c>
      <c r="L501" s="2">
        <f t="shared" si="79"/>
        <v>1.2266844950533309</v>
      </c>
      <c r="M501" s="2">
        <f t="shared" si="75"/>
        <v>0.88934625891366481</v>
      </c>
      <c r="N501" s="2">
        <f t="shared" si="76"/>
        <v>0.44467312945683241</v>
      </c>
      <c r="O501" s="2">
        <f t="shared" si="77"/>
        <v>1.6319503851065749</v>
      </c>
      <c r="P501" s="2">
        <v>72.549785</v>
      </c>
      <c r="Q501" s="2">
        <v>23.035458999999999</v>
      </c>
    </row>
    <row r="502" spans="1:17" x14ac:dyDescent="0.25">
      <c r="A502" s="2">
        <v>567</v>
      </c>
      <c r="B502" s="2" t="s">
        <v>141</v>
      </c>
      <c r="C502" s="2">
        <v>6</v>
      </c>
      <c r="D502" s="2">
        <f t="shared" si="70"/>
        <v>15.24</v>
      </c>
      <c r="E502" s="2">
        <f t="shared" si="71"/>
        <v>4.8510426654409704</v>
      </c>
      <c r="F502" s="2">
        <f t="shared" si="72"/>
        <v>1.909859317102744</v>
      </c>
      <c r="G502" s="2">
        <v>9.2132579999999997</v>
      </c>
      <c r="H502" s="2">
        <f t="shared" si="73"/>
        <v>30.22722537672</v>
      </c>
      <c r="I502" s="2">
        <f>INDEX('Wood Density Lookup'!$B$2:$B$152,MATCH(B502,'Wood Density Lookup'!$A$2:$A$152,0))</f>
        <v>0.6</v>
      </c>
      <c r="J502" s="2">
        <f t="shared" si="74"/>
        <v>7.7894734975484798</v>
      </c>
      <c r="K502" s="2">
        <f t="shared" si="78"/>
        <v>2.1810525793135747</v>
      </c>
      <c r="L502" s="2">
        <f t="shared" si="79"/>
        <v>9.9705260768620541</v>
      </c>
      <c r="M502" s="2">
        <f t="shared" si="75"/>
        <v>7.2286314057249887</v>
      </c>
      <c r="N502" s="2">
        <f t="shared" si="76"/>
        <v>3.6143157028624944</v>
      </c>
      <c r="O502" s="2">
        <f t="shared" si="77"/>
        <v>13.264538629505354</v>
      </c>
      <c r="P502" s="2">
        <v>72.549785999999997</v>
      </c>
      <c r="Q502" s="2">
        <v>23.034289999999999</v>
      </c>
    </row>
    <row r="503" spans="1:17" x14ac:dyDescent="0.25">
      <c r="A503" s="2">
        <v>568</v>
      </c>
      <c r="B503" s="2" t="s">
        <v>140</v>
      </c>
      <c r="C503" s="2">
        <v>5</v>
      </c>
      <c r="D503" s="2">
        <f t="shared" si="70"/>
        <v>12.7</v>
      </c>
      <c r="E503" s="2">
        <f t="shared" si="71"/>
        <v>4.0425355545341413</v>
      </c>
      <c r="F503" s="2">
        <f t="shared" si="72"/>
        <v>1.5915494309189535</v>
      </c>
      <c r="G503" s="2">
        <v>9.777692</v>
      </c>
      <c r="H503" s="2">
        <f t="shared" si="73"/>
        <v>32.07904302128</v>
      </c>
      <c r="I503" s="2">
        <f>INDEX('Wood Density Lookup'!$B$2:$B$152,MATCH(B503,'Wood Density Lookup'!$A$2:$A$152,0))</f>
        <v>0.6</v>
      </c>
      <c r="J503" s="2">
        <f t="shared" si="74"/>
        <v>5.7829531867629829</v>
      </c>
      <c r="K503" s="2">
        <f t="shared" si="78"/>
        <v>1.6192268922936353</v>
      </c>
      <c r="L503" s="2">
        <f t="shared" si="79"/>
        <v>7.4021800790566186</v>
      </c>
      <c r="M503" s="2">
        <f t="shared" si="75"/>
        <v>5.3665805573160483</v>
      </c>
      <c r="N503" s="2">
        <f t="shared" si="76"/>
        <v>2.6832902786580242</v>
      </c>
      <c r="O503" s="2">
        <f t="shared" si="77"/>
        <v>9.8476753226749487</v>
      </c>
      <c r="P503" s="2">
        <v>72.549786999999995</v>
      </c>
      <c r="Q503" s="2">
        <v>23.034284</v>
      </c>
    </row>
    <row r="504" spans="1:17" x14ac:dyDescent="0.25">
      <c r="A504" s="2">
        <v>569</v>
      </c>
      <c r="B504" s="2" t="s">
        <v>111</v>
      </c>
      <c r="C504" s="2">
        <v>6</v>
      </c>
      <c r="D504" s="2">
        <f t="shared" si="70"/>
        <v>15.24</v>
      </c>
      <c r="E504" s="2">
        <f t="shared" si="71"/>
        <v>4.8510426654409704</v>
      </c>
      <c r="F504" s="2">
        <f t="shared" si="72"/>
        <v>1.909859317102744</v>
      </c>
      <c r="G504" s="2">
        <v>3.559777</v>
      </c>
      <c r="H504" s="2">
        <f t="shared" si="73"/>
        <v>11.679058772679999</v>
      </c>
      <c r="I504" s="2">
        <f>INDEX('Wood Density Lookup'!$B$2:$B$152,MATCH(B504,'Wood Density Lookup'!$A$2:$A$152,0))</f>
        <v>0.4</v>
      </c>
      <c r="J504" s="2">
        <f t="shared" si="74"/>
        <v>2.0728332455198859</v>
      </c>
      <c r="K504" s="2">
        <f t="shared" si="78"/>
        <v>0.58039330874556816</v>
      </c>
      <c r="L504" s="2">
        <f t="shared" si="79"/>
        <v>2.6532265542654541</v>
      </c>
      <c r="M504" s="2">
        <f t="shared" si="75"/>
        <v>1.9235892518424542</v>
      </c>
      <c r="N504" s="2">
        <f t="shared" si="76"/>
        <v>0.96179462592122711</v>
      </c>
      <c r="O504" s="2">
        <f t="shared" si="77"/>
        <v>3.5297862771309032</v>
      </c>
      <c r="P504" s="2">
        <v>72.549789000000004</v>
      </c>
      <c r="Q504" s="2">
        <v>23.034963999999999</v>
      </c>
    </row>
    <row r="505" spans="1:17" x14ac:dyDescent="0.25">
      <c r="A505" s="2">
        <v>570</v>
      </c>
      <c r="B505" s="2" t="s">
        <v>3</v>
      </c>
      <c r="C505" s="2">
        <v>6</v>
      </c>
      <c r="D505" s="2">
        <f t="shared" si="70"/>
        <v>15.24</v>
      </c>
      <c r="E505" s="2">
        <f t="shared" si="71"/>
        <v>4.8510426654409704</v>
      </c>
      <c r="F505" s="2">
        <f t="shared" si="72"/>
        <v>1.909859317102744</v>
      </c>
      <c r="G505" s="2">
        <v>10.554812999999999</v>
      </c>
      <c r="H505" s="2">
        <f t="shared" si="73"/>
        <v>34.628652682919999</v>
      </c>
      <c r="I505" s="2">
        <f>INDEX('Wood Density Lookup'!$B$2:$B$152,MATCH(B505,'Wood Density Lookup'!$A$2:$A$152,0))</f>
        <v>0.62</v>
      </c>
      <c r="J505" s="2">
        <f t="shared" si="74"/>
        <v>9.1839008736997734</v>
      </c>
      <c r="K505" s="2">
        <f t="shared" si="78"/>
        <v>2.571492244635937</v>
      </c>
      <c r="L505" s="2">
        <f t="shared" si="79"/>
        <v>11.755393118335711</v>
      </c>
      <c r="M505" s="2">
        <f t="shared" si="75"/>
        <v>8.5226600107933894</v>
      </c>
      <c r="N505" s="2">
        <f t="shared" si="76"/>
        <v>4.2613300053966947</v>
      </c>
      <c r="O505" s="2">
        <f t="shared" si="77"/>
        <v>15.639081119805869</v>
      </c>
      <c r="P505" s="2">
        <v>72.549790999999999</v>
      </c>
      <c r="Q505" s="2">
        <v>23.038709999999998</v>
      </c>
    </row>
    <row r="506" spans="1:17" x14ac:dyDescent="0.25">
      <c r="A506" s="2">
        <v>571</v>
      </c>
      <c r="B506" s="2" t="s">
        <v>114</v>
      </c>
      <c r="C506" s="2">
        <v>19</v>
      </c>
      <c r="D506" s="2">
        <f t="shared" si="70"/>
        <v>48.26</v>
      </c>
      <c r="E506" s="2">
        <f t="shared" si="71"/>
        <v>15.361635107229738</v>
      </c>
      <c r="F506" s="2">
        <f t="shared" si="72"/>
        <v>6.0478878374920226</v>
      </c>
      <c r="G506" s="2">
        <v>12.052519</v>
      </c>
      <c r="H506" s="2">
        <f t="shared" si="73"/>
        <v>39.542386435959997</v>
      </c>
      <c r="I506" s="2">
        <f>INDEX('Wood Density Lookup'!$B$2:$B$152,MATCH(B506,'Wood Density Lookup'!$A$2:$A$152,0))</f>
        <v>0.55000000000000004</v>
      </c>
      <c r="J506" s="2">
        <f t="shared" si="74"/>
        <v>88.240284277560164</v>
      </c>
      <c r="K506" s="2">
        <f t="shared" si="78"/>
        <v>24.707279597716848</v>
      </c>
      <c r="L506" s="2">
        <f t="shared" si="79"/>
        <v>112.94756387527701</v>
      </c>
      <c r="M506" s="2">
        <f t="shared" si="75"/>
        <v>81.886983809575838</v>
      </c>
      <c r="N506" s="2">
        <f t="shared" si="76"/>
        <v>40.943491904787919</v>
      </c>
      <c r="O506" s="2">
        <f t="shared" si="77"/>
        <v>150.26261529057166</v>
      </c>
      <c r="P506" s="2">
        <v>72.549790999999999</v>
      </c>
      <c r="Q506" s="2">
        <v>23.035658999999999</v>
      </c>
    </row>
    <row r="507" spans="1:17" x14ac:dyDescent="0.25">
      <c r="A507" s="2">
        <v>572</v>
      </c>
      <c r="B507" s="2" t="s">
        <v>111</v>
      </c>
      <c r="C507" s="2">
        <v>2</v>
      </c>
      <c r="D507" s="2">
        <f t="shared" si="70"/>
        <v>5.08</v>
      </c>
      <c r="E507" s="2">
        <f t="shared" si="71"/>
        <v>1.6170142218136567</v>
      </c>
      <c r="F507" s="2">
        <f t="shared" si="72"/>
        <v>0.63661977236758138</v>
      </c>
      <c r="G507" s="2">
        <v>4.6135900000000003</v>
      </c>
      <c r="H507" s="2">
        <f t="shared" si="73"/>
        <v>15.136450615600001</v>
      </c>
      <c r="I507" s="2">
        <f>INDEX('Wood Density Lookup'!$B$2:$B$152,MATCH(B507,'Wood Density Lookup'!$A$2:$A$152,0))</f>
        <v>0.4</v>
      </c>
      <c r="J507" s="2">
        <f t="shared" si="74"/>
        <v>0.31270663182336422</v>
      </c>
      <c r="K507" s="2">
        <f t="shared" si="78"/>
        <v>8.7557856910541992E-2</v>
      </c>
      <c r="L507" s="2">
        <f t="shared" si="79"/>
        <v>0.40026448873390619</v>
      </c>
      <c r="M507" s="2">
        <f t="shared" si="75"/>
        <v>0.290191754332082</v>
      </c>
      <c r="N507" s="2">
        <f t="shared" si="76"/>
        <v>0.145095877166041</v>
      </c>
      <c r="O507" s="2">
        <f t="shared" si="77"/>
        <v>0.53250186919937048</v>
      </c>
      <c r="P507" s="2">
        <v>72.549790999999999</v>
      </c>
      <c r="Q507" s="2">
        <v>23.03546</v>
      </c>
    </row>
    <row r="508" spans="1:17" x14ac:dyDescent="0.25">
      <c r="A508" s="2">
        <v>575</v>
      </c>
      <c r="B508" s="2" t="s">
        <v>111</v>
      </c>
      <c r="C508" s="2">
        <v>3</v>
      </c>
      <c r="D508" s="2">
        <f t="shared" si="70"/>
        <v>7.62</v>
      </c>
      <c r="E508" s="2">
        <f t="shared" si="71"/>
        <v>2.4255213327204852</v>
      </c>
      <c r="F508" s="2">
        <f t="shared" si="72"/>
        <v>0.95492965855137202</v>
      </c>
      <c r="G508" s="2">
        <v>2.5915970000000002</v>
      </c>
      <c r="H508" s="2">
        <f t="shared" si="73"/>
        <v>8.50261510148</v>
      </c>
      <c r="I508" s="2">
        <f>INDEX('Wood Density Lookup'!$B$2:$B$152,MATCH(B508,'Wood Density Lookup'!$A$2:$A$152,0))</f>
        <v>0.4</v>
      </c>
      <c r="J508" s="2">
        <f t="shared" si="74"/>
        <v>0.39301309185000377</v>
      </c>
      <c r="K508" s="2">
        <f t="shared" si="78"/>
        <v>0.11004366571800106</v>
      </c>
      <c r="L508" s="2">
        <f t="shared" si="79"/>
        <v>0.50305675756800483</v>
      </c>
      <c r="M508" s="2">
        <f t="shared" si="75"/>
        <v>0.36471614923680351</v>
      </c>
      <c r="N508" s="2">
        <f t="shared" si="76"/>
        <v>0.18235807461840176</v>
      </c>
      <c r="O508" s="2">
        <f t="shared" si="77"/>
        <v>0.66925413384953447</v>
      </c>
      <c r="P508" s="2">
        <v>72.549797999999996</v>
      </c>
      <c r="Q508" s="2">
        <v>23.035461000000002</v>
      </c>
    </row>
    <row r="509" spans="1:17" x14ac:dyDescent="0.25">
      <c r="A509" s="2">
        <v>576</v>
      </c>
      <c r="B509" s="2" t="s">
        <v>140</v>
      </c>
      <c r="C509" s="2">
        <v>6</v>
      </c>
      <c r="D509" s="2">
        <f t="shared" si="70"/>
        <v>15.24</v>
      </c>
      <c r="E509" s="2">
        <f t="shared" si="71"/>
        <v>4.8510426654409704</v>
      </c>
      <c r="F509" s="2">
        <f t="shared" si="72"/>
        <v>1.909859317102744</v>
      </c>
      <c r="G509" s="2">
        <v>6.1717279999999999</v>
      </c>
      <c r="H509" s="2">
        <f t="shared" si="73"/>
        <v>20.248452091520001</v>
      </c>
      <c r="I509" s="2">
        <f>INDEX('Wood Density Lookup'!$B$2:$B$152,MATCH(B509,'Wood Density Lookup'!$A$2:$A$152,0))</f>
        <v>0.6</v>
      </c>
      <c r="J509" s="2">
        <f t="shared" si="74"/>
        <v>5.2683886280031338</v>
      </c>
      <c r="K509" s="2">
        <f t="shared" si="78"/>
        <v>1.4751488158408776</v>
      </c>
      <c r="L509" s="2">
        <f t="shared" si="79"/>
        <v>6.7435374438440112</v>
      </c>
      <c r="M509" s="2">
        <f t="shared" si="75"/>
        <v>4.8890646467869079</v>
      </c>
      <c r="N509" s="2">
        <f t="shared" si="76"/>
        <v>2.4445323233934539</v>
      </c>
      <c r="O509" s="2">
        <f t="shared" si="77"/>
        <v>8.9714336268539761</v>
      </c>
      <c r="P509" s="2">
        <v>72.549797999999996</v>
      </c>
      <c r="Q509" s="2">
        <v>23.034289999999999</v>
      </c>
    </row>
    <row r="510" spans="1:17" x14ac:dyDescent="0.25">
      <c r="A510" s="2">
        <v>577</v>
      </c>
      <c r="B510" s="2" t="s">
        <v>82</v>
      </c>
      <c r="C510" s="2">
        <v>34</v>
      </c>
      <c r="D510" s="2">
        <f t="shared" si="70"/>
        <v>86.36</v>
      </c>
      <c r="E510" s="2">
        <f t="shared" si="71"/>
        <v>27.489241770832162</v>
      </c>
      <c r="F510" s="2">
        <f t="shared" si="72"/>
        <v>10.822536130248883</v>
      </c>
      <c r="G510" s="2">
        <v>15.649056</v>
      </c>
      <c r="H510" s="2">
        <f t="shared" si="73"/>
        <v>51.342048887040001</v>
      </c>
      <c r="I510" s="2">
        <f>INDEX('Wood Density Lookup'!$B$2:$B$152,MATCH(B510,'Wood Density Lookup'!$A$2:$A$152,0))</f>
        <v>0.7</v>
      </c>
      <c r="J510" s="2">
        <f t="shared" si="74"/>
        <v>448.63886153441808</v>
      </c>
      <c r="K510" s="2">
        <f t="shared" si="78"/>
        <v>125.61888122963707</v>
      </c>
      <c r="L510" s="2">
        <f t="shared" si="79"/>
        <v>574.25774276405514</v>
      </c>
      <c r="M510" s="2">
        <f t="shared" si="75"/>
        <v>416.33686350393998</v>
      </c>
      <c r="N510" s="2">
        <f t="shared" si="76"/>
        <v>208.16843175196999</v>
      </c>
      <c r="O510" s="2">
        <f t="shared" si="77"/>
        <v>763.97814452972989</v>
      </c>
      <c r="P510" s="2">
        <v>72.549798999999993</v>
      </c>
      <c r="Q510" s="2">
        <v>23.036552</v>
      </c>
    </row>
    <row r="511" spans="1:17" x14ac:dyDescent="0.25">
      <c r="A511" s="2">
        <v>578</v>
      </c>
      <c r="B511" s="2" t="s">
        <v>97</v>
      </c>
      <c r="C511" s="2">
        <v>4</v>
      </c>
      <c r="D511" s="2">
        <f t="shared" si="70"/>
        <v>10.16</v>
      </c>
      <c r="E511" s="2">
        <f t="shared" si="71"/>
        <v>3.2340284436273135</v>
      </c>
      <c r="F511" s="2">
        <f t="shared" si="72"/>
        <v>1.2732395447351628</v>
      </c>
      <c r="G511" s="2">
        <v>14.920605999999999</v>
      </c>
      <c r="H511" s="2">
        <f t="shared" si="73"/>
        <v>48.952120989039997</v>
      </c>
      <c r="I511" s="2">
        <f>INDEX('Wood Density Lookup'!$B$2:$B$152,MATCH(B511,'Wood Density Lookup'!$A$2:$A$152,0))</f>
        <v>0.65</v>
      </c>
      <c r="J511" s="2">
        <f t="shared" si="74"/>
        <v>6.110180698573167</v>
      </c>
      <c r="K511" s="2">
        <f t="shared" si="78"/>
        <v>1.7108505956004869</v>
      </c>
      <c r="L511" s="2">
        <f t="shared" si="79"/>
        <v>7.8210312941736539</v>
      </c>
      <c r="M511" s="2">
        <f t="shared" si="75"/>
        <v>5.6702476882758992</v>
      </c>
      <c r="N511" s="2">
        <f t="shared" si="76"/>
        <v>2.8351238441379496</v>
      </c>
      <c r="O511" s="2">
        <f t="shared" si="77"/>
        <v>10.404904507986275</v>
      </c>
      <c r="P511" s="2">
        <v>72.549801000000002</v>
      </c>
      <c r="Q511" s="2">
        <v>23.035893999999999</v>
      </c>
    </row>
    <row r="512" spans="1:17" x14ac:dyDescent="0.25">
      <c r="A512" s="2">
        <v>579</v>
      </c>
      <c r="B512" s="2" t="s">
        <v>25</v>
      </c>
      <c r="C512" s="2">
        <v>31</v>
      </c>
      <c r="D512" s="2">
        <f t="shared" si="70"/>
        <v>78.739999999999995</v>
      </c>
      <c r="E512" s="2">
        <f t="shared" si="71"/>
        <v>25.063720438111677</v>
      </c>
      <c r="F512" s="2">
        <f t="shared" si="72"/>
        <v>9.8676064716975116</v>
      </c>
      <c r="G512" s="2">
        <v>11.744489</v>
      </c>
      <c r="H512" s="2">
        <f t="shared" si="73"/>
        <v>38.531789290759995</v>
      </c>
      <c r="I512" s="2">
        <f>INDEX('Wood Density Lookup'!$B$2:$B$152,MATCH(B512,'Wood Density Lookup'!$A$2:$A$152,0))</f>
        <v>0.65</v>
      </c>
      <c r="J512" s="2">
        <f t="shared" si="74"/>
        <v>263.33797793795299</v>
      </c>
      <c r="K512" s="2">
        <f t="shared" si="78"/>
        <v>73.734633822626847</v>
      </c>
      <c r="L512" s="2">
        <f t="shared" si="79"/>
        <v>337.07261176057983</v>
      </c>
      <c r="M512" s="2">
        <f t="shared" si="75"/>
        <v>244.37764352642037</v>
      </c>
      <c r="N512" s="2">
        <f t="shared" si="76"/>
        <v>122.18882176321019</v>
      </c>
      <c r="O512" s="2">
        <f t="shared" si="77"/>
        <v>448.43297587098135</v>
      </c>
      <c r="P512" s="2">
        <v>72.549801000000002</v>
      </c>
      <c r="Q512" s="2">
        <v>23.035775000000001</v>
      </c>
    </row>
    <row r="513" spans="1:17" x14ac:dyDescent="0.25">
      <c r="A513" s="2">
        <v>580</v>
      </c>
      <c r="B513" s="2" t="s">
        <v>15</v>
      </c>
      <c r="C513" s="2">
        <v>9</v>
      </c>
      <c r="D513" s="2">
        <f t="shared" ref="D513:D576" si="80">C513*2.54</f>
        <v>22.86</v>
      </c>
      <c r="E513" s="2">
        <f t="shared" ref="E513:E576" si="81">D513/PI()</f>
        <v>7.2765639981614552</v>
      </c>
      <c r="F513" s="2">
        <f t="shared" ref="F513:F576" si="82">C513/PI()</f>
        <v>2.8647889756541161</v>
      </c>
      <c r="G513" s="2">
        <v>4.368055</v>
      </c>
      <c r="H513" s="2">
        <f t="shared" ref="H513:H576" si="83">G513*3.28084</f>
        <v>14.3308895662</v>
      </c>
      <c r="I513" s="2">
        <f>INDEX('Wood Density Lookup'!$B$2:$B$152,MATCH(B513,'Wood Density Lookup'!$A$2:$A$152,0))</f>
        <v>0.75</v>
      </c>
      <c r="J513" s="2">
        <f t="shared" ref="J513:J576" si="84">0.0673*POWER(I513*E513^2*G513,0.976)</f>
        <v>10.315167459257104</v>
      </c>
      <c r="K513" s="2">
        <f t="shared" si="78"/>
        <v>2.8882468885919894</v>
      </c>
      <c r="L513" s="2">
        <f t="shared" si="79"/>
        <v>13.203414347849094</v>
      </c>
      <c r="M513" s="2">
        <f t="shared" ref="M513:M576" si="85">0.725*L513</f>
        <v>9.5724754021905927</v>
      </c>
      <c r="N513" s="2">
        <f t="shared" ref="N513:N576" si="86">0.5*M513</f>
        <v>4.7862377010952963</v>
      </c>
      <c r="O513" s="2">
        <f t="shared" ref="O513:O576" si="87">3.67*N513</f>
        <v>17.565492363019736</v>
      </c>
      <c r="P513" s="2">
        <v>72.549802</v>
      </c>
      <c r="Q513" s="2">
        <v>23.038705</v>
      </c>
    </row>
    <row r="514" spans="1:17" x14ac:dyDescent="0.25">
      <c r="A514" s="2">
        <v>581</v>
      </c>
      <c r="B514" s="2" t="s">
        <v>141</v>
      </c>
      <c r="C514" s="2">
        <v>7</v>
      </c>
      <c r="D514" s="2">
        <f t="shared" si="80"/>
        <v>17.78</v>
      </c>
      <c r="E514" s="2">
        <f t="shared" si="81"/>
        <v>5.6595497763477987</v>
      </c>
      <c r="F514" s="2">
        <f t="shared" si="82"/>
        <v>2.228169203286535</v>
      </c>
      <c r="G514" s="2">
        <v>5.1937230000000003</v>
      </c>
      <c r="H514" s="2">
        <f t="shared" si="83"/>
        <v>17.039774167320001</v>
      </c>
      <c r="I514" s="2">
        <f>INDEX('Wood Density Lookup'!$B$2:$B$152,MATCH(B514,'Wood Density Lookup'!$A$2:$A$152,0))</f>
        <v>0.6</v>
      </c>
      <c r="J514" s="2">
        <f t="shared" si="84"/>
        <v>6.0148972749181313</v>
      </c>
      <c r="K514" s="2">
        <f t="shared" si="78"/>
        <v>1.6841712369770769</v>
      </c>
      <c r="L514" s="2">
        <f t="shared" si="79"/>
        <v>7.6990685118952085</v>
      </c>
      <c r="M514" s="2">
        <f t="shared" si="85"/>
        <v>5.5818246711240258</v>
      </c>
      <c r="N514" s="2">
        <f t="shared" si="86"/>
        <v>2.7909123355620129</v>
      </c>
      <c r="O514" s="2">
        <f t="shared" si="87"/>
        <v>10.242648271512587</v>
      </c>
      <c r="P514" s="2">
        <v>72.549802</v>
      </c>
      <c r="Q514" s="2">
        <v>23.034298</v>
      </c>
    </row>
    <row r="515" spans="1:17" x14ac:dyDescent="0.25">
      <c r="A515" s="2">
        <v>584</v>
      </c>
      <c r="B515" s="2" t="s">
        <v>15</v>
      </c>
      <c r="C515" s="2">
        <v>12</v>
      </c>
      <c r="D515" s="2">
        <f t="shared" si="80"/>
        <v>30.48</v>
      </c>
      <c r="E515" s="2">
        <f t="shared" si="81"/>
        <v>9.7020853308819408</v>
      </c>
      <c r="F515" s="2">
        <f t="shared" si="82"/>
        <v>3.8197186342054881</v>
      </c>
      <c r="G515" s="2">
        <v>2.2577739999999999</v>
      </c>
      <c r="H515" s="2">
        <f t="shared" si="83"/>
        <v>7.4073952501599996</v>
      </c>
      <c r="I515" s="2">
        <f>INDEX('Wood Density Lookup'!$B$2:$B$152,MATCH(B515,'Wood Density Lookup'!$A$2:$A$152,0))</f>
        <v>0.75</v>
      </c>
      <c r="J515" s="2">
        <f t="shared" si="84"/>
        <v>9.497901234811172</v>
      </c>
      <c r="K515" s="2">
        <f t="shared" ref="K515:K578" si="88">0.28*J515</f>
        <v>2.6594123457471284</v>
      </c>
      <c r="L515" s="2">
        <f t="shared" ref="L515:L578" si="89">J515+K515</f>
        <v>12.1573135805583</v>
      </c>
      <c r="M515" s="2">
        <f t="shared" si="85"/>
        <v>8.8140523459047682</v>
      </c>
      <c r="N515" s="2">
        <f t="shared" si="86"/>
        <v>4.4070261729523841</v>
      </c>
      <c r="O515" s="2">
        <f t="shared" si="87"/>
        <v>16.173786054735249</v>
      </c>
      <c r="P515" s="2">
        <v>72.549803999999995</v>
      </c>
      <c r="Q515" s="2">
        <v>23.037102999999998</v>
      </c>
    </row>
    <row r="516" spans="1:17" x14ac:dyDescent="0.25">
      <c r="A516" s="2">
        <v>586</v>
      </c>
      <c r="B516" s="2" t="s">
        <v>114</v>
      </c>
      <c r="C516" s="2">
        <v>27</v>
      </c>
      <c r="D516" s="2">
        <f t="shared" si="80"/>
        <v>68.58</v>
      </c>
      <c r="E516" s="2">
        <f t="shared" si="81"/>
        <v>21.829691994484364</v>
      </c>
      <c r="F516" s="2">
        <f t="shared" si="82"/>
        <v>8.5943669269623477</v>
      </c>
      <c r="G516" s="2">
        <v>9.4107210000000006</v>
      </c>
      <c r="H516" s="2">
        <f t="shared" si="83"/>
        <v>30.875069885640002</v>
      </c>
      <c r="I516" s="2">
        <f>INDEX('Wood Density Lookup'!$B$2:$B$152,MATCH(B516,'Wood Density Lookup'!$A$2:$A$152,0))</f>
        <v>0.55000000000000004</v>
      </c>
      <c r="J516" s="2">
        <f t="shared" si="84"/>
        <v>137.62138641265395</v>
      </c>
      <c r="K516" s="2">
        <f t="shared" si="88"/>
        <v>38.53398819554311</v>
      </c>
      <c r="L516" s="2">
        <f t="shared" si="89"/>
        <v>176.15537460819706</v>
      </c>
      <c r="M516" s="2">
        <f t="shared" si="85"/>
        <v>127.71264659094287</v>
      </c>
      <c r="N516" s="2">
        <f t="shared" si="86"/>
        <v>63.856323295471434</v>
      </c>
      <c r="O516" s="2">
        <f t="shared" si="87"/>
        <v>234.35270649438016</v>
      </c>
      <c r="P516" s="2">
        <v>72.549806000000004</v>
      </c>
      <c r="Q516" s="2">
        <v>23.035589999999999</v>
      </c>
    </row>
    <row r="517" spans="1:17" x14ac:dyDescent="0.25">
      <c r="A517" s="2">
        <v>587</v>
      </c>
      <c r="B517" s="2" t="s">
        <v>97</v>
      </c>
      <c r="C517" s="2">
        <v>2</v>
      </c>
      <c r="D517" s="2">
        <f t="shared" si="80"/>
        <v>5.08</v>
      </c>
      <c r="E517" s="2">
        <f t="shared" si="81"/>
        <v>1.6170142218136567</v>
      </c>
      <c r="F517" s="2">
        <f t="shared" si="82"/>
        <v>0.63661977236758138</v>
      </c>
      <c r="G517" s="2">
        <v>13.302716</v>
      </c>
      <c r="H517" s="2">
        <f t="shared" si="83"/>
        <v>43.644082761440004</v>
      </c>
      <c r="I517" s="2">
        <f>INDEX('Wood Density Lookup'!$B$2:$B$152,MATCH(B517,'Wood Density Lookup'!$A$2:$A$152,0))</f>
        <v>0.65</v>
      </c>
      <c r="J517" s="2">
        <f t="shared" si="84"/>
        <v>1.4118666082306666</v>
      </c>
      <c r="K517" s="2">
        <f t="shared" si="88"/>
        <v>0.39532265030458669</v>
      </c>
      <c r="L517" s="2">
        <f t="shared" si="89"/>
        <v>1.8071892585352534</v>
      </c>
      <c r="M517" s="2">
        <f t="shared" si="85"/>
        <v>1.3102122124380586</v>
      </c>
      <c r="N517" s="2">
        <f t="shared" si="86"/>
        <v>0.65510610621902932</v>
      </c>
      <c r="O517" s="2">
        <f t="shared" si="87"/>
        <v>2.4042394098238375</v>
      </c>
      <c r="P517" s="2">
        <v>72.549806000000004</v>
      </c>
      <c r="Q517" s="2">
        <v>23.035914999999999</v>
      </c>
    </row>
    <row r="518" spans="1:17" x14ac:dyDescent="0.25">
      <c r="A518" s="2">
        <v>588</v>
      </c>
      <c r="B518" s="2" t="s">
        <v>111</v>
      </c>
      <c r="C518" s="2">
        <v>2</v>
      </c>
      <c r="D518" s="2">
        <f t="shared" si="80"/>
        <v>5.08</v>
      </c>
      <c r="E518" s="2">
        <f t="shared" si="81"/>
        <v>1.6170142218136567</v>
      </c>
      <c r="F518" s="2">
        <f t="shared" si="82"/>
        <v>0.63661977236758138</v>
      </c>
      <c r="G518" s="2">
        <v>2.3223099999999999</v>
      </c>
      <c r="H518" s="2">
        <f t="shared" si="83"/>
        <v>7.6191275403999992</v>
      </c>
      <c r="I518" s="2">
        <f>INDEX('Wood Density Lookup'!$B$2:$B$152,MATCH(B518,'Wood Density Lookup'!$A$2:$A$152,0))</f>
        <v>0.4</v>
      </c>
      <c r="J518" s="2">
        <f t="shared" si="84"/>
        <v>0.1600195844622144</v>
      </c>
      <c r="K518" s="2">
        <f t="shared" si="88"/>
        <v>4.4805483649420039E-2</v>
      </c>
      <c r="L518" s="2">
        <f t="shared" si="89"/>
        <v>0.20482506811163442</v>
      </c>
      <c r="M518" s="2">
        <f t="shared" si="85"/>
        <v>0.14849817438093496</v>
      </c>
      <c r="N518" s="2">
        <f t="shared" si="86"/>
        <v>7.424908719046748E-2</v>
      </c>
      <c r="O518" s="2">
        <f t="shared" si="87"/>
        <v>0.27249414998901567</v>
      </c>
      <c r="P518" s="2">
        <v>72.549806000000004</v>
      </c>
      <c r="Q518" s="2">
        <v>23.035461999999999</v>
      </c>
    </row>
    <row r="519" spans="1:17" x14ac:dyDescent="0.25">
      <c r="A519" s="2">
        <v>589</v>
      </c>
      <c r="B519" s="2" t="s">
        <v>15</v>
      </c>
      <c r="C519" s="2">
        <v>29</v>
      </c>
      <c r="D519" s="2">
        <f t="shared" si="80"/>
        <v>73.66</v>
      </c>
      <c r="E519" s="2">
        <f t="shared" si="81"/>
        <v>23.446706216298022</v>
      </c>
      <c r="F519" s="2">
        <f t="shared" si="82"/>
        <v>9.2309866993299305</v>
      </c>
      <c r="G519" s="2">
        <v>10.488156</v>
      </c>
      <c r="H519" s="2">
        <f t="shared" si="83"/>
        <v>34.409961731039999</v>
      </c>
      <c r="I519" s="2">
        <f>INDEX('Wood Density Lookup'!$B$2:$B$152,MATCH(B519,'Wood Density Lookup'!$A$2:$A$152,0))</f>
        <v>0.75</v>
      </c>
      <c r="J519" s="2">
        <f t="shared" si="84"/>
        <v>238.05481581042645</v>
      </c>
      <c r="K519" s="2">
        <f t="shared" si="88"/>
        <v>66.655348426919417</v>
      </c>
      <c r="L519" s="2">
        <f t="shared" si="89"/>
        <v>304.71016423734585</v>
      </c>
      <c r="M519" s="2">
        <f t="shared" si="85"/>
        <v>220.91486907207573</v>
      </c>
      <c r="N519" s="2">
        <f t="shared" si="86"/>
        <v>110.45743453603787</v>
      </c>
      <c r="O519" s="2">
        <f t="shared" si="87"/>
        <v>405.37878474725898</v>
      </c>
      <c r="P519" s="2">
        <v>72.549807000000001</v>
      </c>
      <c r="Q519" s="2">
        <v>23.038391000000001</v>
      </c>
    </row>
    <row r="520" spans="1:17" x14ac:dyDescent="0.25">
      <c r="A520" s="2">
        <v>590</v>
      </c>
      <c r="B520" s="2" t="s">
        <v>15</v>
      </c>
      <c r="C520" s="2">
        <v>30</v>
      </c>
      <c r="D520" s="2">
        <f t="shared" si="80"/>
        <v>76.2</v>
      </c>
      <c r="E520" s="2">
        <f t="shared" si="81"/>
        <v>24.255213327204849</v>
      </c>
      <c r="F520" s="2">
        <f t="shared" si="82"/>
        <v>9.5492965855137211</v>
      </c>
      <c r="G520" s="2">
        <v>10.347023999999999</v>
      </c>
      <c r="H520" s="2">
        <f t="shared" si="83"/>
        <v>33.946930220159999</v>
      </c>
      <c r="I520" s="2">
        <f>INDEX('Wood Density Lookup'!$B$2:$B$152,MATCH(B520,'Wood Density Lookup'!$A$2:$A$152,0))</f>
        <v>0.75</v>
      </c>
      <c r="J520" s="2">
        <f t="shared" si="84"/>
        <v>251.00033165745853</v>
      </c>
      <c r="K520" s="2">
        <f t="shared" si="88"/>
        <v>70.280092864088402</v>
      </c>
      <c r="L520" s="2">
        <f t="shared" si="89"/>
        <v>321.28042452154693</v>
      </c>
      <c r="M520" s="2">
        <f t="shared" si="85"/>
        <v>232.92830777812151</v>
      </c>
      <c r="N520" s="2">
        <f t="shared" si="86"/>
        <v>116.46415388906075</v>
      </c>
      <c r="O520" s="2">
        <f t="shared" si="87"/>
        <v>427.42344477285297</v>
      </c>
      <c r="P520" s="2">
        <v>72.549807999999999</v>
      </c>
      <c r="Q520" s="2">
        <v>23.038613999999999</v>
      </c>
    </row>
    <row r="521" spans="1:17" x14ac:dyDescent="0.25">
      <c r="A521" s="2">
        <v>591</v>
      </c>
      <c r="B521" s="2" t="s">
        <v>140</v>
      </c>
      <c r="C521" s="2">
        <v>6</v>
      </c>
      <c r="D521" s="2">
        <f t="shared" si="80"/>
        <v>15.24</v>
      </c>
      <c r="E521" s="2">
        <f t="shared" si="81"/>
        <v>4.8510426654409704</v>
      </c>
      <c r="F521" s="2">
        <f t="shared" si="82"/>
        <v>1.909859317102744</v>
      </c>
      <c r="G521" s="2">
        <v>5.1482330000000003</v>
      </c>
      <c r="H521" s="2">
        <f t="shared" si="83"/>
        <v>16.890528755720002</v>
      </c>
      <c r="I521" s="2">
        <f>INDEX('Wood Density Lookup'!$B$2:$B$152,MATCH(B521,'Wood Density Lookup'!$A$2:$A$152,0))</f>
        <v>0.6</v>
      </c>
      <c r="J521" s="2">
        <f t="shared" si="84"/>
        <v>4.413866424642821</v>
      </c>
      <c r="K521" s="2">
        <f t="shared" si="88"/>
        <v>1.23588259889999</v>
      </c>
      <c r="L521" s="2">
        <f t="shared" si="89"/>
        <v>5.6497490235428112</v>
      </c>
      <c r="M521" s="2">
        <f t="shared" si="85"/>
        <v>4.0960680420685378</v>
      </c>
      <c r="N521" s="2">
        <f t="shared" si="86"/>
        <v>2.0480340210342689</v>
      </c>
      <c r="O521" s="2">
        <f t="shared" si="87"/>
        <v>7.5162848571957666</v>
      </c>
      <c r="P521" s="2">
        <v>72.549808999999996</v>
      </c>
      <c r="Q521" s="2">
        <v>23.034293999999999</v>
      </c>
    </row>
    <row r="522" spans="1:17" x14ac:dyDescent="0.25">
      <c r="A522" s="2">
        <v>594</v>
      </c>
      <c r="B522" s="2" t="s">
        <v>50</v>
      </c>
      <c r="C522" s="2">
        <v>67</v>
      </c>
      <c r="D522" s="2">
        <f t="shared" si="80"/>
        <v>170.18</v>
      </c>
      <c r="E522" s="2">
        <f t="shared" si="81"/>
        <v>54.169976430757501</v>
      </c>
      <c r="F522" s="2">
        <f t="shared" si="82"/>
        <v>21.326762374313976</v>
      </c>
      <c r="G522" s="2">
        <v>8.3279770000000006</v>
      </c>
      <c r="H522" s="2">
        <f t="shared" si="83"/>
        <v>27.32276006068</v>
      </c>
      <c r="I522" s="2">
        <f>INDEX('Wood Density Lookup'!$B$2:$B$152,MATCH(B522,'Wood Density Lookup'!$A$2:$A$152,0))</f>
        <v>0.5</v>
      </c>
      <c r="J522" s="2">
        <f t="shared" si="84"/>
        <v>656.07461664344794</v>
      </c>
      <c r="K522" s="2">
        <f t="shared" si="88"/>
        <v>183.70089266016544</v>
      </c>
      <c r="L522" s="2">
        <f t="shared" si="89"/>
        <v>839.77550930361338</v>
      </c>
      <c r="M522" s="2">
        <f t="shared" si="85"/>
        <v>608.83724424511968</v>
      </c>
      <c r="N522" s="2">
        <f t="shared" si="86"/>
        <v>304.41862212255984</v>
      </c>
      <c r="O522" s="2">
        <f t="shared" si="87"/>
        <v>1117.2163431897945</v>
      </c>
      <c r="P522" s="2">
        <v>72.549812000000003</v>
      </c>
      <c r="Q522" s="2">
        <v>23.034901999999999</v>
      </c>
    </row>
    <row r="523" spans="1:17" x14ac:dyDescent="0.25">
      <c r="A523" s="2">
        <v>595</v>
      </c>
      <c r="B523" s="2" t="s">
        <v>111</v>
      </c>
      <c r="C523" s="2">
        <v>12</v>
      </c>
      <c r="D523" s="2">
        <f t="shared" si="80"/>
        <v>30.48</v>
      </c>
      <c r="E523" s="2">
        <f t="shared" si="81"/>
        <v>9.7020853308819408</v>
      </c>
      <c r="F523" s="2">
        <f t="shared" si="82"/>
        <v>3.8197186342054881</v>
      </c>
      <c r="G523" s="2">
        <v>4.2743099999999998</v>
      </c>
      <c r="H523" s="2">
        <f t="shared" si="83"/>
        <v>14.023327220399999</v>
      </c>
      <c r="I523" s="2">
        <f>INDEX('Wood Density Lookup'!$B$2:$B$152,MATCH(B523,'Wood Density Lookup'!$A$2:$A$152,0))</f>
        <v>0.4</v>
      </c>
      <c r="J523" s="2">
        <f t="shared" si="84"/>
        <v>9.5876352560168705</v>
      </c>
      <c r="K523" s="2">
        <f t="shared" si="88"/>
        <v>2.6845378716847241</v>
      </c>
      <c r="L523" s="2">
        <f t="shared" si="89"/>
        <v>12.272173127701596</v>
      </c>
      <c r="M523" s="2">
        <f t="shared" si="85"/>
        <v>8.8973255175836563</v>
      </c>
      <c r="N523" s="2">
        <f t="shared" si="86"/>
        <v>4.4486627587918282</v>
      </c>
      <c r="O523" s="2">
        <f t="shared" si="87"/>
        <v>16.326592324766008</v>
      </c>
      <c r="P523" s="2">
        <v>72.549812000000003</v>
      </c>
      <c r="Q523" s="2">
        <v>23.034967000000002</v>
      </c>
    </row>
    <row r="524" spans="1:17" x14ac:dyDescent="0.25">
      <c r="A524" s="2">
        <v>596</v>
      </c>
      <c r="B524" s="2" t="s">
        <v>141</v>
      </c>
      <c r="C524" s="2">
        <v>7</v>
      </c>
      <c r="D524" s="2">
        <f t="shared" si="80"/>
        <v>17.78</v>
      </c>
      <c r="E524" s="2">
        <f t="shared" si="81"/>
        <v>5.6595497763477987</v>
      </c>
      <c r="F524" s="2">
        <f t="shared" si="82"/>
        <v>2.228169203286535</v>
      </c>
      <c r="G524" s="2">
        <v>4.8304280000000004</v>
      </c>
      <c r="H524" s="2">
        <f t="shared" si="83"/>
        <v>15.847861399520001</v>
      </c>
      <c r="I524" s="2">
        <f>INDEX('Wood Density Lookup'!$B$2:$B$152,MATCH(B524,'Wood Density Lookup'!$A$2:$A$152,0))</f>
        <v>0.6</v>
      </c>
      <c r="J524" s="2">
        <f t="shared" si="84"/>
        <v>5.603906498515161</v>
      </c>
      <c r="K524" s="2">
        <f t="shared" si="88"/>
        <v>1.5690938195842452</v>
      </c>
      <c r="L524" s="2">
        <f t="shared" si="89"/>
        <v>7.1730003180994064</v>
      </c>
      <c r="M524" s="2">
        <f t="shared" si="85"/>
        <v>5.2004252306220691</v>
      </c>
      <c r="N524" s="2">
        <f t="shared" si="86"/>
        <v>2.6002126153110345</v>
      </c>
      <c r="O524" s="2">
        <f t="shared" si="87"/>
        <v>9.5427802981914969</v>
      </c>
      <c r="P524" s="2">
        <v>72.549813</v>
      </c>
      <c r="Q524" s="2">
        <v>23.034303000000001</v>
      </c>
    </row>
    <row r="525" spans="1:17" x14ac:dyDescent="0.25">
      <c r="A525" s="2">
        <v>597</v>
      </c>
      <c r="B525" s="2" t="s">
        <v>93</v>
      </c>
      <c r="C525" s="2">
        <v>14</v>
      </c>
      <c r="D525" s="2">
        <f t="shared" si="80"/>
        <v>35.56</v>
      </c>
      <c r="E525" s="2">
        <f t="shared" si="81"/>
        <v>11.319099552695597</v>
      </c>
      <c r="F525" s="2">
        <f t="shared" si="82"/>
        <v>4.45633840657307</v>
      </c>
      <c r="G525" s="2">
        <v>5.8616510000000002</v>
      </c>
      <c r="H525" s="2">
        <f t="shared" si="83"/>
        <v>19.231139066840001</v>
      </c>
      <c r="I525" s="2">
        <f>INDEX('Wood Density Lookup'!$B$2:$B$152,MATCH(B525,'Wood Density Lookup'!$A$2:$A$152,0))</f>
        <v>0.9</v>
      </c>
      <c r="J525" s="2">
        <f t="shared" si="84"/>
        <v>38.90308307856656</v>
      </c>
      <c r="K525" s="2">
        <f t="shared" si="88"/>
        <v>10.892863261998638</v>
      </c>
      <c r="L525" s="2">
        <f t="shared" si="89"/>
        <v>49.795946340565195</v>
      </c>
      <c r="M525" s="2">
        <f t="shared" si="85"/>
        <v>36.102061096909765</v>
      </c>
      <c r="N525" s="2">
        <f t="shared" si="86"/>
        <v>18.051030548454882</v>
      </c>
      <c r="O525" s="2">
        <f t="shared" si="87"/>
        <v>66.24728211282941</v>
      </c>
      <c r="P525" s="2">
        <v>72.549813999999998</v>
      </c>
      <c r="Q525" s="2">
        <v>23.036671999999999</v>
      </c>
    </row>
    <row r="526" spans="1:17" x14ac:dyDescent="0.25">
      <c r="A526" s="2">
        <v>598</v>
      </c>
      <c r="B526" s="2" t="s">
        <v>97</v>
      </c>
      <c r="C526" s="2">
        <v>3</v>
      </c>
      <c r="D526" s="2">
        <f t="shared" si="80"/>
        <v>7.62</v>
      </c>
      <c r="E526" s="2">
        <f t="shared" si="81"/>
        <v>2.4255213327204852</v>
      </c>
      <c r="F526" s="2">
        <f t="shared" si="82"/>
        <v>0.95492965855137202</v>
      </c>
      <c r="G526" s="2">
        <v>13.958252999999999</v>
      </c>
      <c r="H526" s="2">
        <f t="shared" si="83"/>
        <v>45.79479477252</v>
      </c>
      <c r="I526" s="2">
        <f>INDEX('Wood Density Lookup'!$B$2:$B$152,MATCH(B526,'Wood Density Lookup'!$A$2:$A$152,0))</f>
        <v>0.65</v>
      </c>
      <c r="J526" s="2">
        <f t="shared" si="84"/>
        <v>3.2652254522280426</v>
      </c>
      <c r="K526" s="2">
        <f t="shared" si="88"/>
        <v>0.91426312662385201</v>
      </c>
      <c r="L526" s="2">
        <f t="shared" si="89"/>
        <v>4.1794885788518945</v>
      </c>
      <c r="M526" s="2">
        <f t="shared" si="85"/>
        <v>3.0301292196676233</v>
      </c>
      <c r="N526" s="2">
        <f t="shared" si="86"/>
        <v>1.5150646098338116</v>
      </c>
      <c r="O526" s="2">
        <f t="shared" si="87"/>
        <v>5.5602871180900886</v>
      </c>
      <c r="P526" s="2">
        <v>72.549814999999995</v>
      </c>
      <c r="Q526" s="2">
        <v>23.035916</v>
      </c>
    </row>
    <row r="527" spans="1:17" x14ac:dyDescent="0.25">
      <c r="A527" s="2">
        <v>599</v>
      </c>
      <c r="B527" s="2" t="s">
        <v>140</v>
      </c>
      <c r="C527" s="2">
        <v>7</v>
      </c>
      <c r="D527" s="2">
        <f t="shared" si="80"/>
        <v>17.78</v>
      </c>
      <c r="E527" s="2">
        <f t="shared" si="81"/>
        <v>5.6595497763477987</v>
      </c>
      <c r="F527" s="2">
        <f t="shared" si="82"/>
        <v>2.228169203286535</v>
      </c>
      <c r="G527" s="2">
        <v>4.8033109999999999</v>
      </c>
      <c r="H527" s="2">
        <f t="shared" si="83"/>
        <v>15.75889486124</v>
      </c>
      <c r="I527" s="2">
        <f>INDEX('Wood Density Lookup'!$B$2:$B$152,MATCH(B527,'Wood Density Lookup'!$A$2:$A$152,0))</f>
        <v>0.6</v>
      </c>
      <c r="J527" s="2">
        <f t="shared" si="84"/>
        <v>5.5732003010965476</v>
      </c>
      <c r="K527" s="2">
        <f t="shared" si="88"/>
        <v>1.5604960843070335</v>
      </c>
      <c r="L527" s="2">
        <f t="shared" si="89"/>
        <v>7.1336963854035815</v>
      </c>
      <c r="M527" s="2">
        <f t="shared" si="85"/>
        <v>5.1719298794175961</v>
      </c>
      <c r="N527" s="2">
        <f t="shared" si="86"/>
        <v>2.585964939708798</v>
      </c>
      <c r="O527" s="2">
        <f t="shared" si="87"/>
        <v>9.490491328731288</v>
      </c>
      <c r="P527" s="2">
        <v>72.549817000000004</v>
      </c>
      <c r="Q527" s="2">
        <v>23.034296999999999</v>
      </c>
    </row>
    <row r="528" spans="1:17" x14ac:dyDescent="0.25">
      <c r="A528" s="2">
        <v>602</v>
      </c>
      <c r="B528" s="2" t="s">
        <v>140</v>
      </c>
      <c r="C528" s="2">
        <v>5</v>
      </c>
      <c r="D528" s="2">
        <f t="shared" si="80"/>
        <v>12.7</v>
      </c>
      <c r="E528" s="2">
        <f t="shared" si="81"/>
        <v>4.0425355545341413</v>
      </c>
      <c r="F528" s="2">
        <f t="shared" si="82"/>
        <v>1.5915494309189535</v>
      </c>
      <c r="G528" s="2">
        <v>4.3726719999999997</v>
      </c>
      <c r="H528" s="2">
        <f t="shared" si="83"/>
        <v>14.346037204479998</v>
      </c>
      <c r="I528" s="2">
        <f>INDEX('Wood Density Lookup'!$B$2:$B$152,MATCH(B528,'Wood Density Lookup'!$A$2:$A$152,0))</f>
        <v>0.6</v>
      </c>
      <c r="J528" s="2">
        <f t="shared" si="84"/>
        <v>2.6366226120087619</v>
      </c>
      <c r="K528" s="2">
        <f t="shared" si="88"/>
        <v>0.73825433136245344</v>
      </c>
      <c r="L528" s="2">
        <f t="shared" si="89"/>
        <v>3.3748769433712154</v>
      </c>
      <c r="M528" s="2">
        <f t="shared" si="85"/>
        <v>2.4467857839441312</v>
      </c>
      <c r="N528" s="2">
        <f t="shared" si="86"/>
        <v>1.2233928919720656</v>
      </c>
      <c r="O528" s="2">
        <f t="shared" si="87"/>
        <v>4.4898519135374801</v>
      </c>
      <c r="P528" s="2">
        <v>72.549820999999994</v>
      </c>
      <c r="Q528" s="2">
        <v>23.034306000000001</v>
      </c>
    </row>
    <row r="529" spans="1:17" x14ac:dyDescent="0.25">
      <c r="A529" s="2">
        <v>603</v>
      </c>
      <c r="B529" s="2" t="s">
        <v>111</v>
      </c>
      <c r="C529" s="2">
        <v>1</v>
      </c>
      <c r="D529" s="2">
        <f t="shared" si="80"/>
        <v>2.54</v>
      </c>
      <c r="E529" s="2">
        <f t="shared" si="81"/>
        <v>0.80850711090682836</v>
      </c>
      <c r="F529" s="2">
        <f t="shared" si="82"/>
        <v>0.31830988618379069</v>
      </c>
      <c r="G529" s="2">
        <v>2.548295</v>
      </c>
      <c r="H529" s="2">
        <f t="shared" si="83"/>
        <v>8.3605481677999993</v>
      </c>
      <c r="I529" s="2">
        <f>INDEX('Wood Density Lookup'!$B$2:$B$152,MATCH(B529,'Wood Density Lookup'!$A$2:$A$152,0))</f>
        <v>0.4</v>
      </c>
      <c r="J529" s="2">
        <f t="shared" si="84"/>
        <v>4.5281852774797175E-2</v>
      </c>
      <c r="K529" s="2">
        <f t="shared" si="88"/>
        <v>1.267891877694321E-2</v>
      </c>
      <c r="L529" s="2">
        <f t="shared" si="89"/>
        <v>5.7960771551740384E-2</v>
      </c>
      <c r="M529" s="2">
        <f t="shared" si="85"/>
        <v>4.2021559375011779E-2</v>
      </c>
      <c r="N529" s="2">
        <f t="shared" si="86"/>
        <v>2.1010779687505889E-2</v>
      </c>
      <c r="O529" s="2">
        <f t="shared" si="87"/>
        <v>7.7109561453146611E-2</v>
      </c>
      <c r="P529" s="2">
        <v>72.549823000000004</v>
      </c>
      <c r="Q529" s="2">
        <v>23.035475000000002</v>
      </c>
    </row>
    <row r="530" spans="1:17" x14ac:dyDescent="0.25">
      <c r="A530" s="2">
        <v>604</v>
      </c>
      <c r="B530" s="2" t="s">
        <v>3</v>
      </c>
      <c r="C530" s="2">
        <v>11</v>
      </c>
      <c r="D530" s="2">
        <f t="shared" si="80"/>
        <v>27.94</v>
      </c>
      <c r="E530" s="2">
        <f t="shared" si="81"/>
        <v>8.8935782199751117</v>
      </c>
      <c r="F530" s="2">
        <f t="shared" si="82"/>
        <v>3.5014087480216975</v>
      </c>
      <c r="G530" s="2">
        <v>10.467423999999999</v>
      </c>
      <c r="H530" s="2">
        <f t="shared" si="83"/>
        <v>34.341943356159994</v>
      </c>
      <c r="I530" s="2">
        <f>INDEX('Wood Density Lookup'!$B$2:$B$152,MATCH(B530,'Wood Density Lookup'!$A$2:$A$152,0))</f>
        <v>0.62</v>
      </c>
      <c r="J530" s="2">
        <f t="shared" si="84"/>
        <v>29.740646070711179</v>
      </c>
      <c r="K530" s="2">
        <f t="shared" si="88"/>
        <v>8.327380899799131</v>
      </c>
      <c r="L530" s="2">
        <f t="shared" si="89"/>
        <v>38.06802697051031</v>
      </c>
      <c r="M530" s="2">
        <f t="shared" si="85"/>
        <v>27.599319553619974</v>
      </c>
      <c r="N530" s="2">
        <f t="shared" si="86"/>
        <v>13.799659776809987</v>
      </c>
      <c r="O530" s="2">
        <f t="shared" si="87"/>
        <v>50.64475138089265</v>
      </c>
      <c r="P530" s="2">
        <v>72.549824000000001</v>
      </c>
      <c r="Q530" s="2">
        <v>23.035572999999999</v>
      </c>
    </row>
    <row r="531" spans="1:17" x14ac:dyDescent="0.25">
      <c r="A531" s="2">
        <v>605</v>
      </c>
      <c r="B531" s="2" t="s">
        <v>97</v>
      </c>
      <c r="C531" s="2">
        <v>5</v>
      </c>
      <c r="D531" s="2">
        <f t="shared" si="80"/>
        <v>12.7</v>
      </c>
      <c r="E531" s="2">
        <f t="shared" si="81"/>
        <v>4.0425355545341413</v>
      </c>
      <c r="F531" s="2">
        <f t="shared" si="82"/>
        <v>1.5915494309189535</v>
      </c>
      <c r="G531" s="2">
        <v>3.0479370000000001</v>
      </c>
      <c r="H531" s="2">
        <f t="shared" si="83"/>
        <v>9.9997936270800007</v>
      </c>
      <c r="I531" s="2">
        <f>INDEX('Wood Density Lookup'!$B$2:$B$152,MATCH(B531,'Wood Density Lookup'!$A$2:$A$152,0))</f>
        <v>0.65</v>
      </c>
      <c r="J531" s="2">
        <f t="shared" si="84"/>
        <v>2.0044565862202286</v>
      </c>
      <c r="K531" s="2">
        <f t="shared" si="88"/>
        <v>0.56124784414166407</v>
      </c>
      <c r="L531" s="2">
        <f t="shared" si="89"/>
        <v>2.5657044303618926</v>
      </c>
      <c r="M531" s="2">
        <f t="shared" si="85"/>
        <v>1.860135712012372</v>
      </c>
      <c r="N531" s="2">
        <f t="shared" si="86"/>
        <v>0.93006785600618602</v>
      </c>
      <c r="O531" s="2">
        <f t="shared" si="87"/>
        <v>3.4133490315427024</v>
      </c>
      <c r="P531" s="2">
        <v>72.549825999999996</v>
      </c>
      <c r="Q531" s="2">
        <v>23.035917999999999</v>
      </c>
    </row>
    <row r="532" spans="1:17" x14ac:dyDescent="0.25">
      <c r="A532" s="2">
        <v>606</v>
      </c>
      <c r="B532" s="2" t="s">
        <v>140</v>
      </c>
      <c r="C532" s="2">
        <v>6</v>
      </c>
      <c r="D532" s="2">
        <f t="shared" si="80"/>
        <v>15.24</v>
      </c>
      <c r="E532" s="2">
        <f t="shared" si="81"/>
        <v>4.8510426654409704</v>
      </c>
      <c r="F532" s="2">
        <f t="shared" si="82"/>
        <v>1.909859317102744</v>
      </c>
      <c r="G532" s="2">
        <v>5.6717550000000001</v>
      </c>
      <c r="H532" s="2">
        <f t="shared" si="83"/>
        <v>18.608120674199998</v>
      </c>
      <c r="I532" s="2">
        <f>INDEX('Wood Density Lookup'!$B$2:$B$152,MATCH(B532,'Wood Density Lookup'!$A$2:$A$152,0))</f>
        <v>0.6</v>
      </c>
      <c r="J532" s="2">
        <f t="shared" si="84"/>
        <v>4.851421764008145</v>
      </c>
      <c r="K532" s="2">
        <f t="shared" si="88"/>
        <v>1.3583980939222806</v>
      </c>
      <c r="L532" s="2">
        <f t="shared" si="89"/>
        <v>6.2098198579304258</v>
      </c>
      <c r="M532" s="2">
        <f t="shared" si="85"/>
        <v>4.502119396999559</v>
      </c>
      <c r="N532" s="2">
        <f t="shared" si="86"/>
        <v>2.2510596984997795</v>
      </c>
      <c r="O532" s="2">
        <f t="shared" si="87"/>
        <v>8.2613890934941914</v>
      </c>
      <c r="P532" s="2">
        <v>72.549825999999996</v>
      </c>
      <c r="Q532" s="2">
        <v>23.034300000000002</v>
      </c>
    </row>
    <row r="533" spans="1:17" x14ac:dyDescent="0.25">
      <c r="A533" s="2">
        <v>607</v>
      </c>
      <c r="B533" s="2" t="s">
        <v>93</v>
      </c>
      <c r="C533" s="2">
        <v>29</v>
      </c>
      <c r="D533" s="2">
        <f t="shared" si="80"/>
        <v>73.66</v>
      </c>
      <c r="E533" s="2">
        <f t="shared" si="81"/>
        <v>23.446706216298022</v>
      </c>
      <c r="F533" s="2">
        <f t="shared" si="82"/>
        <v>9.2309866993299305</v>
      </c>
      <c r="G533" s="2">
        <v>11.627426</v>
      </c>
      <c r="H533" s="2">
        <f t="shared" si="83"/>
        <v>38.147724317840002</v>
      </c>
      <c r="I533" s="2">
        <f>INDEX('Wood Density Lookup'!$B$2:$B$152,MATCH(B533,'Wood Density Lookup'!$A$2:$A$152,0))</f>
        <v>0.9</v>
      </c>
      <c r="J533" s="2">
        <f t="shared" si="84"/>
        <v>314.53391952721665</v>
      </c>
      <c r="K533" s="2">
        <f t="shared" si="88"/>
        <v>88.069497467620678</v>
      </c>
      <c r="L533" s="2">
        <f t="shared" si="89"/>
        <v>402.60341699483735</v>
      </c>
      <c r="M533" s="2">
        <f t="shared" si="85"/>
        <v>291.88747732125705</v>
      </c>
      <c r="N533" s="2">
        <f t="shared" si="86"/>
        <v>145.94373866062853</v>
      </c>
      <c r="O533" s="2">
        <f t="shared" si="87"/>
        <v>535.61352088450667</v>
      </c>
      <c r="P533" s="2">
        <v>72.549828000000005</v>
      </c>
      <c r="Q533" s="2">
        <v>23.035609999999998</v>
      </c>
    </row>
    <row r="534" spans="1:17" x14ac:dyDescent="0.25">
      <c r="A534" s="2">
        <v>608</v>
      </c>
      <c r="B534" s="2" t="s">
        <v>140</v>
      </c>
      <c r="C534" s="2">
        <v>3</v>
      </c>
      <c r="D534" s="2">
        <f t="shared" si="80"/>
        <v>7.62</v>
      </c>
      <c r="E534" s="2">
        <f t="shared" si="81"/>
        <v>2.4255213327204852</v>
      </c>
      <c r="F534" s="2">
        <f t="shared" si="82"/>
        <v>0.95492965855137202</v>
      </c>
      <c r="G534" s="2">
        <v>4.1542690000000002</v>
      </c>
      <c r="H534" s="2">
        <f t="shared" si="83"/>
        <v>13.62949190596</v>
      </c>
      <c r="I534" s="2">
        <f>INDEX('Wood Density Lookup'!$B$2:$B$152,MATCH(B534,'Wood Density Lookup'!$A$2:$A$152,0))</f>
        <v>0.6</v>
      </c>
      <c r="J534" s="2">
        <f t="shared" si="84"/>
        <v>0.9252966316981176</v>
      </c>
      <c r="K534" s="2">
        <f t="shared" si="88"/>
        <v>0.25908305687547295</v>
      </c>
      <c r="L534" s="2">
        <f t="shared" si="89"/>
        <v>1.1843796885735904</v>
      </c>
      <c r="M534" s="2">
        <f t="shared" si="85"/>
        <v>0.85867527421585299</v>
      </c>
      <c r="N534" s="2">
        <f t="shared" si="86"/>
        <v>0.4293376371079265</v>
      </c>
      <c r="O534" s="2">
        <f t="shared" si="87"/>
        <v>1.5756691281860902</v>
      </c>
      <c r="P534" s="2">
        <v>72.549830999999998</v>
      </c>
      <c r="Q534" s="2">
        <v>23.034313000000001</v>
      </c>
    </row>
    <row r="535" spans="1:17" x14ac:dyDescent="0.25">
      <c r="A535" s="2">
        <v>610</v>
      </c>
      <c r="B535" s="2" t="s">
        <v>25</v>
      </c>
      <c r="C535" s="2">
        <v>45</v>
      </c>
      <c r="D535" s="2">
        <f t="shared" si="80"/>
        <v>114.3</v>
      </c>
      <c r="E535" s="2">
        <f t="shared" si="81"/>
        <v>36.382819990807278</v>
      </c>
      <c r="F535" s="2">
        <f t="shared" si="82"/>
        <v>14.323944878270581</v>
      </c>
      <c r="G535" s="2">
        <v>14.813502</v>
      </c>
      <c r="H535" s="2">
        <f t="shared" si="83"/>
        <v>48.600729901679998</v>
      </c>
      <c r="I535" s="2">
        <f>INDEX('Wood Density Lookup'!$B$2:$B$152,MATCH(B535,'Wood Density Lookup'!$A$2:$A$152,0))</f>
        <v>0.65</v>
      </c>
      <c r="J535" s="2">
        <f t="shared" si="84"/>
        <v>683.67570197476971</v>
      </c>
      <c r="K535" s="2">
        <f t="shared" si="88"/>
        <v>191.42919655293554</v>
      </c>
      <c r="L535" s="2">
        <f t="shared" si="89"/>
        <v>875.10489852770525</v>
      </c>
      <c r="M535" s="2">
        <f t="shared" si="85"/>
        <v>634.45105143258627</v>
      </c>
      <c r="N535" s="2">
        <f t="shared" si="86"/>
        <v>317.22552571629313</v>
      </c>
      <c r="O535" s="2">
        <f t="shared" si="87"/>
        <v>1164.2176793787958</v>
      </c>
      <c r="P535" s="2">
        <v>72.549833000000007</v>
      </c>
      <c r="Q535" s="2">
        <v>23.03575</v>
      </c>
    </row>
    <row r="536" spans="1:17" x14ac:dyDescent="0.25">
      <c r="A536" s="2">
        <v>611</v>
      </c>
      <c r="B536" s="2" t="s">
        <v>24</v>
      </c>
      <c r="C536" s="2">
        <v>34</v>
      </c>
      <c r="D536" s="2">
        <f t="shared" si="80"/>
        <v>86.36</v>
      </c>
      <c r="E536" s="2">
        <f t="shared" si="81"/>
        <v>27.489241770832162</v>
      </c>
      <c r="F536" s="2">
        <f t="shared" si="82"/>
        <v>10.822536130248883</v>
      </c>
      <c r="G536" s="2">
        <v>6.3778009999999998</v>
      </c>
      <c r="H536" s="2">
        <f t="shared" si="83"/>
        <v>20.92454463284</v>
      </c>
      <c r="I536" s="2">
        <f>INDEX('Wood Density Lookup'!$B$2:$B$152,MATCH(B536,'Wood Density Lookup'!$A$2:$A$152,0))</f>
        <v>0.55000000000000004</v>
      </c>
      <c r="J536" s="2">
        <f t="shared" si="84"/>
        <v>147.64325787505439</v>
      </c>
      <c r="K536" s="2">
        <f t="shared" si="88"/>
        <v>41.340112205015231</v>
      </c>
      <c r="L536" s="2">
        <f t="shared" si="89"/>
        <v>188.98337008006962</v>
      </c>
      <c r="M536" s="2">
        <f t="shared" si="85"/>
        <v>137.01294330805047</v>
      </c>
      <c r="N536" s="2">
        <f t="shared" si="86"/>
        <v>68.506471654025233</v>
      </c>
      <c r="O536" s="2">
        <f t="shared" si="87"/>
        <v>251.41875097027261</v>
      </c>
      <c r="P536" s="2">
        <v>72.549834000000004</v>
      </c>
      <c r="Q536" s="2">
        <v>23.036045999999999</v>
      </c>
    </row>
    <row r="537" spans="1:17" x14ac:dyDescent="0.25">
      <c r="A537" s="2">
        <v>612</v>
      </c>
      <c r="B537" s="2" t="s">
        <v>114</v>
      </c>
      <c r="C537" s="2">
        <v>42</v>
      </c>
      <c r="D537" s="2">
        <f t="shared" si="80"/>
        <v>106.68</v>
      </c>
      <c r="E537" s="2">
        <f t="shared" si="81"/>
        <v>33.957298658086792</v>
      </c>
      <c r="F537" s="2">
        <f t="shared" si="82"/>
        <v>13.369015219719209</v>
      </c>
      <c r="G537" s="2">
        <v>13.465088</v>
      </c>
      <c r="H537" s="2">
        <f t="shared" si="83"/>
        <v>44.17679931392</v>
      </c>
      <c r="I537" s="2">
        <f>INDEX('Wood Density Lookup'!$B$2:$B$152,MATCH(B537,'Wood Density Lookup'!$A$2:$A$152,0))</f>
        <v>0.55000000000000004</v>
      </c>
      <c r="J537" s="2">
        <f t="shared" si="84"/>
        <v>462.48611932748372</v>
      </c>
      <c r="K537" s="2">
        <f t="shared" si="88"/>
        <v>129.49611341169546</v>
      </c>
      <c r="L537" s="2">
        <f t="shared" si="89"/>
        <v>591.98223273917915</v>
      </c>
      <c r="M537" s="2">
        <f t="shared" si="85"/>
        <v>429.18711873590485</v>
      </c>
      <c r="N537" s="2">
        <f t="shared" si="86"/>
        <v>214.59355936795242</v>
      </c>
      <c r="O537" s="2">
        <f t="shared" si="87"/>
        <v>787.5583628803854</v>
      </c>
      <c r="P537" s="2">
        <v>72.549835000000002</v>
      </c>
      <c r="Q537" s="2">
        <v>23.034638999999999</v>
      </c>
    </row>
    <row r="538" spans="1:17" x14ac:dyDescent="0.25">
      <c r="A538" s="2">
        <v>613</v>
      </c>
      <c r="B538" s="2" t="s">
        <v>114</v>
      </c>
      <c r="C538" s="2">
        <v>27</v>
      </c>
      <c r="D538" s="2">
        <f t="shared" si="80"/>
        <v>68.58</v>
      </c>
      <c r="E538" s="2">
        <f t="shared" si="81"/>
        <v>21.829691994484364</v>
      </c>
      <c r="F538" s="2">
        <f t="shared" si="82"/>
        <v>8.5943669269623477</v>
      </c>
      <c r="G538" s="2">
        <v>6.4325989999999997</v>
      </c>
      <c r="H538" s="2">
        <f t="shared" si="83"/>
        <v>21.10432810316</v>
      </c>
      <c r="I538" s="2">
        <f>INDEX('Wood Density Lookup'!$B$2:$B$152,MATCH(B538,'Wood Density Lookup'!$A$2:$A$152,0))</f>
        <v>0.55000000000000004</v>
      </c>
      <c r="J538" s="2">
        <f t="shared" si="84"/>
        <v>94.932558054847021</v>
      </c>
      <c r="K538" s="2">
        <f t="shared" si="88"/>
        <v>26.58111625535717</v>
      </c>
      <c r="L538" s="2">
        <f t="shared" si="89"/>
        <v>121.51367431020419</v>
      </c>
      <c r="M538" s="2">
        <f t="shared" si="85"/>
        <v>88.097413874898038</v>
      </c>
      <c r="N538" s="2">
        <f t="shared" si="86"/>
        <v>44.048706937449019</v>
      </c>
      <c r="O538" s="2">
        <f t="shared" si="87"/>
        <v>161.6587544604379</v>
      </c>
      <c r="P538" s="2">
        <v>72.549835999999999</v>
      </c>
      <c r="Q538" s="2">
        <v>23.035250000000001</v>
      </c>
    </row>
    <row r="539" spans="1:17" x14ac:dyDescent="0.25">
      <c r="A539" s="2">
        <v>614</v>
      </c>
      <c r="B539" s="2" t="s">
        <v>111</v>
      </c>
      <c r="C539" s="2">
        <v>10</v>
      </c>
      <c r="D539" s="2">
        <f t="shared" si="80"/>
        <v>25.4</v>
      </c>
      <c r="E539" s="2">
        <f t="shared" si="81"/>
        <v>8.0850711090682825</v>
      </c>
      <c r="F539" s="2">
        <f t="shared" si="82"/>
        <v>3.183098861837907</v>
      </c>
      <c r="G539" s="2">
        <v>5.4214710000000004</v>
      </c>
      <c r="H539" s="2">
        <f t="shared" si="83"/>
        <v>17.786978915640002</v>
      </c>
      <c r="I539" s="2">
        <f>INDEX('Wood Density Lookup'!$B$2:$B$152,MATCH(B539,'Wood Density Lookup'!$A$2:$A$152,0))</f>
        <v>0.4</v>
      </c>
      <c r="J539" s="2">
        <f t="shared" si="84"/>
        <v>8.4707683800220615</v>
      </c>
      <c r="K539" s="2">
        <f t="shared" si="88"/>
        <v>2.3718151464061776</v>
      </c>
      <c r="L539" s="2">
        <f t="shared" si="89"/>
        <v>10.842583526428239</v>
      </c>
      <c r="M539" s="2">
        <f t="shared" si="85"/>
        <v>7.8608730566604734</v>
      </c>
      <c r="N539" s="2">
        <f t="shared" si="86"/>
        <v>3.9304365283302367</v>
      </c>
      <c r="O539" s="2">
        <f t="shared" si="87"/>
        <v>14.424702058971969</v>
      </c>
      <c r="P539" s="2">
        <v>72.549836999999997</v>
      </c>
      <c r="Q539" s="2">
        <v>23.034973999999998</v>
      </c>
    </row>
    <row r="540" spans="1:17" x14ac:dyDescent="0.25">
      <c r="A540" s="2">
        <v>615</v>
      </c>
      <c r="B540" s="2" t="s">
        <v>15</v>
      </c>
      <c r="C540" s="2">
        <v>30</v>
      </c>
      <c r="D540" s="2">
        <f t="shared" si="80"/>
        <v>76.2</v>
      </c>
      <c r="E540" s="2">
        <f t="shared" si="81"/>
        <v>24.255213327204849</v>
      </c>
      <c r="F540" s="2">
        <f t="shared" si="82"/>
        <v>9.5492965855137211</v>
      </c>
      <c r="G540" s="2">
        <v>11.196078</v>
      </c>
      <c r="H540" s="2">
        <f t="shared" si="83"/>
        <v>36.732540545520003</v>
      </c>
      <c r="I540" s="2">
        <f>INDEX('Wood Density Lookup'!$B$2:$B$152,MATCH(B540,'Wood Density Lookup'!$A$2:$A$152,0))</f>
        <v>0.75</v>
      </c>
      <c r="J540" s="2">
        <f t="shared" si="84"/>
        <v>271.08328718121084</v>
      </c>
      <c r="K540" s="2">
        <f t="shared" si="88"/>
        <v>75.903320410739042</v>
      </c>
      <c r="L540" s="2">
        <f t="shared" si="89"/>
        <v>346.98660759194991</v>
      </c>
      <c r="M540" s="2">
        <f t="shared" si="85"/>
        <v>251.56529050416367</v>
      </c>
      <c r="N540" s="2">
        <f t="shared" si="86"/>
        <v>125.78264525208183</v>
      </c>
      <c r="O540" s="2">
        <f t="shared" si="87"/>
        <v>461.62230807514032</v>
      </c>
      <c r="P540" s="2">
        <v>72.549837999999994</v>
      </c>
      <c r="Q540" s="2">
        <v>23.037078999999999</v>
      </c>
    </row>
    <row r="541" spans="1:17" x14ac:dyDescent="0.25">
      <c r="A541" s="2">
        <v>616</v>
      </c>
      <c r="B541" s="2" t="s">
        <v>97</v>
      </c>
      <c r="C541" s="2">
        <v>4</v>
      </c>
      <c r="D541" s="2">
        <f t="shared" si="80"/>
        <v>10.16</v>
      </c>
      <c r="E541" s="2">
        <f t="shared" si="81"/>
        <v>3.2340284436273135</v>
      </c>
      <c r="F541" s="2">
        <f t="shared" si="82"/>
        <v>1.2732395447351628</v>
      </c>
      <c r="G541" s="2">
        <v>12.598397</v>
      </c>
      <c r="H541" s="2">
        <f t="shared" si="83"/>
        <v>41.333324813479997</v>
      </c>
      <c r="I541" s="2">
        <f>INDEX('Wood Density Lookup'!$B$2:$B$152,MATCH(B541,'Wood Density Lookup'!$A$2:$A$152,0))</f>
        <v>0.65</v>
      </c>
      <c r="J541" s="2">
        <f t="shared" si="84"/>
        <v>5.1801959673788218</v>
      </c>
      <c r="K541" s="2">
        <f t="shared" si="88"/>
        <v>1.4504548708660703</v>
      </c>
      <c r="L541" s="2">
        <f t="shared" si="89"/>
        <v>6.6306508382448923</v>
      </c>
      <c r="M541" s="2">
        <f t="shared" si="85"/>
        <v>4.807221857727547</v>
      </c>
      <c r="N541" s="2">
        <f t="shared" si="86"/>
        <v>2.4036109288637735</v>
      </c>
      <c r="O541" s="2">
        <f t="shared" si="87"/>
        <v>8.8212521089300484</v>
      </c>
      <c r="P541" s="2">
        <v>72.549837999999994</v>
      </c>
      <c r="Q541" s="2">
        <v>23.035919</v>
      </c>
    </row>
    <row r="542" spans="1:17" x14ac:dyDescent="0.25">
      <c r="A542" s="2">
        <v>617</v>
      </c>
      <c r="B542" s="2" t="s">
        <v>140</v>
      </c>
      <c r="C542" s="2">
        <v>3</v>
      </c>
      <c r="D542" s="2">
        <f t="shared" si="80"/>
        <v>7.62</v>
      </c>
      <c r="E542" s="2">
        <f t="shared" si="81"/>
        <v>2.4255213327204852</v>
      </c>
      <c r="F542" s="2">
        <f t="shared" si="82"/>
        <v>0.95492965855137202</v>
      </c>
      <c r="G542" s="2">
        <v>5.5282920000000004</v>
      </c>
      <c r="H542" s="2">
        <f t="shared" si="83"/>
        <v>18.13744152528</v>
      </c>
      <c r="I542" s="2">
        <f>INDEX('Wood Density Lookup'!$B$2:$B$152,MATCH(B542,'Wood Density Lookup'!$A$2:$A$152,0))</f>
        <v>0.6</v>
      </c>
      <c r="J542" s="2">
        <f t="shared" si="84"/>
        <v>1.2229227601309212</v>
      </c>
      <c r="K542" s="2">
        <f t="shared" si="88"/>
        <v>0.34241837283665794</v>
      </c>
      <c r="L542" s="2">
        <f t="shared" si="89"/>
        <v>1.565341132967579</v>
      </c>
      <c r="M542" s="2">
        <f t="shared" si="85"/>
        <v>1.1348723214014949</v>
      </c>
      <c r="N542" s="2">
        <f t="shared" si="86"/>
        <v>0.56743616070074743</v>
      </c>
      <c r="O542" s="2">
        <f t="shared" si="87"/>
        <v>2.0824907097717431</v>
      </c>
      <c r="P542" s="2">
        <v>72.549840000000003</v>
      </c>
      <c r="Q542" s="2">
        <v>23.034307999999999</v>
      </c>
    </row>
    <row r="543" spans="1:17" x14ac:dyDescent="0.25">
      <c r="A543" s="2">
        <v>618</v>
      </c>
      <c r="B543" s="2" t="s">
        <v>10</v>
      </c>
      <c r="C543" s="2">
        <v>31</v>
      </c>
      <c r="D543" s="2">
        <f t="shared" si="80"/>
        <v>78.739999999999995</v>
      </c>
      <c r="E543" s="2">
        <f t="shared" si="81"/>
        <v>25.063720438111677</v>
      </c>
      <c r="F543" s="2">
        <f t="shared" si="82"/>
        <v>9.8676064716975116</v>
      </c>
      <c r="G543" s="2">
        <v>10.240117</v>
      </c>
      <c r="H543" s="2">
        <f t="shared" si="83"/>
        <v>33.596185458279997</v>
      </c>
      <c r="I543" s="2">
        <f>INDEX('Wood Density Lookup'!$B$2:$B$152,MATCH(B543,'Wood Density Lookup'!$A$2:$A$152,0))</f>
        <v>0.65</v>
      </c>
      <c r="J543" s="2">
        <f t="shared" si="84"/>
        <v>230.36314059109725</v>
      </c>
      <c r="K543" s="2">
        <f t="shared" si="88"/>
        <v>64.501679365507229</v>
      </c>
      <c r="L543" s="2">
        <f t="shared" si="89"/>
        <v>294.86481995660449</v>
      </c>
      <c r="M543" s="2">
        <f t="shared" si="85"/>
        <v>213.77699446853825</v>
      </c>
      <c r="N543" s="2">
        <f t="shared" si="86"/>
        <v>106.88849723426912</v>
      </c>
      <c r="O543" s="2">
        <f t="shared" si="87"/>
        <v>392.28078484976766</v>
      </c>
      <c r="P543" s="2">
        <v>72.549841000000001</v>
      </c>
      <c r="Q543" s="2">
        <v>23.038611</v>
      </c>
    </row>
    <row r="544" spans="1:17" x14ac:dyDescent="0.25">
      <c r="A544" s="2">
        <v>619</v>
      </c>
      <c r="B544" s="2" t="s">
        <v>131</v>
      </c>
      <c r="C544" s="2">
        <v>21</v>
      </c>
      <c r="D544" s="2">
        <f t="shared" si="80"/>
        <v>53.34</v>
      </c>
      <c r="E544" s="2">
        <f t="shared" si="81"/>
        <v>16.978649329043396</v>
      </c>
      <c r="F544" s="2">
        <f t="shared" si="82"/>
        <v>6.6845076098596046</v>
      </c>
      <c r="G544" s="2">
        <v>9.6931630000000002</v>
      </c>
      <c r="H544" s="2">
        <f t="shared" si="83"/>
        <v>31.801716896920002</v>
      </c>
      <c r="I544" s="2">
        <f>INDEX('Wood Density Lookup'!$B$2:$B$152,MATCH(B544,'Wood Density Lookup'!$A$2:$A$152,0))</f>
        <v>0.4</v>
      </c>
      <c r="J544" s="2">
        <f t="shared" si="84"/>
        <v>63.560438676714178</v>
      </c>
      <c r="K544" s="2">
        <f t="shared" si="88"/>
        <v>17.796922829479971</v>
      </c>
      <c r="L544" s="2">
        <f t="shared" si="89"/>
        <v>81.357361506194152</v>
      </c>
      <c r="M544" s="2">
        <f t="shared" si="85"/>
        <v>58.984087091990759</v>
      </c>
      <c r="N544" s="2">
        <f t="shared" si="86"/>
        <v>29.492043545995379</v>
      </c>
      <c r="O544" s="2">
        <f t="shared" si="87"/>
        <v>108.23579981380304</v>
      </c>
      <c r="P544" s="2">
        <v>72.549842999999996</v>
      </c>
      <c r="Q544" s="2">
        <v>23.034746999999999</v>
      </c>
    </row>
    <row r="545" spans="1:17" x14ac:dyDescent="0.25">
      <c r="A545" s="2">
        <v>620</v>
      </c>
      <c r="B545" s="2" t="s">
        <v>111</v>
      </c>
      <c r="C545" s="2">
        <v>1</v>
      </c>
      <c r="D545" s="2">
        <f t="shared" si="80"/>
        <v>2.54</v>
      </c>
      <c r="E545" s="2">
        <f t="shared" si="81"/>
        <v>0.80850711090682836</v>
      </c>
      <c r="F545" s="2">
        <f t="shared" si="82"/>
        <v>0.31830988618379069</v>
      </c>
      <c r="G545" s="2">
        <v>4.8054199999999998</v>
      </c>
      <c r="H545" s="2">
        <f t="shared" si="83"/>
        <v>15.765814152799999</v>
      </c>
      <c r="I545" s="2">
        <f>INDEX('Wood Density Lookup'!$B$2:$B$152,MATCH(B545,'Wood Density Lookup'!$A$2:$A$152,0))</f>
        <v>0.4</v>
      </c>
      <c r="J545" s="2">
        <f t="shared" si="84"/>
        <v>8.4099667399126721E-2</v>
      </c>
      <c r="K545" s="2">
        <f t="shared" si="88"/>
        <v>2.3547906871755484E-2</v>
      </c>
      <c r="L545" s="2">
        <f t="shared" si="89"/>
        <v>0.1076475742708822</v>
      </c>
      <c r="M545" s="2">
        <f t="shared" si="85"/>
        <v>7.8044491346389591E-2</v>
      </c>
      <c r="N545" s="2">
        <f t="shared" si="86"/>
        <v>3.9022245673194796E-2</v>
      </c>
      <c r="O545" s="2">
        <f t="shared" si="87"/>
        <v>0.14321164162062489</v>
      </c>
      <c r="P545" s="2">
        <v>72.549843999999993</v>
      </c>
      <c r="Q545" s="2">
        <v>23.036660000000001</v>
      </c>
    </row>
    <row r="546" spans="1:17" x14ac:dyDescent="0.25">
      <c r="A546" s="2">
        <v>621</v>
      </c>
      <c r="B546" s="2" t="s">
        <v>140</v>
      </c>
      <c r="C546" s="2">
        <v>2</v>
      </c>
      <c r="D546" s="2">
        <f t="shared" si="80"/>
        <v>5.08</v>
      </c>
      <c r="E546" s="2">
        <f t="shared" si="81"/>
        <v>1.6170142218136567</v>
      </c>
      <c r="F546" s="2">
        <f t="shared" si="82"/>
        <v>0.63661977236758138</v>
      </c>
      <c r="G546" s="2">
        <v>3.3366340000000001</v>
      </c>
      <c r="H546" s="2">
        <f t="shared" si="83"/>
        <v>10.94696229256</v>
      </c>
      <c r="I546" s="2">
        <f>INDEX('Wood Density Lookup'!$B$2:$B$152,MATCH(B546,'Wood Density Lookup'!$A$2:$A$152,0))</f>
        <v>0.6</v>
      </c>
      <c r="J546" s="2">
        <f t="shared" si="84"/>
        <v>0.33857061677403283</v>
      </c>
      <c r="K546" s="2">
        <f t="shared" si="88"/>
        <v>9.4799772696729206E-2</v>
      </c>
      <c r="L546" s="2">
        <f t="shared" si="89"/>
        <v>0.43337038947076201</v>
      </c>
      <c r="M546" s="2">
        <f t="shared" si="85"/>
        <v>0.31419353236630243</v>
      </c>
      <c r="N546" s="2">
        <f t="shared" si="86"/>
        <v>0.15709676618315122</v>
      </c>
      <c r="O546" s="2">
        <f t="shared" si="87"/>
        <v>0.57654513189216494</v>
      </c>
      <c r="P546" s="2">
        <v>72.549843999999993</v>
      </c>
      <c r="Q546" s="2">
        <v>23.034317999999999</v>
      </c>
    </row>
    <row r="547" spans="1:17" x14ac:dyDescent="0.25">
      <c r="A547" s="2">
        <v>622</v>
      </c>
      <c r="B547" s="2" t="s">
        <v>114</v>
      </c>
      <c r="C547" s="2">
        <v>19</v>
      </c>
      <c r="D547" s="2">
        <f t="shared" si="80"/>
        <v>48.26</v>
      </c>
      <c r="E547" s="2">
        <f t="shared" si="81"/>
        <v>15.361635107229738</v>
      </c>
      <c r="F547" s="2">
        <f t="shared" si="82"/>
        <v>6.0478878374920226</v>
      </c>
      <c r="G547" s="2">
        <v>5.8903999999999996</v>
      </c>
      <c r="H547" s="2">
        <f t="shared" si="83"/>
        <v>19.325459935999998</v>
      </c>
      <c r="I547" s="2">
        <f>INDEX('Wood Density Lookup'!$B$2:$B$152,MATCH(B547,'Wood Density Lookup'!$A$2:$A$152,0))</f>
        <v>0.55000000000000004</v>
      </c>
      <c r="J547" s="2">
        <f t="shared" si="84"/>
        <v>43.872891101142116</v>
      </c>
      <c r="K547" s="2">
        <f t="shared" si="88"/>
        <v>12.284409508319794</v>
      </c>
      <c r="L547" s="2">
        <f t="shared" si="89"/>
        <v>56.157300609461913</v>
      </c>
      <c r="M547" s="2">
        <f t="shared" si="85"/>
        <v>40.714042941859887</v>
      </c>
      <c r="N547" s="2">
        <f t="shared" si="86"/>
        <v>20.357021470929944</v>
      </c>
      <c r="O547" s="2">
        <f t="shared" si="87"/>
        <v>74.710268798312896</v>
      </c>
      <c r="P547" s="2">
        <v>72.549846000000002</v>
      </c>
      <c r="Q547" s="2">
        <v>23.035474000000001</v>
      </c>
    </row>
    <row r="548" spans="1:17" x14ac:dyDescent="0.25">
      <c r="A548" s="2">
        <v>623</v>
      </c>
      <c r="B548" s="2" t="s">
        <v>97</v>
      </c>
      <c r="C548" s="2">
        <v>3</v>
      </c>
      <c r="D548" s="2">
        <f t="shared" si="80"/>
        <v>7.62</v>
      </c>
      <c r="E548" s="2">
        <f t="shared" si="81"/>
        <v>2.4255213327204852</v>
      </c>
      <c r="F548" s="2">
        <f t="shared" si="82"/>
        <v>0.95492965855137202</v>
      </c>
      <c r="G548" s="2">
        <v>12.726449000000001</v>
      </c>
      <c r="H548" s="2">
        <f t="shared" si="83"/>
        <v>41.753442937160003</v>
      </c>
      <c r="I548" s="2">
        <f>INDEX('Wood Density Lookup'!$B$2:$B$152,MATCH(B548,'Wood Density Lookup'!$A$2:$A$152,0))</f>
        <v>0.65</v>
      </c>
      <c r="J548" s="2">
        <f t="shared" si="84"/>
        <v>2.9836805314162689</v>
      </c>
      <c r="K548" s="2">
        <f t="shared" si="88"/>
        <v>0.83543054879655532</v>
      </c>
      <c r="L548" s="2">
        <f t="shared" si="89"/>
        <v>3.8191110802128243</v>
      </c>
      <c r="M548" s="2">
        <f t="shared" si="85"/>
        <v>2.7688555331542974</v>
      </c>
      <c r="N548" s="2">
        <f t="shared" si="86"/>
        <v>1.3844277665771487</v>
      </c>
      <c r="O548" s="2">
        <f t="shared" si="87"/>
        <v>5.0808499033381356</v>
      </c>
      <c r="P548" s="2">
        <v>72.549846000000002</v>
      </c>
      <c r="Q548" s="2">
        <v>23.035920000000001</v>
      </c>
    </row>
    <row r="549" spans="1:17" x14ac:dyDescent="0.25">
      <c r="A549" s="2">
        <v>624</v>
      </c>
      <c r="B549" s="2" t="s">
        <v>15</v>
      </c>
      <c r="C549" s="2">
        <v>55</v>
      </c>
      <c r="D549" s="2">
        <f t="shared" si="80"/>
        <v>139.69999999999999</v>
      </c>
      <c r="E549" s="2">
        <f t="shared" si="81"/>
        <v>44.467891099875558</v>
      </c>
      <c r="F549" s="2">
        <f t="shared" si="82"/>
        <v>17.507043740108486</v>
      </c>
      <c r="G549" s="2">
        <v>12.033059</v>
      </c>
      <c r="H549" s="2">
        <f t="shared" si="83"/>
        <v>39.478541289559999</v>
      </c>
      <c r="I549" s="2">
        <f>INDEX('Wood Density Lookup'!$B$2:$B$152,MATCH(B549,'Wood Density Lookup'!$A$2:$A$152,0))</f>
        <v>0.75</v>
      </c>
      <c r="J549" s="2">
        <f t="shared" si="84"/>
        <v>949.5300457035695</v>
      </c>
      <c r="K549" s="2">
        <f t="shared" si="88"/>
        <v>265.86841279699951</v>
      </c>
      <c r="L549" s="2">
        <f t="shared" si="89"/>
        <v>1215.3984585005689</v>
      </c>
      <c r="M549" s="2">
        <f t="shared" si="85"/>
        <v>881.16388241291247</v>
      </c>
      <c r="N549" s="2">
        <f t="shared" si="86"/>
        <v>440.58194120645624</v>
      </c>
      <c r="O549" s="2">
        <f t="shared" si="87"/>
        <v>1616.9357242276944</v>
      </c>
      <c r="P549" s="2">
        <v>72.549847</v>
      </c>
      <c r="Q549" s="2">
        <v>23.036149999999999</v>
      </c>
    </row>
    <row r="550" spans="1:17" x14ac:dyDescent="0.25">
      <c r="A550" s="2">
        <v>625</v>
      </c>
      <c r="B550" s="2" t="s">
        <v>3</v>
      </c>
      <c r="C550" s="2">
        <v>18</v>
      </c>
      <c r="D550" s="2">
        <f t="shared" si="80"/>
        <v>45.72</v>
      </c>
      <c r="E550" s="2">
        <f t="shared" si="81"/>
        <v>14.55312799632291</v>
      </c>
      <c r="F550" s="2">
        <f t="shared" si="82"/>
        <v>5.7295779513082321</v>
      </c>
      <c r="G550" s="2">
        <v>3.46</v>
      </c>
      <c r="H550" s="2">
        <f t="shared" si="83"/>
        <v>11.351706399999999</v>
      </c>
      <c r="I550" s="2">
        <f>INDEX('Wood Density Lookup'!$B$2:$B$152,MATCH(B550,'Wood Density Lookup'!$A$2:$A$152,0))</f>
        <v>0.62</v>
      </c>
      <c r="J550" s="2">
        <f t="shared" si="84"/>
        <v>26.4008809598513</v>
      </c>
      <c r="K550" s="2">
        <f t="shared" si="88"/>
        <v>7.3922466687583643</v>
      </c>
      <c r="L550" s="2">
        <f t="shared" si="89"/>
        <v>33.793127628609668</v>
      </c>
      <c r="M550" s="2">
        <f t="shared" si="85"/>
        <v>24.500017530742006</v>
      </c>
      <c r="N550" s="2">
        <f t="shared" si="86"/>
        <v>12.250008765371003</v>
      </c>
      <c r="O550" s="2">
        <f t="shared" si="87"/>
        <v>44.957532168911584</v>
      </c>
      <c r="P550" s="2">
        <v>72.549848999999995</v>
      </c>
      <c r="Q550" s="2">
        <v>23.038658999999999</v>
      </c>
    </row>
    <row r="551" spans="1:17" x14ac:dyDescent="0.25">
      <c r="A551" s="2">
        <v>626</v>
      </c>
      <c r="B551" s="2" t="s">
        <v>114</v>
      </c>
      <c r="C551" s="2">
        <v>23</v>
      </c>
      <c r="D551" s="2">
        <f t="shared" si="80"/>
        <v>58.42</v>
      </c>
      <c r="E551" s="2">
        <f t="shared" si="81"/>
        <v>18.595663550857051</v>
      </c>
      <c r="F551" s="2">
        <f t="shared" si="82"/>
        <v>7.3211273822271856</v>
      </c>
      <c r="G551" s="2">
        <v>4.6616429999999998</v>
      </c>
      <c r="H551" s="2">
        <f t="shared" si="83"/>
        <v>15.294104820119999</v>
      </c>
      <c r="I551" s="2">
        <f>INDEX('Wood Density Lookup'!$B$2:$B$152,MATCH(B551,'Wood Density Lookup'!$A$2:$A$152,0))</f>
        <v>0.55000000000000004</v>
      </c>
      <c r="J551" s="2">
        <f t="shared" si="84"/>
        <v>50.69845483251575</v>
      </c>
      <c r="K551" s="2">
        <f t="shared" si="88"/>
        <v>14.195567353104412</v>
      </c>
      <c r="L551" s="2">
        <f t="shared" si="89"/>
        <v>64.894022185620159</v>
      </c>
      <c r="M551" s="2">
        <f t="shared" si="85"/>
        <v>47.048166084574611</v>
      </c>
      <c r="N551" s="2">
        <f t="shared" si="86"/>
        <v>23.524083042287305</v>
      </c>
      <c r="O551" s="2">
        <f t="shared" si="87"/>
        <v>86.33338476519441</v>
      </c>
      <c r="P551" s="2">
        <v>72.549851000000004</v>
      </c>
      <c r="Q551" s="2">
        <v>23.034960000000002</v>
      </c>
    </row>
    <row r="552" spans="1:17" x14ac:dyDescent="0.25">
      <c r="A552" s="2">
        <v>627</v>
      </c>
      <c r="B552" s="2" t="s">
        <v>37</v>
      </c>
      <c r="C552" s="2">
        <v>19</v>
      </c>
      <c r="D552" s="2">
        <f t="shared" si="80"/>
        <v>48.26</v>
      </c>
      <c r="E552" s="2">
        <f t="shared" si="81"/>
        <v>15.361635107229738</v>
      </c>
      <c r="F552" s="2">
        <f t="shared" si="82"/>
        <v>6.0478878374920226</v>
      </c>
      <c r="G552" s="2">
        <v>10.13303</v>
      </c>
      <c r="H552" s="2">
        <f t="shared" si="83"/>
        <v>33.244850145199997</v>
      </c>
      <c r="I552" s="2">
        <f>INDEX('Wood Density Lookup'!$B$2:$B$152,MATCH(B552,'Wood Density Lookup'!$A$2:$A$152,0))</f>
        <v>0.27</v>
      </c>
      <c r="J552" s="2">
        <f t="shared" si="84"/>
        <v>37.200910974241324</v>
      </c>
      <c r="K552" s="2">
        <f t="shared" si="88"/>
        <v>10.416255072787571</v>
      </c>
      <c r="L552" s="2">
        <f t="shared" si="89"/>
        <v>47.617166047028896</v>
      </c>
      <c r="M552" s="2">
        <f t="shared" si="85"/>
        <v>34.522445384095946</v>
      </c>
      <c r="N552" s="2">
        <f t="shared" si="86"/>
        <v>17.261222692047973</v>
      </c>
      <c r="O552" s="2">
        <f t="shared" si="87"/>
        <v>63.348687279816062</v>
      </c>
      <c r="P552" s="2">
        <v>72.549852000000001</v>
      </c>
      <c r="Q552" s="2">
        <v>23.038620999999999</v>
      </c>
    </row>
    <row r="553" spans="1:17" x14ac:dyDescent="0.25">
      <c r="A553" s="2">
        <v>628</v>
      </c>
      <c r="B553" s="2" t="s">
        <v>3</v>
      </c>
      <c r="C553" s="2">
        <v>17</v>
      </c>
      <c r="D553" s="2">
        <f t="shared" si="80"/>
        <v>43.18</v>
      </c>
      <c r="E553" s="2">
        <f t="shared" si="81"/>
        <v>13.744620885416081</v>
      </c>
      <c r="F553" s="2">
        <f t="shared" si="82"/>
        <v>5.4112680651244416</v>
      </c>
      <c r="G553" s="2">
        <v>5.8888879999999997</v>
      </c>
      <c r="H553" s="2">
        <f t="shared" si="83"/>
        <v>19.320499305919999</v>
      </c>
      <c r="I553" s="2">
        <f>INDEX('Wood Density Lookup'!$B$2:$B$152,MATCH(B553,'Wood Density Lookup'!$A$2:$A$152,0))</f>
        <v>0.62</v>
      </c>
      <c r="J553" s="2">
        <f t="shared" si="84"/>
        <v>39.680488184003224</v>
      </c>
      <c r="K553" s="2">
        <f t="shared" si="88"/>
        <v>11.110536691520904</v>
      </c>
      <c r="L553" s="2">
        <f t="shared" si="89"/>
        <v>50.79102487552413</v>
      </c>
      <c r="M553" s="2">
        <f t="shared" si="85"/>
        <v>36.823493034754996</v>
      </c>
      <c r="N553" s="2">
        <f t="shared" si="86"/>
        <v>18.411746517377498</v>
      </c>
      <c r="O553" s="2">
        <f t="shared" si="87"/>
        <v>67.571109718775418</v>
      </c>
      <c r="P553" s="2">
        <v>72.549853999999996</v>
      </c>
      <c r="Q553" s="2">
        <v>23.036953</v>
      </c>
    </row>
    <row r="554" spans="1:17" x14ac:dyDescent="0.25">
      <c r="A554" s="2">
        <v>629</v>
      </c>
      <c r="B554" s="2" t="s">
        <v>97</v>
      </c>
      <c r="C554" s="2">
        <v>5</v>
      </c>
      <c r="D554" s="2">
        <f t="shared" si="80"/>
        <v>12.7</v>
      </c>
      <c r="E554" s="2">
        <f t="shared" si="81"/>
        <v>4.0425355545341413</v>
      </c>
      <c r="F554" s="2">
        <f t="shared" si="82"/>
        <v>1.5915494309189535</v>
      </c>
      <c r="G554" s="2">
        <v>11.939348000000001</v>
      </c>
      <c r="H554" s="2">
        <f t="shared" si="83"/>
        <v>39.171090492320005</v>
      </c>
      <c r="I554" s="2">
        <f>INDEX('Wood Density Lookup'!$B$2:$B$152,MATCH(B554,'Wood Density Lookup'!$A$2:$A$152,0))</f>
        <v>0.65</v>
      </c>
      <c r="J554" s="2">
        <f t="shared" si="84"/>
        <v>7.5987103167867076</v>
      </c>
      <c r="K554" s="2">
        <f t="shared" si="88"/>
        <v>2.1276388887002784</v>
      </c>
      <c r="L554" s="2">
        <f t="shared" si="89"/>
        <v>9.7263492054869864</v>
      </c>
      <c r="M554" s="2">
        <f t="shared" si="85"/>
        <v>7.0516031739780649</v>
      </c>
      <c r="N554" s="2">
        <f t="shared" si="86"/>
        <v>3.5258015869890325</v>
      </c>
      <c r="O554" s="2">
        <f t="shared" si="87"/>
        <v>12.939691824249749</v>
      </c>
      <c r="P554" s="2">
        <v>72.549853999999996</v>
      </c>
      <c r="Q554" s="2">
        <v>23.035921999999999</v>
      </c>
    </row>
    <row r="555" spans="1:17" x14ac:dyDescent="0.25">
      <c r="A555" s="2">
        <v>630</v>
      </c>
      <c r="B555" s="2" t="s">
        <v>114</v>
      </c>
      <c r="C555" s="2">
        <v>5</v>
      </c>
      <c r="D555" s="2">
        <f t="shared" si="80"/>
        <v>12.7</v>
      </c>
      <c r="E555" s="2">
        <f t="shared" si="81"/>
        <v>4.0425355545341413</v>
      </c>
      <c r="F555" s="2">
        <f t="shared" si="82"/>
        <v>1.5915494309189535</v>
      </c>
      <c r="G555" s="2">
        <v>2.1090369999999998</v>
      </c>
      <c r="H555" s="2">
        <f t="shared" si="83"/>
        <v>6.9194129510799991</v>
      </c>
      <c r="I555" s="2">
        <f>INDEX('Wood Density Lookup'!$B$2:$B$152,MATCH(B555,'Wood Density Lookup'!$A$2:$A$152,0))</f>
        <v>0.55000000000000004</v>
      </c>
      <c r="J555" s="2">
        <f t="shared" si="84"/>
        <v>1.1887856091067497</v>
      </c>
      <c r="K555" s="2">
        <f t="shared" si="88"/>
        <v>0.33285997054988992</v>
      </c>
      <c r="L555" s="2">
        <f t="shared" si="89"/>
        <v>1.5216455796566395</v>
      </c>
      <c r="M555" s="2">
        <f t="shared" si="85"/>
        <v>1.1031930452510637</v>
      </c>
      <c r="N555" s="2">
        <f t="shared" si="86"/>
        <v>0.55159652262553183</v>
      </c>
      <c r="O555" s="2">
        <f t="shared" si="87"/>
        <v>2.0243592380357018</v>
      </c>
      <c r="P555" s="2">
        <v>72.549854999999994</v>
      </c>
      <c r="Q555" s="2">
        <v>23.038709999999998</v>
      </c>
    </row>
    <row r="556" spans="1:17" x14ac:dyDescent="0.25">
      <c r="A556" s="2">
        <v>631</v>
      </c>
      <c r="B556" s="2" t="s">
        <v>140</v>
      </c>
      <c r="C556" s="2">
        <v>2</v>
      </c>
      <c r="D556" s="2">
        <f t="shared" si="80"/>
        <v>5.08</v>
      </c>
      <c r="E556" s="2">
        <f t="shared" si="81"/>
        <v>1.6170142218136567</v>
      </c>
      <c r="F556" s="2">
        <f t="shared" si="82"/>
        <v>0.63661977236758138</v>
      </c>
      <c r="G556" s="2">
        <v>10.511520000000001</v>
      </c>
      <c r="H556" s="2">
        <f t="shared" si="83"/>
        <v>34.486615276800002</v>
      </c>
      <c r="I556" s="2">
        <f>INDEX('Wood Density Lookup'!$B$2:$B$152,MATCH(B556,'Wood Density Lookup'!$A$2:$A$152,0))</f>
        <v>0.6</v>
      </c>
      <c r="J556" s="2">
        <f t="shared" si="84"/>
        <v>1.037637474360356</v>
      </c>
      <c r="K556" s="2">
        <f t="shared" si="88"/>
        <v>0.29053849282089972</v>
      </c>
      <c r="L556" s="2">
        <f t="shared" si="89"/>
        <v>1.3281759671812559</v>
      </c>
      <c r="M556" s="2">
        <f t="shared" si="85"/>
        <v>0.96292757620641045</v>
      </c>
      <c r="N556" s="2">
        <f t="shared" si="86"/>
        <v>0.48146378810320523</v>
      </c>
      <c r="O556" s="2">
        <f t="shared" si="87"/>
        <v>1.7669721023387632</v>
      </c>
      <c r="P556" s="2">
        <v>72.549856000000005</v>
      </c>
      <c r="Q556" s="2">
        <v>23.034314999999999</v>
      </c>
    </row>
    <row r="557" spans="1:17" x14ac:dyDescent="0.25">
      <c r="A557" s="2">
        <v>632</v>
      </c>
      <c r="B557" s="2" t="s">
        <v>15</v>
      </c>
      <c r="C557" s="2">
        <v>8</v>
      </c>
      <c r="D557" s="2">
        <f t="shared" si="80"/>
        <v>20.32</v>
      </c>
      <c r="E557" s="2">
        <f t="shared" si="81"/>
        <v>6.4680568872546269</v>
      </c>
      <c r="F557" s="2">
        <f t="shared" si="82"/>
        <v>2.5464790894703255</v>
      </c>
      <c r="G557" s="2">
        <v>12.667128</v>
      </c>
      <c r="H557" s="2">
        <f t="shared" si="83"/>
        <v>41.558820227520002</v>
      </c>
      <c r="I557" s="2">
        <f>INDEX('Wood Density Lookup'!$B$2:$B$152,MATCH(B557,'Wood Density Lookup'!$A$2:$A$152,0))</f>
        <v>0.75</v>
      </c>
      <c r="J557" s="2">
        <f t="shared" si="84"/>
        <v>23.169638534987367</v>
      </c>
      <c r="K557" s="2">
        <f t="shared" si="88"/>
        <v>6.4874987897964633</v>
      </c>
      <c r="L557" s="2">
        <f t="shared" si="89"/>
        <v>29.657137324783832</v>
      </c>
      <c r="M557" s="2">
        <f t="shared" si="85"/>
        <v>21.501424560468276</v>
      </c>
      <c r="N557" s="2">
        <f t="shared" si="86"/>
        <v>10.750712280234138</v>
      </c>
      <c r="O557" s="2">
        <f t="shared" si="87"/>
        <v>39.455114068459288</v>
      </c>
      <c r="P557" s="2">
        <v>72.549858999999998</v>
      </c>
      <c r="Q557" s="2">
        <v>23.036508999999999</v>
      </c>
    </row>
    <row r="558" spans="1:17" x14ac:dyDescent="0.25">
      <c r="A558" s="2">
        <v>633</v>
      </c>
      <c r="B558" s="2" t="s">
        <v>59</v>
      </c>
      <c r="C558" s="2">
        <v>95</v>
      </c>
      <c r="D558" s="2">
        <f t="shared" si="80"/>
        <v>241.3</v>
      </c>
      <c r="E558" s="2">
        <f t="shared" si="81"/>
        <v>76.808175536148696</v>
      </c>
      <c r="F558" s="2">
        <f t="shared" si="82"/>
        <v>30.239439187460114</v>
      </c>
      <c r="G558" s="2">
        <v>13.030749</v>
      </c>
      <c r="H558" s="2">
        <f t="shared" si="83"/>
        <v>42.751802549159997</v>
      </c>
      <c r="I558" s="2">
        <f>INDEX('Wood Density Lookup'!$B$2:$B$152,MATCH(B558,'Wood Density Lookup'!$A$2:$A$152,0))</f>
        <v>0.45</v>
      </c>
      <c r="J558" s="2">
        <f t="shared" si="84"/>
        <v>1811.6568183902668</v>
      </c>
      <c r="K558" s="2">
        <f t="shared" si="88"/>
        <v>507.26390914927475</v>
      </c>
      <c r="L558" s="2">
        <f t="shared" si="89"/>
        <v>2318.9207275395415</v>
      </c>
      <c r="M558" s="2">
        <f t="shared" si="85"/>
        <v>1681.2175274661677</v>
      </c>
      <c r="N558" s="2">
        <f t="shared" si="86"/>
        <v>840.60876373308383</v>
      </c>
      <c r="O558" s="2">
        <f t="shared" si="87"/>
        <v>3085.0341629004174</v>
      </c>
      <c r="P558" s="2">
        <v>72.549862000000005</v>
      </c>
      <c r="Q558" s="2">
        <v>23.038782000000001</v>
      </c>
    </row>
    <row r="559" spans="1:17" x14ac:dyDescent="0.25">
      <c r="A559" s="2">
        <v>634</v>
      </c>
      <c r="B559" s="2" t="s">
        <v>97</v>
      </c>
      <c r="C559" s="2">
        <v>3</v>
      </c>
      <c r="D559" s="2">
        <f t="shared" si="80"/>
        <v>7.62</v>
      </c>
      <c r="E559" s="2">
        <f t="shared" si="81"/>
        <v>2.4255213327204852</v>
      </c>
      <c r="F559" s="2">
        <f t="shared" si="82"/>
        <v>0.95492965855137202</v>
      </c>
      <c r="G559" s="2">
        <v>2.03898</v>
      </c>
      <c r="H559" s="2">
        <f t="shared" si="83"/>
        <v>6.6895671431999997</v>
      </c>
      <c r="I559" s="2">
        <f>INDEX('Wood Density Lookup'!$B$2:$B$152,MATCH(B559,'Wood Density Lookup'!$A$2:$A$152,0))</f>
        <v>0.65</v>
      </c>
      <c r="J559" s="2">
        <f t="shared" si="84"/>
        <v>0.49951105873088036</v>
      </c>
      <c r="K559" s="2">
        <f t="shared" si="88"/>
        <v>0.13986309644464651</v>
      </c>
      <c r="L559" s="2">
        <f t="shared" si="89"/>
        <v>0.63937415517552687</v>
      </c>
      <c r="M559" s="2">
        <f t="shared" si="85"/>
        <v>0.46354626250225694</v>
      </c>
      <c r="N559" s="2">
        <f t="shared" si="86"/>
        <v>0.23177313125112847</v>
      </c>
      <c r="O559" s="2">
        <f t="shared" si="87"/>
        <v>0.85060739169164146</v>
      </c>
      <c r="P559" s="2">
        <v>72.549862000000005</v>
      </c>
      <c r="Q559" s="2">
        <v>23.035924000000001</v>
      </c>
    </row>
    <row r="560" spans="1:17" x14ac:dyDescent="0.25">
      <c r="A560" s="2">
        <v>635</v>
      </c>
      <c r="B560" s="2" t="s">
        <v>140</v>
      </c>
      <c r="C560" s="2">
        <v>2</v>
      </c>
      <c r="D560" s="2">
        <f t="shared" si="80"/>
        <v>5.08</v>
      </c>
      <c r="E560" s="2">
        <f t="shared" si="81"/>
        <v>1.6170142218136567</v>
      </c>
      <c r="F560" s="2">
        <f t="shared" si="82"/>
        <v>0.63661977236758138</v>
      </c>
      <c r="G560" s="2">
        <v>13.579174999999999</v>
      </c>
      <c r="H560" s="2">
        <f t="shared" si="83"/>
        <v>44.551100507000001</v>
      </c>
      <c r="I560" s="2">
        <f>INDEX('Wood Density Lookup'!$B$2:$B$152,MATCH(B560,'Wood Density Lookup'!$A$2:$A$152,0))</f>
        <v>0.6</v>
      </c>
      <c r="J560" s="2">
        <f t="shared" si="84"/>
        <v>1.3322463022717492</v>
      </c>
      <c r="K560" s="2">
        <f t="shared" si="88"/>
        <v>0.37302896463608981</v>
      </c>
      <c r="L560" s="2">
        <f t="shared" si="89"/>
        <v>1.705275266907839</v>
      </c>
      <c r="M560" s="2">
        <f t="shared" si="85"/>
        <v>1.2363245685081832</v>
      </c>
      <c r="N560" s="2">
        <f t="shared" si="86"/>
        <v>0.61816228425409159</v>
      </c>
      <c r="O560" s="2">
        <f t="shared" si="87"/>
        <v>2.2686555832125159</v>
      </c>
      <c r="P560" s="2">
        <v>72.549863999999999</v>
      </c>
      <c r="Q560" s="2">
        <v>23.034323000000001</v>
      </c>
    </row>
    <row r="561" spans="1:17" x14ac:dyDescent="0.25">
      <c r="A561" s="2">
        <v>637</v>
      </c>
      <c r="B561" s="2" t="s">
        <v>114</v>
      </c>
      <c r="C561" s="2">
        <v>28</v>
      </c>
      <c r="D561" s="2">
        <f t="shared" si="80"/>
        <v>71.12</v>
      </c>
      <c r="E561" s="2">
        <f t="shared" si="81"/>
        <v>22.638199105391195</v>
      </c>
      <c r="F561" s="2">
        <f t="shared" si="82"/>
        <v>8.91267681314614</v>
      </c>
      <c r="G561" s="2">
        <v>6.601553</v>
      </c>
      <c r="H561" s="2">
        <f t="shared" si="83"/>
        <v>21.658639144519999</v>
      </c>
      <c r="I561" s="2">
        <f>INDEX('Wood Density Lookup'!$B$2:$B$152,MATCH(B561,'Wood Density Lookup'!$A$2:$A$152,0))</f>
        <v>0.55000000000000004</v>
      </c>
      <c r="J561" s="2">
        <f t="shared" si="84"/>
        <v>104.52856715856423</v>
      </c>
      <c r="K561" s="2">
        <f t="shared" si="88"/>
        <v>29.267998804397987</v>
      </c>
      <c r="L561" s="2">
        <f t="shared" si="89"/>
        <v>133.79656596296221</v>
      </c>
      <c r="M561" s="2">
        <f t="shared" si="85"/>
        <v>97.00251032314759</v>
      </c>
      <c r="N561" s="2">
        <f t="shared" si="86"/>
        <v>48.501255161573795</v>
      </c>
      <c r="O561" s="2">
        <f t="shared" si="87"/>
        <v>177.99960644297582</v>
      </c>
      <c r="P561" s="2">
        <v>72.549865999999994</v>
      </c>
      <c r="Q561" s="2">
        <v>23.034659000000001</v>
      </c>
    </row>
    <row r="562" spans="1:17" x14ac:dyDescent="0.25">
      <c r="A562" s="2">
        <v>638</v>
      </c>
      <c r="B562" s="2" t="s">
        <v>135</v>
      </c>
      <c r="C562" s="2">
        <v>24</v>
      </c>
      <c r="D562" s="2">
        <f t="shared" si="80"/>
        <v>60.96</v>
      </c>
      <c r="E562" s="2">
        <f t="shared" si="81"/>
        <v>19.404170661763882</v>
      </c>
      <c r="F562" s="2">
        <f t="shared" si="82"/>
        <v>7.6394372684109761</v>
      </c>
      <c r="G562" s="2">
        <v>9.4894189999999998</v>
      </c>
      <c r="H562" s="2">
        <f t="shared" si="83"/>
        <v>31.133265431959998</v>
      </c>
      <c r="I562" s="2">
        <f>INDEX('Wood Density Lookup'!$B$2:$B$152,MATCH(B562,'Wood Density Lookup'!$A$2:$A$152,0))</f>
        <v>0.8</v>
      </c>
      <c r="J562" s="2">
        <f t="shared" si="84"/>
        <v>158.92344503495821</v>
      </c>
      <c r="K562" s="2">
        <f t="shared" si="88"/>
        <v>44.498564609788303</v>
      </c>
      <c r="L562" s="2">
        <f t="shared" si="89"/>
        <v>203.42200964474651</v>
      </c>
      <c r="M562" s="2">
        <f t="shared" si="85"/>
        <v>147.48095699244121</v>
      </c>
      <c r="N562" s="2">
        <f t="shared" si="86"/>
        <v>73.740478496220604</v>
      </c>
      <c r="O562" s="2">
        <f t="shared" si="87"/>
        <v>270.62755608112963</v>
      </c>
      <c r="P562" s="2">
        <v>72.549868000000004</v>
      </c>
      <c r="Q562" s="2">
        <v>23.036681000000002</v>
      </c>
    </row>
    <row r="563" spans="1:17" x14ac:dyDescent="0.25">
      <c r="A563" s="2">
        <v>641</v>
      </c>
      <c r="B563" s="2" t="s">
        <v>97</v>
      </c>
      <c r="C563" s="2">
        <v>2</v>
      </c>
      <c r="D563" s="2">
        <f t="shared" si="80"/>
        <v>5.08</v>
      </c>
      <c r="E563" s="2">
        <f t="shared" si="81"/>
        <v>1.6170142218136567</v>
      </c>
      <c r="F563" s="2">
        <f t="shared" si="82"/>
        <v>0.63661977236758138</v>
      </c>
      <c r="G563" s="2">
        <v>2.1309499999999999</v>
      </c>
      <c r="H563" s="2">
        <f t="shared" si="83"/>
        <v>6.9913059979999996</v>
      </c>
      <c r="I563" s="2">
        <f>INDEX('Wood Density Lookup'!$B$2:$B$152,MATCH(B563,'Wood Density Lookup'!$A$2:$A$152,0))</f>
        <v>0.65</v>
      </c>
      <c r="J563" s="2">
        <f t="shared" si="84"/>
        <v>0.23632812896501643</v>
      </c>
      <c r="K563" s="2">
        <f t="shared" si="88"/>
        <v>6.61718761102046E-2</v>
      </c>
      <c r="L563" s="2">
        <f t="shared" si="89"/>
        <v>0.30250000507522101</v>
      </c>
      <c r="M563" s="2">
        <f t="shared" si="85"/>
        <v>0.21931250367953523</v>
      </c>
      <c r="N563" s="2">
        <f t="shared" si="86"/>
        <v>0.10965625183976761</v>
      </c>
      <c r="O563" s="2">
        <f t="shared" si="87"/>
        <v>0.40243844425194714</v>
      </c>
      <c r="P563" s="2">
        <v>72.549873000000005</v>
      </c>
      <c r="Q563" s="2">
        <v>23.035926</v>
      </c>
    </row>
    <row r="564" spans="1:17" x14ac:dyDescent="0.25">
      <c r="A564" s="2">
        <v>642</v>
      </c>
      <c r="B564" s="2" t="s">
        <v>111</v>
      </c>
      <c r="C564" s="2">
        <v>11</v>
      </c>
      <c r="D564" s="2">
        <f t="shared" si="80"/>
        <v>27.94</v>
      </c>
      <c r="E564" s="2">
        <f t="shared" si="81"/>
        <v>8.8935782199751117</v>
      </c>
      <c r="F564" s="2">
        <f t="shared" si="82"/>
        <v>3.5014087480216975</v>
      </c>
      <c r="G564" s="2">
        <v>4.0104199999999999</v>
      </c>
      <c r="H564" s="2">
        <f t="shared" si="83"/>
        <v>13.157546352799999</v>
      </c>
      <c r="I564" s="2">
        <f>INDEX('Wood Density Lookup'!$B$2:$B$152,MATCH(B564,'Wood Density Lookup'!$A$2:$A$152,0))</f>
        <v>0.4</v>
      </c>
      <c r="J564" s="2">
        <f t="shared" si="84"/>
        <v>7.6021476695304342</v>
      </c>
      <c r="K564" s="2">
        <f t="shared" si="88"/>
        <v>2.1286013474685217</v>
      </c>
      <c r="L564" s="2">
        <f t="shared" si="89"/>
        <v>9.7307490169989563</v>
      </c>
      <c r="M564" s="2">
        <f t="shared" si="85"/>
        <v>7.0547930373242433</v>
      </c>
      <c r="N564" s="2">
        <f t="shared" si="86"/>
        <v>3.5273965186621217</v>
      </c>
      <c r="O564" s="2">
        <f t="shared" si="87"/>
        <v>12.945545223489987</v>
      </c>
      <c r="P564" s="2">
        <v>72.549874000000003</v>
      </c>
      <c r="Q564" s="2">
        <v>23.034922000000002</v>
      </c>
    </row>
    <row r="565" spans="1:17" x14ac:dyDescent="0.25">
      <c r="A565" s="2">
        <v>643</v>
      </c>
      <c r="B565" s="2" t="s">
        <v>134</v>
      </c>
      <c r="C565" s="2">
        <v>87</v>
      </c>
      <c r="D565" s="2">
        <f t="shared" si="80"/>
        <v>220.98</v>
      </c>
      <c r="E565" s="2">
        <f t="shared" si="81"/>
        <v>70.340118648894062</v>
      </c>
      <c r="F565" s="2">
        <f t="shared" si="82"/>
        <v>27.69296009798979</v>
      </c>
      <c r="G565" s="2">
        <v>7.2481499999999999</v>
      </c>
      <c r="H565" s="2">
        <f t="shared" si="83"/>
        <v>23.780020445999998</v>
      </c>
      <c r="I565" s="2">
        <f>INDEX('Wood Density Lookup'!$B$2:$B$152,MATCH(B565,'Wood Density Lookup'!$A$2:$A$152,0))</f>
        <v>0.65</v>
      </c>
      <c r="J565" s="2">
        <f t="shared" si="84"/>
        <v>1232.3687159284184</v>
      </c>
      <c r="K565" s="2">
        <f t="shared" si="88"/>
        <v>345.06324045995717</v>
      </c>
      <c r="L565" s="2">
        <f t="shared" si="89"/>
        <v>1577.4319563883755</v>
      </c>
      <c r="M565" s="2">
        <f t="shared" si="85"/>
        <v>1143.6381683815723</v>
      </c>
      <c r="N565" s="2">
        <f t="shared" si="86"/>
        <v>571.81908419078616</v>
      </c>
      <c r="O565" s="2">
        <f t="shared" si="87"/>
        <v>2098.5760389801853</v>
      </c>
      <c r="P565" s="2">
        <v>72.549875</v>
      </c>
      <c r="Q565" s="2">
        <v>23.0349</v>
      </c>
    </row>
    <row r="566" spans="1:17" x14ac:dyDescent="0.25">
      <c r="A566" s="2">
        <v>646</v>
      </c>
      <c r="B566" s="2" t="s">
        <v>3</v>
      </c>
      <c r="C566" s="2">
        <v>17</v>
      </c>
      <c r="D566" s="2">
        <f t="shared" si="80"/>
        <v>43.18</v>
      </c>
      <c r="E566" s="2">
        <f t="shared" si="81"/>
        <v>13.744620885416081</v>
      </c>
      <c r="F566" s="2">
        <f t="shared" si="82"/>
        <v>5.4112680651244416</v>
      </c>
      <c r="G566" s="2">
        <v>9.3515449999999998</v>
      </c>
      <c r="H566" s="2">
        <f t="shared" si="83"/>
        <v>30.680922897799999</v>
      </c>
      <c r="I566" s="2">
        <f>INDEX('Wood Density Lookup'!$B$2:$B$152,MATCH(B566,'Wood Density Lookup'!$A$2:$A$152,0))</f>
        <v>0.62</v>
      </c>
      <c r="J566" s="2">
        <f t="shared" si="84"/>
        <v>62.317020152035965</v>
      </c>
      <c r="K566" s="2">
        <f t="shared" si="88"/>
        <v>17.448765642570073</v>
      </c>
      <c r="L566" s="2">
        <f t="shared" si="89"/>
        <v>79.765785794606046</v>
      </c>
      <c r="M566" s="2">
        <f t="shared" si="85"/>
        <v>57.830194701089383</v>
      </c>
      <c r="N566" s="2">
        <f t="shared" si="86"/>
        <v>28.915097350544691</v>
      </c>
      <c r="O566" s="2">
        <f t="shared" si="87"/>
        <v>106.11840727649901</v>
      </c>
      <c r="P566" s="2">
        <v>72.549879000000004</v>
      </c>
      <c r="Q566" s="2">
        <v>23.038405000000001</v>
      </c>
    </row>
    <row r="567" spans="1:17" x14ac:dyDescent="0.25">
      <c r="A567" s="2">
        <v>647</v>
      </c>
      <c r="B567" s="2" t="s">
        <v>141</v>
      </c>
      <c r="C567" s="2">
        <v>2</v>
      </c>
      <c r="D567" s="2">
        <f t="shared" si="80"/>
        <v>5.08</v>
      </c>
      <c r="E567" s="2">
        <f t="shared" si="81"/>
        <v>1.6170142218136567</v>
      </c>
      <c r="F567" s="2">
        <f t="shared" si="82"/>
        <v>0.63661977236758138</v>
      </c>
      <c r="G567" s="2">
        <v>12.676278999999999</v>
      </c>
      <c r="H567" s="2">
        <f t="shared" si="83"/>
        <v>41.588843194359995</v>
      </c>
      <c r="I567" s="2">
        <f>INDEX('Wood Density Lookup'!$B$2:$B$152,MATCH(B567,'Wood Density Lookup'!$A$2:$A$152,0))</f>
        <v>0.6</v>
      </c>
      <c r="J567" s="2">
        <f t="shared" si="84"/>
        <v>1.2457189924025129</v>
      </c>
      <c r="K567" s="2">
        <f t="shared" si="88"/>
        <v>0.34880131787270363</v>
      </c>
      <c r="L567" s="2">
        <f t="shared" si="89"/>
        <v>1.5945203102752166</v>
      </c>
      <c r="M567" s="2">
        <f t="shared" si="85"/>
        <v>1.156027224949532</v>
      </c>
      <c r="N567" s="2">
        <f t="shared" si="86"/>
        <v>0.57801361247476601</v>
      </c>
      <c r="O567" s="2">
        <f t="shared" si="87"/>
        <v>2.1213099577823913</v>
      </c>
      <c r="P567" s="2">
        <v>72.549879000000004</v>
      </c>
      <c r="Q567" s="2">
        <v>23.034322</v>
      </c>
    </row>
    <row r="568" spans="1:17" x14ac:dyDescent="0.25">
      <c r="A568" s="2">
        <v>649</v>
      </c>
      <c r="B568" s="2" t="s">
        <v>115</v>
      </c>
      <c r="C568" s="2">
        <v>43</v>
      </c>
      <c r="D568" s="2">
        <f t="shared" si="80"/>
        <v>109.22</v>
      </c>
      <c r="E568" s="2">
        <f t="shared" si="81"/>
        <v>34.765805768993616</v>
      </c>
      <c r="F568" s="2">
        <f t="shared" si="82"/>
        <v>13.687325105903</v>
      </c>
      <c r="G568" s="2">
        <v>11.847403</v>
      </c>
      <c r="H568" s="2">
        <f t="shared" si="83"/>
        <v>38.869433658520002</v>
      </c>
      <c r="I568" s="2">
        <f>INDEX('Wood Density Lookup'!$B$2:$B$152,MATCH(B568,'Wood Density Lookup'!$A$2:$A$152,0))</f>
        <v>0.65</v>
      </c>
      <c r="J568" s="2">
        <f t="shared" si="84"/>
        <v>503.04170809275882</v>
      </c>
      <c r="K568" s="2">
        <f t="shared" si="88"/>
        <v>140.85167826597248</v>
      </c>
      <c r="L568" s="2">
        <f t="shared" si="89"/>
        <v>643.89338635873128</v>
      </c>
      <c r="M568" s="2">
        <f t="shared" si="85"/>
        <v>466.82270511008016</v>
      </c>
      <c r="N568" s="2">
        <f t="shared" si="86"/>
        <v>233.41135255504008</v>
      </c>
      <c r="O568" s="2">
        <f t="shared" si="87"/>
        <v>856.61966387699704</v>
      </c>
      <c r="P568" s="2">
        <v>72.549880999999999</v>
      </c>
      <c r="Q568" s="2">
        <v>23.035959999999999</v>
      </c>
    </row>
    <row r="569" spans="1:17" x14ac:dyDescent="0.25">
      <c r="A569" s="2">
        <v>650</v>
      </c>
      <c r="B569" s="2" t="s">
        <v>97</v>
      </c>
      <c r="C569" s="2">
        <v>6</v>
      </c>
      <c r="D569" s="2">
        <f t="shared" si="80"/>
        <v>15.24</v>
      </c>
      <c r="E569" s="2">
        <f t="shared" si="81"/>
        <v>4.8510426654409704</v>
      </c>
      <c r="F569" s="2">
        <f t="shared" si="82"/>
        <v>1.909859317102744</v>
      </c>
      <c r="G569" s="2">
        <v>10.677944</v>
      </c>
      <c r="H569" s="2">
        <f t="shared" si="83"/>
        <v>35.032625792959998</v>
      </c>
      <c r="I569" s="2">
        <f>INDEX('Wood Density Lookup'!$B$2:$B$152,MATCH(B569,'Wood Density Lookup'!$A$2:$A$152,0))</f>
        <v>0.65</v>
      </c>
      <c r="J569" s="2">
        <f t="shared" si="84"/>
        <v>9.7268571980152139</v>
      </c>
      <c r="K569" s="2">
        <f t="shared" si="88"/>
        <v>2.7235200154442603</v>
      </c>
      <c r="L569" s="2">
        <f t="shared" si="89"/>
        <v>12.450377213459474</v>
      </c>
      <c r="M569" s="2">
        <f t="shared" si="85"/>
        <v>9.0265234797581186</v>
      </c>
      <c r="N569" s="2">
        <f t="shared" si="86"/>
        <v>4.5132617398790593</v>
      </c>
      <c r="O569" s="2">
        <f t="shared" si="87"/>
        <v>16.563670585356146</v>
      </c>
      <c r="P569" s="2">
        <v>72.549881999999997</v>
      </c>
      <c r="Q569" s="2">
        <v>23.035927999999998</v>
      </c>
    </row>
    <row r="570" spans="1:17" x14ac:dyDescent="0.25">
      <c r="A570" s="2">
        <v>651</v>
      </c>
      <c r="B570" s="2" t="s">
        <v>140</v>
      </c>
      <c r="C570" s="2">
        <v>3</v>
      </c>
      <c r="D570" s="2">
        <f t="shared" si="80"/>
        <v>7.62</v>
      </c>
      <c r="E570" s="2">
        <f t="shared" si="81"/>
        <v>2.4255213327204852</v>
      </c>
      <c r="F570" s="2">
        <f t="shared" si="82"/>
        <v>0.95492965855137202</v>
      </c>
      <c r="G570" s="2">
        <v>12.749877</v>
      </c>
      <c r="H570" s="2">
        <f t="shared" si="83"/>
        <v>41.830306456679999</v>
      </c>
      <c r="I570" s="2">
        <f>INDEX('Wood Density Lookup'!$B$2:$B$152,MATCH(B570,'Wood Density Lookup'!$A$2:$A$152,0))</f>
        <v>0.6</v>
      </c>
      <c r="J570" s="2">
        <f t="shared" si="84"/>
        <v>2.7644203947748345</v>
      </c>
      <c r="K570" s="2">
        <f t="shared" si="88"/>
        <v>0.77403771053695369</v>
      </c>
      <c r="L570" s="2">
        <f t="shared" si="89"/>
        <v>3.5384581053117881</v>
      </c>
      <c r="M570" s="2">
        <f t="shared" si="85"/>
        <v>2.5653821263510461</v>
      </c>
      <c r="N570" s="2">
        <f t="shared" si="86"/>
        <v>1.2826910631755231</v>
      </c>
      <c r="O570" s="2">
        <f t="shared" si="87"/>
        <v>4.7074762018541696</v>
      </c>
      <c r="P570" s="2">
        <v>72.549881999999997</v>
      </c>
      <c r="Q570" s="2">
        <v>23.034331000000002</v>
      </c>
    </row>
    <row r="571" spans="1:17" x14ac:dyDescent="0.25">
      <c r="A571" s="2">
        <v>653</v>
      </c>
      <c r="B571" s="2" t="s">
        <v>15</v>
      </c>
      <c r="C571" s="2">
        <v>76</v>
      </c>
      <c r="D571" s="2">
        <f t="shared" si="80"/>
        <v>193.04</v>
      </c>
      <c r="E571" s="2">
        <f t="shared" si="81"/>
        <v>61.446540428918951</v>
      </c>
      <c r="F571" s="2">
        <f t="shared" si="82"/>
        <v>24.191551349968091</v>
      </c>
      <c r="G571" s="2">
        <v>13.058261999999999</v>
      </c>
      <c r="H571" s="2">
        <f t="shared" si="83"/>
        <v>42.842068300079994</v>
      </c>
      <c r="I571" s="2">
        <f>INDEX('Wood Density Lookup'!$B$2:$B$152,MATCH(B571,'Wood Density Lookup'!$A$2:$A$152,0))</f>
        <v>0.75</v>
      </c>
      <c r="J571" s="2">
        <f t="shared" si="84"/>
        <v>1933.4189979979665</v>
      </c>
      <c r="K571" s="2">
        <f t="shared" si="88"/>
        <v>541.35731943943063</v>
      </c>
      <c r="L571" s="2">
        <f t="shared" si="89"/>
        <v>2474.7763174373972</v>
      </c>
      <c r="M571" s="2">
        <f t="shared" si="85"/>
        <v>1794.212830142113</v>
      </c>
      <c r="N571" s="2">
        <f t="shared" si="86"/>
        <v>897.10641507105652</v>
      </c>
      <c r="O571" s="2">
        <f t="shared" si="87"/>
        <v>3292.3805433107773</v>
      </c>
      <c r="P571" s="2">
        <v>72.549884000000006</v>
      </c>
      <c r="Q571" s="2">
        <v>23.035571000000001</v>
      </c>
    </row>
    <row r="572" spans="1:17" x14ac:dyDescent="0.25">
      <c r="A572" s="2">
        <v>655</v>
      </c>
      <c r="B572" s="2" t="s">
        <v>114</v>
      </c>
      <c r="C572" s="2">
        <v>39</v>
      </c>
      <c r="D572" s="2">
        <f t="shared" si="80"/>
        <v>99.06</v>
      </c>
      <c r="E572" s="2">
        <f t="shared" si="81"/>
        <v>31.531777325366306</v>
      </c>
      <c r="F572" s="2">
        <f t="shared" si="82"/>
        <v>12.414085561167836</v>
      </c>
      <c r="G572" s="2">
        <v>7.8529150000000003</v>
      </c>
      <c r="H572" s="2">
        <f t="shared" si="83"/>
        <v>25.764157648600001</v>
      </c>
      <c r="I572" s="2">
        <f>INDEX('Wood Density Lookup'!$B$2:$B$152,MATCH(B572,'Wood Density Lookup'!$A$2:$A$152,0))</f>
        <v>0.55000000000000004</v>
      </c>
      <c r="J572" s="2">
        <f t="shared" si="84"/>
        <v>236.43740306319725</v>
      </c>
      <c r="K572" s="2">
        <f t="shared" si="88"/>
        <v>66.202472857695241</v>
      </c>
      <c r="L572" s="2">
        <f t="shared" si="89"/>
        <v>302.63987592089251</v>
      </c>
      <c r="M572" s="2">
        <f t="shared" si="85"/>
        <v>219.41391004264707</v>
      </c>
      <c r="N572" s="2">
        <f t="shared" si="86"/>
        <v>109.70695502132354</v>
      </c>
      <c r="O572" s="2">
        <f t="shared" si="87"/>
        <v>402.62452492825736</v>
      </c>
      <c r="P572" s="2">
        <v>72.549885000000003</v>
      </c>
      <c r="Q572" s="2">
        <v>23.034782</v>
      </c>
    </row>
    <row r="573" spans="1:17" x14ac:dyDescent="0.25">
      <c r="A573" s="2">
        <v>658</v>
      </c>
      <c r="B573" s="2" t="s">
        <v>107</v>
      </c>
      <c r="C573" s="2">
        <v>72</v>
      </c>
      <c r="D573" s="2">
        <f t="shared" si="80"/>
        <v>182.88</v>
      </c>
      <c r="E573" s="2">
        <f t="shared" si="81"/>
        <v>58.212511985291641</v>
      </c>
      <c r="F573" s="2">
        <f t="shared" si="82"/>
        <v>22.918311805232928</v>
      </c>
      <c r="G573" s="2">
        <v>11.618732</v>
      </c>
      <c r="H573" s="2">
        <f t="shared" si="83"/>
        <v>38.11920069488</v>
      </c>
      <c r="I573" s="2">
        <f>INDEX('Wood Density Lookup'!$B$2:$B$152,MATCH(B573,'Wood Density Lookup'!$A$2:$A$152,0))</f>
        <v>0.65</v>
      </c>
      <c r="J573" s="2">
        <f t="shared" si="84"/>
        <v>1349.9737424186521</v>
      </c>
      <c r="K573" s="2">
        <f t="shared" si="88"/>
        <v>377.99264787722262</v>
      </c>
      <c r="L573" s="2">
        <f t="shared" si="89"/>
        <v>1727.9663902958748</v>
      </c>
      <c r="M573" s="2">
        <f t="shared" si="85"/>
        <v>1252.7756329645092</v>
      </c>
      <c r="N573" s="2">
        <f t="shared" si="86"/>
        <v>626.38781648225461</v>
      </c>
      <c r="O573" s="2">
        <f t="shared" si="87"/>
        <v>2298.8432864898746</v>
      </c>
      <c r="P573" s="2">
        <v>72.549892</v>
      </c>
      <c r="Q573" s="2">
        <v>23.036413</v>
      </c>
    </row>
    <row r="574" spans="1:17" x14ac:dyDescent="0.25">
      <c r="A574" s="2">
        <v>659</v>
      </c>
      <c r="B574" s="2" t="s">
        <v>97</v>
      </c>
      <c r="C574" s="2">
        <v>4</v>
      </c>
      <c r="D574" s="2">
        <f t="shared" si="80"/>
        <v>10.16</v>
      </c>
      <c r="E574" s="2">
        <f t="shared" si="81"/>
        <v>3.2340284436273135</v>
      </c>
      <c r="F574" s="2">
        <f t="shared" si="82"/>
        <v>1.2732395447351628</v>
      </c>
      <c r="G574" s="2">
        <v>11.521094</v>
      </c>
      <c r="H574" s="2">
        <f t="shared" si="83"/>
        <v>37.79886603896</v>
      </c>
      <c r="I574" s="2">
        <f>INDEX('Wood Density Lookup'!$B$2:$B$152,MATCH(B574,'Wood Density Lookup'!$A$2:$A$152,0))</f>
        <v>0.65</v>
      </c>
      <c r="J574" s="2">
        <f t="shared" si="84"/>
        <v>4.7474055969445939</v>
      </c>
      <c r="K574" s="2">
        <f t="shared" si="88"/>
        <v>1.3292735671444864</v>
      </c>
      <c r="L574" s="2">
        <f t="shared" si="89"/>
        <v>6.0766791640890805</v>
      </c>
      <c r="M574" s="2">
        <f t="shared" si="85"/>
        <v>4.4055923939645831</v>
      </c>
      <c r="N574" s="2">
        <f t="shared" si="86"/>
        <v>2.2027961969822916</v>
      </c>
      <c r="O574" s="2">
        <f t="shared" si="87"/>
        <v>8.08426204292501</v>
      </c>
      <c r="P574" s="2">
        <v>72.549892</v>
      </c>
      <c r="Q574" s="2">
        <v>23.035931000000001</v>
      </c>
    </row>
    <row r="575" spans="1:17" x14ac:dyDescent="0.25">
      <c r="A575" s="2">
        <v>660</v>
      </c>
      <c r="B575" s="2" t="s">
        <v>141</v>
      </c>
      <c r="C575" s="2">
        <v>3</v>
      </c>
      <c r="D575" s="2">
        <f t="shared" si="80"/>
        <v>7.62</v>
      </c>
      <c r="E575" s="2">
        <f t="shared" si="81"/>
        <v>2.4255213327204852</v>
      </c>
      <c r="F575" s="2">
        <f t="shared" si="82"/>
        <v>0.95492965855137202</v>
      </c>
      <c r="G575" s="2">
        <v>13.693469</v>
      </c>
      <c r="H575" s="2">
        <f t="shared" si="83"/>
        <v>44.92608083396</v>
      </c>
      <c r="I575" s="2">
        <f>INDEX('Wood Density Lookup'!$B$2:$B$152,MATCH(B575,'Wood Density Lookup'!$A$2:$A$152,0))</f>
        <v>0.6</v>
      </c>
      <c r="J575" s="2">
        <f t="shared" si="84"/>
        <v>2.963926273376766</v>
      </c>
      <c r="K575" s="2">
        <f t="shared" si="88"/>
        <v>0.82989935654549452</v>
      </c>
      <c r="L575" s="2">
        <f t="shared" si="89"/>
        <v>3.7938256299222606</v>
      </c>
      <c r="M575" s="2">
        <f t="shared" si="85"/>
        <v>2.7505235816936389</v>
      </c>
      <c r="N575" s="2">
        <f t="shared" si="86"/>
        <v>1.3752617908468194</v>
      </c>
      <c r="O575" s="2">
        <f t="shared" si="87"/>
        <v>5.0472107724078272</v>
      </c>
      <c r="P575" s="2">
        <v>72.549893999999995</v>
      </c>
      <c r="Q575" s="2">
        <v>23.034329</v>
      </c>
    </row>
    <row r="576" spans="1:17" x14ac:dyDescent="0.25">
      <c r="A576" s="2">
        <v>661</v>
      </c>
      <c r="B576" s="2" t="s">
        <v>140</v>
      </c>
      <c r="C576" s="2">
        <v>2</v>
      </c>
      <c r="D576" s="2">
        <f t="shared" si="80"/>
        <v>5.08</v>
      </c>
      <c r="E576" s="2">
        <f t="shared" si="81"/>
        <v>1.6170142218136567</v>
      </c>
      <c r="F576" s="2">
        <f t="shared" si="82"/>
        <v>0.63661977236758138</v>
      </c>
      <c r="G576" s="2">
        <v>14.343368999999999</v>
      </c>
      <c r="H576" s="2">
        <f t="shared" si="83"/>
        <v>47.058298749959995</v>
      </c>
      <c r="I576" s="2">
        <f>INDEX('Wood Density Lookup'!$B$2:$B$152,MATCH(B576,'Wood Density Lookup'!$A$2:$A$152,0))</f>
        <v>0.6</v>
      </c>
      <c r="J576" s="2">
        <f t="shared" si="84"/>
        <v>1.4053731198519412</v>
      </c>
      <c r="K576" s="2">
        <f t="shared" si="88"/>
        <v>0.39350447355854357</v>
      </c>
      <c r="L576" s="2">
        <f t="shared" si="89"/>
        <v>1.7988775934104848</v>
      </c>
      <c r="M576" s="2">
        <f t="shared" si="85"/>
        <v>1.3041862552226013</v>
      </c>
      <c r="N576" s="2">
        <f t="shared" si="86"/>
        <v>0.65209312761130067</v>
      </c>
      <c r="O576" s="2">
        <f t="shared" si="87"/>
        <v>2.3931817783334735</v>
      </c>
      <c r="P576" s="2">
        <v>72.549895000000006</v>
      </c>
      <c r="Q576" s="2">
        <v>23.034337000000001</v>
      </c>
    </row>
    <row r="577" spans="1:17" x14ac:dyDescent="0.25">
      <c r="A577" s="2">
        <v>662</v>
      </c>
      <c r="B577" s="2" t="s">
        <v>114</v>
      </c>
      <c r="C577" s="2">
        <v>11</v>
      </c>
      <c r="D577" s="2">
        <f t="shared" ref="D577:D640" si="90">C577*2.54</f>
        <v>27.94</v>
      </c>
      <c r="E577" s="2">
        <f t="shared" ref="E577:E640" si="91">D577/PI()</f>
        <v>8.8935782199751117</v>
      </c>
      <c r="F577" s="2">
        <f t="shared" ref="F577:F640" si="92">C577/PI()</f>
        <v>3.5014087480216975</v>
      </c>
      <c r="G577" s="2">
        <v>12.269373999999999</v>
      </c>
      <c r="H577" s="2">
        <f t="shared" ref="H577:H640" si="93">G577*3.28084</f>
        <v>40.253852994159999</v>
      </c>
      <c r="I577" s="2">
        <f>INDEX('Wood Density Lookup'!$B$2:$B$152,MATCH(B577,'Wood Density Lookup'!$A$2:$A$152,0))</f>
        <v>0.55000000000000004</v>
      </c>
      <c r="J577" s="2">
        <f t="shared" ref="J577:J640" si="94">0.0673*POWER(I577*E577^2*G577,0.976)</f>
        <v>30.895633257044917</v>
      </c>
      <c r="K577" s="2">
        <f t="shared" si="88"/>
        <v>8.6507773119725773</v>
      </c>
      <c r="L577" s="2">
        <f t="shared" si="89"/>
        <v>39.546410569017496</v>
      </c>
      <c r="M577" s="2">
        <f t="shared" ref="M577:M640" si="95">0.725*L577</f>
        <v>28.671147662537685</v>
      </c>
      <c r="N577" s="2">
        <f t="shared" ref="N577:N640" si="96">0.5*M577</f>
        <v>14.335573831268842</v>
      </c>
      <c r="O577" s="2">
        <f t="shared" ref="O577:O640" si="97">3.67*N577</f>
        <v>52.611555960756654</v>
      </c>
      <c r="P577" s="2">
        <v>72.549895000000006</v>
      </c>
      <c r="Q577" s="2">
        <v>23.034668</v>
      </c>
    </row>
    <row r="578" spans="1:17" x14ac:dyDescent="0.25">
      <c r="A578" s="2">
        <v>663</v>
      </c>
      <c r="B578" s="2" t="s">
        <v>31</v>
      </c>
      <c r="C578" s="2">
        <v>5</v>
      </c>
      <c r="D578" s="2">
        <f t="shared" si="90"/>
        <v>12.7</v>
      </c>
      <c r="E578" s="2">
        <f t="shared" si="91"/>
        <v>4.0425355545341413</v>
      </c>
      <c r="F578" s="2">
        <f t="shared" si="92"/>
        <v>1.5915494309189535</v>
      </c>
      <c r="G578" s="2">
        <v>1.0307729999999999</v>
      </c>
      <c r="H578" s="2">
        <f t="shared" si="93"/>
        <v>3.3818012893199998</v>
      </c>
      <c r="I578" s="2">
        <f>INDEX('Wood Density Lookup'!$B$2:$B$152,MATCH(B578,'Wood Density Lookup'!$A$2:$A$152,0))</f>
        <v>0.78</v>
      </c>
      <c r="J578" s="2">
        <f t="shared" si="94"/>
        <v>0.83125606991455381</v>
      </c>
      <c r="K578" s="2">
        <f t="shared" si="88"/>
        <v>0.23275169957607508</v>
      </c>
      <c r="L578" s="2">
        <f t="shared" si="89"/>
        <v>1.0640077694906289</v>
      </c>
      <c r="M578" s="2">
        <f t="shared" si="95"/>
        <v>0.77140563288070596</v>
      </c>
      <c r="N578" s="2">
        <f t="shared" si="96"/>
        <v>0.38570281644035298</v>
      </c>
      <c r="O578" s="2">
        <f t="shared" si="97"/>
        <v>1.4155293363360955</v>
      </c>
      <c r="P578" s="2">
        <v>72.549896000000004</v>
      </c>
      <c r="Q578" s="2">
        <v>23.038710999999999</v>
      </c>
    </row>
    <row r="579" spans="1:17" x14ac:dyDescent="0.25">
      <c r="A579" s="2">
        <v>664</v>
      </c>
      <c r="B579" s="2" t="s">
        <v>107</v>
      </c>
      <c r="C579" s="2">
        <v>49</v>
      </c>
      <c r="D579" s="2">
        <f t="shared" si="90"/>
        <v>124.46000000000001</v>
      </c>
      <c r="E579" s="2">
        <f t="shared" si="91"/>
        <v>39.616848434434594</v>
      </c>
      <c r="F579" s="2">
        <f t="shared" si="92"/>
        <v>15.597184423005743</v>
      </c>
      <c r="G579" s="2">
        <v>13.440842999999999</v>
      </c>
      <c r="H579" s="2">
        <f t="shared" si="93"/>
        <v>44.097255348119994</v>
      </c>
      <c r="I579" s="2">
        <f>INDEX('Wood Density Lookup'!$B$2:$B$152,MATCH(B579,'Wood Density Lookup'!$A$2:$A$152,0))</f>
        <v>0.65</v>
      </c>
      <c r="J579" s="2">
        <f t="shared" si="94"/>
        <v>734.21691204756917</v>
      </c>
      <c r="K579" s="2">
        <f t="shared" ref="K579:K642" si="98">0.28*J579</f>
        <v>205.58073537331938</v>
      </c>
      <c r="L579" s="2">
        <f t="shared" ref="L579:L642" si="99">J579+K579</f>
        <v>939.79764742088855</v>
      </c>
      <c r="M579" s="2">
        <f t="shared" si="95"/>
        <v>681.35329438014423</v>
      </c>
      <c r="N579" s="2">
        <f t="shared" si="96"/>
        <v>340.67664719007212</v>
      </c>
      <c r="O579" s="2">
        <f t="shared" si="97"/>
        <v>1250.2832951875646</v>
      </c>
      <c r="P579" s="2">
        <v>72.549897999999999</v>
      </c>
      <c r="Q579" s="2">
        <v>23.034690999999999</v>
      </c>
    </row>
    <row r="580" spans="1:17" x14ac:dyDescent="0.25">
      <c r="A580" s="2">
        <v>667</v>
      </c>
      <c r="B580" s="2" t="s">
        <v>87</v>
      </c>
      <c r="C580" s="2">
        <v>13</v>
      </c>
      <c r="D580" s="2">
        <f t="shared" si="90"/>
        <v>33.020000000000003</v>
      </c>
      <c r="E580" s="2">
        <f t="shared" si="91"/>
        <v>10.51059244178877</v>
      </c>
      <c r="F580" s="2">
        <f t="shared" si="92"/>
        <v>4.1380285203892786</v>
      </c>
      <c r="G580" s="2">
        <v>5.5365209999999996</v>
      </c>
      <c r="H580" s="2">
        <f t="shared" si="93"/>
        <v>18.164439557639998</v>
      </c>
      <c r="I580" s="2">
        <f>INDEX('Wood Density Lookup'!$B$2:$B$152,MATCH(B580,'Wood Density Lookup'!$A$2:$A$152,0))</f>
        <v>0.9</v>
      </c>
      <c r="J580" s="2">
        <f t="shared" si="94"/>
        <v>31.839871415173871</v>
      </c>
      <c r="K580" s="2">
        <f t="shared" si="98"/>
        <v>8.9151639962486851</v>
      </c>
      <c r="L580" s="2">
        <f t="shared" si="99"/>
        <v>40.755035411422554</v>
      </c>
      <c r="M580" s="2">
        <f t="shared" si="95"/>
        <v>29.547400673281352</v>
      </c>
      <c r="N580" s="2">
        <f t="shared" si="96"/>
        <v>14.773700336640676</v>
      </c>
      <c r="O580" s="2">
        <f t="shared" si="97"/>
        <v>54.219480235471281</v>
      </c>
      <c r="P580" s="2">
        <v>72.549904999999995</v>
      </c>
      <c r="Q580" s="2">
        <v>23.037853999999999</v>
      </c>
    </row>
    <row r="581" spans="1:17" x14ac:dyDescent="0.25">
      <c r="A581" s="2">
        <v>669</v>
      </c>
      <c r="B581" s="2" t="s">
        <v>145</v>
      </c>
      <c r="C581" s="2">
        <v>22</v>
      </c>
      <c r="D581" s="2">
        <f t="shared" si="90"/>
        <v>55.88</v>
      </c>
      <c r="E581" s="2">
        <f t="shared" si="91"/>
        <v>17.787156439950223</v>
      </c>
      <c r="F581" s="2">
        <f t="shared" si="92"/>
        <v>7.0028174960433951</v>
      </c>
      <c r="G581" s="2">
        <v>10.404368</v>
      </c>
      <c r="H581" s="2">
        <f t="shared" si="93"/>
        <v>34.135066709119997</v>
      </c>
      <c r="I581" s="2">
        <f>INDEX('Wood Density Lookup'!$B$2:$B$152,MATCH(B581,'Wood Density Lookup'!$A$2:$A$152,0))</f>
        <v>0.55000000000000004</v>
      </c>
      <c r="J581" s="2">
        <f t="shared" si="94"/>
        <v>101.76993877688986</v>
      </c>
      <c r="K581" s="2">
        <f t="shared" si="98"/>
        <v>28.495582857529165</v>
      </c>
      <c r="L581" s="2">
        <f t="shared" si="99"/>
        <v>130.26552163441903</v>
      </c>
      <c r="M581" s="2">
        <f t="shared" si="95"/>
        <v>94.442503184953793</v>
      </c>
      <c r="N581" s="2">
        <f t="shared" si="96"/>
        <v>47.221251592476897</v>
      </c>
      <c r="O581" s="2">
        <f t="shared" si="97"/>
        <v>173.30199334439021</v>
      </c>
      <c r="P581" s="2">
        <v>72.549907000000005</v>
      </c>
      <c r="Q581" s="2">
        <v>23.035492999999999</v>
      </c>
    </row>
    <row r="582" spans="1:17" x14ac:dyDescent="0.25">
      <c r="A582" s="2">
        <v>670</v>
      </c>
      <c r="B582" s="2" t="s">
        <v>93</v>
      </c>
      <c r="C582" s="2">
        <v>22</v>
      </c>
      <c r="D582" s="2">
        <f t="shared" si="90"/>
        <v>55.88</v>
      </c>
      <c r="E582" s="2">
        <f t="shared" si="91"/>
        <v>17.787156439950223</v>
      </c>
      <c r="F582" s="2">
        <f t="shared" si="92"/>
        <v>7.0028174960433951</v>
      </c>
      <c r="G582" s="2">
        <v>7.6823050000000004</v>
      </c>
      <c r="H582" s="2">
        <f t="shared" si="93"/>
        <v>25.204413536200001</v>
      </c>
      <c r="I582" s="2">
        <f>INDEX('Wood Density Lookup'!$B$2:$B$152,MATCH(B582,'Wood Density Lookup'!$A$2:$A$152,0))</f>
        <v>0.9</v>
      </c>
      <c r="J582" s="2">
        <f t="shared" si="94"/>
        <v>122.40620625580596</v>
      </c>
      <c r="K582" s="2">
        <f t="shared" si="98"/>
        <v>34.273737751625667</v>
      </c>
      <c r="L582" s="2">
        <f t="shared" si="99"/>
        <v>156.67994400743163</v>
      </c>
      <c r="M582" s="2">
        <f t="shared" si="95"/>
        <v>113.59295940538793</v>
      </c>
      <c r="N582" s="2">
        <f t="shared" si="96"/>
        <v>56.796479702693965</v>
      </c>
      <c r="O582" s="2">
        <f t="shared" si="97"/>
        <v>208.44308050888685</v>
      </c>
      <c r="P582" s="2">
        <v>72.549908000000002</v>
      </c>
      <c r="Q582" s="2">
        <v>23.036684000000001</v>
      </c>
    </row>
    <row r="583" spans="1:17" x14ac:dyDescent="0.25">
      <c r="A583" s="2">
        <v>671</v>
      </c>
      <c r="B583" s="2" t="s">
        <v>141</v>
      </c>
      <c r="C583" s="2">
        <v>3</v>
      </c>
      <c r="D583" s="2">
        <f t="shared" si="90"/>
        <v>7.62</v>
      </c>
      <c r="E583" s="2">
        <f t="shared" si="91"/>
        <v>2.4255213327204852</v>
      </c>
      <c r="F583" s="2">
        <f t="shared" si="92"/>
        <v>0.95492965855137202</v>
      </c>
      <c r="G583" s="2">
        <v>16.070270000000001</v>
      </c>
      <c r="H583" s="2">
        <f t="shared" si="93"/>
        <v>52.723984626800004</v>
      </c>
      <c r="I583" s="2">
        <f>INDEX('Wood Density Lookup'!$B$2:$B$152,MATCH(B583,'Wood Density Lookup'!$A$2:$A$152,0))</f>
        <v>0.6</v>
      </c>
      <c r="J583" s="2">
        <f t="shared" si="94"/>
        <v>3.4650448036402954</v>
      </c>
      <c r="K583" s="2">
        <f t="shared" si="98"/>
        <v>0.97021254501928278</v>
      </c>
      <c r="L583" s="2">
        <f t="shared" si="99"/>
        <v>4.4352573486595785</v>
      </c>
      <c r="M583" s="2">
        <f t="shared" si="95"/>
        <v>3.2155615777781943</v>
      </c>
      <c r="N583" s="2">
        <f t="shared" si="96"/>
        <v>1.6077807888890971</v>
      </c>
      <c r="O583" s="2">
        <f t="shared" si="97"/>
        <v>5.9005554952229868</v>
      </c>
      <c r="P583" s="2">
        <v>72.549908000000002</v>
      </c>
      <c r="Q583" s="2">
        <v>23.034341999999999</v>
      </c>
    </row>
    <row r="584" spans="1:17" x14ac:dyDescent="0.25">
      <c r="A584" s="2">
        <v>672</v>
      </c>
      <c r="B584" s="2" t="s">
        <v>141</v>
      </c>
      <c r="C584" s="2">
        <v>4</v>
      </c>
      <c r="D584" s="2">
        <f t="shared" si="90"/>
        <v>10.16</v>
      </c>
      <c r="E584" s="2">
        <f t="shared" si="91"/>
        <v>3.2340284436273135</v>
      </c>
      <c r="F584" s="2">
        <f t="shared" si="92"/>
        <v>1.2732395447351628</v>
      </c>
      <c r="G584" s="2">
        <v>15.626258</v>
      </c>
      <c r="H584" s="2">
        <f t="shared" si="93"/>
        <v>51.267252296720002</v>
      </c>
      <c r="I584" s="2">
        <f>INDEX('Wood Density Lookup'!$B$2:$B$152,MATCH(B584,'Wood Density Lookup'!$A$2:$A$152,0))</f>
        <v>0.6</v>
      </c>
      <c r="J584" s="2">
        <f t="shared" si="94"/>
        <v>5.9117100034287953</v>
      </c>
      <c r="K584" s="2">
        <f t="shared" si="98"/>
        <v>1.6552788009600627</v>
      </c>
      <c r="L584" s="2">
        <f t="shared" si="99"/>
        <v>7.566988804388858</v>
      </c>
      <c r="M584" s="2">
        <f t="shared" si="95"/>
        <v>5.4860668831819215</v>
      </c>
      <c r="N584" s="2">
        <f t="shared" si="96"/>
        <v>2.7430334415909607</v>
      </c>
      <c r="O584" s="2">
        <f t="shared" si="97"/>
        <v>10.066932730638825</v>
      </c>
      <c r="P584" s="2">
        <v>72.549909</v>
      </c>
      <c r="Q584" s="2">
        <v>23.034334999999999</v>
      </c>
    </row>
    <row r="585" spans="1:17" x14ac:dyDescent="0.25">
      <c r="A585" s="2">
        <v>673</v>
      </c>
      <c r="B585" s="2" t="s">
        <v>55</v>
      </c>
      <c r="C585" s="2">
        <v>57</v>
      </c>
      <c r="D585" s="2">
        <f t="shared" si="90"/>
        <v>144.78</v>
      </c>
      <c r="E585" s="2">
        <f t="shared" si="91"/>
        <v>46.084905321689213</v>
      </c>
      <c r="F585" s="2">
        <f t="shared" si="92"/>
        <v>18.143663512476071</v>
      </c>
      <c r="G585" s="2">
        <v>8.1491720000000001</v>
      </c>
      <c r="H585" s="2">
        <f t="shared" si="93"/>
        <v>26.736129464480001</v>
      </c>
      <c r="I585" s="2">
        <f>INDEX('Wood Density Lookup'!$B$2:$B$152,MATCH(B585,'Wood Density Lookup'!$A$2:$A$152,0))</f>
        <v>0.75</v>
      </c>
      <c r="J585" s="2">
        <f t="shared" si="94"/>
        <v>695.96628210792244</v>
      </c>
      <c r="K585" s="2">
        <f t="shared" si="98"/>
        <v>194.87055899021831</v>
      </c>
      <c r="L585" s="2">
        <f t="shared" si="99"/>
        <v>890.83684109814078</v>
      </c>
      <c r="M585" s="2">
        <f t="shared" si="95"/>
        <v>645.85670979615202</v>
      </c>
      <c r="N585" s="2">
        <f t="shared" si="96"/>
        <v>322.92835489807601</v>
      </c>
      <c r="O585" s="2">
        <f t="shared" si="97"/>
        <v>1185.147062475939</v>
      </c>
      <c r="P585" s="2">
        <v>72.549910999999994</v>
      </c>
      <c r="Q585" s="2">
        <v>23.036133</v>
      </c>
    </row>
    <row r="586" spans="1:17" x14ac:dyDescent="0.25">
      <c r="A586" s="2">
        <v>674</v>
      </c>
      <c r="B586" s="2" t="s">
        <v>5</v>
      </c>
      <c r="C586" s="2">
        <v>17</v>
      </c>
      <c r="D586" s="2">
        <f t="shared" si="90"/>
        <v>43.18</v>
      </c>
      <c r="E586" s="2">
        <f t="shared" si="91"/>
        <v>13.744620885416081</v>
      </c>
      <c r="F586" s="2">
        <f t="shared" si="92"/>
        <v>5.4112680651244416</v>
      </c>
      <c r="G586" s="2">
        <v>7.2313219999999996</v>
      </c>
      <c r="H586" s="2">
        <f t="shared" si="93"/>
        <v>23.724810470479998</v>
      </c>
      <c r="I586" s="2">
        <f>INDEX('Wood Density Lookup'!$B$2:$B$152,MATCH(B586,'Wood Density Lookup'!$A$2:$A$152,0))</f>
        <v>0.45</v>
      </c>
      <c r="J586" s="2">
        <f t="shared" si="94"/>
        <v>35.463542132740464</v>
      </c>
      <c r="K586" s="2">
        <f t="shared" si="98"/>
        <v>9.9297917971673311</v>
      </c>
      <c r="L586" s="2">
        <f t="shared" si="99"/>
        <v>45.393333929907797</v>
      </c>
      <c r="M586" s="2">
        <f t="shared" si="95"/>
        <v>32.910167099183155</v>
      </c>
      <c r="N586" s="2">
        <f t="shared" si="96"/>
        <v>16.455083549591578</v>
      </c>
      <c r="O586" s="2">
        <f t="shared" si="97"/>
        <v>60.39015662700109</v>
      </c>
      <c r="P586" s="2">
        <v>72.549910999999994</v>
      </c>
      <c r="Q586" s="2">
        <v>23.036701999999998</v>
      </c>
    </row>
    <row r="587" spans="1:17" x14ac:dyDescent="0.25">
      <c r="A587" s="2">
        <v>675</v>
      </c>
      <c r="B587" s="2" t="s">
        <v>15</v>
      </c>
      <c r="C587" s="2">
        <v>94</v>
      </c>
      <c r="D587" s="2">
        <f t="shared" si="90"/>
        <v>238.76</v>
      </c>
      <c r="E587" s="2">
        <f t="shared" si="91"/>
        <v>75.999668425241865</v>
      </c>
      <c r="F587" s="2">
        <f t="shared" si="92"/>
        <v>29.921129301276324</v>
      </c>
      <c r="G587" s="2">
        <v>9.2104769999999991</v>
      </c>
      <c r="H587" s="2">
        <f t="shared" si="93"/>
        <v>30.218101360679999</v>
      </c>
      <c r="I587" s="2">
        <f>INDEX('Wood Density Lookup'!$B$2:$B$152,MATCH(B587,'Wood Density Lookup'!$A$2:$A$152,0))</f>
        <v>0.75</v>
      </c>
      <c r="J587" s="2">
        <f t="shared" si="94"/>
        <v>2082.3735669021667</v>
      </c>
      <c r="K587" s="2">
        <f t="shared" si="98"/>
        <v>583.06459873260667</v>
      </c>
      <c r="L587" s="2">
        <f t="shared" si="99"/>
        <v>2665.4381656347732</v>
      </c>
      <c r="M587" s="2">
        <f t="shared" si="95"/>
        <v>1932.4426700852105</v>
      </c>
      <c r="N587" s="2">
        <f t="shared" si="96"/>
        <v>966.22133504260523</v>
      </c>
      <c r="O587" s="2">
        <f t="shared" si="97"/>
        <v>3546.032299606361</v>
      </c>
      <c r="P587" s="2">
        <v>72.549914999999999</v>
      </c>
      <c r="Q587" s="2">
        <v>23.037783000000001</v>
      </c>
    </row>
    <row r="588" spans="1:17" x14ac:dyDescent="0.25">
      <c r="A588" s="2">
        <v>676</v>
      </c>
      <c r="B588" s="2" t="s">
        <v>114</v>
      </c>
      <c r="C588" s="2">
        <v>13</v>
      </c>
      <c r="D588" s="2">
        <f t="shared" si="90"/>
        <v>33.020000000000003</v>
      </c>
      <c r="E588" s="2">
        <f t="shared" si="91"/>
        <v>10.51059244178877</v>
      </c>
      <c r="F588" s="2">
        <f t="shared" si="92"/>
        <v>4.1380285203892786</v>
      </c>
      <c r="G588" s="2">
        <v>8.6615669999999998</v>
      </c>
      <c r="H588" s="2">
        <f t="shared" si="93"/>
        <v>28.417215476279999</v>
      </c>
      <c r="I588" s="2">
        <f>INDEX('Wood Density Lookup'!$B$2:$B$152,MATCH(B588,'Wood Density Lookup'!$A$2:$A$152,0))</f>
        <v>0.55000000000000004</v>
      </c>
      <c r="J588" s="2">
        <f t="shared" si="94"/>
        <v>30.473300204798306</v>
      </c>
      <c r="K588" s="2">
        <f t="shared" si="98"/>
        <v>8.5325240573435259</v>
      </c>
      <c r="L588" s="2">
        <f t="shared" si="99"/>
        <v>39.005824262141829</v>
      </c>
      <c r="M588" s="2">
        <f t="shared" si="95"/>
        <v>28.279222590052825</v>
      </c>
      <c r="N588" s="2">
        <f t="shared" si="96"/>
        <v>14.139611295026413</v>
      </c>
      <c r="O588" s="2">
        <f t="shared" si="97"/>
        <v>51.892373452746931</v>
      </c>
      <c r="P588" s="2">
        <v>72.549914999999999</v>
      </c>
      <c r="Q588" s="2">
        <v>23.035475000000002</v>
      </c>
    </row>
    <row r="589" spans="1:17" x14ac:dyDescent="0.25">
      <c r="A589" s="2">
        <v>678</v>
      </c>
      <c r="B589" s="2" t="s">
        <v>82</v>
      </c>
      <c r="C589" s="2">
        <v>22</v>
      </c>
      <c r="D589" s="2">
        <f t="shared" si="90"/>
        <v>55.88</v>
      </c>
      <c r="E589" s="2">
        <f t="shared" si="91"/>
        <v>17.787156439950223</v>
      </c>
      <c r="F589" s="2">
        <f t="shared" si="92"/>
        <v>7.0028174960433951</v>
      </c>
      <c r="G589" s="2">
        <v>8.0698260000000008</v>
      </c>
      <c r="H589" s="2">
        <f t="shared" si="93"/>
        <v>26.475807933840002</v>
      </c>
      <c r="I589" s="2">
        <f>INDEX('Wood Density Lookup'!$B$2:$B$152,MATCH(B589,'Wood Density Lookup'!$A$2:$A$152,0))</f>
        <v>0.7</v>
      </c>
      <c r="J589" s="2">
        <f t="shared" si="94"/>
        <v>100.49353378156233</v>
      </c>
      <c r="K589" s="2">
        <f t="shared" si="98"/>
        <v>28.138189458837456</v>
      </c>
      <c r="L589" s="2">
        <f t="shared" si="99"/>
        <v>128.63172324039979</v>
      </c>
      <c r="M589" s="2">
        <f t="shared" si="95"/>
        <v>93.257999349289847</v>
      </c>
      <c r="N589" s="2">
        <f t="shared" si="96"/>
        <v>46.628999674644923</v>
      </c>
      <c r="O589" s="2">
        <f t="shared" si="97"/>
        <v>171.12842880594687</v>
      </c>
      <c r="P589" s="2">
        <v>72.549923000000007</v>
      </c>
      <c r="Q589" s="2">
        <v>23.036142000000002</v>
      </c>
    </row>
    <row r="590" spans="1:17" x14ac:dyDescent="0.25">
      <c r="A590" s="2">
        <v>679</v>
      </c>
      <c r="B590" s="2" t="s">
        <v>15</v>
      </c>
      <c r="C590" s="2">
        <v>6</v>
      </c>
      <c r="D590" s="2">
        <f t="shared" si="90"/>
        <v>15.24</v>
      </c>
      <c r="E590" s="2">
        <f t="shared" si="91"/>
        <v>4.8510426654409704</v>
      </c>
      <c r="F590" s="2">
        <f t="shared" si="92"/>
        <v>1.909859317102744</v>
      </c>
      <c r="G590" s="2">
        <v>1.0724210000000001</v>
      </c>
      <c r="H590" s="2">
        <f t="shared" si="93"/>
        <v>3.5184417136400001</v>
      </c>
      <c r="I590" s="2">
        <f>INDEX('Wood Density Lookup'!$B$2:$B$152,MATCH(B590,'Wood Density Lookup'!$A$2:$A$152,0))</f>
        <v>0.75</v>
      </c>
      <c r="J590" s="2">
        <f t="shared" si="94"/>
        <v>1.1870294767353189</v>
      </c>
      <c r="K590" s="2">
        <f t="shared" si="98"/>
        <v>0.33236825348588933</v>
      </c>
      <c r="L590" s="2">
        <f t="shared" si="99"/>
        <v>1.5193977302212083</v>
      </c>
      <c r="M590" s="2">
        <f t="shared" si="95"/>
        <v>1.101563354410376</v>
      </c>
      <c r="N590" s="2">
        <f t="shared" si="96"/>
        <v>0.550781677205188</v>
      </c>
      <c r="O590" s="2">
        <f t="shared" si="97"/>
        <v>2.0213687553430399</v>
      </c>
      <c r="P590" s="2">
        <v>72.549925000000002</v>
      </c>
      <c r="Q590" s="2">
        <v>23.037078999999999</v>
      </c>
    </row>
    <row r="591" spans="1:17" x14ac:dyDescent="0.25">
      <c r="A591" s="2">
        <v>682</v>
      </c>
      <c r="B591" s="2" t="s">
        <v>141</v>
      </c>
      <c r="C591" s="2">
        <v>3</v>
      </c>
      <c r="D591" s="2">
        <f t="shared" si="90"/>
        <v>7.62</v>
      </c>
      <c r="E591" s="2">
        <f t="shared" si="91"/>
        <v>2.4255213327204852</v>
      </c>
      <c r="F591" s="2">
        <f t="shared" si="92"/>
        <v>0.95492965855137202</v>
      </c>
      <c r="G591" s="2">
        <v>16.288094999999998</v>
      </c>
      <c r="H591" s="2">
        <f t="shared" si="93"/>
        <v>53.438633599799992</v>
      </c>
      <c r="I591" s="2">
        <f>INDEX('Wood Density Lookup'!$B$2:$B$152,MATCH(B591,'Wood Density Lookup'!$A$2:$A$152,0))</f>
        <v>0.6</v>
      </c>
      <c r="J591" s="2">
        <f t="shared" si="94"/>
        <v>3.5108772353871527</v>
      </c>
      <c r="K591" s="2">
        <f t="shared" si="98"/>
        <v>0.98304562590840283</v>
      </c>
      <c r="L591" s="2">
        <f t="shared" si="99"/>
        <v>4.4939228612955553</v>
      </c>
      <c r="M591" s="2">
        <f t="shared" si="95"/>
        <v>3.2580940744392777</v>
      </c>
      <c r="N591" s="2">
        <f t="shared" si="96"/>
        <v>1.6290470372196388</v>
      </c>
      <c r="O591" s="2">
        <f t="shared" si="97"/>
        <v>5.9786026265960741</v>
      </c>
      <c r="P591" s="2">
        <v>72.549927999999994</v>
      </c>
      <c r="Q591" s="2">
        <v>23.034348000000001</v>
      </c>
    </row>
    <row r="592" spans="1:17" x14ac:dyDescent="0.25">
      <c r="A592" s="2">
        <v>683</v>
      </c>
      <c r="B592" s="2" t="s">
        <v>10</v>
      </c>
      <c r="C592" s="2">
        <v>43</v>
      </c>
      <c r="D592" s="2">
        <f t="shared" si="90"/>
        <v>109.22</v>
      </c>
      <c r="E592" s="2">
        <f t="shared" si="91"/>
        <v>34.765805768993616</v>
      </c>
      <c r="F592" s="2">
        <f t="shared" si="92"/>
        <v>13.687325105903</v>
      </c>
      <c r="G592" s="2">
        <v>9.8386659999999999</v>
      </c>
      <c r="H592" s="2">
        <f t="shared" si="93"/>
        <v>32.279088959440003</v>
      </c>
      <c r="I592" s="2">
        <f>INDEX('Wood Density Lookup'!$B$2:$B$152,MATCH(B592,'Wood Density Lookup'!$A$2:$A$152,0))</f>
        <v>0.65</v>
      </c>
      <c r="J592" s="2">
        <f t="shared" si="94"/>
        <v>419.61744709956605</v>
      </c>
      <c r="K592" s="2">
        <f t="shared" si="98"/>
        <v>117.4928851878785</v>
      </c>
      <c r="L592" s="2">
        <f t="shared" si="99"/>
        <v>537.11033228744452</v>
      </c>
      <c r="M592" s="2">
        <f t="shared" si="95"/>
        <v>389.40499090839728</v>
      </c>
      <c r="N592" s="2">
        <f t="shared" si="96"/>
        <v>194.70249545419864</v>
      </c>
      <c r="O592" s="2">
        <f t="shared" si="97"/>
        <v>714.55815831690904</v>
      </c>
      <c r="P592" s="2">
        <v>72.549930000000003</v>
      </c>
      <c r="Q592" s="2">
        <v>23.035875999999998</v>
      </c>
    </row>
    <row r="593" spans="1:17" x14ac:dyDescent="0.25">
      <c r="A593" s="2">
        <v>687</v>
      </c>
      <c r="B593" s="2" t="s">
        <v>141</v>
      </c>
      <c r="C593" s="2">
        <v>3</v>
      </c>
      <c r="D593" s="2">
        <f t="shared" si="90"/>
        <v>7.62</v>
      </c>
      <c r="E593" s="2">
        <f t="shared" si="91"/>
        <v>2.4255213327204852</v>
      </c>
      <c r="F593" s="2">
        <f t="shared" si="92"/>
        <v>0.95492965855137202</v>
      </c>
      <c r="G593" s="2">
        <v>14.316215</v>
      </c>
      <c r="H593" s="2">
        <f t="shared" si="93"/>
        <v>46.969210820599997</v>
      </c>
      <c r="I593" s="2">
        <f>INDEX('Wood Density Lookup'!$B$2:$B$152,MATCH(B593,'Wood Density Lookup'!$A$2:$A$152,0))</f>
        <v>0.6</v>
      </c>
      <c r="J593" s="2">
        <f t="shared" si="94"/>
        <v>3.0954127850796369</v>
      </c>
      <c r="K593" s="2">
        <f t="shared" si="98"/>
        <v>0.86671557982229841</v>
      </c>
      <c r="L593" s="2">
        <f t="shared" si="99"/>
        <v>3.9621283649019352</v>
      </c>
      <c r="M593" s="2">
        <f t="shared" si="95"/>
        <v>2.872543064553903</v>
      </c>
      <c r="N593" s="2">
        <f t="shared" si="96"/>
        <v>1.4362715322769515</v>
      </c>
      <c r="O593" s="2">
        <f t="shared" si="97"/>
        <v>5.2711165234564117</v>
      </c>
      <c r="P593" s="2">
        <v>72.549942999999999</v>
      </c>
      <c r="Q593" s="2">
        <v>23.034352999999999</v>
      </c>
    </row>
    <row r="594" spans="1:17" x14ac:dyDescent="0.25">
      <c r="A594" s="2">
        <v>688</v>
      </c>
      <c r="B594" s="2" t="s">
        <v>15</v>
      </c>
      <c r="C594" s="2">
        <v>3</v>
      </c>
      <c r="D594" s="2">
        <f t="shared" si="90"/>
        <v>7.62</v>
      </c>
      <c r="E594" s="2">
        <f t="shared" si="91"/>
        <v>2.4255213327204852</v>
      </c>
      <c r="F594" s="2">
        <f t="shared" si="92"/>
        <v>0.95492965855137202</v>
      </c>
      <c r="G594" s="2">
        <v>3.670099</v>
      </c>
      <c r="H594" s="2">
        <f t="shared" si="93"/>
        <v>12.041007603160001</v>
      </c>
      <c r="I594" s="2">
        <f>INDEX('Wood Density Lookup'!$B$2:$B$152,MATCH(B594,'Wood Density Lookup'!$A$2:$A$152,0))</f>
        <v>0.75</v>
      </c>
      <c r="J594" s="2">
        <f t="shared" si="94"/>
        <v>1.0193889522028126</v>
      </c>
      <c r="K594" s="2">
        <f t="shared" si="98"/>
        <v>0.28542890661678755</v>
      </c>
      <c r="L594" s="2">
        <f t="shared" si="99"/>
        <v>1.3048178588196002</v>
      </c>
      <c r="M594" s="2">
        <f t="shared" si="95"/>
        <v>0.94599294764421016</v>
      </c>
      <c r="N594" s="2">
        <f t="shared" si="96"/>
        <v>0.47299647382210508</v>
      </c>
      <c r="O594" s="2">
        <f t="shared" si="97"/>
        <v>1.7358970589271256</v>
      </c>
      <c r="P594" s="2">
        <v>72.549944999999994</v>
      </c>
      <c r="Q594" s="2">
        <v>23.036678999999999</v>
      </c>
    </row>
    <row r="595" spans="1:17" x14ac:dyDescent="0.25">
      <c r="A595" s="2">
        <v>689</v>
      </c>
      <c r="B595" s="2" t="s">
        <v>7</v>
      </c>
      <c r="C595" s="2">
        <v>3</v>
      </c>
      <c r="D595" s="2">
        <f t="shared" si="90"/>
        <v>7.62</v>
      </c>
      <c r="E595" s="2">
        <f t="shared" si="91"/>
        <v>2.4255213327204852</v>
      </c>
      <c r="F595" s="2">
        <f t="shared" si="92"/>
        <v>0.95492965855137202</v>
      </c>
      <c r="G595" s="2">
        <v>3.5972179999999998</v>
      </c>
      <c r="H595" s="2">
        <f t="shared" si="93"/>
        <v>11.801896703119999</v>
      </c>
      <c r="I595" s="2">
        <f>INDEX('Wood Density Lookup'!$B$2:$B$152,MATCH(B595,'Wood Density Lookup'!$A$2:$A$152,0))</f>
        <v>0.5</v>
      </c>
      <c r="J595" s="2">
        <f t="shared" si="94"/>
        <v>0.67293465873258773</v>
      </c>
      <c r="K595" s="2">
        <f t="shared" si="98"/>
        <v>0.18842170444512457</v>
      </c>
      <c r="L595" s="2">
        <f t="shared" si="99"/>
        <v>0.86135636317771236</v>
      </c>
      <c r="M595" s="2">
        <f t="shared" si="95"/>
        <v>0.62448336330384147</v>
      </c>
      <c r="N595" s="2">
        <f t="shared" si="96"/>
        <v>0.31224168165192073</v>
      </c>
      <c r="O595" s="2">
        <f t="shared" si="97"/>
        <v>1.1459269716625491</v>
      </c>
      <c r="P595" s="2">
        <v>72.549946000000006</v>
      </c>
      <c r="Q595" s="2">
        <v>23.036670000000001</v>
      </c>
    </row>
    <row r="596" spans="1:17" x14ac:dyDescent="0.25">
      <c r="A596" s="2">
        <v>690</v>
      </c>
      <c r="B596" s="2" t="s">
        <v>82</v>
      </c>
      <c r="C596" s="2">
        <v>16</v>
      </c>
      <c r="D596" s="2">
        <f t="shared" si="90"/>
        <v>40.64</v>
      </c>
      <c r="E596" s="2">
        <f t="shared" si="91"/>
        <v>12.936113774509254</v>
      </c>
      <c r="F596" s="2">
        <f t="shared" si="92"/>
        <v>5.0929581789406511</v>
      </c>
      <c r="G596" s="2">
        <v>12.039012</v>
      </c>
      <c r="H596" s="2">
        <f t="shared" si="93"/>
        <v>39.498072130079997</v>
      </c>
      <c r="I596" s="2">
        <f>INDEX('Wood Density Lookup'!$B$2:$B$152,MATCH(B596,'Wood Density Lookup'!$A$2:$A$152,0))</f>
        <v>0.7</v>
      </c>
      <c r="J596" s="2">
        <f t="shared" si="94"/>
        <v>79.749595285459932</v>
      </c>
      <c r="K596" s="2">
        <f t="shared" si="98"/>
        <v>22.329886679928784</v>
      </c>
      <c r="L596" s="2">
        <f t="shared" si="99"/>
        <v>102.07948196538871</v>
      </c>
      <c r="M596" s="2">
        <f t="shared" si="95"/>
        <v>74.007624424906808</v>
      </c>
      <c r="N596" s="2">
        <f t="shared" si="96"/>
        <v>37.003812212453404</v>
      </c>
      <c r="O596" s="2">
        <f t="shared" si="97"/>
        <v>135.80399081970398</v>
      </c>
      <c r="P596" s="2">
        <v>72.549946000000006</v>
      </c>
      <c r="Q596" s="2">
        <v>23.035233999999999</v>
      </c>
    </row>
    <row r="597" spans="1:17" x14ac:dyDescent="0.25">
      <c r="A597" s="2">
        <v>692</v>
      </c>
      <c r="B597" s="2" t="s">
        <v>115</v>
      </c>
      <c r="C597" s="2">
        <v>22</v>
      </c>
      <c r="D597" s="2">
        <f t="shared" si="90"/>
        <v>55.88</v>
      </c>
      <c r="E597" s="2">
        <f t="shared" si="91"/>
        <v>17.787156439950223</v>
      </c>
      <c r="F597" s="2">
        <f t="shared" si="92"/>
        <v>7.0028174960433951</v>
      </c>
      <c r="G597" s="2">
        <v>11.376799</v>
      </c>
      <c r="H597" s="2">
        <f t="shared" si="93"/>
        <v>37.325457231160001</v>
      </c>
      <c r="I597" s="2">
        <f>INDEX('Wood Density Lookup'!$B$2:$B$152,MATCH(B597,'Wood Density Lookup'!$A$2:$A$152,0))</f>
        <v>0.65</v>
      </c>
      <c r="J597" s="2">
        <f t="shared" si="94"/>
        <v>130.70796098481236</v>
      </c>
      <c r="K597" s="2">
        <f t="shared" si="98"/>
        <v>36.598229075747462</v>
      </c>
      <c r="L597" s="2">
        <f t="shared" si="99"/>
        <v>167.30619006055983</v>
      </c>
      <c r="M597" s="2">
        <f t="shared" si="95"/>
        <v>121.29698779390587</v>
      </c>
      <c r="N597" s="2">
        <f t="shared" si="96"/>
        <v>60.648493896952935</v>
      </c>
      <c r="O597" s="2">
        <f t="shared" si="97"/>
        <v>222.57997260181727</v>
      </c>
      <c r="P597" s="2">
        <v>72.549948999999998</v>
      </c>
      <c r="Q597" s="2">
        <v>23.035962000000001</v>
      </c>
    </row>
    <row r="598" spans="1:17" x14ac:dyDescent="0.25">
      <c r="A598" s="2">
        <v>693</v>
      </c>
      <c r="B598" s="2" t="s">
        <v>135</v>
      </c>
      <c r="C598" s="2">
        <v>6</v>
      </c>
      <c r="D598" s="2">
        <f t="shared" si="90"/>
        <v>15.24</v>
      </c>
      <c r="E598" s="2">
        <f t="shared" si="91"/>
        <v>4.8510426654409704</v>
      </c>
      <c r="F598" s="2">
        <f t="shared" si="92"/>
        <v>1.909859317102744</v>
      </c>
      <c r="G598" s="2">
        <v>8.681438</v>
      </c>
      <c r="H598" s="2">
        <f t="shared" si="93"/>
        <v>28.482409047920001</v>
      </c>
      <c r="I598" s="2">
        <f>INDEX('Wood Density Lookup'!$B$2:$B$152,MATCH(B598,'Wood Density Lookup'!$A$2:$A$152,0))</f>
        <v>0.8</v>
      </c>
      <c r="J598" s="2">
        <f t="shared" si="94"/>
        <v>9.7329941779738149</v>
      </c>
      <c r="K598" s="2">
        <f t="shared" si="98"/>
        <v>2.7252383698326685</v>
      </c>
      <c r="L598" s="2">
        <f t="shared" si="99"/>
        <v>12.458232547806483</v>
      </c>
      <c r="M598" s="2">
        <f t="shared" si="95"/>
        <v>9.0322185971596998</v>
      </c>
      <c r="N598" s="2">
        <f t="shared" si="96"/>
        <v>4.5161092985798499</v>
      </c>
      <c r="O598" s="2">
        <f t="shared" si="97"/>
        <v>16.57412112578805</v>
      </c>
      <c r="P598" s="2">
        <v>72.549949999999995</v>
      </c>
      <c r="Q598" s="2">
        <v>23.034704999999999</v>
      </c>
    </row>
    <row r="599" spans="1:17" x14ac:dyDescent="0.25">
      <c r="A599" s="2">
        <v>697</v>
      </c>
      <c r="B599" s="2" t="s">
        <v>3</v>
      </c>
      <c r="C599" s="2">
        <v>24</v>
      </c>
      <c r="D599" s="2">
        <f t="shared" si="90"/>
        <v>60.96</v>
      </c>
      <c r="E599" s="2">
        <f t="shared" si="91"/>
        <v>19.404170661763882</v>
      </c>
      <c r="F599" s="2">
        <f t="shared" si="92"/>
        <v>7.6394372684109761</v>
      </c>
      <c r="G599" s="2">
        <v>8.49</v>
      </c>
      <c r="H599" s="2">
        <f t="shared" si="93"/>
        <v>27.854331600000002</v>
      </c>
      <c r="I599" s="2">
        <f>INDEX('Wood Density Lookup'!$B$2:$B$152,MATCH(B599,'Wood Density Lookup'!$A$2:$A$152,0))</f>
        <v>0.62</v>
      </c>
      <c r="J599" s="2">
        <f t="shared" si="94"/>
        <v>111.16663658593744</v>
      </c>
      <c r="K599" s="2">
        <f t="shared" si="98"/>
        <v>31.126658244062487</v>
      </c>
      <c r="L599" s="2">
        <f t="shared" si="99"/>
        <v>142.29329482999992</v>
      </c>
      <c r="M599" s="2">
        <f t="shared" si="95"/>
        <v>103.16263875174994</v>
      </c>
      <c r="N599" s="2">
        <f t="shared" si="96"/>
        <v>51.581319375874969</v>
      </c>
      <c r="O599" s="2">
        <f t="shared" si="97"/>
        <v>189.30344210946114</v>
      </c>
      <c r="P599" s="2">
        <v>72.549954</v>
      </c>
      <c r="Q599" s="2">
        <v>23.038726</v>
      </c>
    </row>
    <row r="600" spans="1:17" x14ac:dyDescent="0.25">
      <c r="A600" s="2">
        <v>698</v>
      </c>
      <c r="B600" s="2" t="s">
        <v>131</v>
      </c>
      <c r="C600" s="2">
        <v>14</v>
      </c>
      <c r="D600" s="2">
        <f t="shared" si="90"/>
        <v>35.56</v>
      </c>
      <c r="E600" s="2">
        <f t="shared" si="91"/>
        <v>11.319099552695597</v>
      </c>
      <c r="F600" s="2">
        <f t="shared" si="92"/>
        <v>4.45633840657307</v>
      </c>
      <c r="G600" s="2">
        <v>5.904172</v>
      </c>
      <c r="H600" s="2">
        <f t="shared" si="93"/>
        <v>19.370643664479999</v>
      </c>
      <c r="I600" s="2">
        <f>INDEX('Wood Density Lookup'!$B$2:$B$152,MATCH(B600,'Wood Density Lookup'!$A$2:$A$152,0))</f>
        <v>0.4</v>
      </c>
      <c r="J600" s="2">
        <f t="shared" si="94"/>
        <v>17.754873793645356</v>
      </c>
      <c r="K600" s="2">
        <f t="shared" si="98"/>
        <v>4.9713646622206999</v>
      </c>
      <c r="L600" s="2">
        <f t="shared" si="99"/>
        <v>22.726238455866056</v>
      </c>
      <c r="M600" s="2">
        <f t="shared" si="95"/>
        <v>16.476522880502891</v>
      </c>
      <c r="N600" s="2">
        <f t="shared" si="96"/>
        <v>8.2382614402514456</v>
      </c>
      <c r="O600" s="2">
        <f t="shared" si="97"/>
        <v>30.234419485722803</v>
      </c>
      <c r="P600" s="2">
        <v>72.549954999999997</v>
      </c>
      <c r="Q600" s="2">
        <v>23.034745000000001</v>
      </c>
    </row>
    <row r="601" spans="1:17" x14ac:dyDescent="0.25">
      <c r="A601" s="2">
        <v>699</v>
      </c>
      <c r="B601" s="2" t="s">
        <v>114</v>
      </c>
      <c r="C601" s="2">
        <v>2</v>
      </c>
      <c r="D601" s="2">
        <f t="shared" si="90"/>
        <v>5.08</v>
      </c>
      <c r="E601" s="2">
        <f t="shared" si="91"/>
        <v>1.6170142218136567</v>
      </c>
      <c r="F601" s="2">
        <f t="shared" si="92"/>
        <v>0.63661977236758138</v>
      </c>
      <c r="G601" s="2">
        <v>13.231851000000001</v>
      </c>
      <c r="H601" s="2">
        <f t="shared" si="93"/>
        <v>43.411586034839999</v>
      </c>
      <c r="I601" s="2">
        <f>INDEX('Wood Density Lookup'!$B$2:$B$152,MATCH(B601,'Wood Density Lookup'!$A$2:$A$152,0))</f>
        <v>0.55000000000000004</v>
      </c>
      <c r="J601" s="2">
        <f t="shared" si="94"/>
        <v>1.1932190308484572</v>
      </c>
      <c r="K601" s="2">
        <f t="shared" si="98"/>
        <v>0.33410132863756803</v>
      </c>
      <c r="L601" s="2">
        <f t="shared" si="99"/>
        <v>1.5273203594860252</v>
      </c>
      <c r="M601" s="2">
        <f t="shared" si="95"/>
        <v>1.1073072606273682</v>
      </c>
      <c r="N601" s="2">
        <f t="shared" si="96"/>
        <v>0.55365363031368409</v>
      </c>
      <c r="O601" s="2">
        <f t="shared" si="97"/>
        <v>2.0319088232512206</v>
      </c>
      <c r="P601" s="2">
        <v>72.549955999999995</v>
      </c>
      <c r="Q601" s="2">
        <v>23.034354</v>
      </c>
    </row>
    <row r="602" spans="1:17" x14ac:dyDescent="0.25">
      <c r="A602" s="2">
        <v>700</v>
      </c>
      <c r="B602" s="2" t="s">
        <v>111</v>
      </c>
      <c r="C602" s="2">
        <v>6</v>
      </c>
      <c r="D602" s="2">
        <f t="shared" si="90"/>
        <v>15.24</v>
      </c>
      <c r="E602" s="2">
        <f t="shared" si="91"/>
        <v>4.8510426654409704</v>
      </c>
      <c r="F602" s="2">
        <f t="shared" si="92"/>
        <v>1.909859317102744</v>
      </c>
      <c r="G602" s="2">
        <v>3.0775109999999999</v>
      </c>
      <c r="H602" s="2">
        <f t="shared" si="93"/>
        <v>10.09682118924</v>
      </c>
      <c r="I602" s="2">
        <f>INDEX('Wood Density Lookup'!$B$2:$B$152,MATCH(B602,'Wood Density Lookup'!$A$2:$A$152,0))</f>
        <v>0.4</v>
      </c>
      <c r="J602" s="2">
        <f t="shared" si="94"/>
        <v>1.7982850882259327</v>
      </c>
      <c r="K602" s="2">
        <f t="shared" si="98"/>
        <v>0.50351982470326118</v>
      </c>
      <c r="L602" s="2">
        <f t="shared" si="99"/>
        <v>2.3018049129291938</v>
      </c>
      <c r="M602" s="2">
        <f t="shared" si="95"/>
        <v>1.6688085618736654</v>
      </c>
      <c r="N602" s="2">
        <f t="shared" si="96"/>
        <v>0.83440428093683272</v>
      </c>
      <c r="O602" s="2">
        <f t="shared" si="97"/>
        <v>3.0622637110381761</v>
      </c>
      <c r="P602" s="2">
        <v>72.549957000000006</v>
      </c>
      <c r="Q602" s="2">
        <v>23.036670000000001</v>
      </c>
    </row>
    <row r="603" spans="1:17" x14ac:dyDescent="0.25">
      <c r="A603" s="2">
        <v>703</v>
      </c>
      <c r="B603" s="2" t="s">
        <v>15</v>
      </c>
      <c r="C603" s="2">
        <v>33</v>
      </c>
      <c r="D603" s="2">
        <f t="shared" si="90"/>
        <v>83.820000000000007</v>
      </c>
      <c r="E603" s="2">
        <f t="shared" si="91"/>
        <v>26.680734659925339</v>
      </c>
      <c r="F603" s="2">
        <f t="shared" si="92"/>
        <v>10.504226244065093</v>
      </c>
      <c r="G603" s="2">
        <v>6.7983549999999999</v>
      </c>
      <c r="H603" s="2">
        <f t="shared" si="93"/>
        <v>22.304315018200001</v>
      </c>
      <c r="I603" s="2">
        <f>INDEX('Wood Density Lookup'!$B$2:$B$152,MATCH(B603,'Wood Density Lookup'!$A$2:$A$152,0))</f>
        <v>0.75</v>
      </c>
      <c r="J603" s="2">
        <f t="shared" si="94"/>
        <v>200.64996032407245</v>
      </c>
      <c r="K603" s="2">
        <f t="shared" si="98"/>
        <v>56.181988890740293</v>
      </c>
      <c r="L603" s="2">
        <f t="shared" si="99"/>
        <v>256.83194921481277</v>
      </c>
      <c r="M603" s="2">
        <f t="shared" si="95"/>
        <v>186.20316318073924</v>
      </c>
      <c r="N603" s="2">
        <f t="shared" si="96"/>
        <v>93.101581590369619</v>
      </c>
      <c r="O603" s="2">
        <f t="shared" si="97"/>
        <v>341.68280443665651</v>
      </c>
      <c r="P603" s="2">
        <v>72.549963000000005</v>
      </c>
      <c r="Q603" s="2">
        <v>23.036224000000001</v>
      </c>
    </row>
    <row r="604" spans="1:17" x14ac:dyDescent="0.25">
      <c r="A604" s="2">
        <v>704</v>
      </c>
      <c r="B604" s="2" t="s">
        <v>15</v>
      </c>
      <c r="C604" s="2">
        <v>59</v>
      </c>
      <c r="D604" s="2">
        <f t="shared" si="90"/>
        <v>149.86000000000001</v>
      </c>
      <c r="E604" s="2">
        <f t="shared" si="91"/>
        <v>47.701919543502875</v>
      </c>
      <c r="F604" s="2">
        <f t="shared" si="92"/>
        <v>18.780283284843652</v>
      </c>
      <c r="G604" s="2">
        <v>14.455632</v>
      </c>
      <c r="H604" s="2">
        <f t="shared" si="93"/>
        <v>47.426615690879999</v>
      </c>
      <c r="I604" s="2">
        <f>INDEX('Wood Density Lookup'!$B$2:$B$152,MATCH(B604,'Wood Density Lookup'!$A$2:$A$152,0))</f>
        <v>0.75</v>
      </c>
      <c r="J604" s="2">
        <f t="shared" si="94"/>
        <v>1302.4859316689224</v>
      </c>
      <c r="K604" s="2">
        <f t="shared" si="98"/>
        <v>364.69606086729829</v>
      </c>
      <c r="L604" s="2">
        <f t="shared" si="99"/>
        <v>1667.1819925362206</v>
      </c>
      <c r="M604" s="2">
        <f t="shared" si="95"/>
        <v>1208.7069445887598</v>
      </c>
      <c r="N604" s="2">
        <f t="shared" si="96"/>
        <v>604.35347229437991</v>
      </c>
      <c r="O604" s="2">
        <f t="shared" si="97"/>
        <v>2217.9772433203743</v>
      </c>
      <c r="P604" s="2">
        <v>72.549965999999998</v>
      </c>
      <c r="Q604" s="2">
        <v>23.035572999999999</v>
      </c>
    </row>
    <row r="605" spans="1:17" x14ac:dyDescent="0.25">
      <c r="A605" s="2">
        <v>707</v>
      </c>
      <c r="B605" s="2" t="s">
        <v>114</v>
      </c>
      <c r="C605" s="2">
        <v>2</v>
      </c>
      <c r="D605" s="2">
        <f t="shared" si="90"/>
        <v>5.08</v>
      </c>
      <c r="E605" s="2">
        <f t="shared" si="91"/>
        <v>1.6170142218136567</v>
      </c>
      <c r="F605" s="2">
        <f t="shared" si="92"/>
        <v>0.63661977236758138</v>
      </c>
      <c r="G605" s="2">
        <v>13.450367999999999</v>
      </c>
      <c r="H605" s="2">
        <f t="shared" si="93"/>
        <v>44.128505349119997</v>
      </c>
      <c r="I605" s="2">
        <f>INDEX('Wood Density Lookup'!$B$2:$B$152,MATCH(B605,'Wood Density Lookup'!$A$2:$A$152,0))</f>
        <v>0.55000000000000004</v>
      </c>
      <c r="J605" s="2">
        <f t="shared" si="94"/>
        <v>1.2124476909997552</v>
      </c>
      <c r="K605" s="2">
        <f t="shared" si="98"/>
        <v>0.33948535347993153</v>
      </c>
      <c r="L605" s="2">
        <f t="shared" si="99"/>
        <v>1.5519330444796868</v>
      </c>
      <c r="M605" s="2">
        <f t="shared" si="95"/>
        <v>1.125151457247773</v>
      </c>
      <c r="N605" s="2">
        <f t="shared" si="96"/>
        <v>0.5625757286238865</v>
      </c>
      <c r="O605" s="2">
        <f t="shared" si="97"/>
        <v>2.0646529240496636</v>
      </c>
      <c r="P605" s="2">
        <v>72.549965999999998</v>
      </c>
      <c r="Q605" s="2">
        <v>23.034358999999998</v>
      </c>
    </row>
    <row r="606" spans="1:17" x14ac:dyDescent="0.25">
      <c r="A606" s="2">
        <v>708</v>
      </c>
      <c r="B606" s="2" t="s">
        <v>135</v>
      </c>
      <c r="C606" s="2">
        <v>21</v>
      </c>
      <c r="D606" s="2">
        <f t="shared" si="90"/>
        <v>53.34</v>
      </c>
      <c r="E606" s="2">
        <f t="shared" si="91"/>
        <v>16.978649329043396</v>
      </c>
      <c r="F606" s="2">
        <f t="shared" si="92"/>
        <v>6.6845076098596046</v>
      </c>
      <c r="G606" s="2">
        <v>12.846156000000001</v>
      </c>
      <c r="H606" s="2">
        <f t="shared" si="93"/>
        <v>42.146182451040005</v>
      </c>
      <c r="I606" s="2">
        <f>INDEX('Wood Density Lookup'!$B$2:$B$152,MATCH(B606,'Wood Density Lookup'!$A$2:$A$152,0))</f>
        <v>0.8</v>
      </c>
      <c r="J606" s="2">
        <f t="shared" si="94"/>
        <v>164.5752233841279</v>
      </c>
      <c r="K606" s="2">
        <f t="shared" si="98"/>
        <v>46.081062547555817</v>
      </c>
      <c r="L606" s="2">
        <f t="shared" si="99"/>
        <v>210.65628593168373</v>
      </c>
      <c r="M606" s="2">
        <f t="shared" si="95"/>
        <v>152.72580730047071</v>
      </c>
      <c r="N606" s="2">
        <f t="shared" si="96"/>
        <v>76.362903650235353</v>
      </c>
      <c r="O606" s="2">
        <f t="shared" si="97"/>
        <v>280.25185639636373</v>
      </c>
      <c r="P606" s="2">
        <v>72.549968000000007</v>
      </c>
      <c r="Q606" s="2">
        <v>23.035914999999999</v>
      </c>
    </row>
    <row r="607" spans="1:17" x14ac:dyDescent="0.25">
      <c r="A607" s="2">
        <v>709</v>
      </c>
      <c r="B607" s="2" t="s">
        <v>111</v>
      </c>
      <c r="C607" s="2">
        <v>5</v>
      </c>
      <c r="D607" s="2">
        <f t="shared" si="90"/>
        <v>12.7</v>
      </c>
      <c r="E607" s="2">
        <f t="shared" si="91"/>
        <v>4.0425355545341413</v>
      </c>
      <c r="F607" s="2">
        <f t="shared" si="92"/>
        <v>1.5915494309189535</v>
      </c>
      <c r="G607" s="2">
        <v>3.069461</v>
      </c>
      <c r="H607" s="2">
        <f t="shared" si="93"/>
        <v>10.070410427240001</v>
      </c>
      <c r="I607" s="2">
        <f>INDEX('Wood Density Lookup'!$B$2:$B$152,MATCH(B607,'Wood Density Lookup'!$A$2:$A$152,0))</f>
        <v>0.4</v>
      </c>
      <c r="J607" s="2">
        <f t="shared" si="94"/>
        <v>1.2565696222658578</v>
      </c>
      <c r="K607" s="2">
        <f t="shared" si="98"/>
        <v>0.35183949423444022</v>
      </c>
      <c r="L607" s="2">
        <f t="shared" si="99"/>
        <v>1.6084091165002981</v>
      </c>
      <c r="M607" s="2">
        <f t="shared" si="95"/>
        <v>1.1660966094627161</v>
      </c>
      <c r="N607" s="2">
        <f t="shared" si="96"/>
        <v>0.58304830473135805</v>
      </c>
      <c r="O607" s="2">
        <f t="shared" si="97"/>
        <v>2.1397872783640839</v>
      </c>
      <c r="P607" s="2">
        <v>72.549968000000007</v>
      </c>
      <c r="Q607" s="2">
        <v>23.036669</v>
      </c>
    </row>
    <row r="608" spans="1:17" x14ac:dyDescent="0.25">
      <c r="A608" s="2">
        <v>710</v>
      </c>
      <c r="B608" s="2" t="s">
        <v>3</v>
      </c>
      <c r="C608" s="2">
        <v>17</v>
      </c>
      <c r="D608" s="2">
        <f t="shared" si="90"/>
        <v>43.18</v>
      </c>
      <c r="E608" s="2">
        <f t="shared" si="91"/>
        <v>13.744620885416081</v>
      </c>
      <c r="F608" s="2">
        <f t="shared" si="92"/>
        <v>5.4112680651244416</v>
      </c>
      <c r="G608" s="2">
        <v>8.57</v>
      </c>
      <c r="H608" s="2">
        <f t="shared" si="93"/>
        <v>28.116798800000002</v>
      </c>
      <c r="I608" s="2">
        <f>INDEX('Wood Density Lookup'!$B$2:$B$152,MATCH(B608,'Wood Density Lookup'!$A$2:$A$152,0))</f>
        <v>0.62</v>
      </c>
      <c r="J608" s="2">
        <f t="shared" si="94"/>
        <v>57.22868848343667</v>
      </c>
      <c r="K608" s="2">
        <f t="shared" si="98"/>
        <v>16.024032775362269</v>
      </c>
      <c r="L608" s="2">
        <f t="shared" si="99"/>
        <v>73.252721258798942</v>
      </c>
      <c r="M608" s="2">
        <f t="shared" si="95"/>
        <v>53.10822291262923</v>
      </c>
      <c r="N608" s="2">
        <f t="shared" si="96"/>
        <v>26.554111456314615</v>
      </c>
      <c r="O608" s="2">
        <f t="shared" si="97"/>
        <v>97.453589044674629</v>
      </c>
      <c r="P608" s="2">
        <v>72.549971999999997</v>
      </c>
      <c r="Q608" s="2">
        <v>23.038699999999999</v>
      </c>
    </row>
    <row r="609" spans="1:17" x14ac:dyDescent="0.25">
      <c r="A609" s="2">
        <v>711</v>
      </c>
      <c r="B609" s="2" t="s">
        <v>114</v>
      </c>
      <c r="C609" s="2">
        <v>18</v>
      </c>
      <c r="D609" s="2">
        <f t="shared" si="90"/>
        <v>45.72</v>
      </c>
      <c r="E609" s="2">
        <f t="shared" si="91"/>
        <v>14.55312799632291</v>
      </c>
      <c r="F609" s="2">
        <f t="shared" si="92"/>
        <v>5.7295779513082321</v>
      </c>
      <c r="G609" s="2">
        <v>8.405322</v>
      </c>
      <c r="H609" s="2">
        <f t="shared" si="93"/>
        <v>27.57651663048</v>
      </c>
      <c r="I609" s="2">
        <f>INDEX('Wood Density Lookup'!$B$2:$B$152,MATCH(B609,'Wood Density Lookup'!$A$2:$A$152,0))</f>
        <v>0.55000000000000004</v>
      </c>
      <c r="J609" s="2">
        <f t="shared" si="94"/>
        <v>55.855364909246831</v>
      </c>
      <c r="K609" s="2">
        <f t="shared" si="98"/>
        <v>15.639502174589113</v>
      </c>
      <c r="L609" s="2">
        <f t="shared" si="99"/>
        <v>71.494867083835942</v>
      </c>
      <c r="M609" s="2">
        <f t="shared" si="95"/>
        <v>51.833778635781059</v>
      </c>
      <c r="N609" s="2">
        <f t="shared" si="96"/>
        <v>25.916889317890529</v>
      </c>
      <c r="O609" s="2">
        <f t="shared" si="97"/>
        <v>95.114983796658237</v>
      </c>
      <c r="P609" s="2">
        <v>72.549971999999997</v>
      </c>
      <c r="Q609" s="2">
        <v>23.035484</v>
      </c>
    </row>
    <row r="610" spans="1:17" x14ac:dyDescent="0.25">
      <c r="A610" s="2">
        <v>712</v>
      </c>
      <c r="B610" s="2" t="s">
        <v>8</v>
      </c>
      <c r="C610" s="2">
        <v>2</v>
      </c>
      <c r="D610" s="2">
        <f t="shared" si="90"/>
        <v>5.08</v>
      </c>
      <c r="E610" s="2">
        <f t="shared" si="91"/>
        <v>1.6170142218136567</v>
      </c>
      <c r="F610" s="2">
        <f t="shared" si="92"/>
        <v>0.63661977236758138</v>
      </c>
      <c r="G610" s="2">
        <v>3.1314489999999999</v>
      </c>
      <c r="H610" s="2">
        <f t="shared" si="93"/>
        <v>10.273783137160001</v>
      </c>
      <c r="I610" s="2">
        <f>INDEX('Wood Density Lookup'!$B$2:$B$152,MATCH(B610,'Wood Density Lookup'!$A$2:$A$152,0))</f>
        <v>0.75</v>
      </c>
      <c r="J610" s="2">
        <f t="shared" si="94"/>
        <v>0.3956687281298043</v>
      </c>
      <c r="K610" s="2">
        <f t="shared" si="98"/>
        <v>0.11078724387634521</v>
      </c>
      <c r="L610" s="2">
        <f t="shared" si="99"/>
        <v>0.50645597200614956</v>
      </c>
      <c r="M610" s="2">
        <f t="shared" si="95"/>
        <v>0.36718057970445844</v>
      </c>
      <c r="N610" s="2">
        <f t="shared" si="96"/>
        <v>0.18359028985222922</v>
      </c>
      <c r="O610" s="2">
        <f t="shared" si="97"/>
        <v>0.67377636375768124</v>
      </c>
      <c r="P610" s="2">
        <v>72.549972999999994</v>
      </c>
      <c r="Q610" s="2">
        <v>23.036678999999999</v>
      </c>
    </row>
    <row r="611" spans="1:17" x14ac:dyDescent="0.25">
      <c r="A611" s="2">
        <v>713</v>
      </c>
      <c r="B611" s="2" t="s">
        <v>111</v>
      </c>
      <c r="C611" s="2">
        <v>6</v>
      </c>
      <c r="D611" s="2">
        <f t="shared" si="90"/>
        <v>15.24</v>
      </c>
      <c r="E611" s="2">
        <f t="shared" si="91"/>
        <v>4.8510426654409704</v>
      </c>
      <c r="F611" s="2">
        <f t="shared" si="92"/>
        <v>1.909859317102744</v>
      </c>
      <c r="G611" s="2">
        <v>7.9134929999999999</v>
      </c>
      <c r="H611" s="2">
        <f t="shared" si="93"/>
        <v>25.962904374120001</v>
      </c>
      <c r="I611" s="2">
        <f>INDEX('Wood Density Lookup'!$B$2:$B$152,MATCH(B611,'Wood Density Lookup'!$A$2:$A$152,0))</f>
        <v>0.4</v>
      </c>
      <c r="J611" s="2">
        <f t="shared" si="94"/>
        <v>4.5204649376176036</v>
      </c>
      <c r="K611" s="2">
        <f t="shared" si="98"/>
        <v>1.2657301825329292</v>
      </c>
      <c r="L611" s="2">
        <f t="shared" si="99"/>
        <v>5.7861951201505324</v>
      </c>
      <c r="M611" s="2">
        <f t="shared" si="95"/>
        <v>4.1949914621091358</v>
      </c>
      <c r="N611" s="2">
        <f t="shared" si="96"/>
        <v>2.0974957310545679</v>
      </c>
      <c r="O611" s="2">
        <f t="shared" si="97"/>
        <v>7.6978093329702642</v>
      </c>
      <c r="P611" s="2">
        <v>72.549976000000001</v>
      </c>
      <c r="Q611" s="2">
        <v>23.034983</v>
      </c>
    </row>
    <row r="612" spans="1:17" x14ac:dyDescent="0.25">
      <c r="A612" s="2">
        <v>714</v>
      </c>
      <c r="B612" s="2" t="s">
        <v>114</v>
      </c>
      <c r="C612" s="2">
        <v>2</v>
      </c>
      <c r="D612" s="2">
        <f t="shared" si="90"/>
        <v>5.08</v>
      </c>
      <c r="E612" s="2">
        <f t="shared" si="91"/>
        <v>1.6170142218136567</v>
      </c>
      <c r="F612" s="2">
        <f t="shared" si="92"/>
        <v>0.63661977236758138</v>
      </c>
      <c r="G612" s="2">
        <v>12.831721999999999</v>
      </c>
      <c r="H612" s="2">
        <f t="shared" si="93"/>
        <v>42.098826806479998</v>
      </c>
      <c r="I612" s="2">
        <f>INDEX('Wood Density Lookup'!$B$2:$B$152,MATCH(B612,'Wood Density Lookup'!$A$2:$A$152,0))</f>
        <v>0.55000000000000004</v>
      </c>
      <c r="J612" s="2">
        <f t="shared" si="94"/>
        <v>1.1579893560098247</v>
      </c>
      <c r="K612" s="2">
        <f t="shared" si="98"/>
        <v>0.32423701968275093</v>
      </c>
      <c r="L612" s="2">
        <f t="shared" si="99"/>
        <v>1.4822263756925755</v>
      </c>
      <c r="M612" s="2">
        <f t="shared" si="95"/>
        <v>1.0746141223771173</v>
      </c>
      <c r="N612" s="2">
        <f t="shared" si="96"/>
        <v>0.53730706118855864</v>
      </c>
      <c r="O612" s="2">
        <f t="shared" si="97"/>
        <v>1.9719169145620101</v>
      </c>
      <c r="P612" s="2">
        <v>72.549977999999996</v>
      </c>
      <c r="Q612" s="2">
        <v>23.034364</v>
      </c>
    </row>
    <row r="613" spans="1:17" x14ac:dyDescent="0.25">
      <c r="A613" s="2">
        <v>717</v>
      </c>
      <c r="B613" s="2" t="s">
        <v>111</v>
      </c>
      <c r="C613" s="2">
        <v>7</v>
      </c>
      <c r="D613" s="2">
        <f t="shared" si="90"/>
        <v>17.78</v>
      </c>
      <c r="E613" s="2">
        <f t="shared" si="91"/>
        <v>5.6595497763477987</v>
      </c>
      <c r="F613" s="2">
        <f t="shared" si="92"/>
        <v>2.228169203286535</v>
      </c>
      <c r="G613" s="2">
        <v>2.9445260000000002</v>
      </c>
      <c r="H613" s="2">
        <f t="shared" si="93"/>
        <v>9.6605186818400011</v>
      </c>
      <c r="I613" s="2">
        <f>INDEX('Wood Density Lookup'!$B$2:$B$152,MATCH(B613,'Wood Density Lookup'!$A$2:$A$152,0))</f>
        <v>0.4</v>
      </c>
      <c r="J613" s="2">
        <f t="shared" si="94"/>
        <v>2.327099094828712</v>
      </c>
      <c r="K613" s="2">
        <f t="shared" si="98"/>
        <v>0.65158774655203944</v>
      </c>
      <c r="L613" s="2">
        <f t="shared" si="99"/>
        <v>2.9786868413807515</v>
      </c>
      <c r="M613" s="2">
        <f t="shared" si="95"/>
        <v>2.1595479600010448</v>
      </c>
      <c r="N613" s="2">
        <f t="shared" si="96"/>
        <v>1.0797739800005224</v>
      </c>
      <c r="O613" s="2">
        <f t="shared" si="97"/>
        <v>3.9627705066019172</v>
      </c>
      <c r="P613" s="2">
        <v>72.549982</v>
      </c>
      <c r="Q613" s="2">
        <v>23.036671999999999</v>
      </c>
    </row>
    <row r="614" spans="1:17" x14ac:dyDescent="0.25">
      <c r="A614" s="2">
        <v>718</v>
      </c>
      <c r="B614" s="2" t="s">
        <v>111</v>
      </c>
      <c r="C614" s="2">
        <v>6</v>
      </c>
      <c r="D614" s="2">
        <f t="shared" si="90"/>
        <v>15.24</v>
      </c>
      <c r="E614" s="2">
        <f t="shared" si="91"/>
        <v>4.8510426654409704</v>
      </c>
      <c r="F614" s="2">
        <f t="shared" si="92"/>
        <v>1.909859317102744</v>
      </c>
      <c r="G614" s="2">
        <v>3.0726559999999998</v>
      </c>
      <c r="H614" s="2">
        <f t="shared" si="93"/>
        <v>10.080892711039999</v>
      </c>
      <c r="I614" s="2">
        <f>INDEX('Wood Density Lookup'!$B$2:$B$152,MATCH(B614,'Wood Density Lookup'!$A$2:$A$152,0))</f>
        <v>0.4</v>
      </c>
      <c r="J614" s="2">
        <f t="shared" si="94"/>
        <v>1.7955161950117569</v>
      </c>
      <c r="K614" s="2">
        <f t="shared" si="98"/>
        <v>0.50274453460329194</v>
      </c>
      <c r="L614" s="2">
        <f t="shared" si="99"/>
        <v>2.2982607296150488</v>
      </c>
      <c r="M614" s="2">
        <f t="shared" si="95"/>
        <v>1.6662390289709104</v>
      </c>
      <c r="N614" s="2">
        <f t="shared" si="96"/>
        <v>0.83311951448545518</v>
      </c>
      <c r="O614" s="2">
        <f t="shared" si="97"/>
        <v>3.0575486181616203</v>
      </c>
      <c r="P614" s="2">
        <v>72.549982</v>
      </c>
      <c r="Q614" s="2">
        <v>23.036678999999999</v>
      </c>
    </row>
    <row r="615" spans="1:17" x14ac:dyDescent="0.25">
      <c r="A615" s="2">
        <v>721</v>
      </c>
      <c r="B615" s="2" t="s">
        <v>10</v>
      </c>
      <c r="C615" s="2">
        <v>25</v>
      </c>
      <c r="D615" s="2">
        <f t="shared" si="90"/>
        <v>63.5</v>
      </c>
      <c r="E615" s="2">
        <f t="shared" si="91"/>
        <v>20.212677772670709</v>
      </c>
      <c r="F615" s="2">
        <f t="shared" si="92"/>
        <v>7.9577471545947667</v>
      </c>
      <c r="G615" s="2">
        <v>7.8826679999999998</v>
      </c>
      <c r="H615" s="2">
        <f t="shared" si="93"/>
        <v>25.861772481119999</v>
      </c>
      <c r="I615" s="2">
        <f>INDEX('Wood Density Lookup'!$B$2:$B$152,MATCH(B615,'Wood Density Lookup'!$A$2:$A$152,0))</f>
        <v>0.65</v>
      </c>
      <c r="J615" s="2">
        <f t="shared" si="94"/>
        <v>117.25985110353984</v>
      </c>
      <c r="K615" s="2">
        <f t="shared" si="98"/>
        <v>32.83275830899116</v>
      </c>
      <c r="L615" s="2">
        <f t="shared" si="99"/>
        <v>150.092609412531</v>
      </c>
      <c r="M615" s="2">
        <f t="shared" si="95"/>
        <v>108.81714182408497</v>
      </c>
      <c r="N615" s="2">
        <f t="shared" si="96"/>
        <v>54.408570912042485</v>
      </c>
      <c r="O615" s="2">
        <f t="shared" si="97"/>
        <v>199.6794552471959</v>
      </c>
      <c r="P615" s="2">
        <v>72.549993000000001</v>
      </c>
      <c r="Q615" s="2">
        <v>23.035971</v>
      </c>
    </row>
    <row r="616" spans="1:17" x14ac:dyDescent="0.25">
      <c r="A616" s="2">
        <v>722</v>
      </c>
      <c r="B616" s="2" t="s">
        <v>140</v>
      </c>
      <c r="C616" s="2">
        <v>2</v>
      </c>
      <c r="D616" s="2">
        <f t="shared" si="90"/>
        <v>5.08</v>
      </c>
      <c r="E616" s="2">
        <f t="shared" si="91"/>
        <v>1.6170142218136567</v>
      </c>
      <c r="F616" s="2">
        <f t="shared" si="92"/>
        <v>0.63661977236758138</v>
      </c>
      <c r="G616" s="2">
        <v>5.9520929999999996</v>
      </c>
      <c r="H616" s="2">
        <f t="shared" si="93"/>
        <v>19.52786479812</v>
      </c>
      <c r="I616" s="2">
        <f>INDEX('Wood Density Lookup'!$B$2:$B$152,MATCH(B616,'Wood Density Lookup'!$A$2:$A$152,0))</f>
        <v>0.6</v>
      </c>
      <c r="J616" s="2">
        <f t="shared" si="94"/>
        <v>0.59563160621115374</v>
      </c>
      <c r="K616" s="2">
        <f t="shared" si="98"/>
        <v>0.16677684973912307</v>
      </c>
      <c r="L616" s="2">
        <f t="shared" si="99"/>
        <v>0.76240845595027684</v>
      </c>
      <c r="M616" s="2">
        <f t="shared" si="95"/>
        <v>0.55274613056395072</v>
      </c>
      <c r="N616" s="2">
        <f t="shared" si="96"/>
        <v>0.27637306528197536</v>
      </c>
      <c r="O616" s="2">
        <f t="shared" si="97"/>
        <v>1.0142891495848496</v>
      </c>
      <c r="P616" s="2">
        <v>72.549993000000001</v>
      </c>
      <c r="Q616" s="2">
        <v>23.034371</v>
      </c>
    </row>
    <row r="617" spans="1:17" x14ac:dyDescent="0.25">
      <c r="A617" s="2">
        <v>724</v>
      </c>
      <c r="B617" s="2" t="s">
        <v>82</v>
      </c>
      <c r="C617" s="2">
        <v>29</v>
      </c>
      <c r="D617" s="2">
        <f t="shared" si="90"/>
        <v>73.66</v>
      </c>
      <c r="E617" s="2">
        <f t="shared" si="91"/>
        <v>23.446706216298022</v>
      </c>
      <c r="F617" s="2">
        <f t="shared" si="92"/>
        <v>9.2309866993299305</v>
      </c>
      <c r="G617" s="2">
        <v>10.5395</v>
      </c>
      <c r="H617" s="2">
        <f t="shared" si="93"/>
        <v>34.578413179999998</v>
      </c>
      <c r="I617" s="2">
        <f>INDEX('Wood Density Lookup'!$B$2:$B$152,MATCH(B617,'Wood Density Lookup'!$A$2:$A$152,0))</f>
        <v>0.7</v>
      </c>
      <c r="J617" s="2">
        <f t="shared" si="94"/>
        <v>223.61597934008014</v>
      </c>
      <c r="K617" s="2">
        <f t="shared" si="98"/>
        <v>62.612474215222448</v>
      </c>
      <c r="L617" s="2">
        <f t="shared" si="99"/>
        <v>286.22845355530262</v>
      </c>
      <c r="M617" s="2">
        <f t="shared" si="95"/>
        <v>207.51562882759438</v>
      </c>
      <c r="N617" s="2">
        <f t="shared" si="96"/>
        <v>103.75781441379719</v>
      </c>
      <c r="O617" s="2">
        <f t="shared" si="97"/>
        <v>380.79117889863568</v>
      </c>
      <c r="P617" s="2">
        <v>72.549994999999996</v>
      </c>
      <c r="Q617" s="2">
        <v>23.036033</v>
      </c>
    </row>
    <row r="618" spans="1:17" x14ac:dyDescent="0.25">
      <c r="A618" s="2">
        <v>726</v>
      </c>
      <c r="B618" s="2" t="s">
        <v>114</v>
      </c>
      <c r="C618" s="2">
        <v>65</v>
      </c>
      <c r="D618" s="2">
        <f t="shared" si="90"/>
        <v>165.1</v>
      </c>
      <c r="E618" s="2">
        <f t="shared" si="91"/>
        <v>52.552962208943839</v>
      </c>
      <c r="F618" s="2">
        <f t="shared" si="92"/>
        <v>20.690142601946395</v>
      </c>
      <c r="G618" s="2">
        <v>13.181053</v>
      </c>
      <c r="H618" s="2">
        <f t="shared" si="93"/>
        <v>43.244925924520004</v>
      </c>
      <c r="I618" s="2">
        <f>INDEX('Wood Density Lookup'!$B$2:$B$152,MATCH(B618,'Wood Density Lookup'!$A$2:$A$152,0))</f>
        <v>0.55000000000000004</v>
      </c>
      <c r="J618" s="2">
        <f t="shared" si="94"/>
        <v>1062.3951720703412</v>
      </c>
      <c r="K618" s="2">
        <f t="shared" si="98"/>
        <v>297.47064817969556</v>
      </c>
      <c r="L618" s="2">
        <f t="shared" si="99"/>
        <v>1359.8658202500369</v>
      </c>
      <c r="M618" s="2">
        <f t="shared" si="95"/>
        <v>985.90271968127672</v>
      </c>
      <c r="N618" s="2">
        <f t="shared" si="96"/>
        <v>492.95135984063836</v>
      </c>
      <c r="O618" s="2">
        <f t="shared" si="97"/>
        <v>1809.1314906151426</v>
      </c>
      <c r="P618" s="2">
        <v>72.549995999999993</v>
      </c>
      <c r="Q618" s="2">
        <v>23.035176</v>
      </c>
    </row>
    <row r="619" spans="1:17" x14ac:dyDescent="0.25">
      <c r="A619" s="2">
        <v>729</v>
      </c>
      <c r="B619" s="2" t="s">
        <v>111</v>
      </c>
      <c r="C619" s="2">
        <v>4</v>
      </c>
      <c r="D619" s="2">
        <f t="shared" si="90"/>
        <v>10.16</v>
      </c>
      <c r="E619" s="2">
        <f t="shared" si="91"/>
        <v>3.2340284436273135</v>
      </c>
      <c r="F619" s="2">
        <f t="shared" si="92"/>
        <v>1.2732395447351628</v>
      </c>
      <c r="G619" s="2">
        <v>6.7125139999999996</v>
      </c>
      <c r="H619" s="2">
        <f t="shared" si="93"/>
        <v>22.022684431759998</v>
      </c>
      <c r="I619" s="2">
        <f>INDEX('Wood Density Lookup'!$B$2:$B$152,MATCH(B619,'Wood Density Lookup'!$A$2:$A$152,0))</f>
        <v>0.4</v>
      </c>
      <c r="J619" s="2">
        <f t="shared" si="94"/>
        <v>1.7445585185176227</v>
      </c>
      <c r="K619" s="2">
        <f t="shared" si="98"/>
        <v>0.48847638518493441</v>
      </c>
      <c r="L619" s="2">
        <f t="shared" si="99"/>
        <v>2.2330349037025572</v>
      </c>
      <c r="M619" s="2">
        <f t="shared" si="95"/>
        <v>1.6189503051843539</v>
      </c>
      <c r="N619" s="2">
        <f t="shared" si="96"/>
        <v>0.80947515259217695</v>
      </c>
      <c r="O619" s="2">
        <f t="shared" si="97"/>
        <v>2.9707738100132892</v>
      </c>
      <c r="P619" s="2">
        <v>72.549997000000005</v>
      </c>
      <c r="Q619" s="2">
        <v>23.035482999999999</v>
      </c>
    </row>
    <row r="620" spans="1:17" x14ac:dyDescent="0.25">
      <c r="A620" s="2">
        <v>730</v>
      </c>
      <c r="B620" s="2" t="s">
        <v>140</v>
      </c>
      <c r="C620" s="2">
        <v>2</v>
      </c>
      <c r="D620" s="2">
        <f t="shared" si="90"/>
        <v>5.08</v>
      </c>
      <c r="E620" s="2">
        <f t="shared" si="91"/>
        <v>1.6170142218136567</v>
      </c>
      <c r="F620" s="2">
        <f t="shared" si="92"/>
        <v>0.63661977236758138</v>
      </c>
      <c r="G620" s="2">
        <v>5.8154060000000003</v>
      </c>
      <c r="H620" s="2">
        <f t="shared" si="93"/>
        <v>19.07941662104</v>
      </c>
      <c r="I620" s="2">
        <f>INDEX('Wood Density Lookup'!$B$2:$B$152,MATCH(B620,'Wood Density Lookup'!$A$2:$A$152,0))</f>
        <v>0.6</v>
      </c>
      <c r="J620" s="2">
        <f t="shared" si="94"/>
        <v>0.5822777815754876</v>
      </c>
      <c r="K620" s="2">
        <f t="shared" si="98"/>
        <v>0.16303777884113654</v>
      </c>
      <c r="L620" s="2">
        <f t="shared" si="99"/>
        <v>0.74531556041662417</v>
      </c>
      <c r="M620" s="2">
        <f t="shared" si="95"/>
        <v>0.54035378130205247</v>
      </c>
      <c r="N620" s="2">
        <f t="shared" si="96"/>
        <v>0.27017689065102624</v>
      </c>
      <c r="O620" s="2">
        <f t="shared" si="97"/>
        <v>0.99154918868926623</v>
      </c>
      <c r="P620" s="2">
        <v>72.550000999999995</v>
      </c>
      <c r="Q620" s="2">
        <v>23.034376000000002</v>
      </c>
    </row>
    <row r="621" spans="1:17" x14ac:dyDescent="0.25">
      <c r="A621" s="2">
        <v>731</v>
      </c>
      <c r="B621" s="2" t="s">
        <v>111</v>
      </c>
      <c r="C621" s="2">
        <v>8</v>
      </c>
      <c r="D621" s="2">
        <f t="shared" si="90"/>
        <v>20.32</v>
      </c>
      <c r="E621" s="2">
        <f t="shared" si="91"/>
        <v>6.4680568872546269</v>
      </c>
      <c r="F621" s="2">
        <f t="shared" si="92"/>
        <v>2.5464790894703255</v>
      </c>
      <c r="G621" s="2">
        <v>3.0413610000000002</v>
      </c>
      <c r="H621" s="2">
        <f t="shared" si="93"/>
        <v>9.9782188232400006</v>
      </c>
      <c r="I621" s="2">
        <f>INDEX('Wood Density Lookup'!$B$2:$B$152,MATCH(B621,'Wood Density Lookup'!$A$2:$A$152,0))</f>
        <v>0.4</v>
      </c>
      <c r="J621" s="2">
        <f t="shared" si="94"/>
        <v>3.1169545882098246</v>
      </c>
      <c r="K621" s="2">
        <f t="shared" si="98"/>
        <v>0.87274728469875096</v>
      </c>
      <c r="L621" s="2">
        <f t="shared" si="99"/>
        <v>3.9897018729085758</v>
      </c>
      <c r="M621" s="2">
        <f t="shared" si="95"/>
        <v>2.8925338578587172</v>
      </c>
      <c r="N621" s="2">
        <f t="shared" si="96"/>
        <v>1.4462669289293586</v>
      </c>
      <c r="O621" s="2">
        <f t="shared" si="97"/>
        <v>5.3077996291707459</v>
      </c>
      <c r="P621" s="2">
        <v>72.550002000000006</v>
      </c>
      <c r="Q621" s="2">
        <v>23.035491</v>
      </c>
    </row>
    <row r="622" spans="1:17" x14ac:dyDescent="0.25">
      <c r="A622" s="2">
        <v>732</v>
      </c>
      <c r="B622" s="2" t="s">
        <v>114</v>
      </c>
      <c r="C622" s="2">
        <v>24</v>
      </c>
      <c r="D622" s="2">
        <f t="shared" si="90"/>
        <v>60.96</v>
      </c>
      <c r="E622" s="2">
        <f t="shared" si="91"/>
        <v>19.404170661763882</v>
      </c>
      <c r="F622" s="2">
        <f t="shared" si="92"/>
        <v>7.6394372684109761</v>
      </c>
      <c r="G622" s="2">
        <v>4.9490059999999998</v>
      </c>
      <c r="H622" s="2">
        <f t="shared" si="93"/>
        <v>16.23689684504</v>
      </c>
      <c r="I622" s="2">
        <f>INDEX('Wood Density Lookup'!$B$2:$B$152,MATCH(B622,'Wood Density Lookup'!$A$2:$A$152,0))</f>
        <v>0.55000000000000004</v>
      </c>
      <c r="J622" s="2">
        <f t="shared" si="94"/>
        <v>58.402280407108627</v>
      </c>
      <c r="K622" s="2">
        <f t="shared" si="98"/>
        <v>16.352638513990417</v>
      </c>
      <c r="L622" s="2">
        <f t="shared" si="99"/>
        <v>74.754918921099048</v>
      </c>
      <c r="M622" s="2">
        <f t="shared" si="95"/>
        <v>54.197316217796811</v>
      </c>
      <c r="N622" s="2">
        <f t="shared" si="96"/>
        <v>27.098658108898405</v>
      </c>
      <c r="O622" s="2">
        <f t="shared" si="97"/>
        <v>99.45207525965715</v>
      </c>
      <c r="P622" s="2">
        <v>72.550005999999996</v>
      </c>
      <c r="Q622" s="2">
        <v>23.035238</v>
      </c>
    </row>
    <row r="623" spans="1:17" x14ac:dyDescent="0.25">
      <c r="A623" s="2">
        <v>733</v>
      </c>
      <c r="B623" s="2" t="s">
        <v>135</v>
      </c>
      <c r="C623" s="2">
        <v>8</v>
      </c>
      <c r="D623" s="2">
        <f t="shared" si="90"/>
        <v>20.32</v>
      </c>
      <c r="E623" s="2">
        <f t="shared" si="91"/>
        <v>6.4680568872546269</v>
      </c>
      <c r="F623" s="2">
        <f t="shared" si="92"/>
        <v>2.5464790894703255</v>
      </c>
      <c r="G623" s="2">
        <v>5.3693400000000002</v>
      </c>
      <c r="H623" s="2">
        <f t="shared" si="93"/>
        <v>17.615945445600001</v>
      </c>
      <c r="I623" s="2">
        <f>INDEX('Wood Density Lookup'!$B$2:$B$152,MATCH(B623,'Wood Density Lookup'!$A$2:$A$152,0))</f>
        <v>0.8</v>
      </c>
      <c r="J623" s="2">
        <f t="shared" si="94"/>
        <v>10.677368050850891</v>
      </c>
      <c r="K623" s="2">
        <f t="shared" si="98"/>
        <v>2.9896630542382496</v>
      </c>
      <c r="L623" s="2">
        <f t="shared" si="99"/>
        <v>13.667031105089141</v>
      </c>
      <c r="M623" s="2">
        <f t="shared" si="95"/>
        <v>9.9085975511896258</v>
      </c>
      <c r="N623" s="2">
        <f t="shared" si="96"/>
        <v>4.9542987755948129</v>
      </c>
      <c r="O623" s="2">
        <f t="shared" si="97"/>
        <v>18.182276506432963</v>
      </c>
      <c r="P623" s="2">
        <v>72.550006999999994</v>
      </c>
      <c r="Q623" s="2">
        <v>23.034697000000001</v>
      </c>
    </row>
    <row r="624" spans="1:17" x14ac:dyDescent="0.25">
      <c r="A624" s="2">
        <v>734</v>
      </c>
      <c r="B624" s="2" t="s">
        <v>15</v>
      </c>
      <c r="C624" s="2">
        <v>47</v>
      </c>
      <c r="D624" s="2">
        <f t="shared" si="90"/>
        <v>119.38</v>
      </c>
      <c r="E624" s="2">
        <f t="shared" si="91"/>
        <v>37.999834212620932</v>
      </c>
      <c r="F624" s="2">
        <f t="shared" si="92"/>
        <v>14.960564650638162</v>
      </c>
      <c r="G624" s="2">
        <v>7.5187470000000003</v>
      </c>
      <c r="H624" s="2">
        <f t="shared" si="93"/>
        <v>24.667805907480002</v>
      </c>
      <c r="I624" s="2">
        <f>INDEX('Wood Density Lookup'!$B$2:$B$152,MATCH(B624,'Wood Density Lookup'!$A$2:$A$152,0))</f>
        <v>0.75</v>
      </c>
      <c r="J624" s="2">
        <f t="shared" si="94"/>
        <v>441.49594534424597</v>
      </c>
      <c r="K624" s="2">
        <f t="shared" si="98"/>
        <v>123.61886469638888</v>
      </c>
      <c r="L624" s="2">
        <f t="shared" si="99"/>
        <v>565.11481004063489</v>
      </c>
      <c r="M624" s="2">
        <f t="shared" si="95"/>
        <v>409.70823727946026</v>
      </c>
      <c r="N624" s="2">
        <f t="shared" si="96"/>
        <v>204.85411863973013</v>
      </c>
      <c r="O624" s="2">
        <f t="shared" si="97"/>
        <v>751.81461540780958</v>
      </c>
      <c r="P624" s="2">
        <v>72.550009000000003</v>
      </c>
      <c r="Q624" s="2">
        <v>23.036453000000002</v>
      </c>
    </row>
    <row r="625" spans="1:17" x14ac:dyDescent="0.25">
      <c r="A625" s="2">
        <v>735</v>
      </c>
      <c r="B625" s="2" t="s">
        <v>114</v>
      </c>
      <c r="C625" s="2">
        <v>38</v>
      </c>
      <c r="D625" s="2">
        <f t="shared" si="90"/>
        <v>96.52</v>
      </c>
      <c r="E625" s="2">
        <f t="shared" si="91"/>
        <v>30.723270214459475</v>
      </c>
      <c r="F625" s="2">
        <f t="shared" si="92"/>
        <v>12.095775674984045</v>
      </c>
      <c r="G625" s="2">
        <v>8.6361410000000003</v>
      </c>
      <c r="H625" s="2">
        <f t="shared" si="93"/>
        <v>28.333796838440001</v>
      </c>
      <c r="I625" s="2">
        <f>INDEX('Wood Density Lookup'!$B$2:$B$152,MATCH(B625,'Wood Density Lookup'!$A$2:$A$152,0))</f>
        <v>0.55000000000000004</v>
      </c>
      <c r="J625" s="2">
        <f t="shared" si="94"/>
        <v>246.60026789506628</v>
      </c>
      <c r="K625" s="2">
        <f t="shared" si="98"/>
        <v>69.048075010618561</v>
      </c>
      <c r="L625" s="2">
        <f t="shared" si="99"/>
        <v>315.64834290568484</v>
      </c>
      <c r="M625" s="2">
        <f t="shared" si="95"/>
        <v>228.8450486066215</v>
      </c>
      <c r="N625" s="2">
        <f t="shared" si="96"/>
        <v>114.42252430331075</v>
      </c>
      <c r="O625" s="2">
        <f t="shared" si="97"/>
        <v>419.93066419315045</v>
      </c>
      <c r="P625" s="2">
        <v>72.550009000000003</v>
      </c>
      <c r="Q625" s="2">
        <v>23.035091000000001</v>
      </c>
    </row>
    <row r="626" spans="1:17" x14ac:dyDescent="0.25">
      <c r="A626" s="2">
        <v>736</v>
      </c>
      <c r="B626" s="2" t="s">
        <v>135</v>
      </c>
      <c r="C626" s="2">
        <v>44</v>
      </c>
      <c r="D626" s="2">
        <f t="shared" si="90"/>
        <v>111.76</v>
      </c>
      <c r="E626" s="2">
        <f t="shared" si="91"/>
        <v>35.574312879900447</v>
      </c>
      <c r="F626" s="2">
        <f t="shared" si="92"/>
        <v>14.00563499208679</v>
      </c>
      <c r="G626" s="2">
        <v>12.53204</v>
      </c>
      <c r="H626" s="2">
        <f t="shared" si="93"/>
        <v>41.1156181136</v>
      </c>
      <c r="I626" s="2">
        <f>INDEX('Wood Density Lookup'!$B$2:$B$152,MATCH(B626,'Wood Density Lookup'!$A$2:$A$152,0))</f>
        <v>0.8</v>
      </c>
      <c r="J626" s="2">
        <f t="shared" si="94"/>
        <v>680.64181957891333</v>
      </c>
      <c r="K626" s="2">
        <f t="shared" si="98"/>
        <v>190.57970948209575</v>
      </c>
      <c r="L626" s="2">
        <f t="shared" si="99"/>
        <v>871.22152906100905</v>
      </c>
      <c r="M626" s="2">
        <f t="shared" si="95"/>
        <v>631.63560856923152</v>
      </c>
      <c r="N626" s="2">
        <f t="shared" si="96"/>
        <v>315.81780428461576</v>
      </c>
      <c r="O626" s="2">
        <f t="shared" si="97"/>
        <v>1159.0513417245397</v>
      </c>
      <c r="P626" s="2">
        <v>72.550009000000003</v>
      </c>
      <c r="Q626" s="2">
        <v>23.034827</v>
      </c>
    </row>
    <row r="627" spans="1:17" x14ac:dyDescent="0.25">
      <c r="A627" s="2">
        <v>737</v>
      </c>
      <c r="B627" s="2" t="s">
        <v>15</v>
      </c>
      <c r="C627" s="2">
        <v>57</v>
      </c>
      <c r="D627" s="2">
        <f t="shared" si="90"/>
        <v>144.78</v>
      </c>
      <c r="E627" s="2">
        <f t="shared" si="91"/>
        <v>46.084905321689213</v>
      </c>
      <c r="F627" s="2">
        <f t="shared" si="92"/>
        <v>18.143663512476071</v>
      </c>
      <c r="G627" s="2">
        <v>2.220005</v>
      </c>
      <c r="H627" s="2">
        <f t="shared" si="93"/>
        <v>7.2834812042000001</v>
      </c>
      <c r="I627" s="2">
        <f>INDEX('Wood Density Lookup'!$B$2:$B$152,MATCH(B627,'Wood Density Lookup'!$A$2:$A$152,0))</f>
        <v>0.75</v>
      </c>
      <c r="J627" s="2">
        <f t="shared" si="94"/>
        <v>195.60632630313199</v>
      </c>
      <c r="K627" s="2">
        <f t="shared" si="98"/>
        <v>54.769771364876966</v>
      </c>
      <c r="L627" s="2">
        <f t="shared" si="99"/>
        <v>250.37609766800895</v>
      </c>
      <c r="M627" s="2">
        <f t="shared" si="95"/>
        <v>181.52267080930648</v>
      </c>
      <c r="N627" s="2">
        <f t="shared" si="96"/>
        <v>90.761335404653238</v>
      </c>
      <c r="O627" s="2">
        <f t="shared" si="97"/>
        <v>333.09410093507739</v>
      </c>
      <c r="P627" s="2">
        <v>72.55001</v>
      </c>
      <c r="Q627" s="2">
        <v>23.037663999999999</v>
      </c>
    </row>
    <row r="628" spans="1:17" x14ac:dyDescent="0.25">
      <c r="A628" s="2">
        <v>738</v>
      </c>
      <c r="B628" s="2" t="s">
        <v>114</v>
      </c>
      <c r="C628" s="2">
        <v>17</v>
      </c>
      <c r="D628" s="2">
        <f t="shared" si="90"/>
        <v>43.18</v>
      </c>
      <c r="E628" s="2">
        <f t="shared" si="91"/>
        <v>13.744620885416081</v>
      </c>
      <c r="F628" s="2">
        <f t="shared" si="92"/>
        <v>5.4112680651244416</v>
      </c>
      <c r="G628" s="2">
        <v>11.875311999999999</v>
      </c>
      <c r="H628" s="2">
        <f t="shared" si="93"/>
        <v>38.960998622079998</v>
      </c>
      <c r="I628" s="2">
        <f>INDEX('Wood Density Lookup'!$B$2:$B$152,MATCH(B628,'Wood Density Lookup'!$A$2:$A$152,0))</f>
        <v>0.55000000000000004</v>
      </c>
      <c r="J628" s="2">
        <f t="shared" si="94"/>
        <v>69.999954064220844</v>
      </c>
      <c r="K628" s="2">
        <f t="shared" si="98"/>
        <v>19.599987137981838</v>
      </c>
      <c r="L628" s="2">
        <f t="shared" si="99"/>
        <v>89.599941202202686</v>
      </c>
      <c r="M628" s="2">
        <f t="shared" si="95"/>
        <v>64.959957371596943</v>
      </c>
      <c r="N628" s="2">
        <f t="shared" si="96"/>
        <v>32.479978685798471</v>
      </c>
      <c r="O628" s="2">
        <f t="shared" si="97"/>
        <v>119.20152177688038</v>
      </c>
      <c r="P628" s="2">
        <v>72.55001</v>
      </c>
      <c r="Q628" s="2">
        <v>23.035713000000001</v>
      </c>
    </row>
    <row r="629" spans="1:17" x14ac:dyDescent="0.25">
      <c r="A629" s="2">
        <v>739</v>
      </c>
      <c r="B629" s="2" t="s">
        <v>134</v>
      </c>
      <c r="C629" s="2">
        <v>56</v>
      </c>
      <c r="D629" s="2">
        <f t="shared" si="90"/>
        <v>142.24</v>
      </c>
      <c r="E629" s="2">
        <f t="shared" si="91"/>
        <v>45.276398210782389</v>
      </c>
      <c r="F629" s="2">
        <f t="shared" si="92"/>
        <v>17.82535362629228</v>
      </c>
      <c r="G629" s="2">
        <v>10.346534</v>
      </c>
      <c r="H629" s="2">
        <f t="shared" si="93"/>
        <v>33.945322608559998</v>
      </c>
      <c r="I629" s="2">
        <f>INDEX('Wood Density Lookup'!$B$2:$B$152,MATCH(B629,'Wood Density Lookup'!$A$2:$A$152,0))</f>
        <v>0.65</v>
      </c>
      <c r="J629" s="2">
        <f t="shared" si="94"/>
        <v>738.10849592597253</v>
      </c>
      <c r="K629" s="2">
        <f t="shared" si="98"/>
        <v>206.67037885927232</v>
      </c>
      <c r="L629" s="2">
        <f t="shared" si="99"/>
        <v>944.77887478524485</v>
      </c>
      <c r="M629" s="2">
        <f t="shared" si="95"/>
        <v>684.96468421930251</v>
      </c>
      <c r="N629" s="2">
        <f t="shared" si="96"/>
        <v>342.48234210965126</v>
      </c>
      <c r="O629" s="2">
        <f t="shared" si="97"/>
        <v>1256.9101955424201</v>
      </c>
      <c r="P629" s="2">
        <v>72.550010999999998</v>
      </c>
      <c r="Q629" s="2">
        <v>23.035202000000002</v>
      </c>
    </row>
    <row r="630" spans="1:17" x14ac:dyDescent="0.25">
      <c r="A630" s="2">
        <v>740</v>
      </c>
      <c r="B630" s="2" t="s">
        <v>111</v>
      </c>
      <c r="C630" s="2">
        <v>8</v>
      </c>
      <c r="D630" s="2">
        <f t="shared" si="90"/>
        <v>20.32</v>
      </c>
      <c r="E630" s="2">
        <f t="shared" si="91"/>
        <v>6.4680568872546269</v>
      </c>
      <c r="F630" s="2">
        <f t="shared" si="92"/>
        <v>2.5464790894703255</v>
      </c>
      <c r="G630" s="2">
        <v>2.8014209999999999</v>
      </c>
      <c r="H630" s="2">
        <f t="shared" si="93"/>
        <v>9.1910140736399999</v>
      </c>
      <c r="I630" s="2">
        <f>INDEX('Wood Density Lookup'!$B$2:$B$152,MATCH(B630,'Wood Density Lookup'!$A$2:$A$152,0))</f>
        <v>0.4</v>
      </c>
      <c r="J630" s="2">
        <f t="shared" si="94"/>
        <v>2.8767189385005536</v>
      </c>
      <c r="K630" s="2">
        <f t="shared" si="98"/>
        <v>0.80548130278015506</v>
      </c>
      <c r="L630" s="2">
        <f t="shared" si="99"/>
        <v>3.6822002412807087</v>
      </c>
      <c r="M630" s="2">
        <f t="shared" si="95"/>
        <v>2.6695951749285136</v>
      </c>
      <c r="N630" s="2">
        <f t="shared" si="96"/>
        <v>1.3347975874642568</v>
      </c>
      <c r="O630" s="2">
        <f t="shared" si="97"/>
        <v>4.8987071459938223</v>
      </c>
      <c r="P630" s="2">
        <v>72.550010999999998</v>
      </c>
      <c r="Q630" s="2">
        <v>23.035482999999999</v>
      </c>
    </row>
    <row r="631" spans="1:17" x14ac:dyDescent="0.25">
      <c r="A631" s="2">
        <v>741</v>
      </c>
      <c r="B631" s="2" t="s">
        <v>114</v>
      </c>
      <c r="C631" s="2">
        <v>31</v>
      </c>
      <c r="D631" s="2">
        <f t="shared" si="90"/>
        <v>78.739999999999995</v>
      </c>
      <c r="E631" s="2">
        <f t="shared" si="91"/>
        <v>25.063720438111677</v>
      </c>
      <c r="F631" s="2">
        <f t="shared" si="92"/>
        <v>9.8676064716975116</v>
      </c>
      <c r="G631" s="2">
        <v>4.6416589999999998</v>
      </c>
      <c r="H631" s="2">
        <f t="shared" si="93"/>
        <v>15.228540513559999</v>
      </c>
      <c r="I631" s="2">
        <f>INDEX('Wood Density Lookup'!$B$2:$B$152,MATCH(B631,'Wood Density Lookup'!$A$2:$A$152,0))</f>
        <v>0.55000000000000004</v>
      </c>
      <c r="J631" s="2">
        <f t="shared" si="94"/>
        <v>90.410529576135019</v>
      </c>
      <c r="K631" s="2">
        <f t="shared" si="98"/>
        <v>25.314948281317807</v>
      </c>
      <c r="L631" s="2">
        <f t="shared" si="99"/>
        <v>115.72547785745283</v>
      </c>
      <c r="M631" s="2">
        <f t="shared" si="95"/>
        <v>83.900971446653301</v>
      </c>
      <c r="N631" s="2">
        <f t="shared" si="96"/>
        <v>41.950485723326651</v>
      </c>
      <c r="O631" s="2">
        <f t="shared" si="97"/>
        <v>153.9582826046088</v>
      </c>
      <c r="P631" s="2">
        <v>72.550010999999998</v>
      </c>
      <c r="Q631" s="2">
        <v>23.035055</v>
      </c>
    </row>
    <row r="632" spans="1:17" x14ac:dyDescent="0.25">
      <c r="A632" s="2">
        <v>742</v>
      </c>
      <c r="B632" s="2" t="s">
        <v>114</v>
      </c>
      <c r="C632" s="2">
        <v>14</v>
      </c>
      <c r="D632" s="2">
        <f t="shared" si="90"/>
        <v>35.56</v>
      </c>
      <c r="E632" s="2">
        <f t="shared" si="91"/>
        <v>11.319099552695597</v>
      </c>
      <c r="F632" s="2">
        <f t="shared" si="92"/>
        <v>4.45633840657307</v>
      </c>
      <c r="G632" s="2">
        <v>13.883295</v>
      </c>
      <c r="H632" s="2">
        <f t="shared" si="93"/>
        <v>45.548869567800004</v>
      </c>
      <c r="I632" s="2">
        <f>INDEX('Wood Density Lookup'!$B$2:$B$152,MATCH(B632,'Wood Density Lookup'!$A$2:$A$152,0))</f>
        <v>0.55000000000000004</v>
      </c>
      <c r="J632" s="2">
        <f t="shared" si="94"/>
        <v>55.811355290730177</v>
      </c>
      <c r="K632" s="2">
        <f t="shared" si="98"/>
        <v>15.62717948140445</v>
      </c>
      <c r="L632" s="2">
        <f t="shared" si="99"/>
        <v>71.438534772134631</v>
      </c>
      <c r="M632" s="2">
        <f t="shared" si="95"/>
        <v>51.792937709797606</v>
      </c>
      <c r="N632" s="2">
        <f t="shared" si="96"/>
        <v>25.896468854898803</v>
      </c>
      <c r="O632" s="2">
        <f t="shared" si="97"/>
        <v>95.040040697478602</v>
      </c>
      <c r="P632" s="2">
        <v>72.550013000000007</v>
      </c>
      <c r="Q632" s="2">
        <v>23.035634999999999</v>
      </c>
    </row>
    <row r="633" spans="1:17" x14ac:dyDescent="0.25">
      <c r="A633" s="2">
        <v>743</v>
      </c>
      <c r="B633" s="2" t="s">
        <v>140</v>
      </c>
      <c r="C633" s="2">
        <v>3</v>
      </c>
      <c r="D633" s="2">
        <f t="shared" si="90"/>
        <v>7.62</v>
      </c>
      <c r="E633" s="2">
        <f t="shared" si="91"/>
        <v>2.4255213327204852</v>
      </c>
      <c r="F633" s="2">
        <f t="shared" si="92"/>
        <v>0.95492965855137202</v>
      </c>
      <c r="G633" s="2">
        <v>9.4263049999999993</v>
      </c>
      <c r="H633" s="2">
        <f t="shared" si="93"/>
        <v>30.926198496199998</v>
      </c>
      <c r="I633" s="2">
        <f>INDEX('Wood Density Lookup'!$B$2:$B$152,MATCH(B633,'Wood Density Lookup'!$A$2:$A$152,0))</f>
        <v>0.6</v>
      </c>
      <c r="J633" s="2">
        <f t="shared" si="94"/>
        <v>2.0586737611177006</v>
      </c>
      <c r="K633" s="2">
        <f t="shared" si="98"/>
        <v>0.57642865311295621</v>
      </c>
      <c r="L633" s="2">
        <f t="shared" si="99"/>
        <v>2.6351024142306567</v>
      </c>
      <c r="M633" s="2">
        <f t="shared" si="95"/>
        <v>1.9104492503172261</v>
      </c>
      <c r="N633" s="2">
        <f t="shared" si="96"/>
        <v>0.95522462515861306</v>
      </c>
      <c r="O633" s="2">
        <f t="shared" si="97"/>
        <v>3.5056743743321097</v>
      </c>
      <c r="P633" s="2">
        <v>72.550013000000007</v>
      </c>
      <c r="Q633" s="2">
        <v>23.034375000000001</v>
      </c>
    </row>
    <row r="634" spans="1:17" x14ac:dyDescent="0.25">
      <c r="A634" s="2">
        <v>744</v>
      </c>
      <c r="B634" s="2" t="s">
        <v>15</v>
      </c>
      <c r="C634" s="2">
        <v>3</v>
      </c>
      <c r="D634" s="2">
        <f t="shared" si="90"/>
        <v>7.62</v>
      </c>
      <c r="E634" s="2">
        <f t="shared" si="91"/>
        <v>2.4255213327204852</v>
      </c>
      <c r="F634" s="2">
        <f t="shared" si="92"/>
        <v>0.95492965855137202</v>
      </c>
      <c r="G634" s="2">
        <v>12.493563</v>
      </c>
      <c r="H634" s="2">
        <f t="shared" si="93"/>
        <v>40.989381232920003</v>
      </c>
      <c r="I634" s="2">
        <f>INDEX('Wood Density Lookup'!$B$2:$B$152,MATCH(B634,'Wood Density Lookup'!$A$2:$A$152,0))</f>
        <v>0.75</v>
      </c>
      <c r="J634" s="2">
        <f t="shared" si="94"/>
        <v>3.3696147417032249</v>
      </c>
      <c r="K634" s="2">
        <f t="shared" si="98"/>
        <v>0.94349212767690305</v>
      </c>
      <c r="L634" s="2">
        <f t="shared" si="99"/>
        <v>4.3131068693801282</v>
      </c>
      <c r="M634" s="2">
        <f t="shared" si="95"/>
        <v>3.1270024803005927</v>
      </c>
      <c r="N634" s="2">
        <f t="shared" si="96"/>
        <v>1.5635012401502963</v>
      </c>
      <c r="O634" s="2">
        <f t="shared" si="97"/>
        <v>5.7380495513515877</v>
      </c>
      <c r="P634" s="2">
        <v>72.550014000000004</v>
      </c>
      <c r="Q634" s="2">
        <v>23.038511</v>
      </c>
    </row>
    <row r="635" spans="1:17" x14ac:dyDescent="0.25">
      <c r="A635" s="2">
        <v>745</v>
      </c>
      <c r="B635" s="2" t="s">
        <v>114</v>
      </c>
      <c r="C635" s="2">
        <v>14</v>
      </c>
      <c r="D635" s="2">
        <f t="shared" si="90"/>
        <v>35.56</v>
      </c>
      <c r="E635" s="2">
        <f t="shared" si="91"/>
        <v>11.319099552695597</v>
      </c>
      <c r="F635" s="2">
        <f t="shared" si="92"/>
        <v>4.45633840657307</v>
      </c>
      <c r="G635" s="2">
        <v>9.788297</v>
      </c>
      <c r="H635" s="2">
        <f t="shared" si="93"/>
        <v>32.113836329480002</v>
      </c>
      <c r="I635" s="2">
        <f>INDEX('Wood Density Lookup'!$B$2:$B$152,MATCH(B635,'Wood Density Lookup'!$A$2:$A$152,0))</f>
        <v>0.55000000000000004</v>
      </c>
      <c r="J635" s="2">
        <f t="shared" si="94"/>
        <v>39.680762164601596</v>
      </c>
      <c r="K635" s="2">
        <f t="shared" si="98"/>
        <v>11.110613406088447</v>
      </c>
      <c r="L635" s="2">
        <f t="shared" si="99"/>
        <v>50.791375570690043</v>
      </c>
      <c r="M635" s="2">
        <f t="shared" si="95"/>
        <v>36.823747288750283</v>
      </c>
      <c r="N635" s="2">
        <f t="shared" si="96"/>
        <v>18.411873644375142</v>
      </c>
      <c r="O635" s="2">
        <f t="shared" si="97"/>
        <v>67.571576274856767</v>
      </c>
      <c r="P635" s="2">
        <v>72.550014000000004</v>
      </c>
      <c r="Q635" s="2">
        <v>23.035768999999998</v>
      </c>
    </row>
    <row r="636" spans="1:17" x14ac:dyDescent="0.25">
      <c r="A636" s="2">
        <v>747</v>
      </c>
      <c r="B636" s="2" t="s">
        <v>111</v>
      </c>
      <c r="C636" s="2">
        <v>4</v>
      </c>
      <c r="D636" s="2">
        <f t="shared" si="90"/>
        <v>10.16</v>
      </c>
      <c r="E636" s="2">
        <f t="shared" si="91"/>
        <v>3.2340284436273135</v>
      </c>
      <c r="F636" s="2">
        <f t="shared" si="92"/>
        <v>1.2732395447351628</v>
      </c>
      <c r="G636" s="2">
        <v>3.6154660000000001</v>
      </c>
      <c r="H636" s="2">
        <f t="shared" si="93"/>
        <v>11.86176547144</v>
      </c>
      <c r="I636" s="2">
        <f>INDEX('Wood Density Lookup'!$B$2:$B$152,MATCH(B636,'Wood Density Lookup'!$A$2:$A$152,0))</f>
        <v>0.4</v>
      </c>
      <c r="J636" s="2">
        <f t="shared" si="94"/>
        <v>0.95370469620042908</v>
      </c>
      <c r="K636" s="2">
        <f t="shared" si="98"/>
        <v>0.26703731493612015</v>
      </c>
      <c r="L636" s="2">
        <f t="shared" si="99"/>
        <v>1.2207420111365492</v>
      </c>
      <c r="M636" s="2">
        <f t="shared" si="95"/>
        <v>0.88503795807399821</v>
      </c>
      <c r="N636" s="2">
        <f t="shared" si="96"/>
        <v>0.4425189790369991</v>
      </c>
      <c r="O636" s="2">
        <f t="shared" si="97"/>
        <v>1.6240446530657866</v>
      </c>
      <c r="P636" s="2">
        <v>72.550014000000004</v>
      </c>
      <c r="Q636" s="2">
        <v>23.035489999999999</v>
      </c>
    </row>
    <row r="637" spans="1:17" x14ac:dyDescent="0.25">
      <c r="A637" s="2">
        <v>748</v>
      </c>
      <c r="B637" s="2" t="s">
        <v>15</v>
      </c>
      <c r="C637" s="2">
        <v>26</v>
      </c>
      <c r="D637" s="2">
        <f t="shared" si="90"/>
        <v>66.040000000000006</v>
      </c>
      <c r="E637" s="2">
        <f t="shared" si="91"/>
        <v>21.02118488357754</v>
      </c>
      <c r="F637" s="2">
        <f t="shared" si="92"/>
        <v>8.2760570407785572</v>
      </c>
      <c r="G637" s="2">
        <v>8.439921</v>
      </c>
      <c r="H637" s="2">
        <f t="shared" si="93"/>
        <v>27.690030413639999</v>
      </c>
      <c r="I637" s="2">
        <f>INDEX('Wood Density Lookup'!$B$2:$B$152,MATCH(B637,'Wood Density Lookup'!$A$2:$A$152,0))</f>
        <v>0.75</v>
      </c>
      <c r="J637" s="2">
        <f t="shared" si="94"/>
        <v>155.59941370592895</v>
      </c>
      <c r="K637" s="2">
        <f t="shared" si="98"/>
        <v>43.567835837660112</v>
      </c>
      <c r="L637" s="2">
        <f t="shared" si="99"/>
        <v>199.16724954358907</v>
      </c>
      <c r="M637" s="2">
        <f t="shared" si="95"/>
        <v>144.39625591910206</v>
      </c>
      <c r="N637" s="2">
        <f t="shared" si="96"/>
        <v>72.19812795955103</v>
      </c>
      <c r="O637" s="2">
        <f t="shared" si="97"/>
        <v>264.96712961155225</v>
      </c>
      <c r="P637" s="2">
        <v>72.550015000000002</v>
      </c>
      <c r="Q637" s="2">
        <v>23.036192</v>
      </c>
    </row>
    <row r="638" spans="1:17" x14ac:dyDescent="0.25">
      <c r="A638" s="2">
        <v>749</v>
      </c>
      <c r="B638" s="2" t="s">
        <v>135</v>
      </c>
      <c r="C638" s="2">
        <v>4</v>
      </c>
      <c r="D638" s="2">
        <f t="shared" si="90"/>
        <v>10.16</v>
      </c>
      <c r="E638" s="2">
        <f t="shared" si="91"/>
        <v>3.2340284436273135</v>
      </c>
      <c r="F638" s="2">
        <f t="shared" si="92"/>
        <v>1.2732395447351628</v>
      </c>
      <c r="G638" s="2">
        <v>4.5265789999999999</v>
      </c>
      <c r="H638" s="2">
        <f t="shared" si="93"/>
        <v>14.850981446359999</v>
      </c>
      <c r="I638" s="2">
        <f>INDEX('Wood Density Lookup'!$B$2:$B$152,MATCH(B638,'Wood Density Lookup'!$A$2:$A$152,0))</f>
        <v>0.8</v>
      </c>
      <c r="J638" s="2">
        <f t="shared" si="94"/>
        <v>2.3360518594977626</v>
      </c>
      <c r="K638" s="2">
        <f t="shared" si="98"/>
        <v>0.65409452065937357</v>
      </c>
      <c r="L638" s="2">
        <f t="shared" si="99"/>
        <v>2.9901463801571362</v>
      </c>
      <c r="M638" s="2">
        <f t="shared" si="95"/>
        <v>2.1678561256139237</v>
      </c>
      <c r="N638" s="2">
        <f t="shared" si="96"/>
        <v>1.0839280628069619</v>
      </c>
      <c r="O638" s="2">
        <f t="shared" si="97"/>
        <v>3.9780159905015497</v>
      </c>
      <c r="P638" s="2">
        <v>72.550015000000002</v>
      </c>
      <c r="Q638" s="2">
        <v>23.035034</v>
      </c>
    </row>
    <row r="639" spans="1:17" x14ac:dyDescent="0.25">
      <c r="A639" s="2">
        <v>750</v>
      </c>
      <c r="B639" s="2" t="s">
        <v>141</v>
      </c>
      <c r="C639" s="2">
        <v>3</v>
      </c>
      <c r="D639" s="2">
        <f t="shared" si="90"/>
        <v>7.62</v>
      </c>
      <c r="E639" s="2">
        <f t="shared" si="91"/>
        <v>2.4255213327204852</v>
      </c>
      <c r="F639" s="2">
        <f t="shared" si="92"/>
        <v>0.95492965855137202</v>
      </c>
      <c r="G639" s="2">
        <v>5.7487060000000003</v>
      </c>
      <c r="H639" s="2">
        <f t="shared" si="93"/>
        <v>18.860584593040002</v>
      </c>
      <c r="I639" s="2">
        <f>INDEX('Wood Density Lookup'!$B$2:$B$152,MATCH(B639,'Wood Density Lookup'!$A$2:$A$152,0))</f>
        <v>0.6</v>
      </c>
      <c r="J639" s="2">
        <f t="shared" si="94"/>
        <v>1.2704882513713649</v>
      </c>
      <c r="K639" s="2">
        <f t="shared" si="98"/>
        <v>0.35573671038398219</v>
      </c>
      <c r="L639" s="2">
        <f t="shared" si="99"/>
        <v>1.626224961755347</v>
      </c>
      <c r="M639" s="2">
        <f t="shared" si="95"/>
        <v>1.1790130972726265</v>
      </c>
      <c r="N639" s="2">
        <f t="shared" si="96"/>
        <v>0.58950654863631324</v>
      </c>
      <c r="O639" s="2">
        <f t="shared" si="97"/>
        <v>2.1634890334952694</v>
      </c>
      <c r="P639" s="2">
        <v>72.550015999999999</v>
      </c>
      <c r="Q639" s="2">
        <v>23.034383999999999</v>
      </c>
    </row>
    <row r="640" spans="1:17" x14ac:dyDescent="0.25">
      <c r="A640" s="2">
        <v>751</v>
      </c>
      <c r="B640" s="2" t="s">
        <v>11</v>
      </c>
      <c r="C640" s="2">
        <v>18</v>
      </c>
      <c r="D640" s="2">
        <f t="shared" si="90"/>
        <v>45.72</v>
      </c>
      <c r="E640" s="2">
        <f t="shared" si="91"/>
        <v>14.55312799632291</v>
      </c>
      <c r="F640" s="2">
        <f t="shared" si="92"/>
        <v>5.7295779513082321</v>
      </c>
      <c r="G640" s="2">
        <v>7.3053369999999997</v>
      </c>
      <c r="H640" s="2">
        <f t="shared" si="93"/>
        <v>23.967641843079999</v>
      </c>
      <c r="I640" s="2">
        <f>INDEX('Wood Density Lookup'!$B$2:$B$152,MATCH(B640,'Wood Density Lookup'!$A$2:$A$152,0))</f>
        <v>0.45</v>
      </c>
      <c r="J640" s="2">
        <f t="shared" si="94"/>
        <v>40.045540509802898</v>
      </c>
      <c r="K640" s="2">
        <f t="shared" si="98"/>
        <v>11.212751342744813</v>
      </c>
      <c r="L640" s="2">
        <f t="shared" si="99"/>
        <v>51.258291852547714</v>
      </c>
      <c r="M640" s="2">
        <f t="shared" si="95"/>
        <v>37.162261593097092</v>
      </c>
      <c r="N640" s="2">
        <f t="shared" si="96"/>
        <v>18.581130796548546</v>
      </c>
      <c r="O640" s="2">
        <f t="shared" si="97"/>
        <v>68.192750023333161</v>
      </c>
      <c r="P640" s="2">
        <v>72.550019000000006</v>
      </c>
      <c r="Q640" s="2">
        <v>23.036684000000001</v>
      </c>
    </row>
    <row r="641" spans="1:17" x14ac:dyDescent="0.25">
      <c r="A641" s="2">
        <v>752</v>
      </c>
      <c r="B641" s="2" t="s">
        <v>111</v>
      </c>
      <c r="C641" s="2">
        <v>6</v>
      </c>
      <c r="D641" s="2">
        <f t="shared" ref="D641:D704" si="100">C641*2.54</f>
        <v>15.24</v>
      </c>
      <c r="E641" s="2">
        <f t="shared" ref="E641:E704" si="101">D641/PI()</f>
        <v>4.8510426654409704</v>
      </c>
      <c r="F641" s="2">
        <f t="shared" ref="F641:F704" si="102">C641/PI()</f>
        <v>1.909859317102744</v>
      </c>
      <c r="G641" s="2">
        <v>4.3967640000000001</v>
      </c>
      <c r="H641" s="2">
        <f t="shared" ref="H641:H704" si="103">G641*3.28084</f>
        <v>14.425079201760001</v>
      </c>
      <c r="I641" s="2">
        <f>INDEX('Wood Density Lookup'!$B$2:$B$152,MATCH(B641,'Wood Density Lookup'!$A$2:$A$152,0))</f>
        <v>0.4</v>
      </c>
      <c r="J641" s="2">
        <f t="shared" ref="J641:J704" si="104">0.0673*POWER(I641*E641^2*G641,0.976)</f>
        <v>2.5472623659961755</v>
      </c>
      <c r="K641" s="2">
        <f t="shared" si="98"/>
        <v>0.71323346247892916</v>
      </c>
      <c r="L641" s="2">
        <f t="shared" si="99"/>
        <v>3.2604958284751047</v>
      </c>
      <c r="M641" s="2">
        <f t="shared" ref="M641:M704" si="105">0.725*L641</f>
        <v>2.3638594756444506</v>
      </c>
      <c r="N641" s="2">
        <f t="shared" ref="N641:N704" si="106">0.5*M641</f>
        <v>1.1819297378222253</v>
      </c>
      <c r="O641" s="2">
        <f t="shared" ref="O641:O704" si="107">3.67*N641</f>
        <v>4.3376821378075672</v>
      </c>
      <c r="P641" s="2">
        <v>72.550019000000006</v>
      </c>
      <c r="Q641" s="2">
        <v>23.035478999999999</v>
      </c>
    </row>
    <row r="642" spans="1:17" x14ac:dyDescent="0.25">
      <c r="A642" s="2">
        <v>753</v>
      </c>
      <c r="B642" s="2" t="s">
        <v>135</v>
      </c>
      <c r="C642" s="2">
        <v>5</v>
      </c>
      <c r="D642" s="2">
        <f t="shared" si="100"/>
        <v>12.7</v>
      </c>
      <c r="E642" s="2">
        <f t="shared" si="101"/>
        <v>4.0425355545341413</v>
      </c>
      <c r="F642" s="2">
        <f t="shared" si="102"/>
        <v>1.5915494309189535</v>
      </c>
      <c r="G642" s="2">
        <v>5.9299860000000004</v>
      </c>
      <c r="H642" s="2">
        <f t="shared" si="103"/>
        <v>19.455335268240002</v>
      </c>
      <c r="I642" s="2">
        <f>INDEX('Wood Density Lookup'!$B$2:$B$152,MATCH(B642,'Wood Density Lookup'!$A$2:$A$152,0))</f>
        <v>0.8</v>
      </c>
      <c r="J642" s="2">
        <f t="shared" si="104"/>
        <v>4.7002351215641376</v>
      </c>
      <c r="K642" s="2">
        <f t="shared" si="98"/>
        <v>1.3160658340379587</v>
      </c>
      <c r="L642" s="2">
        <f t="shared" si="99"/>
        <v>6.0163009556020963</v>
      </c>
      <c r="M642" s="2">
        <f t="shared" si="105"/>
        <v>4.3618181928115201</v>
      </c>
      <c r="N642" s="2">
        <f t="shared" si="106"/>
        <v>2.18090909640576</v>
      </c>
      <c r="O642" s="2">
        <f t="shared" si="107"/>
        <v>8.0039363838091386</v>
      </c>
      <c r="P642" s="2">
        <v>72.550019000000006</v>
      </c>
      <c r="Q642" s="2">
        <v>23.035012999999999</v>
      </c>
    </row>
    <row r="643" spans="1:17" x14ac:dyDescent="0.25">
      <c r="A643" s="2">
        <v>754</v>
      </c>
      <c r="B643" s="2" t="s">
        <v>135</v>
      </c>
      <c r="C643" s="2">
        <v>29</v>
      </c>
      <c r="D643" s="2">
        <f t="shared" si="100"/>
        <v>73.66</v>
      </c>
      <c r="E643" s="2">
        <f t="shared" si="101"/>
        <v>23.446706216298022</v>
      </c>
      <c r="F643" s="2">
        <f t="shared" si="102"/>
        <v>9.2309866993299305</v>
      </c>
      <c r="G643" s="2">
        <v>11.547082</v>
      </c>
      <c r="H643" s="2">
        <f t="shared" si="103"/>
        <v>37.884128508879996</v>
      </c>
      <c r="I643" s="2">
        <f>INDEX('Wood Density Lookup'!$B$2:$B$152,MATCH(B643,'Wood Density Lookup'!$A$2:$A$152,0))</f>
        <v>0.8</v>
      </c>
      <c r="J643" s="2">
        <f t="shared" si="104"/>
        <v>278.48612529658249</v>
      </c>
      <c r="K643" s="2">
        <f t="shared" ref="K643:K706" si="108">0.28*J643</f>
        <v>77.976115083043098</v>
      </c>
      <c r="L643" s="2">
        <f t="shared" ref="L643:L706" si="109">J643+K643</f>
        <v>356.4622403796256</v>
      </c>
      <c r="M643" s="2">
        <f t="shared" si="105"/>
        <v>258.43512427522853</v>
      </c>
      <c r="N643" s="2">
        <f t="shared" si="106"/>
        <v>129.21756213761427</v>
      </c>
      <c r="O643" s="2">
        <f t="shared" si="107"/>
        <v>474.22845304504432</v>
      </c>
      <c r="P643" s="2">
        <v>72.550021999999998</v>
      </c>
      <c r="Q643" s="2">
        <v>23.034789</v>
      </c>
    </row>
    <row r="644" spans="1:17" x14ac:dyDescent="0.25">
      <c r="A644" s="2">
        <v>755</v>
      </c>
      <c r="B644" s="2" t="s">
        <v>59</v>
      </c>
      <c r="C644" s="2">
        <v>32</v>
      </c>
      <c r="D644" s="2">
        <f t="shared" si="100"/>
        <v>81.28</v>
      </c>
      <c r="E644" s="2">
        <f t="shared" si="101"/>
        <v>25.872227549018508</v>
      </c>
      <c r="F644" s="2">
        <f t="shared" si="102"/>
        <v>10.185916357881302</v>
      </c>
      <c r="G644" s="2">
        <v>6.5653980000000001</v>
      </c>
      <c r="H644" s="2">
        <f t="shared" si="103"/>
        <v>21.540020374320001</v>
      </c>
      <c r="I644" s="2">
        <f>INDEX('Wood Density Lookup'!$B$2:$B$152,MATCH(B644,'Wood Density Lookup'!$A$2:$A$152,0))</f>
        <v>0.45</v>
      </c>
      <c r="J644" s="2">
        <f t="shared" si="104"/>
        <v>110.92996904814581</v>
      </c>
      <c r="K644" s="2">
        <f t="shared" si="108"/>
        <v>31.06039133348083</v>
      </c>
      <c r="L644" s="2">
        <f t="shared" si="109"/>
        <v>141.99036038162663</v>
      </c>
      <c r="M644" s="2">
        <f t="shared" si="105"/>
        <v>102.9430112766793</v>
      </c>
      <c r="N644" s="2">
        <f t="shared" si="106"/>
        <v>51.47150563833965</v>
      </c>
      <c r="O644" s="2">
        <f t="shared" si="107"/>
        <v>188.90042569270651</v>
      </c>
      <c r="P644" s="2">
        <v>72.550021999999998</v>
      </c>
      <c r="Q644" s="2">
        <v>23.037416</v>
      </c>
    </row>
    <row r="645" spans="1:17" x14ac:dyDescent="0.25">
      <c r="A645" s="2">
        <v>756</v>
      </c>
      <c r="B645" s="2" t="s">
        <v>148</v>
      </c>
      <c r="C645" s="2">
        <v>11</v>
      </c>
      <c r="D645" s="2">
        <f t="shared" si="100"/>
        <v>27.94</v>
      </c>
      <c r="E645" s="2">
        <f t="shared" si="101"/>
        <v>8.8935782199751117</v>
      </c>
      <c r="F645" s="2">
        <f t="shared" si="102"/>
        <v>3.5014087480216975</v>
      </c>
      <c r="G645" s="2">
        <v>7.2344900000000001</v>
      </c>
      <c r="H645" s="2">
        <f t="shared" si="103"/>
        <v>23.7352041716</v>
      </c>
      <c r="I645" s="2">
        <f>INDEX('Wood Density Lookup'!$B$2:$B$152,MATCH(B645,'Wood Density Lookup'!$A$2:$A$152,0))</f>
        <v>0.5</v>
      </c>
      <c r="J645" s="2">
        <f t="shared" si="104"/>
        <v>16.810835707053858</v>
      </c>
      <c r="K645" s="2">
        <f t="shared" si="108"/>
        <v>4.7070339979750804</v>
      </c>
      <c r="L645" s="2">
        <f t="shared" si="109"/>
        <v>21.517869705028939</v>
      </c>
      <c r="M645" s="2">
        <f t="shared" si="105"/>
        <v>15.600455536145981</v>
      </c>
      <c r="N645" s="2">
        <f t="shared" si="106"/>
        <v>7.8002277680729906</v>
      </c>
      <c r="O645" s="2">
        <f t="shared" si="107"/>
        <v>28.626835908827875</v>
      </c>
      <c r="P645" s="2">
        <v>72.550023999999993</v>
      </c>
      <c r="Q645" s="2">
        <v>23.035955999999999</v>
      </c>
    </row>
    <row r="646" spans="1:17" x14ac:dyDescent="0.25">
      <c r="A646" s="2">
        <v>757</v>
      </c>
      <c r="B646" s="2" t="s">
        <v>115</v>
      </c>
      <c r="C646" s="2">
        <v>31</v>
      </c>
      <c r="D646" s="2">
        <f t="shared" si="100"/>
        <v>78.739999999999995</v>
      </c>
      <c r="E646" s="2">
        <f t="shared" si="101"/>
        <v>25.063720438111677</v>
      </c>
      <c r="F646" s="2">
        <f t="shared" si="102"/>
        <v>9.8676064716975116</v>
      </c>
      <c r="G646" s="2">
        <v>7.8625579999999999</v>
      </c>
      <c r="H646" s="2">
        <f t="shared" si="103"/>
        <v>25.795794788719999</v>
      </c>
      <c r="I646" s="2">
        <f>INDEX('Wood Density Lookup'!$B$2:$B$152,MATCH(B646,'Wood Density Lookup'!$A$2:$A$152,0))</f>
        <v>0.65</v>
      </c>
      <c r="J646" s="2">
        <f t="shared" si="104"/>
        <v>178.00234324936457</v>
      </c>
      <c r="K646" s="2">
        <f t="shared" si="108"/>
        <v>49.840656109822085</v>
      </c>
      <c r="L646" s="2">
        <f t="shared" si="109"/>
        <v>227.84299935918665</v>
      </c>
      <c r="M646" s="2">
        <f t="shared" si="105"/>
        <v>165.18617453541032</v>
      </c>
      <c r="N646" s="2">
        <f t="shared" si="106"/>
        <v>82.593087267705158</v>
      </c>
      <c r="O646" s="2">
        <f t="shared" si="107"/>
        <v>303.11663027247795</v>
      </c>
      <c r="P646" s="2">
        <v>72.550023999999993</v>
      </c>
      <c r="Q646" s="2">
        <v>23.035902</v>
      </c>
    </row>
    <row r="647" spans="1:17" x14ac:dyDescent="0.25">
      <c r="A647" s="2">
        <v>758</v>
      </c>
      <c r="B647" s="2" t="s">
        <v>111</v>
      </c>
      <c r="C647" s="2">
        <v>5</v>
      </c>
      <c r="D647" s="2">
        <f t="shared" si="100"/>
        <v>12.7</v>
      </c>
      <c r="E647" s="2">
        <f t="shared" si="101"/>
        <v>4.0425355545341413</v>
      </c>
      <c r="F647" s="2">
        <f t="shared" si="102"/>
        <v>1.5915494309189535</v>
      </c>
      <c r="G647" s="2">
        <v>3.1874790000000002</v>
      </c>
      <c r="H647" s="2">
        <f t="shared" si="103"/>
        <v>10.457608602360001</v>
      </c>
      <c r="I647" s="2">
        <f>INDEX('Wood Density Lookup'!$B$2:$B$152,MATCH(B647,'Wood Density Lookup'!$A$2:$A$152,0))</f>
        <v>0.4</v>
      </c>
      <c r="J647" s="2">
        <f t="shared" si="104"/>
        <v>1.3037025764157142</v>
      </c>
      <c r="K647" s="2">
        <f t="shared" si="108"/>
        <v>0.36503672139640003</v>
      </c>
      <c r="L647" s="2">
        <f t="shared" si="109"/>
        <v>1.6687392978121143</v>
      </c>
      <c r="M647" s="2">
        <f t="shared" si="105"/>
        <v>1.2098359909137828</v>
      </c>
      <c r="N647" s="2">
        <f t="shared" si="106"/>
        <v>0.6049179954568914</v>
      </c>
      <c r="O647" s="2">
        <f t="shared" si="107"/>
        <v>2.2200490433267914</v>
      </c>
      <c r="P647" s="2">
        <v>72.550023999999993</v>
      </c>
      <c r="Q647" s="2">
        <v>23.035488000000001</v>
      </c>
    </row>
    <row r="648" spans="1:17" x14ac:dyDescent="0.25">
      <c r="A648" s="2">
        <v>759</v>
      </c>
      <c r="B648" s="2" t="s">
        <v>114</v>
      </c>
      <c r="C648" s="2">
        <v>28</v>
      </c>
      <c r="D648" s="2">
        <f t="shared" si="100"/>
        <v>71.12</v>
      </c>
      <c r="E648" s="2">
        <f t="shared" si="101"/>
        <v>22.638199105391195</v>
      </c>
      <c r="F648" s="2">
        <f t="shared" si="102"/>
        <v>8.91267681314614</v>
      </c>
      <c r="G648" s="2">
        <v>3.1227040000000001</v>
      </c>
      <c r="H648" s="2">
        <f t="shared" si="103"/>
        <v>10.245092191360001</v>
      </c>
      <c r="I648" s="2">
        <f>INDEX('Wood Density Lookup'!$B$2:$B$152,MATCH(B648,'Wood Density Lookup'!$A$2:$A$152,0))</f>
        <v>0.55000000000000004</v>
      </c>
      <c r="J648" s="2">
        <f t="shared" si="104"/>
        <v>50.341073169277216</v>
      </c>
      <c r="K648" s="2">
        <f t="shared" si="108"/>
        <v>14.095500487397622</v>
      </c>
      <c r="L648" s="2">
        <f t="shared" si="109"/>
        <v>64.436573656674838</v>
      </c>
      <c r="M648" s="2">
        <f t="shared" si="105"/>
        <v>46.716515901089259</v>
      </c>
      <c r="N648" s="2">
        <f t="shared" si="106"/>
        <v>23.35825795054463</v>
      </c>
      <c r="O648" s="2">
        <f t="shared" si="107"/>
        <v>85.724806678498794</v>
      </c>
      <c r="P648" s="2">
        <v>72.550027</v>
      </c>
      <c r="Q648" s="2">
        <v>23.035678000000001</v>
      </c>
    </row>
    <row r="649" spans="1:17" x14ac:dyDescent="0.25">
      <c r="A649" s="2">
        <v>760</v>
      </c>
      <c r="B649" s="2" t="s">
        <v>15</v>
      </c>
      <c r="C649" s="2">
        <v>69</v>
      </c>
      <c r="D649" s="2">
        <f t="shared" si="100"/>
        <v>175.26</v>
      </c>
      <c r="E649" s="2">
        <f t="shared" si="101"/>
        <v>55.786990652571156</v>
      </c>
      <c r="F649" s="2">
        <f t="shared" si="102"/>
        <v>21.963382146681557</v>
      </c>
      <c r="G649" s="2">
        <v>10.62678</v>
      </c>
      <c r="H649" s="2">
        <f t="shared" si="103"/>
        <v>34.864764895199997</v>
      </c>
      <c r="I649" s="2">
        <f>INDEX('Wood Density Lookup'!$B$2:$B$152,MATCH(B649,'Wood Density Lookup'!$A$2:$A$152,0))</f>
        <v>0.75</v>
      </c>
      <c r="J649" s="2">
        <f t="shared" si="104"/>
        <v>1309.4086179518936</v>
      </c>
      <c r="K649" s="2">
        <f t="shared" si="108"/>
        <v>366.63441302653024</v>
      </c>
      <c r="L649" s="2">
        <f t="shared" si="109"/>
        <v>1676.0430309784238</v>
      </c>
      <c r="M649" s="2">
        <f t="shared" si="105"/>
        <v>1215.1311974593573</v>
      </c>
      <c r="N649" s="2">
        <f t="shared" si="106"/>
        <v>607.56559872967864</v>
      </c>
      <c r="O649" s="2">
        <f t="shared" si="107"/>
        <v>2229.7657473379204</v>
      </c>
      <c r="P649" s="2">
        <v>72.550027999999998</v>
      </c>
      <c r="Q649" s="2">
        <v>23.034911000000001</v>
      </c>
    </row>
    <row r="650" spans="1:17" x14ac:dyDescent="0.25">
      <c r="A650" s="2">
        <v>761</v>
      </c>
      <c r="B650" s="2" t="s">
        <v>107</v>
      </c>
      <c r="C650" s="2">
        <v>7</v>
      </c>
      <c r="D650" s="2">
        <f t="shared" si="100"/>
        <v>17.78</v>
      </c>
      <c r="E650" s="2">
        <f t="shared" si="101"/>
        <v>5.6595497763477987</v>
      </c>
      <c r="F650" s="2">
        <f t="shared" si="102"/>
        <v>2.228169203286535</v>
      </c>
      <c r="G650" s="2">
        <v>2.8959739999999998</v>
      </c>
      <c r="H650" s="2">
        <f t="shared" si="103"/>
        <v>9.5012273381599996</v>
      </c>
      <c r="I650" s="2">
        <f>INDEX('Wood Density Lookup'!$B$2:$B$152,MATCH(B650,'Wood Density Lookup'!$A$2:$A$152,0))</f>
        <v>0.65</v>
      </c>
      <c r="J650" s="2">
        <f t="shared" si="104"/>
        <v>3.6775647197257038</v>
      </c>
      <c r="K650" s="2">
        <f t="shared" si="108"/>
        <v>1.0297181215231972</v>
      </c>
      <c r="L650" s="2">
        <f t="shared" si="109"/>
        <v>4.707282841248901</v>
      </c>
      <c r="M650" s="2">
        <f t="shared" si="105"/>
        <v>3.4127800599054532</v>
      </c>
      <c r="N650" s="2">
        <f t="shared" si="106"/>
        <v>1.7063900299527266</v>
      </c>
      <c r="O650" s="2">
        <f t="shared" si="107"/>
        <v>6.2624514099265065</v>
      </c>
      <c r="P650" s="2">
        <v>72.550027999999998</v>
      </c>
      <c r="Q650" s="2">
        <v>23.03566</v>
      </c>
    </row>
    <row r="651" spans="1:17" x14ac:dyDescent="0.25">
      <c r="A651" s="2">
        <v>762</v>
      </c>
      <c r="B651" s="2" t="s">
        <v>140</v>
      </c>
      <c r="C651" s="2">
        <v>2</v>
      </c>
      <c r="D651" s="2">
        <f t="shared" si="100"/>
        <v>5.08</v>
      </c>
      <c r="E651" s="2">
        <f t="shared" si="101"/>
        <v>1.6170142218136567</v>
      </c>
      <c r="F651" s="2">
        <f t="shared" si="102"/>
        <v>0.63661977236758138</v>
      </c>
      <c r="G651" s="2">
        <v>10.500431000000001</v>
      </c>
      <c r="H651" s="2">
        <f t="shared" si="103"/>
        <v>34.450234042040002</v>
      </c>
      <c r="I651" s="2">
        <f>INDEX('Wood Density Lookup'!$B$2:$B$152,MATCH(B651,'Wood Density Lookup'!$A$2:$A$152,0))</f>
        <v>0.6</v>
      </c>
      <c r="J651" s="2">
        <f t="shared" si="104"/>
        <v>1.0365690892472996</v>
      </c>
      <c r="K651" s="2">
        <f t="shared" si="108"/>
        <v>0.29023934498924392</v>
      </c>
      <c r="L651" s="2">
        <f t="shared" si="109"/>
        <v>1.3268084342365436</v>
      </c>
      <c r="M651" s="2">
        <f t="shared" si="105"/>
        <v>0.9619361148214941</v>
      </c>
      <c r="N651" s="2">
        <f t="shared" si="106"/>
        <v>0.48096805741074705</v>
      </c>
      <c r="O651" s="2">
        <f t="shared" si="107"/>
        <v>1.7651527706974417</v>
      </c>
      <c r="P651" s="2">
        <v>72.550027999999998</v>
      </c>
      <c r="Q651" s="2">
        <v>23.034379000000001</v>
      </c>
    </row>
    <row r="652" spans="1:17" x14ac:dyDescent="0.25">
      <c r="A652" s="2">
        <v>764</v>
      </c>
      <c r="B652" s="2" t="s">
        <v>123</v>
      </c>
      <c r="C652" s="2">
        <v>9</v>
      </c>
      <c r="D652" s="2">
        <f t="shared" si="100"/>
        <v>22.86</v>
      </c>
      <c r="E652" s="2">
        <f t="shared" si="101"/>
        <v>7.2765639981614552</v>
      </c>
      <c r="F652" s="2">
        <f t="shared" si="102"/>
        <v>2.8647889756541161</v>
      </c>
      <c r="G652" s="2">
        <v>7.4446000000000003</v>
      </c>
      <c r="H652" s="2">
        <f t="shared" si="103"/>
        <v>24.424541464000001</v>
      </c>
      <c r="I652" s="2">
        <f>INDEX('Wood Density Lookup'!$B$2:$B$152,MATCH(B652,'Wood Density Lookup'!$A$2:$A$152,0))</f>
        <v>0.85</v>
      </c>
      <c r="J652" s="2">
        <f t="shared" si="104"/>
        <v>19.612156612362007</v>
      </c>
      <c r="K652" s="2">
        <f t="shared" si="108"/>
        <v>5.4914038514613628</v>
      </c>
      <c r="L652" s="2">
        <f t="shared" si="109"/>
        <v>25.103560463823371</v>
      </c>
      <c r="M652" s="2">
        <f t="shared" si="105"/>
        <v>18.200081336271943</v>
      </c>
      <c r="N652" s="2">
        <f t="shared" si="106"/>
        <v>9.1000406681359713</v>
      </c>
      <c r="O652" s="2">
        <f t="shared" si="107"/>
        <v>33.397149252059016</v>
      </c>
      <c r="P652" s="2">
        <v>72.550031000000004</v>
      </c>
      <c r="Q652" s="2">
        <v>23.035793000000002</v>
      </c>
    </row>
    <row r="653" spans="1:17" x14ac:dyDescent="0.25">
      <c r="A653" s="2">
        <v>765</v>
      </c>
      <c r="B653" s="2" t="s">
        <v>15</v>
      </c>
      <c r="C653" s="2">
        <v>102</v>
      </c>
      <c r="D653" s="2">
        <f t="shared" si="100"/>
        <v>259.08</v>
      </c>
      <c r="E653" s="2">
        <f t="shared" si="101"/>
        <v>82.467725312496484</v>
      </c>
      <c r="F653" s="2">
        <f t="shared" si="102"/>
        <v>32.467608390746648</v>
      </c>
      <c r="G653" s="2">
        <v>14.926883</v>
      </c>
      <c r="H653" s="2">
        <f t="shared" si="103"/>
        <v>48.972714821719997</v>
      </c>
      <c r="I653" s="2">
        <f>INDEX('Wood Density Lookup'!$B$2:$B$152,MATCH(B653,'Wood Density Lookup'!$A$2:$A$152,0))</f>
        <v>0.75</v>
      </c>
      <c r="J653" s="2">
        <f t="shared" si="104"/>
        <v>3912.5069819988007</v>
      </c>
      <c r="K653" s="2">
        <f t="shared" si="108"/>
        <v>1095.5019549596643</v>
      </c>
      <c r="L653" s="2">
        <f t="shared" si="109"/>
        <v>5008.0089369584648</v>
      </c>
      <c r="M653" s="2">
        <f t="shared" si="105"/>
        <v>3630.8064792948867</v>
      </c>
      <c r="N653" s="2">
        <f t="shared" si="106"/>
        <v>1815.4032396474433</v>
      </c>
      <c r="O653" s="2">
        <f t="shared" si="107"/>
        <v>6662.5298895061169</v>
      </c>
      <c r="P653" s="2">
        <v>72.550032999999999</v>
      </c>
      <c r="Q653" s="2">
        <v>23.037822999999999</v>
      </c>
    </row>
    <row r="654" spans="1:17" x14ac:dyDescent="0.25">
      <c r="A654" s="2">
        <v>766</v>
      </c>
      <c r="B654" s="2" t="s">
        <v>114</v>
      </c>
      <c r="C654" s="2">
        <v>18</v>
      </c>
      <c r="D654" s="2">
        <f t="shared" si="100"/>
        <v>45.72</v>
      </c>
      <c r="E654" s="2">
        <f t="shared" si="101"/>
        <v>14.55312799632291</v>
      </c>
      <c r="F654" s="2">
        <f t="shared" si="102"/>
        <v>5.7295779513082321</v>
      </c>
      <c r="G654" s="2">
        <v>3.5815000000000001</v>
      </c>
      <c r="H654" s="2">
        <f t="shared" si="103"/>
        <v>11.75032846</v>
      </c>
      <c r="I654" s="2">
        <f>INDEX('Wood Density Lookup'!$B$2:$B$152,MATCH(B654,'Wood Density Lookup'!$A$2:$A$152,0))</f>
        <v>0.55000000000000004</v>
      </c>
      <c r="J654" s="2">
        <f t="shared" si="104"/>
        <v>24.29222186968931</v>
      </c>
      <c r="K654" s="2">
        <f t="shared" si="108"/>
        <v>6.8018221235130074</v>
      </c>
      <c r="L654" s="2">
        <f t="shared" si="109"/>
        <v>31.09404399320232</v>
      </c>
      <c r="M654" s="2">
        <f t="shared" si="105"/>
        <v>22.54318189507168</v>
      </c>
      <c r="N654" s="2">
        <f t="shared" si="106"/>
        <v>11.27159094753584</v>
      </c>
      <c r="O654" s="2">
        <f t="shared" si="107"/>
        <v>41.366738777456533</v>
      </c>
      <c r="P654" s="2">
        <v>72.550032999999999</v>
      </c>
      <c r="Q654" s="2">
        <v>23.035481999999998</v>
      </c>
    </row>
    <row r="655" spans="1:17" x14ac:dyDescent="0.25">
      <c r="A655" s="2">
        <v>767</v>
      </c>
      <c r="B655" s="2" t="s">
        <v>111</v>
      </c>
      <c r="C655" s="2">
        <v>3</v>
      </c>
      <c r="D655" s="2">
        <f t="shared" si="100"/>
        <v>7.62</v>
      </c>
      <c r="E655" s="2">
        <f t="shared" si="101"/>
        <v>2.4255213327204852</v>
      </c>
      <c r="F655" s="2">
        <f t="shared" si="102"/>
        <v>0.95492965855137202</v>
      </c>
      <c r="G655" s="2">
        <v>2.7574450000000001</v>
      </c>
      <c r="H655" s="2">
        <f t="shared" si="103"/>
        <v>9.0467358537999996</v>
      </c>
      <c r="I655" s="2">
        <f>INDEX('Wood Density Lookup'!$B$2:$B$152,MATCH(B655,'Wood Density Lookup'!$A$2:$A$152,0))</f>
        <v>0.4</v>
      </c>
      <c r="J655" s="2">
        <f t="shared" si="104"/>
        <v>0.41754170709143618</v>
      </c>
      <c r="K655" s="2">
        <f t="shared" si="108"/>
        <v>0.11691167798560215</v>
      </c>
      <c r="L655" s="2">
        <f t="shared" si="109"/>
        <v>0.53445338507703832</v>
      </c>
      <c r="M655" s="2">
        <f t="shared" si="105"/>
        <v>0.38747870418085278</v>
      </c>
      <c r="N655" s="2">
        <f t="shared" si="106"/>
        <v>0.19373935209042639</v>
      </c>
      <c r="O655" s="2">
        <f t="shared" si="107"/>
        <v>0.71102342217186487</v>
      </c>
      <c r="P655" s="2">
        <v>72.550033999999997</v>
      </c>
      <c r="Q655" s="2">
        <v>23.035485999999999</v>
      </c>
    </row>
    <row r="656" spans="1:17" x14ac:dyDescent="0.25">
      <c r="A656" s="2">
        <v>768</v>
      </c>
      <c r="B656" s="2" t="s">
        <v>15</v>
      </c>
      <c r="C656" s="2">
        <v>4</v>
      </c>
      <c r="D656" s="2">
        <f t="shared" si="100"/>
        <v>10.16</v>
      </c>
      <c r="E656" s="2">
        <f t="shared" si="101"/>
        <v>3.2340284436273135</v>
      </c>
      <c r="F656" s="2">
        <f t="shared" si="102"/>
        <v>1.2732395447351628</v>
      </c>
      <c r="G656" s="2">
        <v>1.0124979999999999</v>
      </c>
      <c r="H656" s="2">
        <f t="shared" si="103"/>
        <v>3.3218439383199998</v>
      </c>
      <c r="I656" s="2">
        <f>INDEX('Wood Density Lookup'!$B$2:$B$152,MATCH(B656,'Wood Density Lookup'!$A$2:$A$152,0))</f>
        <v>0.75</v>
      </c>
      <c r="J656" s="2">
        <f t="shared" si="104"/>
        <v>0.50858030457405823</v>
      </c>
      <c r="K656" s="2">
        <f t="shared" si="108"/>
        <v>0.14240248528073632</v>
      </c>
      <c r="L656" s="2">
        <f t="shared" si="109"/>
        <v>0.65098278985479452</v>
      </c>
      <c r="M656" s="2">
        <f t="shared" si="105"/>
        <v>0.47196252264472599</v>
      </c>
      <c r="N656" s="2">
        <f t="shared" si="106"/>
        <v>0.235981261322363</v>
      </c>
      <c r="O656" s="2">
        <f t="shared" si="107"/>
        <v>0.86605122905307219</v>
      </c>
      <c r="P656" s="2">
        <v>72.550034999999994</v>
      </c>
      <c r="Q656" s="2">
        <v>23.037081000000001</v>
      </c>
    </row>
    <row r="657" spans="1:17" x14ac:dyDescent="0.25">
      <c r="A657" s="2">
        <v>769</v>
      </c>
      <c r="B657" s="2" t="s">
        <v>140</v>
      </c>
      <c r="C657" s="2">
        <v>3</v>
      </c>
      <c r="D657" s="2">
        <f t="shared" si="100"/>
        <v>7.62</v>
      </c>
      <c r="E657" s="2">
        <f t="shared" si="101"/>
        <v>2.4255213327204852</v>
      </c>
      <c r="F657" s="2">
        <f t="shared" si="102"/>
        <v>0.95492965855137202</v>
      </c>
      <c r="G657" s="2">
        <v>12.534822</v>
      </c>
      <c r="H657" s="2">
        <f t="shared" si="103"/>
        <v>41.124745410480003</v>
      </c>
      <c r="I657" s="2">
        <f>INDEX('Wood Density Lookup'!$B$2:$B$152,MATCH(B657,'Wood Density Lookup'!$A$2:$A$152,0))</f>
        <v>0.6</v>
      </c>
      <c r="J657" s="2">
        <f t="shared" si="104"/>
        <v>2.7189021129107571</v>
      </c>
      <c r="K657" s="2">
        <f t="shared" si="108"/>
        <v>0.76129259161501206</v>
      </c>
      <c r="L657" s="2">
        <f t="shared" si="109"/>
        <v>3.4801947045257693</v>
      </c>
      <c r="M657" s="2">
        <f t="shared" si="105"/>
        <v>2.5231411607811824</v>
      </c>
      <c r="N657" s="2">
        <f t="shared" si="106"/>
        <v>1.2615705803905912</v>
      </c>
      <c r="O657" s="2">
        <f t="shared" si="107"/>
        <v>4.6299640300334701</v>
      </c>
      <c r="P657" s="2">
        <v>72.550042000000005</v>
      </c>
      <c r="Q657" s="2">
        <v>23.034383999999999</v>
      </c>
    </row>
    <row r="658" spans="1:17" x14ac:dyDescent="0.25">
      <c r="A658" s="2">
        <v>770</v>
      </c>
      <c r="B658" s="2" t="s">
        <v>12</v>
      </c>
      <c r="C658" s="2">
        <v>13</v>
      </c>
      <c r="D658" s="2">
        <f t="shared" si="100"/>
        <v>33.020000000000003</v>
      </c>
      <c r="E658" s="2">
        <f t="shared" si="101"/>
        <v>10.51059244178877</v>
      </c>
      <c r="F658" s="2">
        <f t="shared" si="102"/>
        <v>4.1380285203892786</v>
      </c>
      <c r="G658" s="2">
        <v>7.3915119999999996</v>
      </c>
      <c r="H658" s="2">
        <f t="shared" si="103"/>
        <v>24.250368230079999</v>
      </c>
      <c r="I658" s="2">
        <f>INDEX('Wood Density Lookup'!$B$2:$B$152,MATCH(B658,'Wood Density Lookup'!$A$2:$A$152,0))</f>
        <v>0.6</v>
      </c>
      <c r="J658" s="2">
        <f t="shared" si="104"/>
        <v>28.41781345642698</v>
      </c>
      <c r="K658" s="2">
        <f t="shared" si="108"/>
        <v>7.9569877677995553</v>
      </c>
      <c r="L658" s="2">
        <f t="shared" si="109"/>
        <v>36.374801224226537</v>
      </c>
      <c r="M658" s="2">
        <f t="shared" si="105"/>
        <v>26.37173088756424</v>
      </c>
      <c r="N658" s="2">
        <f t="shared" si="106"/>
        <v>13.18586544378212</v>
      </c>
      <c r="O658" s="2">
        <f t="shared" si="107"/>
        <v>48.392126178680378</v>
      </c>
      <c r="P658" s="2">
        <v>72.550044</v>
      </c>
      <c r="Q658" s="2">
        <v>23.035761999999998</v>
      </c>
    </row>
    <row r="659" spans="1:17" x14ac:dyDescent="0.25">
      <c r="A659" s="2">
        <v>771</v>
      </c>
      <c r="B659" s="2" t="s">
        <v>10</v>
      </c>
      <c r="C659" s="2">
        <v>23</v>
      </c>
      <c r="D659" s="2">
        <f t="shared" si="100"/>
        <v>58.42</v>
      </c>
      <c r="E659" s="2">
        <f t="shared" si="101"/>
        <v>18.595663550857051</v>
      </c>
      <c r="F659" s="2">
        <f t="shared" si="102"/>
        <v>7.3211273822271856</v>
      </c>
      <c r="G659" s="2">
        <v>7.2623519999999999</v>
      </c>
      <c r="H659" s="2">
        <f t="shared" si="103"/>
        <v>23.826614935679999</v>
      </c>
      <c r="I659" s="2">
        <f>INDEX('Wood Density Lookup'!$B$2:$B$152,MATCH(B659,'Wood Density Lookup'!$A$2:$A$152,0))</f>
        <v>0.65</v>
      </c>
      <c r="J659" s="2">
        <f t="shared" si="104"/>
        <v>91.985958787192573</v>
      </c>
      <c r="K659" s="2">
        <f t="shared" si="108"/>
        <v>25.756068460413921</v>
      </c>
      <c r="L659" s="2">
        <f t="shared" si="109"/>
        <v>117.7420272476065</v>
      </c>
      <c r="M659" s="2">
        <f t="shared" si="105"/>
        <v>85.362969754514708</v>
      </c>
      <c r="N659" s="2">
        <f t="shared" si="106"/>
        <v>42.681484877257354</v>
      </c>
      <c r="O659" s="2">
        <f t="shared" si="107"/>
        <v>156.64104949953449</v>
      </c>
      <c r="P659" s="2">
        <v>72.550044</v>
      </c>
      <c r="Q659" s="2">
        <v>23.035727999999999</v>
      </c>
    </row>
    <row r="660" spans="1:17" x14ac:dyDescent="0.25">
      <c r="A660" s="2">
        <v>772</v>
      </c>
      <c r="B660" s="2" t="s">
        <v>141</v>
      </c>
      <c r="C660" s="2">
        <v>4</v>
      </c>
      <c r="D660" s="2">
        <f t="shared" si="100"/>
        <v>10.16</v>
      </c>
      <c r="E660" s="2">
        <f t="shared" si="101"/>
        <v>3.2340284436273135</v>
      </c>
      <c r="F660" s="2">
        <f t="shared" si="102"/>
        <v>1.2732395447351628</v>
      </c>
      <c r="G660" s="2">
        <v>8.9714170000000006</v>
      </c>
      <c r="H660" s="2">
        <f t="shared" si="103"/>
        <v>29.433783750280003</v>
      </c>
      <c r="I660" s="2">
        <f>INDEX('Wood Density Lookup'!$B$2:$B$152,MATCH(B660,'Wood Density Lookup'!$A$2:$A$152,0))</f>
        <v>0.6</v>
      </c>
      <c r="J660" s="2">
        <f t="shared" si="104"/>
        <v>3.4395611072738892</v>
      </c>
      <c r="K660" s="2">
        <f t="shared" si="108"/>
        <v>0.96307711003668905</v>
      </c>
      <c r="L660" s="2">
        <f t="shared" si="109"/>
        <v>4.402638217310578</v>
      </c>
      <c r="M660" s="2">
        <f t="shared" si="105"/>
        <v>3.191912707550169</v>
      </c>
      <c r="N660" s="2">
        <f t="shared" si="106"/>
        <v>1.5959563537750845</v>
      </c>
      <c r="O660" s="2">
        <f t="shared" si="107"/>
        <v>5.8571598183545603</v>
      </c>
      <c r="P660" s="2">
        <v>72.550044</v>
      </c>
      <c r="Q660" s="2">
        <v>23.034396999999998</v>
      </c>
    </row>
    <row r="661" spans="1:17" x14ac:dyDescent="0.25">
      <c r="A661" s="2">
        <v>773</v>
      </c>
      <c r="B661" s="2" t="s">
        <v>135</v>
      </c>
      <c r="C661" s="2">
        <v>23</v>
      </c>
      <c r="D661" s="2">
        <f t="shared" si="100"/>
        <v>58.42</v>
      </c>
      <c r="E661" s="2">
        <f t="shared" si="101"/>
        <v>18.595663550857051</v>
      </c>
      <c r="F661" s="2">
        <f t="shared" si="102"/>
        <v>7.3211273822271856</v>
      </c>
      <c r="G661" s="2">
        <v>6.7955819999999996</v>
      </c>
      <c r="H661" s="2">
        <f t="shared" si="103"/>
        <v>22.295217248879997</v>
      </c>
      <c r="I661" s="2">
        <f>INDEX('Wood Density Lookup'!$B$2:$B$152,MATCH(B661,'Wood Density Lookup'!$A$2:$A$152,0))</f>
        <v>0.8</v>
      </c>
      <c r="J661" s="2">
        <f t="shared" si="104"/>
        <v>105.5785536846161</v>
      </c>
      <c r="K661" s="2">
        <f t="shared" si="108"/>
        <v>29.561995031692511</v>
      </c>
      <c r="L661" s="2">
        <f t="shared" si="109"/>
        <v>135.14054871630861</v>
      </c>
      <c r="M661" s="2">
        <f t="shared" si="105"/>
        <v>97.976897819323739</v>
      </c>
      <c r="N661" s="2">
        <f t="shared" si="106"/>
        <v>48.988448909661869</v>
      </c>
      <c r="O661" s="2">
        <f t="shared" si="107"/>
        <v>179.78760749845907</v>
      </c>
      <c r="P661" s="2">
        <v>72.550044999999997</v>
      </c>
      <c r="Q661" s="2">
        <v>23.034735999999999</v>
      </c>
    </row>
    <row r="662" spans="1:17" x14ac:dyDescent="0.25">
      <c r="A662" s="2">
        <v>774</v>
      </c>
      <c r="B662" s="2" t="s">
        <v>15</v>
      </c>
      <c r="C662" s="2">
        <v>31</v>
      </c>
      <c r="D662" s="2">
        <f t="shared" si="100"/>
        <v>78.739999999999995</v>
      </c>
      <c r="E662" s="2">
        <f t="shared" si="101"/>
        <v>25.063720438111677</v>
      </c>
      <c r="F662" s="2">
        <f t="shared" si="102"/>
        <v>9.8676064716975116</v>
      </c>
      <c r="G662" s="2">
        <v>12.321477</v>
      </c>
      <c r="H662" s="2">
        <f t="shared" si="103"/>
        <v>40.424794600680002</v>
      </c>
      <c r="I662" s="2">
        <f>INDEX('Wood Density Lookup'!$B$2:$B$152,MATCH(B662,'Wood Density Lookup'!$A$2:$A$152,0))</f>
        <v>0.75</v>
      </c>
      <c r="J662" s="2">
        <f t="shared" si="104"/>
        <v>317.3208516431622</v>
      </c>
      <c r="K662" s="2">
        <f t="shared" si="108"/>
        <v>88.849838460085422</v>
      </c>
      <c r="L662" s="2">
        <f t="shared" si="109"/>
        <v>406.17069010324764</v>
      </c>
      <c r="M662" s="2">
        <f t="shared" si="105"/>
        <v>294.47375032485451</v>
      </c>
      <c r="N662" s="2">
        <f t="shared" si="106"/>
        <v>147.23687516242725</v>
      </c>
      <c r="O662" s="2">
        <f t="shared" si="107"/>
        <v>540.35933184610803</v>
      </c>
      <c r="P662" s="2">
        <v>72.550045999999995</v>
      </c>
      <c r="Q662" s="2">
        <v>23.036375</v>
      </c>
    </row>
    <row r="663" spans="1:17" x14ac:dyDescent="0.25">
      <c r="A663" s="2">
        <v>775</v>
      </c>
      <c r="B663" s="2" t="s">
        <v>15</v>
      </c>
      <c r="C663" s="2">
        <v>33</v>
      </c>
      <c r="D663" s="2">
        <f t="shared" si="100"/>
        <v>83.820000000000007</v>
      </c>
      <c r="E663" s="2">
        <f t="shared" si="101"/>
        <v>26.680734659925339</v>
      </c>
      <c r="F663" s="2">
        <f t="shared" si="102"/>
        <v>10.504226244065093</v>
      </c>
      <c r="G663" s="2">
        <v>8.3129019999999993</v>
      </c>
      <c r="H663" s="2">
        <f t="shared" si="103"/>
        <v>27.273301397679997</v>
      </c>
      <c r="I663" s="2">
        <f>INDEX('Wood Density Lookup'!$B$2:$B$152,MATCH(B663,'Wood Density Lookup'!$A$2:$A$152,0))</f>
        <v>0.75</v>
      </c>
      <c r="J663" s="2">
        <f t="shared" si="104"/>
        <v>244.16956422096928</v>
      </c>
      <c r="K663" s="2">
        <f t="shared" si="108"/>
        <v>68.367477981871403</v>
      </c>
      <c r="L663" s="2">
        <f t="shared" si="109"/>
        <v>312.53704220284067</v>
      </c>
      <c r="M663" s="2">
        <f t="shared" si="105"/>
        <v>226.58935559705947</v>
      </c>
      <c r="N663" s="2">
        <f t="shared" si="106"/>
        <v>113.29467779852973</v>
      </c>
      <c r="O663" s="2">
        <f t="shared" si="107"/>
        <v>415.7914675206041</v>
      </c>
      <c r="P663" s="2">
        <v>72.550047000000006</v>
      </c>
      <c r="Q663" s="2">
        <v>23.036408000000002</v>
      </c>
    </row>
    <row r="664" spans="1:17" x14ac:dyDescent="0.25">
      <c r="A664" s="2">
        <v>776</v>
      </c>
      <c r="B664" s="2" t="s">
        <v>15</v>
      </c>
      <c r="C664" s="2">
        <v>23</v>
      </c>
      <c r="D664" s="2">
        <f t="shared" si="100"/>
        <v>58.42</v>
      </c>
      <c r="E664" s="2">
        <f t="shared" si="101"/>
        <v>18.595663550857051</v>
      </c>
      <c r="F664" s="2">
        <f t="shared" si="102"/>
        <v>7.3211273822271856</v>
      </c>
      <c r="G664" s="2">
        <v>11.958845</v>
      </c>
      <c r="H664" s="2">
        <f t="shared" si="103"/>
        <v>39.235057029800004</v>
      </c>
      <c r="I664" s="2">
        <f>INDEX('Wood Density Lookup'!$B$2:$B$152,MATCH(B664,'Wood Density Lookup'!$A$2:$A$152,0))</f>
        <v>0.75</v>
      </c>
      <c r="J664" s="2">
        <f t="shared" si="104"/>
        <v>172.10407435242425</v>
      </c>
      <c r="K664" s="2">
        <f t="shared" si="108"/>
        <v>48.189140818678794</v>
      </c>
      <c r="L664" s="2">
        <f t="shared" si="109"/>
        <v>220.29321517110304</v>
      </c>
      <c r="M664" s="2">
        <f t="shared" si="105"/>
        <v>159.71258099904969</v>
      </c>
      <c r="N664" s="2">
        <f t="shared" si="106"/>
        <v>79.856290499524846</v>
      </c>
      <c r="O664" s="2">
        <f t="shared" si="107"/>
        <v>293.07258613325615</v>
      </c>
      <c r="P664" s="2">
        <v>72.550048000000004</v>
      </c>
      <c r="Q664" s="2">
        <v>23.036318999999999</v>
      </c>
    </row>
    <row r="665" spans="1:17" x14ac:dyDescent="0.25">
      <c r="A665" s="2">
        <v>777</v>
      </c>
      <c r="B665" s="2" t="s">
        <v>148</v>
      </c>
      <c r="C665" s="2">
        <v>7</v>
      </c>
      <c r="D665" s="2">
        <f t="shared" si="100"/>
        <v>17.78</v>
      </c>
      <c r="E665" s="2">
        <f t="shared" si="101"/>
        <v>5.6595497763477987</v>
      </c>
      <c r="F665" s="2">
        <f t="shared" si="102"/>
        <v>2.228169203286535</v>
      </c>
      <c r="G665" s="2">
        <v>1.253215</v>
      </c>
      <c r="H665" s="2">
        <f t="shared" si="103"/>
        <v>4.1115979005999996</v>
      </c>
      <c r="I665" s="2">
        <f>INDEX('Wood Density Lookup'!$B$2:$B$152,MATCH(B665,'Wood Density Lookup'!$A$2:$A$152,0))</f>
        <v>0.5</v>
      </c>
      <c r="J665" s="2">
        <f t="shared" si="104"/>
        <v>1.2569355114965961</v>
      </c>
      <c r="K665" s="2">
        <f t="shared" si="108"/>
        <v>0.35194194321904693</v>
      </c>
      <c r="L665" s="2">
        <f t="shared" si="109"/>
        <v>1.608877454715643</v>
      </c>
      <c r="M665" s="2">
        <f t="shared" si="105"/>
        <v>1.1664361546688411</v>
      </c>
      <c r="N665" s="2">
        <f t="shared" si="106"/>
        <v>0.58321807733442055</v>
      </c>
      <c r="O665" s="2">
        <f t="shared" si="107"/>
        <v>2.1404103438173232</v>
      </c>
      <c r="P665" s="2">
        <v>72.550049000000001</v>
      </c>
      <c r="Q665" s="2">
        <v>23.035789999999999</v>
      </c>
    </row>
    <row r="666" spans="1:17" x14ac:dyDescent="0.25">
      <c r="A666" s="2">
        <v>778</v>
      </c>
      <c r="B666" s="2" t="s">
        <v>123</v>
      </c>
      <c r="C666" s="2">
        <v>19</v>
      </c>
      <c r="D666" s="2">
        <f t="shared" si="100"/>
        <v>48.26</v>
      </c>
      <c r="E666" s="2">
        <f t="shared" si="101"/>
        <v>15.361635107229738</v>
      </c>
      <c r="F666" s="2">
        <f t="shared" si="102"/>
        <v>6.0478878374920226</v>
      </c>
      <c r="G666" s="2">
        <v>3.5668540000000002</v>
      </c>
      <c r="H666" s="2">
        <f t="shared" si="103"/>
        <v>11.70227727736</v>
      </c>
      <c r="I666" s="2">
        <f>INDEX('Wood Density Lookup'!$B$2:$B$152,MATCH(B666,'Wood Density Lookup'!$A$2:$A$152,0))</f>
        <v>0.85</v>
      </c>
      <c r="J666" s="2">
        <f t="shared" si="104"/>
        <v>41.122954867984497</v>
      </c>
      <c r="K666" s="2">
        <f t="shared" si="108"/>
        <v>11.51442736303566</v>
      </c>
      <c r="L666" s="2">
        <f t="shared" si="109"/>
        <v>52.637382231020155</v>
      </c>
      <c r="M666" s="2">
        <f t="shared" si="105"/>
        <v>38.16210211748961</v>
      </c>
      <c r="N666" s="2">
        <f t="shared" si="106"/>
        <v>19.081051058744805</v>
      </c>
      <c r="O666" s="2">
        <f t="shared" si="107"/>
        <v>70.027457385593436</v>
      </c>
      <c r="P666" s="2">
        <v>72.550049999999999</v>
      </c>
      <c r="Q666" s="2">
        <v>23.035675999999999</v>
      </c>
    </row>
    <row r="667" spans="1:17" x14ac:dyDescent="0.25">
      <c r="A667" s="2">
        <v>779</v>
      </c>
      <c r="B667" s="2" t="s">
        <v>107</v>
      </c>
      <c r="C667" s="2">
        <v>7</v>
      </c>
      <c r="D667" s="2">
        <f t="shared" si="100"/>
        <v>17.78</v>
      </c>
      <c r="E667" s="2">
        <f t="shared" si="101"/>
        <v>5.6595497763477987</v>
      </c>
      <c r="F667" s="2">
        <f t="shared" si="102"/>
        <v>2.228169203286535</v>
      </c>
      <c r="G667" s="2">
        <v>4.5091599999999996</v>
      </c>
      <c r="H667" s="2">
        <f t="shared" si="103"/>
        <v>14.793832494399998</v>
      </c>
      <c r="I667" s="2">
        <f>INDEX('Wood Density Lookup'!$B$2:$B$152,MATCH(B667,'Wood Density Lookup'!$A$2:$A$152,0))</f>
        <v>0.65</v>
      </c>
      <c r="J667" s="2">
        <f t="shared" si="104"/>
        <v>5.6656023304342629</v>
      </c>
      <c r="K667" s="2">
        <f t="shared" si="108"/>
        <v>1.5863686525215936</v>
      </c>
      <c r="L667" s="2">
        <f t="shared" si="109"/>
        <v>7.2519709829558563</v>
      </c>
      <c r="M667" s="2">
        <f t="shared" si="105"/>
        <v>5.2576789626429958</v>
      </c>
      <c r="N667" s="2">
        <f t="shared" si="106"/>
        <v>2.6288394813214979</v>
      </c>
      <c r="O667" s="2">
        <f t="shared" si="107"/>
        <v>9.6478408964498978</v>
      </c>
      <c r="P667" s="2">
        <v>72.550049999999999</v>
      </c>
      <c r="Q667" s="2">
        <v>23.035654000000001</v>
      </c>
    </row>
    <row r="668" spans="1:17" x14ac:dyDescent="0.25">
      <c r="A668" s="2">
        <v>782</v>
      </c>
      <c r="B668" s="2" t="s">
        <v>148</v>
      </c>
      <c r="C668" s="2">
        <v>7</v>
      </c>
      <c r="D668" s="2">
        <f t="shared" si="100"/>
        <v>17.78</v>
      </c>
      <c r="E668" s="2">
        <f t="shared" si="101"/>
        <v>5.6595497763477987</v>
      </c>
      <c r="F668" s="2">
        <f t="shared" si="102"/>
        <v>2.228169203286535</v>
      </c>
      <c r="G668" s="2">
        <v>2.9457819999999999</v>
      </c>
      <c r="H668" s="2">
        <f t="shared" si="103"/>
        <v>9.6646394168800001</v>
      </c>
      <c r="I668" s="2">
        <f>INDEX('Wood Density Lookup'!$B$2:$B$152,MATCH(B668,'Wood Density Lookup'!$A$2:$A$152,0))</f>
        <v>0.5</v>
      </c>
      <c r="J668" s="2">
        <f t="shared" si="104"/>
        <v>2.8945417329552994</v>
      </c>
      <c r="K668" s="2">
        <f t="shared" si="108"/>
        <v>0.81047168522748392</v>
      </c>
      <c r="L668" s="2">
        <f t="shared" si="109"/>
        <v>3.7050134181827832</v>
      </c>
      <c r="M668" s="2">
        <f t="shared" si="105"/>
        <v>2.6861347281825179</v>
      </c>
      <c r="N668" s="2">
        <f t="shared" si="106"/>
        <v>1.3430673640912589</v>
      </c>
      <c r="O668" s="2">
        <f t="shared" si="107"/>
        <v>4.9290572262149199</v>
      </c>
      <c r="P668" s="2">
        <v>72.550055</v>
      </c>
      <c r="Q668" s="2">
        <v>23.035879999999999</v>
      </c>
    </row>
    <row r="669" spans="1:17" x14ac:dyDescent="0.25">
      <c r="A669" s="2">
        <v>783</v>
      </c>
      <c r="B669" s="2" t="s">
        <v>140</v>
      </c>
      <c r="C669" s="2">
        <v>3</v>
      </c>
      <c r="D669" s="2">
        <f t="shared" si="100"/>
        <v>7.62</v>
      </c>
      <c r="E669" s="2">
        <f t="shared" si="101"/>
        <v>2.4255213327204852</v>
      </c>
      <c r="F669" s="2">
        <f t="shared" si="102"/>
        <v>0.95492965855137202</v>
      </c>
      <c r="G669" s="2">
        <v>9.7054170000000006</v>
      </c>
      <c r="H669" s="2">
        <f t="shared" si="103"/>
        <v>31.841920310280003</v>
      </c>
      <c r="I669" s="2">
        <f>INDEX('Wood Density Lookup'!$B$2:$B$152,MATCH(B669,'Wood Density Lookup'!$A$2:$A$152,0))</f>
        <v>0.6</v>
      </c>
      <c r="J669" s="2">
        <f t="shared" si="104"/>
        <v>2.1181469964397657</v>
      </c>
      <c r="K669" s="2">
        <f t="shared" si="108"/>
        <v>0.59308115900313441</v>
      </c>
      <c r="L669" s="2">
        <f t="shared" si="109"/>
        <v>2.7112281554429001</v>
      </c>
      <c r="M669" s="2">
        <f t="shared" si="105"/>
        <v>1.9656404126961025</v>
      </c>
      <c r="N669" s="2">
        <f t="shared" si="106"/>
        <v>0.98282020634805123</v>
      </c>
      <c r="O669" s="2">
        <f t="shared" si="107"/>
        <v>3.6069501572973479</v>
      </c>
      <c r="P669" s="2">
        <v>72.550055999999998</v>
      </c>
      <c r="Q669" s="2">
        <v>23.034392</v>
      </c>
    </row>
    <row r="670" spans="1:17" x14ac:dyDescent="0.25">
      <c r="A670" s="2">
        <v>784</v>
      </c>
      <c r="B670" s="2" t="s">
        <v>44</v>
      </c>
      <c r="C670" s="2">
        <v>51</v>
      </c>
      <c r="D670" s="2">
        <f t="shared" si="100"/>
        <v>129.54</v>
      </c>
      <c r="E670" s="2">
        <f t="shared" si="101"/>
        <v>41.233862656248242</v>
      </c>
      <c r="F670" s="2">
        <f t="shared" si="102"/>
        <v>16.233804195373324</v>
      </c>
      <c r="G670" s="2">
        <v>10.222987</v>
      </c>
      <c r="H670" s="2">
        <f t="shared" si="103"/>
        <v>33.539984669079999</v>
      </c>
      <c r="I670" s="2">
        <f>INDEX('Wood Density Lookup'!$B$2:$B$152,MATCH(B670,'Wood Density Lookup'!$A$2:$A$152,0))</f>
        <v>0.55000000000000004</v>
      </c>
      <c r="J670" s="2">
        <f t="shared" si="104"/>
        <v>516.33651286911856</v>
      </c>
      <c r="K670" s="2">
        <f t="shared" si="108"/>
        <v>144.5742236033532</v>
      </c>
      <c r="L670" s="2">
        <f t="shared" si="109"/>
        <v>660.91073647247174</v>
      </c>
      <c r="M670" s="2">
        <f t="shared" si="105"/>
        <v>479.16028394254198</v>
      </c>
      <c r="N670" s="2">
        <f t="shared" si="106"/>
        <v>239.58014197127099</v>
      </c>
      <c r="O670" s="2">
        <f t="shared" si="107"/>
        <v>879.25912103456449</v>
      </c>
      <c r="P670" s="2">
        <v>72.550059000000005</v>
      </c>
      <c r="Q670" s="2">
        <v>23.038658000000002</v>
      </c>
    </row>
    <row r="671" spans="1:17" x14ac:dyDescent="0.25">
      <c r="A671" s="2">
        <v>785</v>
      </c>
      <c r="B671" s="2" t="s">
        <v>93</v>
      </c>
      <c r="C671" s="2">
        <v>8</v>
      </c>
      <c r="D671" s="2">
        <f t="shared" si="100"/>
        <v>20.32</v>
      </c>
      <c r="E671" s="2">
        <f t="shared" si="101"/>
        <v>6.4680568872546269</v>
      </c>
      <c r="F671" s="2">
        <f t="shared" si="102"/>
        <v>2.5464790894703255</v>
      </c>
      <c r="G671" s="2">
        <v>4.5562779999999998</v>
      </c>
      <c r="H671" s="2">
        <f t="shared" si="103"/>
        <v>14.94841911352</v>
      </c>
      <c r="I671" s="2">
        <f>INDEX('Wood Density Lookup'!$B$2:$B$152,MATCH(B671,'Wood Density Lookup'!$A$2:$A$152,0))</f>
        <v>0.9</v>
      </c>
      <c r="J671" s="2">
        <f t="shared" si="104"/>
        <v>10.204455609874742</v>
      </c>
      <c r="K671" s="2">
        <f t="shared" si="108"/>
        <v>2.8572475707649279</v>
      </c>
      <c r="L671" s="2">
        <f t="shared" si="109"/>
        <v>13.06170318063967</v>
      </c>
      <c r="M671" s="2">
        <f t="shared" si="105"/>
        <v>9.4697348059637605</v>
      </c>
      <c r="N671" s="2">
        <f t="shared" si="106"/>
        <v>4.7348674029818802</v>
      </c>
      <c r="O671" s="2">
        <f t="shared" si="107"/>
        <v>17.3769633689435</v>
      </c>
      <c r="P671" s="2">
        <v>72.550060999999999</v>
      </c>
      <c r="Q671" s="2">
        <v>23.036684000000001</v>
      </c>
    </row>
    <row r="672" spans="1:17" x14ac:dyDescent="0.25">
      <c r="A672" s="2">
        <v>787</v>
      </c>
      <c r="B672" s="2" t="s">
        <v>34</v>
      </c>
      <c r="C672" s="2">
        <v>81</v>
      </c>
      <c r="D672" s="2">
        <f t="shared" si="100"/>
        <v>205.74</v>
      </c>
      <c r="E672" s="2">
        <f t="shared" si="101"/>
        <v>65.489075983453091</v>
      </c>
      <c r="F672" s="2">
        <f t="shared" si="102"/>
        <v>25.783100780887047</v>
      </c>
      <c r="G672" s="2">
        <v>10.342798</v>
      </c>
      <c r="H672" s="2">
        <f t="shared" si="103"/>
        <v>33.933065390320003</v>
      </c>
      <c r="I672" s="2">
        <f>INDEX('Wood Density Lookup'!$B$2:$B$152,MATCH(B672,'Wood Density Lookup'!$A$2:$A$152,0))</f>
        <v>0.6</v>
      </c>
      <c r="J672" s="2">
        <f t="shared" si="104"/>
        <v>1402.6167939941583</v>
      </c>
      <c r="K672" s="2">
        <f t="shared" si="108"/>
        <v>392.73270231836437</v>
      </c>
      <c r="L672" s="2">
        <f t="shared" si="109"/>
        <v>1795.3494963125227</v>
      </c>
      <c r="M672" s="2">
        <f t="shared" si="105"/>
        <v>1301.6283848265789</v>
      </c>
      <c r="N672" s="2">
        <f t="shared" si="106"/>
        <v>650.81419241328945</v>
      </c>
      <c r="O672" s="2">
        <f t="shared" si="107"/>
        <v>2388.4880861567722</v>
      </c>
      <c r="P672" s="2">
        <v>72.550066000000001</v>
      </c>
      <c r="Q672" s="2">
        <v>23.037569000000001</v>
      </c>
    </row>
    <row r="673" spans="1:17" x14ac:dyDescent="0.25">
      <c r="A673" s="2">
        <v>788</v>
      </c>
      <c r="B673" s="2" t="s">
        <v>107</v>
      </c>
      <c r="C673" s="2">
        <v>71</v>
      </c>
      <c r="D673" s="2">
        <f t="shared" si="100"/>
        <v>180.34</v>
      </c>
      <c r="E673" s="2">
        <f t="shared" si="101"/>
        <v>57.40400487438481</v>
      </c>
      <c r="F673" s="2">
        <f t="shared" si="102"/>
        <v>22.600001919049138</v>
      </c>
      <c r="G673" s="2">
        <v>12.32437</v>
      </c>
      <c r="H673" s="2">
        <f t="shared" si="103"/>
        <v>40.434286070799999</v>
      </c>
      <c r="I673" s="2">
        <f>INDEX('Wood Density Lookup'!$B$2:$B$152,MATCH(B673,'Wood Density Lookup'!$A$2:$A$152,0))</f>
        <v>0.65</v>
      </c>
      <c r="J673" s="2">
        <f t="shared" si="104"/>
        <v>1391.4257461227119</v>
      </c>
      <c r="K673" s="2">
        <f t="shared" si="108"/>
        <v>389.59920891435934</v>
      </c>
      <c r="L673" s="2">
        <f t="shared" si="109"/>
        <v>1781.0249550370713</v>
      </c>
      <c r="M673" s="2">
        <f t="shared" si="105"/>
        <v>1291.2430924018768</v>
      </c>
      <c r="N673" s="2">
        <f t="shared" si="106"/>
        <v>645.62154620093838</v>
      </c>
      <c r="O673" s="2">
        <f t="shared" si="107"/>
        <v>2369.4310745574439</v>
      </c>
      <c r="P673" s="2">
        <v>72.550066000000001</v>
      </c>
      <c r="Q673" s="2">
        <v>23.036204999999999</v>
      </c>
    </row>
    <row r="674" spans="1:17" x14ac:dyDescent="0.25">
      <c r="A674" s="2">
        <v>789</v>
      </c>
      <c r="B674" s="2" t="s">
        <v>15</v>
      </c>
      <c r="C674" s="2">
        <v>37</v>
      </c>
      <c r="D674" s="2">
        <f t="shared" si="100"/>
        <v>93.98</v>
      </c>
      <c r="E674" s="2">
        <f t="shared" si="101"/>
        <v>29.914763103552648</v>
      </c>
      <c r="F674" s="2">
        <f t="shared" si="102"/>
        <v>11.777465788800255</v>
      </c>
      <c r="G674" s="2">
        <v>10.63381</v>
      </c>
      <c r="H674" s="2">
        <f t="shared" si="103"/>
        <v>34.887829200399999</v>
      </c>
      <c r="I674" s="2">
        <f>INDEX('Wood Density Lookup'!$B$2:$B$152,MATCH(B674,'Wood Density Lookup'!$A$2:$A$152,0))</f>
        <v>0.75</v>
      </c>
      <c r="J674" s="2">
        <f t="shared" si="104"/>
        <v>388.19670856510299</v>
      </c>
      <c r="K674" s="2">
        <f t="shared" si="108"/>
        <v>108.69507839822884</v>
      </c>
      <c r="L674" s="2">
        <f t="shared" si="109"/>
        <v>496.89178696333181</v>
      </c>
      <c r="M674" s="2">
        <f t="shared" si="105"/>
        <v>360.24654554841555</v>
      </c>
      <c r="N674" s="2">
        <f t="shared" si="106"/>
        <v>180.12327277420778</v>
      </c>
      <c r="O674" s="2">
        <f t="shared" si="107"/>
        <v>661.05241108134248</v>
      </c>
      <c r="P674" s="2">
        <v>72.550067999999996</v>
      </c>
      <c r="Q674" s="2">
        <v>23.036873</v>
      </c>
    </row>
    <row r="675" spans="1:17" x14ac:dyDescent="0.25">
      <c r="A675" s="2">
        <v>790</v>
      </c>
      <c r="B675" s="2" t="s">
        <v>111</v>
      </c>
      <c r="C675" s="2">
        <v>4</v>
      </c>
      <c r="D675" s="2">
        <f t="shared" si="100"/>
        <v>10.16</v>
      </c>
      <c r="E675" s="2">
        <f t="shared" si="101"/>
        <v>3.2340284436273135</v>
      </c>
      <c r="F675" s="2">
        <f t="shared" si="102"/>
        <v>1.2732395447351628</v>
      </c>
      <c r="G675" s="2">
        <v>9.5045699999999993</v>
      </c>
      <c r="H675" s="2">
        <f t="shared" si="103"/>
        <v>31.182973438799998</v>
      </c>
      <c r="I675" s="2">
        <f>INDEX('Wood Density Lookup'!$B$2:$B$152,MATCH(B675,'Wood Density Lookup'!$A$2:$A$152,0))</f>
        <v>0.4</v>
      </c>
      <c r="J675" s="2">
        <f t="shared" si="104"/>
        <v>2.4496705231697877</v>
      </c>
      <c r="K675" s="2">
        <f t="shared" si="108"/>
        <v>0.6859077464875406</v>
      </c>
      <c r="L675" s="2">
        <f t="shared" si="109"/>
        <v>3.1355782696573282</v>
      </c>
      <c r="M675" s="2">
        <f t="shared" si="105"/>
        <v>2.273294245501563</v>
      </c>
      <c r="N675" s="2">
        <f t="shared" si="106"/>
        <v>1.1366471227507815</v>
      </c>
      <c r="O675" s="2">
        <f t="shared" si="107"/>
        <v>4.1714949404953678</v>
      </c>
      <c r="P675" s="2">
        <v>72.550067999999996</v>
      </c>
      <c r="Q675" s="2">
        <v>23.034780999999999</v>
      </c>
    </row>
    <row r="676" spans="1:17" x14ac:dyDescent="0.25">
      <c r="A676" s="2">
        <v>791</v>
      </c>
      <c r="B676" s="2" t="s">
        <v>15</v>
      </c>
      <c r="C676" s="2">
        <v>107</v>
      </c>
      <c r="D676" s="2">
        <f t="shared" si="100"/>
        <v>271.78000000000003</v>
      </c>
      <c r="E676" s="2">
        <f t="shared" si="101"/>
        <v>86.510260867030638</v>
      </c>
      <c r="F676" s="2">
        <f t="shared" si="102"/>
        <v>34.0591578216656</v>
      </c>
      <c r="G676" s="2">
        <v>8.2955400000000008</v>
      </c>
      <c r="H676" s="2">
        <f t="shared" si="103"/>
        <v>27.216339453600003</v>
      </c>
      <c r="I676" s="2">
        <f>INDEX('Wood Density Lookup'!$B$2:$B$152,MATCH(B676,'Wood Density Lookup'!$A$2:$A$152,0))</f>
        <v>0.75</v>
      </c>
      <c r="J676" s="2">
        <f t="shared" si="104"/>
        <v>2421.1586299835994</v>
      </c>
      <c r="K676" s="2">
        <f t="shared" si="108"/>
        <v>677.92441639540789</v>
      </c>
      <c r="L676" s="2">
        <f t="shared" si="109"/>
        <v>3099.0830463790071</v>
      </c>
      <c r="M676" s="2">
        <f t="shared" si="105"/>
        <v>2246.8352086247801</v>
      </c>
      <c r="N676" s="2">
        <f t="shared" si="106"/>
        <v>1123.41760431239</v>
      </c>
      <c r="O676" s="2">
        <f t="shared" si="107"/>
        <v>4122.9426078264714</v>
      </c>
      <c r="P676" s="2">
        <v>72.550070000000005</v>
      </c>
      <c r="Q676" s="2">
        <v>23.038473</v>
      </c>
    </row>
    <row r="677" spans="1:17" x14ac:dyDescent="0.25">
      <c r="A677" s="2">
        <v>792</v>
      </c>
      <c r="B677" s="2" t="s">
        <v>92</v>
      </c>
      <c r="C677" s="2">
        <v>34</v>
      </c>
      <c r="D677" s="2">
        <f t="shared" si="100"/>
        <v>86.36</v>
      </c>
      <c r="E677" s="2">
        <f t="shared" si="101"/>
        <v>27.489241770832162</v>
      </c>
      <c r="F677" s="2">
        <f t="shared" si="102"/>
        <v>10.822536130248883</v>
      </c>
      <c r="G677" s="2">
        <v>3.6600259999999998</v>
      </c>
      <c r="H677" s="2">
        <f t="shared" si="103"/>
        <v>12.007959701839999</v>
      </c>
      <c r="I677" s="2">
        <f>INDEX('Wood Density Lookup'!$B$2:$B$152,MATCH(B677,'Wood Density Lookup'!$A$2:$A$152,0))</f>
        <v>0.85</v>
      </c>
      <c r="J677" s="2">
        <f t="shared" si="104"/>
        <v>131.32100434885729</v>
      </c>
      <c r="K677" s="2">
        <f t="shared" si="108"/>
        <v>36.769881217680044</v>
      </c>
      <c r="L677" s="2">
        <f t="shared" si="109"/>
        <v>168.09088556653734</v>
      </c>
      <c r="M677" s="2">
        <f t="shared" si="105"/>
        <v>121.86589203573956</v>
      </c>
      <c r="N677" s="2">
        <f t="shared" si="106"/>
        <v>60.932946017869781</v>
      </c>
      <c r="O677" s="2">
        <f t="shared" si="107"/>
        <v>223.62391188558209</v>
      </c>
      <c r="P677" s="2">
        <v>72.550071000000003</v>
      </c>
      <c r="Q677" s="2">
        <v>23.037723</v>
      </c>
    </row>
    <row r="678" spans="1:17" x14ac:dyDescent="0.25">
      <c r="A678" s="2">
        <v>795</v>
      </c>
      <c r="B678" s="2" t="s">
        <v>3</v>
      </c>
      <c r="C678" s="2">
        <v>9</v>
      </c>
      <c r="D678" s="2">
        <f t="shared" si="100"/>
        <v>22.86</v>
      </c>
      <c r="E678" s="2">
        <f t="shared" si="101"/>
        <v>7.2765639981614552</v>
      </c>
      <c r="F678" s="2">
        <f t="shared" si="102"/>
        <v>2.8647889756541161</v>
      </c>
      <c r="G678" s="2">
        <v>11.431882</v>
      </c>
      <c r="H678" s="2">
        <f t="shared" si="103"/>
        <v>37.506175740879996</v>
      </c>
      <c r="I678" s="2">
        <f>INDEX('Wood Density Lookup'!$B$2:$B$152,MATCH(B678,'Wood Density Lookup'!$A$2:$A$152,0))</f>
        <v>0.62</v>
      </c>
      <c r="J678" s="2">
        <f t="shared" si="104"/>
        <v>21.907483958825555</v>
      </c>
      <c r="K678" s="2">
        <f t="shared" si="108"/>
        <v>6.1340955084711561</v>
      </c>
      <c r="L678" s="2">
        <f t="shared" si="109"/>
        <v>28.04157946729671</v>
      </c>
      <c r="M678" s="2">
        <f t="shared" si="105"/>
        <v>20.330145113790113</v>
      </c>
      <c r="N678" s="2">
        <f t="shared" si="106"/>
        <v>10.165072556895057</v>
      </c>
      <c r="O678" s="2">
        <f t="shared" si="107"/>
        <v>37.305816283804859</v>
      </c>
      <c r="P678" s="2">
        <v>72.550072999999998</v>
      </c>
      <c r="Q678" s="2">
        <v>23.035623000000001</v>
      </c>
    </row>
    <row r="679" spans="1:17" x14ac:dyDescent="0.25">
      <c r="A679" s="2">
        <v>796</v>
      </c>
      <c r="B679" s="2" t="s">
        <v>140</v>
      </c>
      <c r="C679" s="2">
        <v>3</v>
      </c>
      <c r="D679" s="2">
        <f t="shared" si="100"/>
        <v>7.62</v>
      </c>
      <c r="E679" s="2">
        <f t="shared" si="101"/>
        <v>2.4255213327204852</v>
      </c>
      <c r="F679" s="2">
        <f t="shared" si="102"/>
        <v>0.95492965855137202</v>
      </c>
      <c r="G679" s="2">
        <v>11.446925999999999</v>
      </c>
      <c r="H679" s="2">
        <f t="shared" si="103"/>
        <v>37.55553269784</v>
      </c>
      <c r="I679" s="2">
        <f>INDEX('Wood Density Lookup'!$B$2:$B$152,MATCH(B679,'Wood Density Lookup'!$A$2:$A$152,0))</f>
        <v>0.6</v>
      </c>
      <c r="J679" s="2">
        <f t="shared" si="104"/>
        <v>2.488344919107158</v>
      </c>
      <c r="K679" s="2">
        <f t="shared" si="108"/>
        <v>0.69673657735000427</v>
      </c>
      <c r="L679" s="2">
        <f t="shared" si="109"/>
        <v>3.1850814964571623</v>
      </c>
      <c r="M679" s="2">
        <f t="shared" si="105"/>
        <v>2.3091840849314424</v>
      </c>
      <c r="N679" s="2">
        <f t="shared" si="106"/>
        <v>1.1545920424657212</v>
      </c>
      <c r="O679" s="2">
        <f t="shared" si="107"/>
        <v>4.2373527958491968</v>
      </c>
      <c r="P679" s="2">
        <v>72.550072999999998</v>
      </c>
      <c r="Q679" s="2">
        <v>23.034400000000002</v>
      </c>
    </row>
    <row r="680" spans="1:17" x14ac:dyDescent="0.25">
      <c r="A680" s="2">
        <v>797</v>
      </c>
      <c r="B680" s="2" t="s">
        <v>10</v>
      </c>
      <c r="C680" s="2">
        <v>1</v>
      </c>
      <c r="D680" s="2">
        <f t="shared" si="100"/>
        <v>2.54</v>
      </c>
      <c r="E680" s="2">
        <f t="shared" si="101"/>
        <v>0.80850711090682836</v>
      </c>
      <c r="F680" s="2">
        <f t="shared" si="102"/>
        <v>0.31830988618379069</v>
      </c>
      <c r="G680" s="2">
        <v>5.0632869999999999</v>
      </c>
      <c r="H680" s="2">
        <f t="shared" si="103"/>
        <v>16.611834521079999</v>
      </c>
      <c r="I680" s="2">
        <f>INDEX('Wood Density Lookup'!$B$2:$B$152,MATCH(B680,'Wood Density Lookup'!$A$2:$A$152,0))</f>
        <v>0.65</v>
      </c>
      <c r="J680" s="2">
        <f t="shared" si="104"/>
        <v>0.14214890794109705</v>
      </c>
      <c r="K680" s="2">
        <f t="shared" si="108"/>
        <v>3.9801694223507177E-2</v>
      </c>
      <c r="L680" s="2">
        <f t="shared" si="109"/>
        <v>0.18195060216460424</v>
      </c>
      <c r="M680" s="2">
        <f t="shared" si="105"/>
        <v>0.13191418656933807</v>
      </c>
      <c r="N680" s="2">
        <f t="shared" si="106"/>
        <v>6.5957093284669033E-2</v>
      </c>
      <c r="O680" s="2">
        <f t="shared" si="107"/>
        <v>0.24206253235473535</v>
      </c>
      <c r="P680" s="2">
        <v>72.550073999999995</v>
      </c>
      <c r="Q680" s="2">
        <v>23.035238</v>
      </c>
    </row>
    <row r="681" spans="1:17" x14ac:dyDescent="0.25">
      <c r="A681" s="2">
        <v>798</v>
      </c>
      <c r="B681" s="2" t="s">
        <v>114</v>
      </c>
      <c r="C681" s="2">
        <v>12</v>
      </c>
      <c r="D681" s="2">
        <f t="shared" si="100"/>
        <v>30.48</v>
      </c>
      <c r="E681" s="2">
        <f t="shared" si="101"/>
        <v>9.7020853308819408</v>
      </c>
      <c r="F681" s="2">
        <f t="shared" si="102"/>
        <v>3.8197186342054881</v>
      </c>
      <c r="G681" s="2">
        <v>3.181467</v>
      </c>
      <c r="H681" s="2">
        <f t="shared" si="103"/>
        <v>10.43788419228</v>
      </c>
      <c r="I681" s="2">
        <f>INDEX('Wood Density Lookup'!$B$2:$B$152,MATCH(B681,'Wood Density Lookup'!$A$2:$A$152,0))</f>
        <v>0.55000000000000004</v>
      </c>
      <c r="J681" s="2">
        <f t="shared" si="104"/>
        <v>9.8069524479674577</v>
      </c>
      <c r="K681" s="2">
        <f t="shared" si="108"/>
        <v>2.7459466854308885</v>
      </c>
      <c r="L681" s="2">
        <f t="shared" si="109"/>
        <v>12.552899133398347</v>
      </c>
      <c r="M681" s="2">
        <f t="shared" si="105"/>
        <v>9.1008518717138003</v>
      </c>
      <c r="N681" s="2">
        <f t="shared" si="106"/>
        <v>4.5504259358569001</v>
      </c>
      <c r="O681" s="2">
        <f t="shared" si="107"/>
        <v>16.700063184594825</v>
      </c>
      <c r="P681" s="2">
        <v>72.550075000000007</v>
      </c>
      <c r="Q681" s="2">
        <v>23.035668000000001</v>
      </c>
    </row>
    <row r="682" spans="1:17" x14ac:dyDescent="0.25">
      <c r="A682" s="2">
        <v>799</v>
      </c>
      <c r="B682" s="2" t="s">
        <v>15</v>
      </c>
      <c r="C682" s="2">
        <v>90</v>
      </c>
      <c r="D682" s="2">
        <f t="shared" si="100"/>
        <v>228.6</v>
      </c>
      <c r="E682" s="2">
        <f t="shared" si="101"/>
        <v>72.765639981614555</v>
      </c>
      <c r="F682" s="2">
        <f t="shared" si="102"/>
        <v>28.647889756541161</v>
      </c>
      <c r="G682" s="2">
        <v>13.554808</v>
      </c>
      <c r="H682" s="2">
        <f t="shared" si="103"/>
        <v>44.471156278719995</v>
      </c>
      <c r="I682" s="2">
        <f>INDEX('Wood Density Lookup'!$B$2:$B$152,MATCH(B682,'Wood Density Lookup'!$A$2:$A$152,0))</f>
        <v>0.75</v>
      </c>
      <c r="J682" s="2">
        <f t="shared" si="104"/>
        <v>2789.1908285178542</v>
      </c>
      <c r="K682" s="2">
        <f t="shared" si="108"/>
        <v>780.97343198499925</v>
      </c>
      <c r="L682" s="2">
        <f t="shared" si="109"/>
        <v>3570.1642605028537</v>
      </c>
      <c r="M682" s="2">
        <f t="shared" si="105"/>
        <v>2588.3690888645688</v>
      </c>
      <c r="N682" s="2">
        <f t="shared" si="106"/>
        <v>1294.1845444322844</v>
      </c>
      <c r="O682" s="2">
        <f t="shared" si="107"/>
        <v>4749.6572780664837</v>
      </c>
      <c r="P682" s="2">
        <v>72.550077999999999</v>
      </c>
      <c r="Q682" s="2">
        <v>23.035558000000002</v>
      </c>
    </row>
    <row r="683" spans="1:17" x14ac:dyDescent="0.25">
      <c r="A683" s="2">
        <v>800</v>
      </c>
      <c r="B683" s="2" t="s">
        <v>111</v>
      </c>
      <c r="C683" s="2">
        <v>12</v>
      </c>
      <c r="D683" s="2">
        <f t="shared" si="100"/>
        <v>30.48</v>
      </c>
      <c r="E683" s="2">
        <f t="shared" si="101"/>
        <v>9.7020853308819408</v>
      </c>
      <c r="F683" s="2">
        <f t="shared" si="102"/>
        <v>3.8197186342054881</v>
      </c>
      <c r="G683" s="2">
        <v>5.9193749999999996</v>
      </c>
      <c r="H683" s="2">
        <f t="shared" si="103"/>
        <v>19.420522275</v>
      </c>
      <c r="I683" s="2">
        <f>INDEX('Wood Density Lookup'!$B$2:$B$152,MATCH(B683,'Wood Density Lookup'!$A$2:$A$152,0))</f>
        <v>0.4</v>
      </c>
      <c r="J683" s="2">
        <f t="shared" si="104"/>
        <v>13.174298666696105</v>
      </c>
      <c r="K683" s="2">
        <f t="shared" si="108"/>
        <v>3.6888036266749098</v>
      </c>
      <c r="L683" s="2">
        <f t="shared" si="109"/>
        <v>16.863102293371014</v>
      </c>
      <c r="M683" s="2">
        <f t="shared" si="105"/>
        <v>12.225749162693985</v>
      </c>
      <c r="N683" s="2">
        <f t="shared" si="106"/>
        <v>6.1128745813469925</v>
      </c>
      <c r="O683" s="2">
        <f t="shared" si="107"/>
        <v>22.434249713543462</v>
      </c>
      <c r="P683" s="2">
        <v>72.550079999999994</v>
      </c>
      <c r="Q683" s="2">
        <v>23.034841</v>
      </c>
    </row>
    <row r="684" spans="1:17" x14ac:dyDescent="0.25">
      <c r="A684" s="2">
        <v>801</v>
      </c>
      <c r="B684" s="2" t="s">
        <v>148</v>
      </c>
      <c r="C684" s="2">
        <v>12</v>
      </c>
      <c r="D684" s="2">
        <f t="shared" si="100"/>
        <v>30.48</v>
      </c>
      <c r="E684" s="2">
        <f t="shared" si="101"/>
        <v>9.7020853308819408</v>
      </c>
      <c r="F684" s="2">
        <f t="shared" si="102"/>
        <v>3.8197186342054881</v>
      </c>
      <c r="G684" s="2">
        <v>7.540635</v>
      </c>
      <c r="H684" s="2">
        <f t="shared" si="103"/>
        <v>24.739616933400001</v>
      </c>
      <c r="I684" s="2">
        <f>INDEX('Wood Density Lookup'!$B$2:$B$152,MATCH(B684,'Wood Density Lookup'!$A$2:$A$152,0))</f>
        <v>0.5</v>
      </c>
      <c r="J684" s="2">
        <f t="shared" si="104"/>
        <v>20.745340791569948</v>
      </c>
      <c r="K684" s="2">
        <f t="shared" si="108"/>
        <v>5.8086954216395856</v>
      </c>
      <c r="L684" s="2">
        <f t="shared" si="109"/>
        <v>26.554036213209535</v>
      </c>
      <c r="M684" s="2">
        <f t="shared" si="105"/>
        <v>19.251676254576914</v>
      </c>
      <c r="N684" s="2">
        <f t="shared" si="106"/>
        <v>9.625838127288457</v>
      </c>
      <c r="O684" s="2">
        <f t="shared" si="107"/>
        <v>35.32682592714864</v>
      </c>
      <c r="P684" s="2">
        <v>72.550081000000006</v>
      </c>
      <c r="Q684" s="2">
        <v>23.034797000000001</v>
      </c>
    </row>
    <row r="685" spans="1:17" x14ac:dyDescent="0.25">
      <c r="A685" s="2">
        <v>802</v>
      </c>
      <c r="B685" s="2" t="s">
        <v>31</v>
      </c>
      <c r="C685" s="2">
        <v>1</v>
      </c>
      <c r="D685" s="2">
        <f t="shared" si="100"/>
        <v>2.54</v>
      </c>
      <c r="E685" s="2">
        <f t="shared" si="101"/>
        <v>0.80850711090682836</v>
      </c>
      <c r="F685" s="2">
        <f t="shared" si="102"/>
        <v>0.31830988618379069</v>
      </c>
      <c r="G685" s="2">
        <v>1.025536</v>
      </c>
      <c r="H685" s="2">
        <f t="shared" si="103"/>
        <v>3.3646195302400002</v>
      </c>
      <c r="I685" s="2">
        <f>INDEX('Wood Density Lookup'!$B$2:$B$152,MATCH(B685,'Wood Density Lookup'!$A$2:$A$152,0))</f>
        <v>0.78</v>
      </c>
      <c r="J685" s="2">
        <f t="shared" si="104"/>
        <v>3.5742617061269487E-2</v>
      </c>
      <c r="K685" s="2">
        <f t="shared" si="108"/>
        <v>1.0007932777155457E-2</v>
      </c>
      <c r="L685" s="2">
        <f t="shared" si="109"/>
        <v>4.5750549838424942E-2</v>
      </c>
      <c r="M685" s="2">
        <f t="shared" si="105"/>
        <v>3.3169148632858081E-2</v>
      </c>
      <c r="N685" s="2">
        <f t="shared" si="106"/>
        <v>1.658457431642904E-2</v>
      </c>
      <c r="O685" s="2">
        <f t="shared" si="107"/>
        <v>6.0865387741294574E-2</v>
      </c>
      <c r="P685" s="2">
        <v>72.550082000000003</v>
      </c>
      <c r="Q685" s="2">
        <v>23.035758000000001</v>
      </c>
    </row>
    <row r="686" spans="1:17" x14ac:dyDescent="0.25">
      <c r="A686" s="2">
        <v>803</v>
      </c>
      <c r="B686" s="2" t="s">
        <v>115</v>
      </c>
      <c r="C686" s="2">
        <v>10</v>
      </c>
      <c r="D686" s="2">
        <f t="shared" si="100"/>
        <v>25.4</v>
      </c>
      <c r="E686" s="2">
        <f t="shared" si="101"/>
        <v>8.0850711090682825</v>
      </c>
      <c r="F686" s="2">
        <f t="shared" si="102"/>
        <v>3.183098861837907</v>
      </c>
      <c r="G686" s="2">
        <v>3.5609999999999999</v>
      </c>
      <c r="H686" s="2">
        <f t="shared" si="103"/>
        <v>11.68307124</v>
      </c>
      <c r="I686" s="2">
        <f>INDEX('Wood Density Lookup'!$B$2:$B$152,MATCH(B686,'Wood Density Lookup'!$A$2:$A$152,0))</f>
        <v>0.65</v>
      </c>
      <c r="J686" s="2">
        <f t="shared" si="104"/>
        <v>9.027169766577499</v>
      </c>
      <c r="K686" s="2">
        <f t="shared" si="108"/>
        <v>2.5276075346417</v>
      </c>
      <c r="L686" s="2">
        <f t="shared" si="109"/>
        <v>11.554777301219199</v>
      </c>
      <c r="M686" s="2">
        <f t="shared" si="105"/>
        <v>8.3772135433839185</v>
      </c>
      <c r="N686" s="2">
        <f t="shared" si="106"/>
        <v>4.1886067716919593</v>
      </c>
      <c r="O686" s="2">
        <f t="shared" si="107"/>
        <v>15.37218685210949</v>
      </c>
      <c r="P686" s="2">
        <v>72.550083000000001</v>
      </c>
      <c r="Q686" s="2">
        <v>23.035440999999999</v>
      </c>
    </row>
    <row r="687" spans="1:17" x14ac:dyDescent="0.25">
      <c r="A687" s="2">
        <v>804</v>
      </c>
      <c r="B687" s="2" t="s">
        <v>135</v>
      </c>
      <c r="C687" s="2">
        <v>1</v>
      </c>
      <c r="D687" s="2">
        <f t="shared" si="100"/>
        <v>2.54</v>
      </c>
      <c r="E687" s="2">
        <f t="shared" si="101"/>
        <v>0.80850711090682836</v>
      </c>
      <c r="F687" s="2">
        <f t="shared" si="102"/>
        <v>0.31830988618379069</v>
      </c>
      <c r="G687" s="2">
        <v>3.2229410000000001</v>
      </c>
      <c r="H687" s="2">
        <f t="shared" si="103"/>
        <v>10.573953750439999</v>
      </c>
      <c r="I687" s="2">
        <f>INDEX('Wood Density Lookup'!$B$2:$B$152,MATCH(B687,'Wood Density Lookup'!$A$2:$A$152,0))</f>
        <v>0.8</v>
      </c>
      <c r="J687" s="2">
        <f t="shared" si="104"/>
        <v>0.11201702998562849</v>
      </c>
      <c r="K687" s="2">
        <f t="shared" si="108"/>
        <v>3.1364768395975982E-2</v>
      </c>
      <c r="L687" s="2">
        <f t="shared" si="109"/>
        <v>0.14338179838160447</v>
      </c>
      <c r="M687" s="2">
        <f t="shared" si="105"/>
        <v>0.10395180382666325</v>
      </c>
      <c r="N687" s="2">
        <f t="shared" si="106"/>
        <v>5.1975901913331624E-2</v>
      </c>
      <c r="O687" s="2">
        <f t="shared" si="107"/>
        <v>0.19075156002192706</v>
      </c>
      <c r="P687" s="2">
        <v>72.550083000000001</v>
      </c>
      <c r="Q687" s="2">
        <v>23.03575</v>
      </c>
    </row>
    <row r="688" spans="1:17" x14ac:dyDescent="0.25">
      <c r="A688" s="2">
        <v>805</v>
      </c>
      <c r="B688" s="2" t="s">
        <v>111</v>
      </c>
      <c r="C688" s="2">
        <v>48</v>
      </c>
      <c r="D688" s="2">
        <f t="shared" si="100"/>
        <v>121.92</v>
      </c>
      <c r="E688" s="2">
        <f t="shared" si="101"/>
        <v>38.808341323527763</v>
      </c>
      <c r="F688" s="2">
        <f t="shared" si="102"/>
        <v>15.278874536821952</v>
      </c>
      <c r="G688" s="2">
        <v>7.6823119999999996</v>
      </c>
      <c r="H688" s="2">
        <f t="shared" si="103"/>
        <v>25.20443650208</v>
      </c>
      <c r="I688" s="2">
        <f>INDEX('Wood Density Lookup'!$B$2:$B$152,MATCH(B688,'Wood Density Lookup'!$A$2:$A$152,0))</f>
        <v>0.4</v>
      </c>
      <c r="J688" s="2">
        <f t="shared" si="104"/>
        <v>254.35923430722886</v>
      </c>
      <c r="K688" s="2">
        <f t="shared" si="108"/>
        <v>71.220585606024088</v>
      </c>
      <c r="L688" s="2">
        <f t="shared" si="109"/>
        <v>325.57981991325295</v>
      </c>
      <c r="M688" s="2">
        <f t="shared" si="105"/>
        <v>236.04536943710838</v>
      </c>
      <c r="N688" s="2">
        <f t="shared" si="106"/>
        <v>118.02268471855419</v>
      </c>
      <c r="O688" s="2">
        <f t="shared" si="107"/>
        <v>433.14325291709389</v>
      </c>
      <c r="P688" s="2">
        <v>72.550083999999998</v>
      </c>
      <c r="Q688" s="2">
        <v>23.038215000000001</v>
      </c>
    </row>
    <row r="689" spans="1:17" x14ac:dyDescent="0.25">
      <c r="A689" s="2">
        <v>806</v>
      </c>
      <c r="B689" s="2" t="s">
        <v>34</v>
      </c>
      <c r="C689" s="2">
        <v>73</v>
      </c>
      <c r="D689" s="2">
        <f t="shared" si="100"/>
        <v>185.42000000000002</v>
      </c>
      <c r="E689" s="2">
        <f t="shared" si="101"/>
        <v>59.021019096198472</v>
      </c>
      <c r="F689" s="2">
        <f t="shared" si="102"/>
        <v>23.236621691416719</v>
      </c>
      <c r="G689" s="2">
        <v>12.917007999999999</v>
      </c>
      <c r="H689" s="2">
        <f t="shared" si="103"/>
        <v>42.378636526719994</v>
      </c>
      <c r="I689" s="2">
        <f>INDEX('Wood Density Lookup'!$B$2:$B$152,MATCH(B689,'Wood Density Lookup'!$A$2:$A$152,0))</f>
        <v>0.6</v>
      </c>
      <c r="J689" s="2">
        <f t="shared" si="104"/>
        <v>1422.2954252906759</v>
      </c>
      <c r="K689" s="2">
        <f t="shared" si="108"/>
        <v>398.24271908138928</v>
      </c>
      <c r="L689" s="2">
        <f t="shared" si="109"/>
        <v>1820.5381443720653</v>
      </c>
      <c r="M689" s="2">
        <f t="shared" si="105"/>
        <v>1319.8901546697473</v>
      </c>
      <c r="N689" s="2">
        <f t="shared" si="106"/>
        <v>659.94507733487364</v>
      </c>
      <c r="O689" s="2">
        <f t="shared" si="107"/>
        <v>2421.9984338189861</v>
      </c>
      <c r="P689" s="2">
        <v>72.550083999999998</v>
      </c>
      <c r="Q689" s="2">
        <v>23.037551000000001</v>
      </c>
    </row>
    <row r="690" spans="1:17" x14ac:dyDescent="0.25">
      <c r="A690" s="2">
        <v>807</v>
      </c>
      <c r="B690" s="2" t="s">
        <v>93</v>
      </c>
      <c r="C690" s="2">
        <v>4</v>
      </c>
      <c r="D690" s="2">
        <f t="shared" si="100"/>
        <v>10.16</v>
      </c>
      <c r="E690" s="2">
        <f t="shared" si="101"/>
        <v>3.2340284436273135</v>
      </c>
      <c r="F690" s="2">
        <f t="shared" si="102"/>
        <v>1.2732395447351628</v>
      </c>
      <c r="G690" s="2">
        <v>1.0106679999999999</v>
      </c>
      <c r="H690" s="2">
        <f t="shared" si="103"/>
        <v>3.3158400011199998</v>
      </c>
      <c r="I690" s="2">
        <f>INDEX('Wood Density Lookup'!$B$2:$B$152,MATCH(B690,'Wood Density Lookup'!$A$2:$A$152,0))</f>
        <v>0.9</v>
      </c>
      <c r="J690" s="2">
        <f t="shared" si="104"/>
        <v>0.6065598094864898</v>
      </c>
      <c r="K690" s="2">
        <f t="shared" si="108"/>
        <v>0.16983674665621715</v>
      </c>
      <c r="L690" s="2">
        <f t="shared" si="109"/>
        <v>0.77639655614270697</v>
      </c>
      <c r="M690" s="2">
        <f t="shared" si="105"/>
        <v>0.56288750320346259</v>
      </c>
      <c r="N690" s="2">
        <f t="shared" si="106"/>
        <v>0.2814437516017313</v>
      </c>
      <c r="O690" s="2">
        <f t="shared" si="107"/>
        <v>1.0328985683783538</v>
      </c>
      <c r="P690" s="2">
        <v>72.550084999999996</v>
      </c>
      <c r="Q690" s="2">
        <v>23.035741000000002</v>
      </c>
    </row>
    <row r="691" spans="1:17" x14ac:dyDescent="0.25">
      <c r="A691" s="2">
        <v>808</v>
      </c>
      <c r="B691" s="2" t="s">
        <v>114</v>
      </c>
      <c r="C691" s="2">
        <v>5</v>
      </c>
      <c r="D691" s="2">
        <f t="shared" si="100"/>
        <v>12.7</v>
      </c>
      <c r="E691" s="2">
        <f t="shared" si="101"/>
        <v>4.0425355545341413</v>
      </c>
      <c r="F691" s="2">
        <f t="shared" si="102"/>
        <v>1.5915494309189535</v>
      </c>
      <c r="G691" s="2">
        <v>3.8651870000000002</v>
      </c>
      <c r="H691" s="2">
        <f t="shared" si="103"/>
        <v>12.681060117080001</v>
      </c>
      <c r="I691" s="2">
        <f>INDEX('Wood Density Lookup'!$B$2:$B$152,MATCH(B691,'Wood Density Lookup'!$A$2:$A$152,0))</f>
        <v>0.55000000000000004</v>
      </c>
      <c r="J691" s="2">
        <f t="shared" si="104"/>
        <v>2.1472162188553279</v>
      </c>
      <c r="K691" s="2">
        <f t="shared" si="108"/>
        <v>0.60122054127949187</v>
      </c>
      <c r="L691" s="2">
        <f t="shared" si="109"/>
        <v>2.7484367601348199</v>
      </c>
      <c r="M691" s="2">
        <f t="shared" si="105"/>
        <v>1.9926166510977443</v>
      </c>
      <c r="N691" s="2">
        <f t="shared" si="106"/>
        <v>0.99630832554887216</v>
      </c>
      <c r="O691" s="2">
        <f t="shared" si="107"/>
        <v>3.6564515547643608</v>
      </c>
      <c r="P691" s="2">
        <v>72.550084999999996</v>
      </c>
      <c r="Q691" s="2">
        <v>23.035430999999999</v>
      </c>
    </row>
    <row r="692" spans="1:17" x14ac:dyDescent="0.25">
      <c r="A692" s="2">
        <v>809</v>
      </c>
      <c r="B692" s="2" t="s">
        <v>15</v>
      </c>
      <c r="C692" s="2">
        <v>72</v>
      </c>
      <c r="D692" s="2">
        <f t="shared" si="100"/>
        <v>182.88</v>
      </c>
      <c r="E692" s="2">
        <f t="shared" si="101"/>
        <v>58.212511985291641</v>
      </c>
      <c r="F692" s="2">
        <f t="shared" si="102"/>
        <v>22.918311805232928</v>
      </c>
      <c r="G692" s="2">
        <v>11.384104000000001</v>
      </c>
      <c r="H692" s="2">
        <f t="shared" si="103"/>
        <v>37.349423767360001</v>
      </c>
      <c r="I692" s="2">
        <f>INDEX('Wood Density Lookup'!$B$2:$B$152,MATCH(B692,'Wood Density Lookup'!$A$2:$A$152,0))</f>
        <v>0.75</v>
      </c>
      <c r="J692" s="2">
        <f t="shared" si="104"/>
        <v>1521.7189038983547</v>
      </c>
      <c r="K692" s="2">
        <f t="shared" si="108"/>
        <v>426.08129309153935</v>
      </c>
      <c r="L692" s="2">
        <f t="shared" si="109"/>
        <v>1947.8001969898942</v>
      </c>
      <c r="M692" s="2">
        <f t="shared" si="105"/>
        <v>1412.1551428176733</v>
      </c>
      <c r="N692" s="2">
        <f t="shared" si="106"/>
        <v>706.07757140883666</v>
      </c>
      <c r="O692" s="2">
        <f t="shared" si="107"/>
        <v>2591.3046870704306</v>
      </c>
      <c r="P692" s="2">
        <v>72.550085999999993</v>
      </c>
      <c r="Q692" s="2">
        <v>23.036529999999999</v>
      </c>
    </row>
    <row r="693" spans="1:17" x14ac:dyDescent="0.25">
      <c r="A693" s="2">
        <v>810</v>
      </c>
      <c r="B693" s="2" t="s">
        <v>141</v>
      </c>
      <c r="C693" s="2">
        <v>4</v>
      </c>
      <c r="D693" s="2">
        <f t="shared" si="100"/>
        <v>10.16</v>
      </c>
      <c r="E693" s="2">
        <f t="shared" si="101"/>
        <v>3.2340284436273135</v>
      </c>
      <c r="F693" s="2">
        <f t="shared" si="102"/>
        <v>1.2732395447351628</v>
      </c>
      <c r="G693" s="2">
        <v>12.109494</v>
      </c>
      <c r="H693" s="2">
        <f t="shared" si="103"/>
        <v>39.729312294959996</v>
      </c>
      <c r="I693" s="2">
        <f>INDEX('Wood Density Lookup'!$B$2:$B$152,MATCH(B693,'Wood Density Lookup'!$A$2:$A$152,0))</f>
        <v>0.6</v>
      </c>
      <c r="J693" s="2">
        <f t="shared" si="104"/>
        <v>4.6093705578615749</v>
      </c>
      <c r="K693" s="2">
        <f t="shared" si="108"/>
        <v>1.290623756201241</v>
      </c>
      <c r="L693" s="2">
        <f t="shared" si="109"/>
        <v>5.8999943140628162</v>
      </c>
      <c r="M693" s="2">
        <f t="shared" si="105"/>
        <v>4.2774958776955412</v>
      </c>
      <c r="N693" s="2">
        <f t="shared" si="106"/>
        <v>2.1387479388477706</v>
      </c>
      <c r="O693" s="2">
        <f t="shared" si="107"/>
        <v>7.8492049355713176</v>
      </c>
      <c r="P693" s="2">
        <v>72.550087000000005</v>
      </c>
      <c r="Q693" s="2">
        <v>23.034410999999999</v>
      </c>
    </row>
    <row r="694" spans="1:17" x14ac:dyDescent="0.25">
      <c r="A694" s="2">
        <v>811</v>
      </c>
      <c r="B694" s="2" t="s">
        <v>55</v>
      </c>
      <c r="C694" s="2">
        <v>3</v>
      </c>
      <c r="D694" s="2">
        <f t="shared" si="100"/>
        <v>7.62</v>
      </c>
      <c r="E694" s="2">
        <f t="shared" si="101"/>
        <v>2.4255213327204852</v>
      </c>
      <c r="F694" s="2">
        <f t="shared" si="102"/>
        <v>0.95492965855137202</v>
      </c>
      <c r="G694" s="2">
        <v>3.5866419999999999</v>
      </c>
      <c r="H694" s="2">
        <f t="shared" si="103"/>
        <v>11.767198539279999</v>
      </c>
      <c r="I694" s="2">
        <f>INDEX('Wood Density Lookup'!$B$2:$B$152,MATCH(B694,'Wood Density Lookup'!$A$2:$A$152,0))</f>
        <v>0.75</v>
      </c>
      <c r="J694" s="2">
        <f t="shared" si="104"/>
        <v>0.9967584520163788</v>
      </c>
      <c r="K694" s="2">
        <f t="shared" si="108"/>
        <v>0.27909236656458608</v>
      </c>
      <c r="L694" s="2">
        <f t="shared" si="109"/>
        <v>1.2758508185809649</v>
      </c>
      <c r="M694" s="2">
        <f t="shared" si="105"/>
        <v>0.92499184347119956</v>
      </c>
      <c r="N694" s="2">
        <f t="shared" si="106"/>
        <v>0.46249592173559978</v>
      </c>
      <c r="O694" s="2">
        <f t="shared" si="107"/>
        <v>1.6973600327696512</v>
      </c>
      <c r="P694" s="2">
        <v>72.550089</v>
      </c>
      <c r="Q694" s="2">
        <v>23.035405000000001</v>
      </c>
    </row>
    <row r="695" spans="1:17" x14ac:dyDescent="0.25">
      <c r="A695" s="2">
        <v>812</v>
      </c>
      <c r="B695" s="2" t="s">
        <v>135</v>
      </c>
      <c r="C695" s="2">
        <v>2</v>
      </c>
      <c r="D695" s="2">
        <f t="shared" si="100"/>
        <v>5.08</v>
      </c>
      <c r="E695" s="2">
        <f t="shared" si="101"/>
        <v>1.6170142218136567</v>
      </c>
      <c r="F695" s="2">
        <f t="shared" si="102"/>
        <v>0.63661977236758138</v>
      </c>
      <c r="G695" s="2">
        <v>2.1990440000000002</v>
      </c>
      <c r="H695" s="2">
        <f t="shared" si="103"/>
        <v>7.2147115169600005</v>
      </c>
      <c r="I695" s="2">
        <f>INDEX('Wood Density Lookup'!$B$2:$B$152,MATCH(B695,'Wood Density Lookup'!$A$2:$A$152,0))</f>
        <v>0.8</v>
      </c>
      <c r="J695" s="2">
        <f t="shared" si="104"/>
        <v>0.29844246022635867</v>
      </c>
      <c r="K695" s="2">
        <f t="shared" si="108"/>
        <v>8.3563888863380439E-2</v>
      </c>
      <c r="L695" s="2">
        <f t="shared" si="109"/>
        <v>0.38200634908973913</v>
      </c>
      <c r="M695" s="2">
        <f t="shared" si="105"/>
        <v>0.27695460309006087</v>
      </c>
      <c r="N695" s="2">
        <f t="shared" si="106"/>
        <v>0.13847730154503043</v>
      </c>
      <c r="O695" s="2">
        <f t="shared" si="107"/>
        <v>0.50821169667026167</v>
      </c>
      <c r="P695" s="2">
        <v>72.550090999999995</v>
      </c>
      <c r="Q695" s="2">
        <v>23.035720000000001</v>
      </c>
    </row>
    <row r="696" spans="1:17" x14ac:dyDescent="0.25">
      <c r="A696" s="2">
        <v>813</v>
      </c>
      <c r="B696" s="2" t="s">
        <v>114</v>
      </c>
      <c r="C696" s="2">
        <v>27</v>
      </c>
      <c r="D696" s="2">
        <f t="shared" si="100"/>
        <v>68.58</v>
      </c>
      <c r="E696" s="2">
        <f t="shared" si="101"/>
        <v>21.829691994484364</v>
      </c>
      <c r="F696" s="2">
        <f t="shared" si="102"/>
        <v>8.5943669269623477</v>
      </c>
      <c r="G696" s="2">
        <v>3.4898039999999999</v>
      </c>
      <c r="H696" s="2">
        <f t="shared" si="103"/>
        <v>11.44948855536</v>
      </c>
      <c r="I696" s="2">
        <f>INDEX('Wood Density Lookup'!$B$2:$B$152,MATCH(B696,'Wood Density Lookup'!$A$2:$A$152,0))</f>
        <v>0.55000000000000004</v>
      </c>
      <c r="J696" s="2">
        <f t="shared" si="104"/>
        <v>52.264137936637113</v>
      </c>
      <c r="K696" s="2">
        <f t="shared" si="108"/>
        <v>14.633958622258392</v>
      </c>
      <c r="L696" s="2">
        <f t="shared" si="109"/>
        <v>66.898096558895503</v>
      </c>
      <c r="M696" s="2">
        <f t="shared" si="105"/>
        <v>48.50112000519924</v>
      </c>
      <c r="N696" s="2">
        <f t="shared" si="106"/>
        <v>24.25056000259962</v>
      </c>
      <c r="O696" s="2">
        <f t="shared" si="107"/>
        <v>88.999555209540603</v>
      </c>
      <c r="P696" s="2">
        <v>72.550092000000006</v>
      </c>
      <c r="Q696" s="2">
        <v>23.035387</v>
      </c>
    </row>
    <row r="697" spans="1:17" x14ac:dyDescent="0.25">
      <c r="A697" s="2">
        <v>814</v>
      </c>
      <c r="B697" s="2" t="s">
        <v>11</v>
      </c>
      <c r="C697" s="2">
        <v>1</v>
      </c>
      <c r="D697" s="2">
        <f t="shared" si="100"/>
        <v>2.54</v>
      </c>
      <c r="E697" s="2">
        <f t="shared" si="101"/>
        <v>0.80850711090682836</v>
      </c>
      <c r="F697" s="2">
        <f t="shared" si="102"/>
        <v>0.31830988618379069</v>
      </c>
      <c r="G697" s="2">
        <v>5.8910119999999999</v>
      </c>
      <c r="H697" s="2">
        <f t="shared" si="103"/>
        <v>19.327467810079998</v>
      </c>
      <c r="I697" s="2">
        <f>INDEX('Wood Density Lookup'!$B$2:$B$152,MATCH(B697,'Wood Density Lookup'!$A$2:$A$152,0))</f>
        <v>0.45</v>
      </c>
      <c r="J697" s="2">
        <f t="shared" si="104"/>
        <v>0.11509453181657232</v>
      </c>
      <c r="K697" s="2">
        <f t="shared" si="108"/>
        <v>3.2226468908640254E-2</v>
      </c>
      <c r="L697" s="2">
        <f t="shared" si="109"/>
        <v>0.14732100072521259</v>
      </c>
      <c r="M697" s="2">
        <f t="shared" si="105"/>
        <v>0.10680772552577912</v>
      </c>
      <c r="N697" s="2">
        <f t="shared" si="106"/>
        <v>5.340386276288956E-2</v>
      </c>
      <c r="O697" s="2">
        <f t="shared" si="107"/>
        <v>0.19599217633980467</v>
      </c>
      <c r="P697" s="2">
        <v>72.550093000000004</v>
      </c>
      <c r="Q697" s="2">
        <v>23.036686</v>
      </c>
    </row>
    <row r="698" spans="1:17" x14ac:dyDescent="0.25">
      <c r="A698" s="2">
        <v>815</v>
      </c>
      <c r="B698" s="2" t="s">
        <v>115</v>
      </c>
      <c r="C698" s="2">
        <v>7</v>
      </c>
      <c r="D698" s="2">
        <f t="shared" si="100"/>
        <v>17.78</v>
      </c>
      <c r="E698" s="2">
        <f t="shared" si="101"/>
        <v>5.6595497763477987</v>
      </c>
      <c r="F698" s="2">
        <f t="shared" si="102"/>
        <v>2.228169203286535</v>
      </c>
      <c r="G698" s="2">
        <v>3.1094629999999999</v>
      </c>
      <c r="H698" s="2">
        <f t="shared" si="103"/>
        <v>10.20165058892</v>
      </c>
      <c r="I698" s="2">
        <f>INDEX('Wood Density Lookup'!$B$2:$B$152,MATCH(B698,'Wood Density Lookup'!$A$2:$A$152,0))</f>
        <v>0.65</v>
      </c>
      <c r="J698" s="2">
        <f t="shared" si="104"/>
        <v>3.9419370240323159</v>
      </c>
      <c r="K698" s="2">
        <f t="shared" si="108"/>
        <v>1.1037423667290485</v>
      </c>
      <c r="L698" s="2">
        <f t="shared" si="109"/>
        <v>5.0456793907613644</v>
      </c>
      <c r="M698" s="2">
        <f t="shared" si="105"/>
        <v>3.6581175583019889</v>
      </c>
      <c r="N698" s="2">
        <f t="shared" si="106"/>
        <v>1.8290587791509945</v>
      </c>
      <c r="O698" s="2">
        <f t="shared" si="107"/>
        <v>6.7126457194841498</v>
      </c>
      <c r="P698" s="2">
        <v>72.550093000000004</v>
      </c>
      <c r="Q698" s="2">
        <v>23.035350000000001</v>
      </c>
    </row>
    <row r="699" spans="1:17" x14ac:dyDescent="0.25">
      <c r="A699" s="2">
        <v>817</v>
      </c>
      <c r="B699" s="2" t="s">
        <v>115</v>
      </c>
      <c r="C699" s="2">
        <v>5</v>
      </c>
      <c r="D699" s="2">
        <f t="shared" si="100"/>
        <v>12.7</v>
      </c>
      <c r="E699" s="2">
        <f t="shared" si="101"/>
        <v>4.0425355545341413</v>
      </c>
      <c r="F699" s="2">
        <f t="shared" si="102"/>
        <v>1.5915494309189535</v>
      </c>
      <c r="G699" s="2">
        <v>2.5762499999999999</v>
      </c>
      <c r="H699" s="2">
        <f t="shared" si="103"/>
        <v>8.4522640500000001</v>
      </c>
      <c r="I699" s="2">
        <f>INDEX('Wood Density Lookup'!$B$2:$B$152,MATCH(B699,'Wood Density Lookup'!$A$2:$A$152,0))</f>
        <v>0.65</v>
      </c>
      <c r="J699" s="2">
        <f t="shared" si="104"/>
        <v>1.7011049361551438</v>
      </c>
      <c r="K699" s="2">
        <f t="shared" si="108"/>
        <v>0.47630938212344032</v>
      </c>
      <c r="L699" s="2">
        <f t="shared" si="109"/>
        <v>2.1774143182785841</v>
      </c>
      <c r="M699" s="2">
        <f t="shared" si="105"/>
        <v>1.5786253807519735</v>
      </c>
      <c r="N699" s="2">
        <f t="shared" si="106"/>
        <v>0.78931269037598673</v>
      </c>
      <c r="O699" s="2">
        <f t="shared" si="107"/>
        <v>2.8967775736798713</v>
      </c>
      <c r="P699" s="2">
        <v>72.550094000000001</v>
      </c>
      <c r="Q699" s="2">
        <v>23.035333000000001</v>
      </c>
    </row>
    <row r="700" spans="1:17" x14ac:dyDescent="0.25">
      <c r="A700" s="2">
        <v>819</v>
      </c>
      <c r="B700" s="2" t="s">
        <v>114</v>
      </c>
      <c r="C700" s="2">
        <v>13</v>
      </c>
      <c r="D700" s="2">
        <f t="shared" si="100"/>
        <v>33.020000000000003</v>
      </c>
      <c r="E700" s="2">
        <f t="shared" si="101"/>
        <v>10.51059244178877</v>
      </c>
      <c r="F700" s="2">
        <f t="shared" si="102"/>
        <v>4.1380285203892786</v>
      </c>
      <c r="G700" s="2">
        <v>6.7176020000000003</v>
      </c>
      <c r="H700" s="2">
        <f t="shared" si="103"/>
        <v>22.039377345680002</v>
      </c>
      <c r="I700" s="2">
        <f>INDEX('Wood Density Lookup'!$B$2:$B$152,MATCH(B700,'Wood Density Lookup'!$A$2:$A$152,0))</f>
        <v>0.55000000000000004</v>
      </c>
      <c r="J700" s="2">
        <f t="shared" si="104"/>
        <v>23.778609960386806</v>
      </c>
      <c r="K700" s="2">
        <f t="shared" si="108"/>
        <v>6.6580107889083067</v>
      </c>
      <c r="L700" s="2">
        <f t="shared" si="109"/>
        <v>30.436620749295113</v>
      </c>
      <c r="M700" s="2">
        <f t="shared" si="105"/>
        <v>22.066550043238955</v>
      </c>
      <c r="N700" s="2">
        <f t="shared" si="106"/>
        <v>11.033275021619477</v>
      </c>
      <c r="O700" s="2">
        <f t="shared" si="107"/>
        <v>40.492119329343481</v>
      </c>
      <c r="P700" s="2">
        <v>72.550096999999994</v>
      </c>
      <c r="Q700" s="2">
        <v>23.035305999999999</v>
      </c>
    </row>
    <row r="701" spans="1:17" x14ac:dyDescent="0.25">
      <c r="A701" s="2">
        <v>820</v>
      </c>
      <c r="B701" s="2" t="s">
        <v>15</v>
      </c>
      <c r="C701" s="2">
        <v>85</v>
      </c>
      <c r="D701" s="2">
        <f t="shared" si="100"/>
        <v>215.9</v>
      </c>
      <c r="E701" s="2">
        <f t="shared" si="101"/>
        <v>68.723104427080415</v>
      </c>
      <c r="F701" s="2">
        <f t="shared" si="102"/>
        <v>27.056340325622209</v>
      </c>
      <c r="G701" s="2">
        <v>12.961453000000001</v>
      </c>
      <c r="H701" s="2">
        <f t="shared" si="103"/>
        <v>42.52445346052</v>
      </c>
      <c r="I701" s="2">
        <f>INDEX('Wood Density Lookup'!$B$2:$B$152,MATCH(B701,'Wood Density Lookup'!$A$2:$A$152,0))</f>
        <v>0.75</v>
      </c>
      <c r="J701" s="2">
        <f t="shared" si="104"/>
        <v>2388.083260912254</v>
      </c>
      <c r="K701" s="2">
        <f t="shared" si="108"/>
        <v>668.66331305543122</v>
      </c>
      <c r="L701" s="2">
        <f t="shared" si="109"/>
        <v>3056.7465739676854</v>
      </c>
      <c r="M701" s="2">
        <f t="shared" si="105"/>
        <v>2216.1412661265717</v>
      </c>
      <c r="N701" s="2">
        <f t="shared" si="106"/>
        <v>1108.0706330632859</v>
      </c>
      <c r="O701" s="2">
        <f t="shared" si="107"/>
        <v>4066.6192233422589</v>
      </c>
      <c r="P701" s="2">
        <v>72.550098000000006</v>
      </c>
      <c r="Q701" s="2">
        <v>23.037828999999999</v>
      </c>
    </row>
    <row r="702" spans="1:17" x14ac:dyDescent="0.25">
      <c r="A702" s="2">
        <v>821</v>
      </c>
      <c r="B702" s="2" t="s">
        <v>114</v>
      </c>
      <c r="C702" s="2">
        <v>12</v>
      </c>
      <c r="D702" s="2">
        <f t="shared" si="100"/>
        <v>30.48</v>
      </c>
      <c r="E702" s="2">
        <f t="shared" si="101"/>
        <v>9.7020853308819408</v>
      </c>
      <c r="F702" s="2">
        <f t="shared" si="102"/>
        <v>3.8197186342054881</v>
      </c>
      <c r="G702" s="2">
        <v>6.5366989999999996</v>
      </c>
      <c r="H702" s="2">
        <f t="shared" si="103"/>
        <v>21.445863547159998</v>
      </c>
      <c r="I702" s="2">
        <f>INDEX('Wood Density Lookup'!$B$2:$B$152,MATCH(B702,'Wood Density Lookup'!$A$2:$A$152,0))</f>
        <v>0.55000000000000004</v>
      </c>
      <c r="J702" s="2">
        <f t="shared" si="104"/>
        <v>19.804304184718905</v>
      </c>
      <c r="K702" s="2">
        <f t="shared" si="108"/>
        <v>5.5452051717212942</v>
      </c>
      <c r="L702" s="2">
        <f t="shared" si="109"/>
        <v>25.349509356440201</v>
      </c>
      <c r="M702" s="2">
        <f t="shared" si="105"/>
        <v>18.378394283419144</v>
      </c>
      <c r="N702" s="2">
        <f t="shared" si="106"/>
        <v>9.1891971417095721</v>
      </c>
      <c r="O702" s="2">
        <f t="shared" si="107"/>
        <v>33.724353510074131</v>
      </c>
      <c r="P702" s="2">
        <v>72.550099000000003</v>
      </c>
      <c r="Q702" s="2">
        <v>23.035277000000001</v>
      </c>
    </row>
    <row r="703" spans="1:17" x14ac:dyDescent="0.25">
      <c r="A703" s="2">
        <v>822</v>
      </c>
      <c r="B703" s="2" t="s">
        <v>151</v>
      </c>
      <c r="C703" s="2">
        <v>10</v>
      </c>
      <c r="D703" s="2">
        <f t="shared" si="100"/>
        <v>25.4</v>
      </c>
      <c r="E703" s="2">
        <f t="shared" si="101"/>
        <v>8.0850711090682825</v>
      </c>
      <c r="F703" s="2">
        <f t="shared" si="102"/>
        <v>3.183098861837907</v>
      </c>
      <c r="G703" s="2">
        <v>2.0780539999999998</v>
      </c>
      <c r="H703" s="2">
        <f t="shared" si="103"/>
        <v>6.8177626853599991</v>
      </c>
      <c r="I703" s="2">
        <f>INDEX('Wood Density Lookup'!$B$2:$B$152,MATCH(B703,'Wood Density Lookup'!$A$2:$A$152,0))</f>
        <v>0.8</v>
      </c>
      <c r="J703" s="2">
        <f t="shared" si="104"/>
        <v>6.5352592407472878</v>
      </c>
      <c r="K703" s="2">
        <f t="shared" si="108"/>
        <v>1.8298725874092407</v>
      </c>
      <c r="L703" s="2">
        <f t="shared" si="109"/>
        <v>8.3651318281565281</v>
      </c>
      <c r="M703" s="2">
        <f t="shared" si="105"/>
        <v>6.0647205754134825</v>
      </c>
      <c r="N703" s="2">
        <f t="shared" si="106"/>
        <v>3.0323602877067413</v>
      </c>
      <c r="O703" s="2">
        <f t="shared" si="107"/>
        <v>11.128762255883741</v>
      </c>
      <c r="P703" s="2">
        <v>72.5501</v>
      </c>
      <c r="Q703" s="2">
        <v>23.035730999999998</v>
      </c>
    </row>
    <row r="704" spans="1:17" x14ac:dyDescent="0.25">
      <c r="A704" s="2">
        <v>823</v>
      </c>
      <c r="B704" s="2" t="s">
        <v>82</v>
      </c>
      <c r="C704" s="2">
        <v>8</v>
      </c>
      <c r="D704" s="2">
        <f t="shared" si="100"/>
        <v>20.32</v>
      </c>
      <c r="E704" s="2">
        <f t="shared" si="101"/>
        <v>6.4680568872546269</v>
      </c>
      <c r="F704" s="2">
        <f t="shared" si="102"/>
        <v>2.5464790894703255</v>
      </c>
      <c r="G704" s="2">
        <v>10.047243999999999</v>
      </c>
      <c r="H704" s="2">
        <f t="shared" si="103"/>
        <v>32.96340000496</v>
      </c>
      <c r="I704" s="2">
        <f>INDEX('Wood Density Lookup'!$B$2:$B$152,MATCH(B704,'Wood Density Lookup'!$A$2:$A$152,0))</f>
        <v>0.7</v>
      </c>
      <c r="J704" s="2">
        <f t="shared" si="104"/>
        <v>17.276632362359205</v>
      </c>
      <c r="K704" s="2">
        <f t="shared" si="108"/>
        <v>4.8374570614605776</v>
      </c>
      <c r="L704" s="2">
        <f t="shared" si="109"/>
        <v>22.114089423819784</v>
      </c>
      <c r="M704" s="2">
        <f t="shared" si="105"/>
        <v>16.032714832269342</v>
      </c>
      <c r="N704" s="2">
        <f t="shared" si="106"/>
        <v>8.0163574161346709</v>
      </c>
      <c r="O704" s="2">
        <f t="shared" si="107"/>
        <v>29.420031717214243</v>
      </c>
      <c r="P704" s="2">
        <v>72.550100999999998</v>
      </c>
      <c r="Q704" s="2">
        <v>23.038768999999998</v>
      </c>
    </row>
    <row r="705" spans="1:17" x14ac:dyDescent="0.25">
      <c r="A705" s="2">
        <v>824</v>
      </c>
      <c r="B705" s="2" t="s">
        <v>107</v>
      </c>
      <c r="C705" s="2">
        <v>42</v>
      </c>
      <c r="D705" s="2">
        <f t="shared" ref="D705:D768" si="110">C705*2.54</f>
        <v>106.68</v>
      </c>
      <c r="E705" s="2">
        <f t="shared" ref="E705:E768" si="111">D705/PI()</f>
        <v>33.957298658086792</v>
      </c>
      <c r="F705" s="2">
        <f t="shared" ref="F705:F768" si="112">C705/PI()</f>
        <v>13.369015219719209</v>
      </c>
      <c r="G705" s="2">
        <v>14.438041</v>
      </c>
      <c r="H705" s="2">
        <f t="shared" ref="H705:H768" si="113">G705*3.28084</f>
        <v>47.368902434440002</v>
      </c>
      <c r="I705" s="2">
        <f>INDEX('Wood Density Lookup'!$B$2:$B$152,MATCH(B705,'Wood Density Lookup'!$A$2:$A$152,0))</f>
        <v>0.65</v>
      </c>
      <c r="J705" s="2">
        <f t="shared" ref="J705:J768" si="114">0.0673*POWER(I705*E705^2*G705,0.976)</f>
        <v>582.74700580545039</v>
      </c>
      <c r="K705" s="2">
        <f t="shared" si="108"/>
        <v>163.16916162552613</v>
      </c>
      <c r="L705" s="2">
        <f t="shared" si="109"/>
        <v>745.91616743097654</v>
      </c>
      <c r="M705" s="2">
        <f t="shared" ref="M705:M768" si="115">0.725*L705</f>
        <v>540.78922138745793</v>
      </c>
      <c r="N705" s="2">
        <f t="shared" ref="N705:N768" si="116">0.5*M705</f>
        <v>270.39461069372896</v>
      </c>
      <c r="O705" s="2">
        <f t="shared" ref="O705:O768" si="117">3.67*N705</f>
        <v>992.34822124598531</v>
      </c>
      <c r="P705" s="2">
        <v>72.550102999999993</v>
      </c>
      <c r="Q705" s="2">
        <v>23.035053999999999</v>
      </c>
    </row>
    <row r="706" spans="1:17" x14ac:dyDescent="0.25">
      <c r="A706" s="2">
        <v>825</v>
      </c>
      <c r="B706" s="2" t="s">
        <v>72</v>
      </c>
      <c r="C706" s="2">
        <v>32</v>
      </c>
      <c r="D706" s="2">
        <f t="shared" si="110"/>
        <v>81.28</v>
      </c>
      <c r="E706" s="2">
        <f t="shared" si="111"/>
        <v>25.872227549018508</v>
      </c>
      <c r="F706" s="2">
        <f t="shared" si="112"/>
        <v>10.185916357881302</v>
      </c>
      <c r="G706" s="2">
        <v>5.763579</v>
      </c>
      <c r="H706" s="2">
        <f t="shared" si="113"/>
        <v>18.90938052636</v>
      </c>
      <c r="I706" s="2">
        <f>INDEX('Wood Density Lookup'!$B$2:$B$152,MATCH(B706,'Wood Density Lookup'!$A$2:$A$152,0))</f>
        <v>0.65</v>
      </c>
      <c r="J706" s="2">
        <f t="shared" si="114"/>
        <v>139.86393979938475</v>
      </c>
      <c r="K706" s="2">
        <f t="shared" si="108"/>
        <v>39.161903143827736</v>
      </c>
      <c r="L706" s="2">
        <f t="shared" si="109"/>
        <v>179.0258429432125</v>
      </c>
      <c r="M706" s="2">
        <f t="shared" si="115"/>
        <v>129.79373613382904</v>
      </c>
      <c r="N706" s="2">
        <f t="shared" si="116"/>
        <v>64.896868066914521</v>
      </c>
      <c r="O706" s="2">
        <f t="shared" si="117"/>
        <v>238.17150580557629</v>
      </c>
      <c r="P706" s="2">
        <v>72.550102999999993</v>
      </c>
      <c r="Q706" s="2">
        <v>23.038715</v>
      </c>
    </row>
    <row r="707" spans="1:17" x14ac:dyDescent="0.25">
      <c r="A707" s="2">
        <v>826</v>
      </c>
      <c r="B707" s="2" t="s">
        <v>15</v>
      </c>
      <c r="C707" s="2">
        <v>42</v>
      </c>
      <c r="D707" s="2">
        <f t="shared" si="110"/>
        <v>106.68</v>
      </c>
      <c r="E707" s="2">
        <f t="shared" si="111"/>
        <v>33.957298658086792</v>
      </c>
      <c r="F707" s="2">
        <f t="shared" si="112"/>
        <v>13.369015219719209</v>
      </c>
      <c r="G707" s="2">
        <v>9.9065019999999997</v>
      </c>
      <c r="H707" s="2">
        <f t="shared" si="113"/>
        <v>32.501648021679998</v>
      </c>
      <c r="I707" s="2">
        <f>INDEX('Wood Density Lookup'!$B$2:$B$152,MATCH(B707,'Wood Density Lookup'!$A$2:$A$152,0))</f>
        <v>0.75</v>
      </c>
      <c r="J707" s="2">
        <f t="shared" si="114"/>
        <v>463.95363221242468</v>
      </c>
      <c r="K707" s="2">
        <f t="shared" ref="K707:K770" si="118">0.28*J707</f>
        <v>129.90701701947893</v>
      </c>
      <c r="L707" s="2">
        <f t="shared" ref="L707:L770" si="119">J707+K707</f>
        <v>593.86064923190361</v>
      </c>
      <c r="M707" s="2">
        <f t="shared" si="115"/>
        <v>430.54897069313012</v>
      </c>
      <c r="N707" s="2">
        <f t="shared" si="116"/>
        <v>215.27448534656506</v>
      </c>
      <c r="O707" s="2">
        <f t="shared" si="117"/>
        <v>790.05736122189376</v>
      </c>
      <c r="P707" s="2">
        <v>72.550104000000005</v>
      </c>
      <c r="Q707" s="2">
        <v>23.036408000000002</v>
      </c>
    </row>
    <row r="708" spans="1:17" x14ac:dyDescent="0.25">
      <c r="A708" s="2">
        <v>827</v>
      </c>
      <c r="B708" s="2" t="s">
        <v>114</v>
      </c>
      <c r="C708" s="2">
        <v>14</v>
      </c>
      <c r="D708" s="2">
        <f t="shared" si="110"/>
        <v>35.56</v>
      </c>
      <c r="E708" s="2">
        <f t="shared" si="111"/>
        <v>11.319099552695597</v>
      </c>
      <c r="F708" s="2">
        <f t="shared" si="112"/>
        <v>4.45633840657307</v>
      </c>
      <c r="G708" s="2">
        <v>6.4311069999999999</v>
      </c>
      <c r="H708" s="2">
        <f t="shared" si="113"/>
        <v>21.099433089879998</v>
      </c>
      <c r="I708" s="2">
        <f>INDEX('Wood Density Lookup'!$B$2:$B$152,MATCH(B708,'Wood Density Lookup'!$A$2:$A$152,0))</f>
        <v>0.55000000000000004</v>
      </c>
      <c r="J708" s="2">
        <f t="shared" si="114"/>
        <v>26.335205759507712</v>
      </c>
      <c r="K708" s="2">
        <f t="shared" si="118"/>
        <v>7.3738576126621602</v>
      </c>
      <c r="L708" s="2">
        <f t="shared" si="119"/>
        <v>33.709063372169872</v>
      </c>
      <c r="M708" s="2">
        <f t="shared" si="115"/>
        <v>24.439070944823158</v>
      </c>
      <c r="N708" s="2">
        <f t="shared" si="116"/>
        <v>12.219535472411579</v>
      </c>
      <c r="O708" s="2">
        <f t="shared" si="117"/>
        <v>44.845695183750493</v>
      </c>
      <c r="P708" s="2">
        <v>72.550104000000005</v>
      </c>
      <c r="Q708" s="2">
        <v>23.035364000000001</v>
      </c>
    </row>
    <row r="709" spans="1:17" x14ac:dyDescent="0.25">
      <c r="A709" s="2">
        <v>828</v>
      </c>
      <c r="B709" s="2" t="s">
        <v>111</v>
      </c>
      <c r="C709" s="2">
        <v>13</v>
      </c>
      <c r="D709" s="2">
        <f t="shared" si="110"/>
        <v>33.020000000000003</v>
      </c>
      <c r="E709" s="2">
        <f t="shared" si="111"/>
        <v>10.51059244178877</v>
      </c>
      <c r="F709" s="2">
        <f t="shared" si="112"/>
        <v>4.1380285203892786</v>
      </c>
      <c r="G709" s="2">
        <v>4.7798429999999996</v>
      </c>
      <c r="H709" s="2">
        <f t="shared" si="113"/>
        <v>15.681900108119999</v>
      </c>
      <c r="I709" s="2">
        <f>INDEX('Wood Density Lookup'!$B$2:$B$152,MATCH(B709,'Wood Density Lookup'!$A$2:$A$152,0))</f>
        <v>0.4</v>
      </c>
      <c r="J709" s="2">
        <f t="shared" si="114"/>
        <v>12.501139674032157</v>
      </c>
      <c r="K709" s="2">
        <f t="shared" si="118"/>
        <v>3.5003191087290042</v>
      </c>
      <c r="L709" s="2">
        <f t="shared" si="119"/>
        <v>16.001458782761162</v>
      </c>
      <c r="M709" s="2">
        <f t="shared" si="115"/>
        <v>11.601057617501843</v>
      </c>
      <c r="N709" s="2">
        <f t="shared" si="116"/>
        <v>5.8005288087509213</v>
      </c>
      <c r="O709" s="2">
        <f t="shared" si="117"/>
        <v>21.287940728115881</v>
      </c>
      <c r="P709" s="2">
        <v>72.550104000000005</v>
      </c>
      <c r="Q709" s="2">
        <v>23.037894000000001</v>
      </c>
    </row>
    <row r="710" spans="1:17" x14ac:dyDescent="0.25">
      <c r="A710" s="2">
        <v>829</v>
      </c>
      <c r="B710" s="2" t="s">
        <v>148</v>
      </c>
      <c r="C710" s="2">
        <v>3</v>
      </c>
      <c r="D710" s="2">
        <f t="shared" si="110"/>
        <v>7.62</v>
      </c>
      <c r="E710" s="2">
        <f t="shared" si="111"/>
        <v>2.4255213327204852</v>
      </c>
      <c r="F710" s="2">
        <f t="shared" si="112"/>
        <v>0.95492965855137202</v>
      </c>
      <c r="G710" s="2">
        <v>2.8358490000000001</v>
      </c>
      <c r="H710" s="2">
        <f t="shared" si="113"/>
        <v>9.3039668331600005</v>
      </c>
      <c r="I710" s="2">
        <f>INDEX('Wood Density Lookup'!$B$2:$B$152,MATCH(B710,'Wood Density Lookup'!$A$2:$A$152,0))</f>
        <v>0.5</v>
      </c>
      <c r="J710" s="2">
        <f t="shared" si="114"/>
        <v>0.53354130766839558</v>
      </c>
      <c r="K710" s="2">
        <f t="shared" si="118"/>
        <v>0.14939156614715077</v>
      </c>
      <c r="L710" s="2">
        <f t="shared" si="119"/>
        <v>0.68293287381554635</v>
      </c>
      <c r="M710" s="2">
        <f t="shared" si="115"/>
        <v>0.49512633351627111</v>
      </c>
      <c r="N710" s="2">
        <f t="shared" si="116"/>
        <v>0.24756316675813556</v>
      </c>
      <c r="O710" s="2">
        <f t="shared" si="117"/>
        <v>0.90855682200235743</v>
      </c>
      <c r="P710" s="2">
        <v>72.550106999999997</v>
      </c>
      <c r="Q710" s="2">
        <v>23.034416</v>
      </c>
    </row>
    <row r="711" spans="1:17" x14ac:dyDescent="0.25">
      <c r="A711" s="2">
        <v>831</v>
      </c>
      <c r="B711" s="2" t="s">
        <v>148</v>
      </c>
      <c r="C711" s="2">
        <v>2</v>
      </c>
      <c r="D711" s="2">
        <f t="shared" si="110"/>
        <v>5.08</v>
      </c>
      <c r="E711" s="2">
        <f t="shared" si="111"/>
        <v>1.6170142218136567</v>
      </c>
      <c r="F711" s="2">
        <f t="shared" si="112"/>
        <v>0.63661977236758138</v>
      </c>
      <c r="G711" s="2">
        <v>3.5879840000000001</v>
      </c>
      <c r="H711" s="2">
        <f t="shared" si="113"/>
        <v>11.77160142656</v>
      </c>
      <c r="I711" s="2">
        <f>INDEX('Wood Density Lookup'!$B$2:$B$152,MATCH(B711,'Wood Density Lookup'!$A$2:$A$152,0))</f>
        <v>0.5</v>
      </c>
      <c r="J711" s="2">
        <f t="shared" si="114"/>
        <v>0.3041958529567082</v>
      </c>
      <c r="K711" s="2">
        <f t="shared" si="118"/>
        <v>8.517483882787831E-2</v>
      </c>
      <c r="L711" s="2">
        <f t="shared" si="119"/>
        <v>0.3893706917845865</v>
      </c>
      <c r="M711" s="2">
        <f t="shared" si="115"/>
        <v>0.28229375154382519</v>
      </c>
      <c r="N711" s="2">
        <f t="shared" si="116"/>
        <v>0.14114687577191259</v>
      </c>
      <c r="O711" s="2">
        <f t="shared" si="117"/>
        <v>0.51800903408291921</v>
      </c>
      <c r="P711" s="2">
        <v>72.550117</v>
      </c>
      <c r="Q711" s="2">
        <v>23.034410000000001</v>
      </c>
    </row>
    <row r="712" spans="1:17" x14ac:dyDescent="0.25">
      <c r="A712" s="2">
        <v>832</v>
      </c>
      <c r="B712" s="2" t="s">
        <v>107</v>
      </c>
      <c r="C712" s="2">
        <v>30</v>
      </c>
      <c r="D712" s="2">
        <f t="shared" si="110"/>
        <v>76.2</v>
      </c>
      <c r="E712" s="2">
        <f t="shared" si="111"/>
        <v>24.255213327204849</v>
      </c>
      <c r="F712" s="2">
        <f t="shared" si="112"/>
        <v>9.5492965855137211</v>
      </c>
      <c r="G712" s="2">
        <v>13.486997000000001</v>
      </c>
      <c r="H712" s="2">
        <f t="shared" si="113"/>
        <v>44.248679237480005</v>
      </c>
      <c r="I712" s="2">
        <f>INDEX('Wood Density Lookup'!$B$2:$B$152,MATCH(B712,'Wood Density Lookup'!$A$2:$A$152,0))</f>
        <v>0.65</v>
      </c>
      <c r="J712" s="2">
        <f t="shared" si="114"/>
        <v>282.71922880330715</v>
      </c>
      <c r="K712" s="2">
        <f t="shared" si="118"/>
        <v>79.161384064926011</v>
      </c>
      <c r="L712" s="2">
        <f t="shared" si="119"/>
        <v>361.88061286823313</v>
      </c>
      <c r="M712" s="2">
        <f t="shared" si="115"/>
        <v>262.36344432946902</v>
      </c>
      <c r="N712" s="2">
        <f t="shared" si="116"/>
        <v>131.18172216473451</v>
      </c>
      <c r="O712" s="2">
        <f t="shared" si="117"/>
        <v>481.43692034457564</v>
      </c>
      <c r="P712" s="2">
        <v>72.550118999999995</v>
      </c>
      <c r="Q712" s="2">
        <v>23.035841000000001</v>
      </c>
    </row>
    <row r="713" spans="1:17" x14ac:dyDescent="0.25">
      <c r="A713" s="2">
        <v>834</v>
      </c>
      <c r="B713" s="2" t="s">
        <v>115</v>
      </c>
      <c r="C713" s="2">
        <v>47</v>
      </c>
      <c r="D713" s="2">
        <f t="shared" si="110"/>
        <v>119.38</v>
      </c>
      <c r="E713" s="2">
        <f t="shared" si="111"/>
        <v>37.999834212620932</v>
      </c>
      <c r="F713" s="2">
        <f t="shared" si="112"/>
        <v>14.960564650638162</v>
      </c>
      <c r="G713" s="2">
        <v>9.1087170000000004</v>
      </c>
      <c r="H713" s="2">
        <f t="shared" si="113"/>
        <v>29.884243082280001</v>
      </c>
      <c r="I713" s="2">
        <f>INDEX('Wood Density Lookup'!$B$2:$B$152,MATCH(B713,'Wood Density Lookup'!$A$2:$A$152,0))</f>
        <v>0.65</v>
      </c>
      <c r="J713" s="2">
        <f t="shared" si="114"/>
        <v>463.00173500439473</v>
      </c>
      <c r="K713" s="2">
        <f t="shared" si="118"/>
        <v>129.64048580123054</v>
      </c>
      <c r="L713" s="2">
        <f t="shared" si="119"/>
        <v>592.64222080562524</v>
      </c>
      <c r="M713" s="2">
        <f t="shared" si="115"/>
        <v>429.66561008407831</v>
      </c>
      <c r="N713" s="2">
        <f t="shared" si="116"/>
        <v>214.83280504203915</v>
      </c>
      <c r="O713" s="2">
        <f t="shared" si="117"/>
        <v>788.43639450428373</v>
      </c>
      <c r="P713" s="2">
        <v>72.550121000000004</v>
      </c>
      <c r="Q713" s="2">
        <v>23.038509000000001</v>
      </c>
    </row>
    <row r="714" spans="1:17" x14ac:dyDescent="0.25">
      <c r="A714" s="2">
        <v>836</v>
      </c>
      <c r="B714" s="2" t="s">
        <v>148</v>
      </c>
      <c r="C714" s="2">
        <v>2</v>
      </c>
      <c r="D714" s="2">
        <f t="shared" si="110"/>
        <v>5.08</v>
      </c>
      <c r="E714" s="2">
        <f t="shared" si="111"/>
        <v>1.6170142218136567</v>
      </c>
      <c r="F714" s="2">
        <f t="shared" si="112"/>
        <v>0.63661977236758138</v>
      </c>
      <c r="G714" s="2">
        <v>3.168526</v>
      </c>
      <c r="H714" s="2">
        <f t="shared" si="113"/>
        <v>10.395426841839999</v>
      </c>
      <c r="I714" s="2">
        <f>INDEX('Wood Density Lookup'!$B$2:$B$152,MATCH(B714,'Wood Density Lookup'!$A$2:$A$152,0))</f>
        <v>0.5</v>
      </c>
      <c r="J714" s="2">
        <f t="shared" si="114"/>
        <v>0.26943617463859287</v>
      </c>
      <c r="K714" s="2">
        <f t="shared" si="118"/>
        <v>7.5442128898806013E-2</v>
      </c>
      <c r="L714" s="2">
        <f t="shared" si="119"/>
        <v>0.3448783035373989</v>
      </c>
      <c r="M714" s="2">
        <f t="shared" si="115"/>
        <v>0.25003677006461422</v>
      </c>
      <c r="N714" s="2">
        <f t="shared" si="116"/>
        <v>0.12501838503230711</v>
      </c>
      <c r="O714" s="2">
        <f t="shared" si="117"/>
        <v>0.45881747306856707</v>
      </c>
      <c r="P714" s="2">
        <v>72.550122999999999</v>
      </c>
      <c r="Q714" s="2">
        <v>23.034421999999999</v>
      </c>
    </row>
    <row r="715" spans="1:17" x14ac:dyDescent="0.25">
      <c r="A715" s="2">
        <v>837</v>
      </c>
      <c r="B715" s="2" t="s">
        <v>93</v>
      </c>
      <c r="C715" s="2">
        <v>7</v>
      </c>
      <c r="D715" s="2">
        <f t="shared" si="110"/>
        <v>17.78</v>
      </c>
      <c r="E715" s="2">
        <f t="shared" si="111"/>
        <v>5.6595497763477987</v>
      </c>
      <c r="F715" s="2">
        <f t="shared" si="112"/>
        <v>2.228169203286535</v>
      </c>
      <c r="G715" s="2">
        <v>3.808087</v>
      </c>
      <c r="H715" s="2">
        <f t="shared" si="113"/>
        <v>12.493724153080001</v>
      </c>
      <c r="I715" s="2">
        <f>INDEX('Wood Density Lookup'!$B$2:$B$152,MATCH(B715,'Wood Density Lookup'!$A$2:$A$152,0))</f>
        <v>0.9</v>
      </c>
      <c r="J715" s="2">
        <f t="shared" si="114"/>
        <v>6.600181644339683</v>
      </c>
      <c r="K715" s="2">
        <f t="shared" si="118"/>
        <v>1.8480508604151114</v>
      </c>
      <c r="L715" s="2">
        <f t="shared" si="119"/>
        <v>8.4482325047547953</v>
      </c>
      <c r="M715" s="2">
        <f t="shared" si="115"/>
        <v>6.1249685659472259</v>
      </c>
      <c r="N715" s="2">
        <f t="shared" si="116"/>
        <v>3.062484282973613</v>
      </c>
      <c r="O715" s="2">
        <f t="shared" si="117"/>
        <v>11.239317318513159</v>
      </c>
      <c r="P715" s="2">
        <v>72.550130999999993</v>
      </c>
      <c r="Q715" s="2">
        <v>23.036686</v>
      </c>
    </row>
    <row r="716" spans="1:17" x14ac:dyDescent="0.25">
      <c r="A716" s="2">
        <v>838</v>
      </c>
      <c r="B716" s="2" t="s">
        <v>107</v>
      </c>
      <c r="C716" s="2">
        <v>31</v>
      </c>
      <c r="D716" s="2">
        <f t="shared" si="110"/>
        <v>78.739999999999995</v>
      </c>
      <c r="E716" s="2">
        <f t="shared" si="111"/>
        <v>25.063720438111677</v>
      </c>
      <c r="F716" s="2">
        <f t="shared" si="112"/>
        <v>9.8676064716975116</v>
      </c>
      <c r="G716" s="2">
        <v>2.1461600000000001</v>
      </c>
      <c r="H716" s="2">
        <f t="shared" si="113"/>
        <v>7.0412075744000004</v>
      </c>
      <c r="I716" s="2">
        <f>INDEX('Wood Density Lookup'!$B$2:$B$152,MATCH(B716,'Wood Density Lookup'!$A$2:$A$152,0))</f>
        <v>0.65</v>
      </c>
      <c r="J716" s="2">
        <f t="shared" si="114"/>
        <v>50.125370528340987</v>
      </c>
      <c r="K716" s="2">
        <f t="shared" si="118"/>
        <v>14.035103747935478</v>
      </c>
      <c r="L716" s="2">
        <f t="shared" si="119"/>
        <v>64.16047427627646</v>
      </c>
      <c r="M716" s="2">
        <f t="shared" si="115"/>
        <v>46.51634385030043</v>
      </c>
      <c r="N716" s="2">
        <f t="shared" si="116"/>
        <v>23.258171925150215</v>
      </c>
      <c r="O716" s="2">
        <f t="shared" si="117"/>
        <v>85.357490965301281</v>
      </c>
      <c r="P716" s="2">
        <v>72.550133000000002</v>
      </c>
      <c r="Q716" s="2">
        <v>23.035761000000001</v>
      </c>
    </row>
    <row r="717" spans="1:17" x14ac:dyDescent="0.25">
      <c r="A717" s="2">
        <v>841</v>
      </c>
      <c r="B717" s="2" t="s">
        <v>148</v>
      </c>
      <c r="C717" s="2">
        <v>3</v>
      </c>
      <c r="D717" s="2">
        <f t="shared" si="110"/>
        <v>7.62</v>
      </c>
      <c r="E717" s="2">
        <f t="shared" si="111"/>
        <v>2.4255213327204852</v>
      </c>
      <c r="F717" s="2">
        <f t="shared" si="112"/>
        <v>0.95492965855137202</v>
      </c>
      <c r="G717" s="2">
        <v>4.7353560000000003</v>
      </c>
      <c r="H717" s="2">
        <f t="shared" si="113"/>
        <v>15.535945379040001</v>
      </c>
      <c r="I717" s="2">
        <f>INDEX('Wood Density Lookup'!$B$2:$B$152,MATCH(B717,'Wood Density Lookup'!$A$2:$A$152,0))</f>
        <v>0.5</v>
      </c>
      <c r="J717" s="2">
        <f t="shared" si="114"/>
        <v>0.88002196527197407</v>
      </c>
      <c r="K717" s="2">
        <f t="shared" si="118"/>
        <v>0.24640615027615276</v>
      </c>
      <c r="L717" s="2">
        <f t="shared" si="119"/>
        <v>1.1264281155481268</v>
      </c>
      <c r="M717" s="2">
        <f t="shared" si="115"/>
        <v>0.81666038377239192</v>
      </c>
      <c r="N717" s="2">
        <f t="shared" si="116"/>
        <v>0.40833019188619596</v>
      </c>
      <c r="O717" s="2">
        <f t="shared" si="117"/>
        <v>1.498571804222339</v>
      </c>
      <c r="P717" s="2">
        <v>72.550134999999997</v>
      </c>
      <c r="Q717" s="2">
        <v>23.034416</v>
      </c>
    </row>
    <row r="718" spans="1:17" x14ac:dyDescent="0.25">
      <c r="A718" s="2">
        <v>842</v>
      </c>
      <c r="B718" s="2" t="s">
        <v>114</v>
      </c>
      <c r="C718" s="2">
        <v>19</v>
      </c>
      <c r="D718" s="2">
        <f t="shared" si="110"/>
        <v>48.26</v>
      </c>
      <c r="E718" s="2">
        <f t="shared" si="111"/>
        <v>15.361635107229738</v>
      </c>
      <c r="F718" s="2">
        <f t="shared" si="112"/>
        <v>6.0478878374920226</v>
      </c>
      <c r="G718" s="2">
        <v>2.1552760000000002</v>
      </c>
      <c r="H718" s="2">
        <f t="shared" si="113"/>
        <v>7.071115711840001</v>
      </c>
      <c r="I718" s="2">
        <f>INDEX('Wood Density Lookup'!$B$2:$B$152,MATCH(B718,'Wood Density Lookup'!$A$2:$A$152,0))</f>
        <v>0.55000000000000004</v>
      </c>
      <c r="J718" s="2">
        <f t="shared" si="114"/>
        <v>16.444995728687346</v>
      </c>
      <c r="K718" s="2">
        <f t="shared" si="118"/>
        <v>4.6045988040324568</v>
      </c>
      <c r="L718" s="2">
        <f t="shared" si="119"/>
        <v>21.049594532719802</v>
      </c>
      <c r="M718" s="2">
        <f t="shared" si="115"/>
        <v>15.260956036221856</v>
      </c>
      <c r="N718" s="2">
        <f t="shared" si="116"/>
        <v>7.630478018110928</v>
      </c>
      <c r="O718" s="2">
        <f t="shared" si="117"/>
        <v>28.003854326467106</v>
      </c>
      <c r="P718" s="2">
        <v>72.550137000000007</v>
      </c>
      <c r="Q718" s="2">
        <v>23.035734000000001</v>
      </c>
    </row>
    <row r="719" spans="1:17" x14ac:dyDescent="0.25">
      <c r="A719" s="2">
        <v>843</v>
      </c>
      <c r="B719" s="2" t="s">
        <v>148</v>
      </c>
      <c r="C719" s="2">
        <v>3</v>
      </c>
      <c r="D719" s="2">
        <f t="shared" si="110"/>
        <v>7.62</v>
      </c>
      <c r="E719" s="2">
        <f t="shared" si="111"/>
        <v>2.4255213327204852</v>
      </c>
      <c r="F719" s="2">
        <f t="shared" si="112"/>
        <v>0.95492965855137202</v>
      </c>
      <c r="G719" s="2">
        <v>3.8089750000000002</v>
      </c>
      <c r="H719" s="2">
        <f t="shared" si="113"/>
        <v>12.496637539</v>
      </c>
      <c r="I719" s="2">
        <f>INDEX('Wood Density Lookup'!$B$2:$B$152,MATCH(B719,'Wood Density Lookup'!$A$2:$A$152,0))</f>
        <v>0.5</v>
      </c>
      <c r="J719" s="2">
        <f t="shared" si="114"/>
        <v>0.71157071840533581</v>
      </c>
      <c r="K719" s="2">
        <f t="shared" si="118"/>
        <v>0.19923980115349404</v>
      </c>
      <c r="L719" s="2">
        <f t="shared" si="119"/>
        <v>0.91081051955882986</v>
      </c>
      <c r="M719" s="2">
        <f t="shared" si="115"/>
        <v>0.66033762668015161</v>
      </c>
      <c r="N719" s="2">
        <f t="shared" si="116"/>
        <v>0.33016881334007581</v>
      </c>
      <c r="O719" s="2">
        <f t="shared" si="117"/>
        <v>1.2117195449580782</v>
      </c>
      <c r="P719" s="2">
        <v>72.550140999999996</v>
      </c>
      <c r="Q719" s="2">
        <v>23.034426</v>
      </c>
    </row>
    <row r="720" spans="1:17" x14ac:dyDescent="0.25">
      <c r="A720" s="2">
        <v>844</v>
      </c>
      <c r="B720" s="2" t="s">
        <v>82</v>
      </c>
      <c r="C720" s="2">
        <v>22</v>
      </c>
      <c r="D720" s="2">
        <f t="shared" si="110"/>
        <v>55.88</v>
      </c>
      <c r="E720" s="2">
        <f t="shared" si="111"/>
        <v>17.787156439950223</v>
      </c>
      <c r="F720" s="2">
        <f t="shared" si="112"/>
        <v>7.0028174960433951</v>
      </c>
      <c r="G720" s="2">
        <v>5.933427</v>
      </c>
      <c r="H720" s="2">
        <f t="shared" si="113"/>
        <v>19.466624638679999</v>
      </c>
      <c r="I720" s="2">
        <f>INDEX('Wood Density Lookup'!$B$2:$B$152,MATCH(B720,'Wood Density Lookup'!$A$2:$A$152,0))</f>
        <v>0.7</v>
      </c>
      <c r="J720" s="2">
        <f t="shared" si="114"/>
        <v>74.436330694264612</v>
      </c>
      <c r="K720" s="2">
        <f t="shared" si="118"/>
        <v>20.842172594394093</v>
      </c>
      <c r="L720" s="2">
        <f t="shared" si="119"/>
        <v>95.278503288658698</v>
      </c>
      <c r="M720" s="2">
        <f t="shared" si="115"/>
        <v>69.076914884277556</v>
      </c>
      <c r="N720" s="2">
        <f t="shared" si="116"/>
        <v>34.538457442138778</v>
      </c>
      <c r="O720" s="2">
        <f t="shared" si="117"/>
        <v>126.75613881264931</v>
      </c>
      <c r="P720" s="2">
        <v>72.550141999999994</v>
      </c>
      <c r="Q720" s="2">
        <v>23.038765000000001</v>
      </c>
    </row>
    <row r="721" spans="1:17" x14ac:dyDescent="0.25">
      <c r="A721" s="2">
        <v>845</v>
      </c>
      <c r="B721" s="2" t="s">
        <v>145</v>
      </c>
      <c r="C721" s="2">
        <v>19</v>
      </c>
      <c r="D721" s="2">
        <f t="shared" si="110"/>
        <v>48.26</v>
      </c>
      <c r="E721" s="2">
        <f t="shared" si="111"/>
        <v>15.361635107229738</v>
      </c>
      <c r="F721" s="2">
        <f t="shared" si="112"/>
        <v>6.0478878374920226</v>
      </c>
      <c r="G721" s="2">
        <v>1.412906</v>
      </c>
      <c r="H721" s="2">
        <f t="shared" si="113"/>
        <v>4.6355185210399998</v>
      </c>
      <c r="I721" s="2">
        <f>INDEX('Wood Density Lookup'!$B$2:$B$152,MATCH(B721,'Wood Density Lookup'!$A$2:$A$152,0))</f>
        <v>0.55000000000000004</v>
      </c>
      <c r="J721" s="2">
        <f t="shared" si="114"/>
        <v>10.890441651221378</v>
      </c>
      <c r="K721" s="2">
        <f t="shared" si="118"/>
        <v>3.0493236623419864</v>
      </c>
      <c r="L721" s="2">
        <f t="shared" si="119"/>
        <v>13.939765313563365</v>
      </c>
      <c r="M721" s="2">
        <f t="shared" si="115"/>
        <v>10.10632985233344</v>
      </c>
      <c r="N721" s="2">
        <f t="shared" si="116"/>
        <v>5.05316492616672</v>
      </c>
      <c r="O721" s="2">
        <f t="shared" si="117"/>
        <v>18.545115279031862</v>
      </c>
      <c r="P721" s="2">
        <v>72.550144000000003</v>
      </c>
      <c r="Q721" s="2">
        <v>23.037362999999999</v>
      </c>
    </row>
    <row r="722" spans="1:17" x14ac:dyDescent="0.25">
      <c r="A722" s="2">
        <v>847</v>
      </c>
      <c r="B722" s="2" t="s">
        <v>3</v>
      </c>
      <c r="C722" s="2">
        <v>42</v>
      </c>
      <c r="D722" s="2">
        <f t="shared" si="110"/>
        <v>106.68</v>
      </c>
      <c r="E722" s="2">
        <f t="shared" si="111"/>
        <v>33.957298658086792</v>
      </c>
      <c r="F722" s="2">
        <f t="shared" si="112"/>
        <v>13.369015219719209</v>
      </c>
      <c r="G722" s="2">
        <v>13.449332999999999</v>
      </c>
      <c r="H722" s="2">
        <f t="shared" si="113"/>
        <v>44.125109679719998</v>
      </c>
      <c r="I722" s="2">
        <f>INDEX('Wood Density Lookup'!$B$2:$B$152,MATCH(B722,'Wood Density Lookup'!$A$2:$A$152,0))</f>
        <v>0.62</v>
      </c>
      <c r="J722" s="2">
        <f t="shared" si="114"/>
        <v>519.25747854410304</v>
      </c>
      <c r="K722" s="2">
        <f t="shared" si="118"/>
        <v>145.39209399234886</v>
      </c>
      <c r="L722" s="2">
        <f t="shared" si="119"/>
        <v>664.64957253645184</v>
      </c>
      <c r="M722" s="2">
        <f t="shared" si="115"/>
        <v>481.87094008892757</v>
      </c>
      <c r="N722" s="2">
        <f t="shared" si="116"/>
        <v>240.93547004446378</v>
      </c>
      <c r="O722" s="2">
        <f t="shared" si="117"/>
        <v>884.2331750631821</v>
      </c>
      <c r="P722" s="2">
        <v>72.550145000000001</v>
      </c>
      <c r="Q722" s="2">
        <v>23.036234</v>
      </c>
    </row>
    <row r="723" spans="1:17" x14ac:dyDescent="0.25">
      <c r="A723" s="2">
        <v>848</v>
      </c>
      <c r="B723" s="2" t="s">
        <v>145</v>
      </c>
      <c r="C723" s="2">
        <v>17</v>
      </c>
      <c r="D723" s="2">
        <f t="shared" si="110"/>
        <v>43.18</v>
      </c>
      <c r="E723" s="2">
        <f t="shared" si="111"/>
        <v>13.744620885416081</v>
      </c>
      <c r="F723" s="2">
        <f t="shared" si="112"/>
        <v>5.4112680651244416</v>
      </c>
      <c r="G723" s="2">
        <v>5.47966</v>
      </c>
      <c r="H723" s="2">
        <f t="shared" si="113"/>
        <v>17.977887714400001</v>
      </c>
      <c r="I723" s="2">
        <f>INDEX('Wood Density Lookup'!$B$2:$B$152,MATCH(B723,'Wood Density Lookup'!$A$2:$A$152,0))</f>
        <v>0.55000000000000004</v>
      </c>
      <c r="J723" s="2">
        <f t="shared" si="114"/>
        <v>32.905442296447148</v>
      </c>
      <c r="K723" s="2">
        <f t="shared" si="118"/>
        <v>9.213523843005202</v>
      </c>
      <c r="L723" s="2">
        <f t="shared" si="119"/>
        <v>42.118966139452354</v>
      </c>
      <c r="M723" s="2">
        <f t="shared" si="115"/>
        <v>30.536250451102955</v>
      </c>
      <c r="N723" s="2">
        <f t="shared" si="116"/>
        <v>15.268125225551477</v>
      </c>
      <c r="O723" s="2">
        <f t="shared" si="117"/>
        <v>56.034019577773918</v>
      </c>
      <c r="P723" s="2">
        <v>72.550145999999998</v>
      </c>
      <c r="Q723" s="2">
        <v>23.037227999999999</v>
      </c>
    </row>
    <row r="724" spans="1:17" x14ac:dyDescent="0.25">
      <c r="A724" s="2">
        <v>849</v>
      </c>
      <c r="B724" s="2" t="s">
        <v>111</v>
      </c>
      <c r="C724" s="2">
        <v>27</v>
      </c>
      <c r="D724" s="2">
        <f t="shared" si="110"/>
        <v>68.58</v>
      </c>
      <c r="E724" s="2">
        <f t="shared" si="111"/>
        <v>21.829691994484364</v>
      </c>
      <c r="F724" s="2">
        <f t="shared" si="112"/>
        <v>8.5943669269623477</v>
      </c>
      <c r="G724" s="2">
        <v>4.4865449999999996</v>
      </c>
      <c r="H724" s="2">
        <f t="shared" si="113"/>
        <v>14.719636297799999</v>
      </c>
      <c r="I724" s="2">
        <f>INDEX('Wood Density Lookup'!$B$2:$B$152,MATCH(B724,'Wood Density Lookup'!$A$2:$A$152,0))</f>
        <v>0.4</v>
      </c>
      <c r="J724" s="2">
        <f t="shared" si="114"/>
        <v>48.945490619732006</v>
      </c>
      <c r="K724" s="2">
        <f t="shared" si="118"/>
        <v>13.704737373524964</v>
      </c>
      <c r="L724" s="2">
        <f t="shared" si="119"/>
        <v>62.650227993256969</v>
      </c>
      <c r="M724" s="2">
        <f t="shared" si="115"/>
        <v>45.421415295111302</v>
      </c>
      <c r="N724" s="2">
        <f t="shared" si="116"/>
        <v>22.710707647555651</v>
      </c>
      <c r="O724" s="2">
        <f t="shared" si="117"/>
        <v>83.348297066529241</v>
      </c>
      <c r="P724" s="2">
        <v>72.550146999999996</v>
      </c>
      <c r="Q724" s="2">
        <v>23.036594000000001</v>
      </c>
    </row>
    <row r="725" spans="1:17" x14ac:dyDescent="0.25">
      <c r="A725" s="2">
        <v>850</v>
      </c>
      <c r="B725" s="2" t="s">
        <v>145</v>
      </c>
      <c r="C725" s="2">
        <v>20</v>
      </c>
      <c r="D725" s="2">
        <f t="shared" si="110"/>
        <v>50.8</v>
      </c>
      <c r="E725" s="2">
        <f t="shared" si="111"/>
        <v>16.170142218136565</v>
      </c>
      <c r="F725" s="2">
        <f t="shared" si="112"/>
        <v>6.366197723675814</v>
      </c>
      <c r="G725" s="2">
        <v>4.2200629999999997</v>
      </c>
      <c r="H725" s="2">
        <f t="shared" si="113"/>
        <v>13.845351492919999</v>
      </c>
      <c r="I725" s="2">
        <f>INDEX('Wood Density Lookup'!$B$2:$B$152,MATCH(B725,'Wood Density Lookup'!$A$2:$A$152,0))</f>
        <v>0.55000000000000004</v>
      </c>
      <c r="J725" s="2">
        <f t="shared" si="114"/>
        <v>35.021096862006942</v>
      </c>
      <c r="K725" s="2">
        <f t="shared" si="118"/>
        <v>9.805907121361944</v>
      </c>
      <c r="L725" s="2">
        <f t="shared" si="119"/>
        <v>44.827003983368883</v>
      </c>
      <c r="M725" s="2">
        <f t="shared" si="115"/>
        <v>32.499577887942436</v>
      </c>
      <c r="N725" s="2">
        <f t="shared" si="116"/>
        <v>16.249788943971218</v>
      </c>
      <c r="O725" s="2">
        <f t="shared" si="117"/>
        <v>59.636725424374369</v>
      </c>
      <c r="P725" s="2">
        <v>72.550147999999993</v>
      </c>
      <c r="Q725" s="2">
        <v>23.037286999999999</v>
      </c>
    </row>
    <row r="726" spans="1:17" x14ac:dyDescent="0.25">
      <c r="A726" s="2">
        <v>851</v>
      </c>
      <c r="B726" s="2" t="s">
        <v>15</v>
      </c>
      <c r="C726" s="2">
        <v>4</v>
      </c>
      <c r="D726" s="2">
        <f t="shared" si="110"/>
        <v>10.16</v>
      </c>
      <c r="E726" s="2">
        <f t="shared" si="111"/>
        <v>3.2340284436273135</v>
      </c>
      <c r="F726" s="2">
        <f t="shared" si="112"/>
        <v>1.2732395447351628</v>
      </c>
      <c r="G726" s="2">
        <v>1.680917</v>
      </c>
      <c r="H726" s="2">
        <f t="shared" si="113"/>
        <v>5.5148197302800002</v>
      </c>
      <c r="I726" s="2">
        <f>INDEX('Wood Density Lookup'!$B$2:$B$152,MATCH(B726,'Wood Density Lookup'!$A$2:$A$152,0))</f>
        <v>0.75</v>
      </c>
      <c r="J726" s="2">
        <f t="shared" si="114"/>
        <v>0.83411894008805276</v>
      </c>
      <c r="K726" s="2">
        <f t="shared" si="118"/>
        <v>0.23355330322465478</v>
      </c>
      <c r="L726" s="2">
        <f t="shared" si="119"/>
        <v>1.0676722433127075</v>
      </c>
      <c r="M726" s="2">
        <f t="shared" si="115"/>
        <v>0.77406237640171294</v>
      </c>
      <c r="N726" s="2">
        <f t="shared" si="116"/>
        <v>0.38703118820085647</v>
      </c>
      <c r="O726" s="2">
        <f t="shared" si="117"/>
        <v>1.4204044606971433</v>
      </c>
      <c r="P726" s="2">
        <v>72.550147999999993</v>
      </c>
      <c r="Q726" s="2">
        <v>23.037087</v>
      </c>
    </row>
    <row r="727" spans="1:17" x14ac:dyDescent="0.25">
      <c r="A727" s="2">
        <v>852</v>
      </c>
      <c r="B727" s="2" t="s">
        <v>15</v>
      </c>
      <c r="C727" s="2">
        <v>153</v>
      </c>
      <c r="D727" s="2">
        <f t="shared" si="110"/>
        <v>388.62</v>
      </c>
      <c r="E727" s="2">
        <f t="shared" si="111"/>
        <v>123.70158796874473</v>
      </c>
      <c r="F727" s="2">
        <f t="shared" si="112"/>
        <v>48.701412586119972</v>
      </c>
      <c r="G727" s="2">
        <v>15.519166999999999</v>
      </c>
      <c r="H727" s="2">
        <f t="shared" si="113"/>
        <v>50.915903860279997</v>
      </c>
      <c r="I727" s="2">
        <f>INDEX('Wood Density Lookup'!$B$2:$B$152,MATCH(B727,'Wood Density Lookup'!$A$2:$A$152,0))</f>
        <v>0.75</v>
      </c>
      <c r="J727" s="2">
        <f t="shared" si="114"/>
        <v>8967.6563726791992</v>
      </c>
      <c r="K727" s="2">
        <f t="shared" si="118"/>
        <v>2510.943784350176</v>
      </c>
      <c r="L727" s="2">
        <f t="shared" si="119"/>
        <v>11478.600157029376</v>
      </c>
      <c r="M727" s="2">
        <f t="shared" si="115"/>
        <v>8321.9851138462964</v>
      </c>
      <c r="N727" s="2">
        <f t="shared" si="116"/>
        <v>4160.9925569231482</v>
      </c>
      <c r="O727" s="2">
        <f t="shared" si="117"/>
        <v>15270.842683907953</v>
      </c>
      <c r="P727" s="2">
        <v>72.550149000000005</v>
      </c>
      <c r="Q727" s="2">
        <v>23.035074000000002</v>
      </c>
    </row>
    <row r="728" spans="1:17" x14ac:dyDescent="0.25">
      <c r="A728" s="2">
        <v>853</v>
      </c>
      <c r="B728" s="2" t="s">
        <v>106</v>
      </c>
      <c r="C728" s="2">
        <v>14</v>
      </c>
      <c r="D728" s="2">
        <f t="shared" si="110"/>
        <v>35.56</v>
      </c>
      <c r="E728" s="2">
        <f t="shared" si="111"/>
        <v>11.319099552695597</v>
      </c>
      <c r="F728" s="2">
        <f t="shared" si="112"/>
        <v>4.45633840657307</v>
      </c>
      <c r="G728" s="2">
        <v>3.2022219999999999</v>
      </c>
      <c r="H728" s="2">
        <f t="shared" si="113"/>
        <v>10.505978026479999</v>
      </c>
      <c r="I728" s="2">
        <f>INDEX('Wood Density Lookup'!$B$2:$B$152,MATCH(B728,'Wood Density Lookup'!$A$2:$A$152,0))</f>
        <v>0.3</v>
      </c>
      <c r="J728" s="2">
        <f t="shared" si="114"/>
        <v>7.379837520927846</v>
      </c>
      <c r="K728" s="2">
        <f t="shared" si="118"/>
        <v>2.0663545058597972</v>
      </c>
      <c r="L728" s="2">
        <f t="shared" si="119"/>
        <v>9.4461920267876422</v>
      </c>
      <c r="M728" s="2">
        <f t="shared" si="115"/>
        <v>6.8484892194210403</v>
      </c>
      <c r="N728" s="2">
        <f t="shared" si="116"/>
        <v>3.4242446097105201</v>
      </c>
      <c r="O728" s="2">
        <f t="shared" si="117"/>
        <v>12.566977717637609</v>
      </c>
      <c r="P728" s="2">
        <v>72.550151999999997</v>
      </c>
      <c r="Q728" s="2">
        <v>23.036684000000001</v>
      </c>
    </row>
    <row r="729" spans="1:17" x14ac:dyDescent="0.25">
      <c r="A729" s="2">
        <v>854</v>
      </c>
      <c r="B729" s="2" t="s">
        <v>15</v>
      </c>
      <c r="C729" s="2">
        <v>64</v>
      </c>
      <c r="D729" s="2">
        <f t="shared" si="110"/>
        <v>162.56</v>
      </c>
      <c r="E729" s="2">
        <f t="shared" si="111"/>
        <v>51.744455098037015</v>
      </c>
      <c r="F729" s="2">
        <f t="shared" si="112"/>
        <v>20.371832715762604</v>
      </c>
      <c r="G729" s="2">
        <v>10.331894999999999</v>
      </c>
      <c r="H729" s="2">
        <f t="shared" si="113"/>
        <v>33.897294391799996</v>
      </c>
      <c r="I729" s="2">
        <f>INDEX('Wood Density Lookup'!$B$2:$B$152,MATCH(B729,'Wood Density Lookup'!$A$2:$A$152,0))</f>
        <v>0.75</v>
      </c>
      <c r="J729" s="2">
        <f t="shared" si="114"/>
        <v>1099.9594980405843</v>
      </c>
      <c r="K729" s="2">
        <f t="shared" si="118"/>
        <v>307.98865945136362</v>
      </c>
      <c r="L729" s="2">
        <f t="shared" si="119"/>
        <v>1407.948157491948</v>
      </c>
      <c r="M729" s="2">
        <f t="shared" si="115"/>
        <v>1020.7624141816623</v>
      </c>
      <c r="N729" s="2">
        <f t="shared" si="116"/>
        <v>510.38120709083114</v>
      </c>
      <c r="O729" s="2">
        <f t="shared" si="117"/>
        <v>1873.0990300233502</v>
      </c>
      <c r="P729" s="2">
        <v>72.550152999999995</v>
      </c>
      <c r="Q729" s="2">
        <v>23.038170999999998</v>
      </c>
    </row>
    <row r="730" spans="1:17" x14ac:dyDescent="0.25">
      <c r="A730" s="2">
        <v>855</v>
      </c>
      <c r="B730" s="2" t="s">
        <v>15</v>
      </c>
      <c r="C730" s="2">
        <v>47</v>
      </c>
      <c r="D730" s="2">
        <f t="shared" si="110"/>
        <v>119.38</v>
      </c>
      <c r="E730" s="2">
        <f t="shared" si="111"/>
        <v>37.999834212620932</v>
      </c>
      <c r="F730" s="2">
        <f t="shared" si="112"/>
        <v>14.960564650638162</v>
      </c>
      <c r="G730" s="2">
        <v>11.820288</v>
      </c>
      <c r="H730" s="2">
        <f t="shared" si="113"/>
        <v>38.78047368192</v>
      </c>
      <c r="I730" s="2">
        <f>INDEX('Wood Density Lookup'!$B$2:$B$152,MATCH(B730,'Wood Density Lookup'!$A$2:$A$152,0))</f>
        <v>0.75</v>
      </c>
      <c r="J730" s="2">
        <f t="shared" si="114"/>
        <v>686.58407214606473</v>
      </c>
      <c r="K730" s="2">
        <f t="shared" si="118"/>
        <v>192.24354020089814</v>
      </c>
      <c r="L730" s="2">
        <f t="shared" si="119"/>
        <v>878.82761234696284</v>
      </c>
      <c r="M730" s="2">
        <f t="shared" si="115"/>
        <v>637.15001895154808</v>
      </c>
      <c r="N730" s="2">
        <f t="shared" si="116"/>
        <v>318.57500947577404</v>
      </c>
      <c r="O730" s="2">
        <f t="shared" si="117"/>
        <v>1169.1702847760907</v>
      </c>
      <c r="P730" s="2">
        <v>72.550152999999995</v>
      </c>
      <c r="Q730" s="2">
        <v>23.037813</v>
      </c>
    </row>
    <row r="731" spans="1:17" x14ac:dyDescent="0.25">
      <c r="A731" s="2">
        <v>856</v>
      </c>
      <c r="B731" s="2" t="s">
        <v>148</v>
      </c>
      <c r="C731" s="2">
        <v>6</v>
      </c>
      <c r="D731" s="2">
        <f t="shared" si="110"/>
        <v>15.24</v>
      </c>
      <c r="E731" s="2">
        <f t="shared" si="111"/>
        <v>4.8510426654409704</v>
      </c>
      <c r="F731" s="2">
        <f t="shared" si="112"/>
        <v>1.909859317102744</v>
      </c>
      <c r="G731" s="2">
        <v>4.0706509999999998</v>
      </c>
      <c r="H731" s="2">
        <f t="shared" si="113"/>
        <v>13.355154626839999</v>
      </c>
      <c r="I731" s="2">
        <f>INDEX('Wood Density Lookup'!$B$2:$B$152,MATCH(B731,'Wood Density Lookup'!$A$2:$A$152,0))</f>
        <v>0.5</v>
      </c>
      <c r="J731" s="2">
        <f t="shared" si="114"/>
        <v>2.9375943831604707</v>
      </c>
      <c r="K731" s="2">
        <f t="shared" si="118"/>
        <v>0.82252642728493186</v>
      </c>
      <c r="L731" s="2">
        <f t="shared" si="119"/>
        <v>3.7601208104454025</v>
      </c>
      <c r="M731" s="2">
        <f t="shared" si="115"/>
        <v>2.7260875875729167</v>
      </c>
      <c r="N731" s="2">
        <f t="shared" si="116"/>
        <v>1.3630437937864583</v>
      </c>
      <c r="O731" s="2">
        <f t="shared" si="117"/>
        <v>5.0023707231963019</v>
      </c>
      <c r="P731" s="2">
        <v>72.550154000000006</v>
      </c>
      <c r="Q731" s="2">
        <v>23.034407999999999</v>
      </c>
    </row>
    <row r="732" spans="1:17" x14ac:dyDescent="0.25">
      <c r="A732" s="2">
        <v>857</v>
      </c>
      <c r="B732" s="2" t="s">
        <v>148</v>
      </c>
      <c r="C732" s="2">
        <v>4</v>
      </c>
      <c r="D732" s="2">
        <f t="shared" si="110"/>
        <v>10.16</v>
      </c>
      <c r="E732" s="2">
        <f t="shared" si="111"/>
        <v>3.2340284436273135</v>
      </c>
      <c r="F732" s="2">
        <f t="shared" si="112"/>
        <v>1.2732395447351628</v>
      </c>
      <c r="G732" s="2">
        <v>3.7578399999999998</v>
      </c>
      <c r="H732" s="2">
        <f t="shared" si="113"/>
        <v>12.328871785599999</v>
      </c>
      <c r="I732" s="2">
        <f>INDEX('Wood Density Lookup'!$B$2:$B$152,MATCH(B732,'Wood Density Lookup'!$A$2:$A$152,0))</f>
        <v>0.5</v>
      </c>
      <c r="J732" s="2">
        <f t="shared" si="114"/>
        <v>1.2313159946780066</v>
      </c>
      <c r="K732" s="2">
        <f t="shared" si="118"/>
        <v>0.34476847850984188</v>
      </c>
      <c r="L732" s="2">
        <f t="shared" si="119"/>
        <v>1.5760844731878485</v>
      </c>
      <c r="M732" s="2">
        <f t="shared" si="115"/>
        <v>1.1426612430611902</v>
      </c>
      <c r="N732" s="2">
        <f t="shared" si="116"/>
        <v>0.57133062153059511</v>
      </c>
      <c r="O732" s="2">
        <f t="shared" si="117"/>
        <v>2.0967833810172838</v>
      </c>
      <c r="P732" s="2">
        <v>72.550155000000004</v>
      </c>
      <c r="Q732" s="2">
        <v>23.034423</v>
      </c>
    </row>
    <row r="733" spans="1:17" x14ac:dyDescent="0.25">
      <c r="A733" s="2">
        <v>860</v>
      </c>
      <c r="B733" s="2" t="s">
        <v>140</v>
      </c>
      <c r="C733" s="2">
        <v>11</v>
      </c>
      <c r="D733" s="2">
        <f t="shared" si="110"/>
        <v>27.94</v>
      </c>
      <c r="E733" s="2">
        <f t="shared" si="111"/>
        <v>8.8935782199751117</v>
      </c>
      <c r="F733" s="2">
        <f t="shared" si="112"/>
        <v>3.5014087480216975</v>
      </c>
      <c r="G733" s="2">
        <v>5.4144779999999999</v>
      </c>
      <c r="H733" s="2">
        <f t="shared" si="113"/>
        <v>17.764036001520001</v>
      </c>
      <c r="I733" s="2">
        <f>INDEX('Wood Density Lookup'!$B$2:$B$152,MATCH(B733,'Wood Density Lookup'!$A$2:$A$152,0))</f>
        <v>0.6</v>
      </c>
      <c r="J733" s="2">
        <f t="shared" si="114"/>
        <v>15.136982351126568</v>
      </c>
      <c r="K733" s="2">
        <f t="shared" si="118"/>
        <v>4.238355058315439</v>
      </c>
      <c r="L733" s="2">
        <f t="shared" si="119"/>
        <v>19.375337409442007</v>
      </c>
      <c r="M733" s="2">
        <f t="shared" si="115"/>
        <v>14.047119621845455</v>
      </c>
      <c r="N733" s="2">
        <f t="shared" si="116"/>
        <v>7.0235598109227277</v>
      </c>
      <c r="O733" s="2">
        <f t="shared" si="117"/>
        <v>25.776464506086409</v>
      </c>
      <c r="P733" s="2">
        <v>72.550157999999996</v>
      </c>
      <c r="Q733" s="2">
        <v>23.034967000000002</v>
      </c>
    </row>
    <row r="734" spans="1:17" x14ac:dyDescent="0.25">
      <c r="A734" s="2">
        <v>861</v>
      </c>
      <c r="B734" s="2" t="s">
        <v>148</v>
      </c>
      <c r="C734" s="2">
        <v>4</v>
      </c>
      <c r="D734" s="2">
        <f t="shared" si="110"/>
        <v>10.16</v>
      </c>
      <c r="E734" s="2">
        <f t="shared" si="111"/>
        <v>3.2340284436273135</v>
      </c>
      <c r="F734" s="2">
        <f t="shared" si="112"/>
        <v>1.2732395447351628</v>
      </c>
      <c r="G734" s="2">
        <v>3.8975010000000001</v>
      </c>
      <c r="H734" s="2">
        <f t="shared" si="113"/>
        <v>12.787077180840001</v>
      </c>
      <c r="I734" s="2">
        <f>INDEX('Wood Density Lookup'!$B$2:$B$152,MATCH(B734,'Wood Density Lookup'!$A$2:$A$152,0))</f>
        <v>0.5</v>
      </c>
      <c r="J734" s="2">
        <f t="shared" si="114"/>
        <v>1.2759601780123921</v>
      </c>
      <c r="K734" s="2">
        <f t="shared" si="118"/>
        <v>0.35726884984346985</v>
      </c>
      <c r="L734" s="2">
        <f t="shared" si="119"/>
        <v>1.6332290278558621</v>
      </c>
      <c r="M734" s="2">
        <f t="shared" si="115"/>
        <v>1.1840910451955</v>
      </c>
      <c r="N734" s="2">
        <f t="shared" si="116"/>
        <v>0.59204552259775001</v>
      </c>
      <c r="O734" s="2">
        <f t="shared" si="117"/>
        <v>2.1728070679337423</v>
      </c>
      <c r="P734" s="2">
        <v>72.550160000000005</v>
      </c>
      <c r="Q734" s="2">
        <v>23.034433</v>
      </c>
    </row>
    <row r="735" spans="1:17" x14ac:dyDescent="0.25">
      <c r="A735" s="2">
        <v>862</v>
      </c>
      <c r="B735" s="2" t="s">
        <v>82</v>
      </c>
      <c r="C735" s="2">
        <v>19</v>
      </c>
      <c r="D735" s="2">
        <f t="shared" si="110"/>
        <v>48.26</v>
      </c>
      <c r="E735" s="2">
        <f t="shared" si="111"/>
        <v>15.361635107229738</v>
      </c>
      <c r="F735" s="2">
        <f t="shared" si="112"/>
        <v>6.0478878374920226</v>
      </c>
      <c r="G735" s="2">
        <v>12.267568000000001</v>
      </c>
      <c r="H735" s="2">
        <f t="shared" si="113"/>
        <v>40.247927797119999</v>
      </c>
      <c r="I735" s="2">
        <f>INDEX('Wood Density Lookup'!$B$2:$B$152,MATCH(B735,'Wood Density Lookup'!$A$2:$A$152,0))</f>
        <v>0.7</v>
      </c>
      <c r="J735" s="2">
        <f t="shared" si="114"/>
        <v>113.60172193029157</v>
      </c>
      <c r="K735" s="2">
        <f t="shared" si="118"/>
        <v>31.808482140481644</v>
      </c>
      <c r="L735" s="2">
        <f t="shared" si="119"/>
        <v>145.4102040707732</v>
      </c>
      <c r="M735" s="2">
        <f t="shared" si="115"/>
        <v>105.42239795131057</v>
      </c>
      <c r="N735" s="2">
        <f t="shared" si="116"/>
        <v>52.711198975655286</v>
      </c>
      <c r="O735" s="2">
        <f t="shared" si="117"/>
        <v>193.4501002406549</v>
      </c>
      <c r="P735" s="2">
        <v>72.550162999999998</v>
      </c>
      <c r="Q735" s="2">
        <v>23.035883999999999</v>
      </c>
    </row>
    <row r="736" spans="1:17" x14ac:dyDescent="0.25">
      <c r="A736" s="2">
        <v>863</v>
      </c>
      <c r="B736" s="2" t="s">
        <v>148</v>
      </c>
      <c r="C736" s="2">
        <v>6</v>
      </c>
      <c r="D736" s="2">
        <f t="shared" si="110"/>
        <v>15.24</v>
      </c>
      <c r="E736" s="2">
        <f t="shared" si="111"/>
        <v>4.8510426654409704</v>
      </c>
      <c r="F736" s="2">
        <f t="shared" si="112"/>
        <v>1.909859317102744</v>
      </c>
      <c r="G736" s="2">
        <v>5.0584870000000004</v>
      </c>
      <c r="H736" s="2">
        <f t="shared" si="113"/>
        <v>16.596086489080001</v>
      </c>
      <c r="I736" s="2">
        <f>INDEX('Wood Density Lookup'!$B$2:$B$152,MATCH(B736,'Wood Density Lookup'!$A$2:$A$152,0))</f>
        <v>0.5</v>
      </c>
      <c r="J736" s="2">
        <f t="shared" si="114"/>
        <v>3.6314831672801966</v>
      </c>
      <c r="K736" s="2">
        <f t="shared" si="118"/>
        <v>1.0168152868384552</v>
      </c>
      <c r="L736" s="2">
        <f t="shared" si="119"/>
        <v>4.6482984541186516</v>
      </c>
      <c r="M736" s="2">
        <f t="shared" si="115"/>
        <v>3.3700163792360223</v>
      </c>
      <c r="N736" s="2">
        <f t="shared" si="116"/>
        <v>1.6850081896180111</v>
      </c>
      <c r="O736" s="2">
        <f t="shared" si="117"/>
        <v>6.1839800558981004</v>
      </c>
      <c r="P736" s="2">
        <v>72.550165000000007</v>
      </c>
      <c r="Q736" s="2">
        <v>23.035240999999999</v>
      </c>
    </row>
    <row r="737" spans="1:17" x14ac:dyDescent="0.25">
      <c r="A737" s="2">
        <v>864</v>
      </c>
      <c r="B737" s="2" t="s">
        <v>113</v>
      </c>
      <c r="C737" s="2">
        <v>9</v>
      </c>
      <c r="D737" s="2">
        <f t="shared" si="110"/>
        <v>22.86</v>
      </c>
      <c r="E737" s="2">
        <f t="shared" si="111"/>
        <v>7.2765639981614552</v>
      </c>
      <c r="F737" s="2">
        <f t="shared" si="112"/>
        <v>2.8647889756541161</v>
      </c>
      <c r="G737" s="2">
        <v>2.5690200000000001</v>
      </c>
      <c r="H737" s="2">
        <f t="shared" si="113"/>
        <v>8.428543576800001</v>
      </c>
      <c r="I737" s="2">
        <f>INDEX('Wood Density Lookup'!$B$2:$B$152,MATCH(B737,'Wood Density Lookup'!$A$2:$A$152,0))</f>
        <v>0.4</v>
      </c>
      <c r="J737" s="2">
        <f t="shared" si="114"/>
        <v>3.3268936888345531</v>
      </c>
      <c r="K737" s="2">
        <f t="shared" si="118"/>
        <v>0.93153023287367498</v>
      </c>
      <c r="L737" s="2">
        <f t="shared" si="119"/>
        <v>4.2584239217082285</v>
      </c>
      <c r="M737" s="2">
        <f t="shared" si="115"/>
        <v>3.0873573432384656</v>
      </c>
      <c r="N737" s="2">
        <f t="shared" si="116"/>
        <v>1.5436786716192328</v>
      </c>
      <c r="O737" s="2">
        <f t="shared" si="117"/>
        <v>5.6653007248425844</v>
      </c>
      <c r="P737" s="2">
        <v>72.550166000000004</v>
      </c>
      <c r="Q737" s="2">
        <v>23.036681000000002</v>
      </c>
    </row>
    <row r="738" spans="1:17" x14ac:dyDescent="0.25">
      <c r="A738" s="2">
        <v>865</v>
      </c>
      <c r="B738" s="2" t="s">
        <v>114</v>
      </c>
      <c r="C738" s="2">
        <v>24</v>
      </c>
      <c r="D738" s="2">
        <f t="shared" si="110"/>
        <v>60.96</v>
      </c>
      <c r="E738" s="2">
        <f t="shared" si="111"/>
        <v>19.404170661763882</v>
      </c>
      <c r="F738" s="2">
        <f t="shared" si="112"/>
        <v>7.6394372684109761</v>
      </c>
      <c r="G738" s="2">
        <v>7.7864610000000001</v>
      </c>
      <c r="H738" s="2">
        <f t="shared" si="113"/>
        <v>25.546132707240002</v>
      </c>
      <c r="I738" s="2">
        <f>INDEX('Wood Density Lookup'!$B$2:$B$152,MATCH(B738,'Wood Density Lookup'!$A$2:$A$152,0))</f>
        <v>0.55000000000000004</v>
      </c>
      <c r="J738" s="2">
        <f t="shared" si="114"/>
        <v>90.892532953661032</v>
      </c>
      <c r="K738" s="2">
        <f t="shared" si="118"/>
        <v>25.449909227025092</v>
      </c>
      <c r="L738" s="2">
        <f t="shared" si="119"/>
        <v>116.34244218068612</v>
      </c>
      <c r="M738" s="2">
        <f t="shared" si="115"/>
        <v>84.348270580997436</v>
      </c>
      <c r="N738" s="2">
        <f t="shared" si="116"/>
        <v>42.174135290498718</v>
      </c>
      <c r="O738" s="2">
        <f t="shared" si="117"/>
        <v>154.77907651613029</v>
      </c>
      <c r="P738" s="2">
        <v>72.550167000000002</v>
      </c>
      <c r="Q738" s="2">
        <v>23.037044999999999</v>
      </c>
    </row>
    <row r="739" spans="1:17" x14ac:dyDescent="0.25">
      <c r="A739" s="2">
        <v>867</v>
      </c>
      <c r="B739" s="2" t="s">
        <v>15</v>
      </c>
      <c r="C739" s="2">
        <v>207</v>
      </c>
      <c r="D739" s="2">
        <f t="shared" si="110"/>
        <v>525.78</v>
      </c>
      <c r="E739" s="2">
        <f t="shared" si="111"/>
        <v>167.36097195771345</v>
      </c>
      <c r="F739" s="2">
        <f t="shared" si="112"/>
        <v>65.890146440044674</v>
      </c>
      <c r="G739" s="2">
        <v>14.243042000000001</v>
      </c>
      <c r="H739" s="2">
        <f t="shared" si="113"/>
        <v>46.729141915280003</v>
      </c>
      <c r="I739" s="2">
        <f>INDEX('Wood Density Lookup'!$B$2:$B$152,MATCH(B739,'Wood Density Lookup'!$A$2:$A$152,0))</f>
        <v>0.75</v>
      </c>
      <c r="J739" s="2">
        <f t="shared" si="114"/>
        <v>14878.670421569872</v>
      </c>
      <c r="K739" s="2">
        <f t="shared" si="118"/>
        <v>4166.0277180395642</v>
      </c>
      <c r="L739" s="2">
        <f t="shared" si="119"/>
        <v>19044.698139609434</v>
      </c>
      <c r="M739" s="2">
        <f t="shared" si="115"/>
        <v>13807.406151216839</v>
      </c>
      <c r="N739" s="2">
        <f t="shared" si="116"/>
        <v>6903.7030756084196</v>
      </c>
      <c r="O739" s="2">
        <f t="shared" si="117"/>
        <v>25336.590287482901</v>
      </c>
      <c r="P739" s="2">
        <v>72.550167999999999</v>
      </c>
      <c r="Q739" s="2">
        <v>23.036003000000001</v>
      </c>
    </row>
    <row r="740" spans="1:17" x14ac:dyDescent="0.25">
      <c r="A740" s="2">
        <v>869</v>
      </c>
      <c r="B740" s="2" t="s">
        <v>15</v>
      </c>
      <c r="C740" s="2">
        <v>19</v>
      </c>
      <c r="D740" s="2">
        <f t="shared" si="110"/>
        <v>48.26</v>
      </c>
      <c r="E740" s="2">
        <f t="shared" si="111"/>
        <v>15.361635107229738</v>
      </c>
      <c r="F740" s="2">
        <f t="shared" si="112"/>
        <v>6.0478878374920226</v>
      </c>
      <c r="G740" s="2">
        <v>6.5831200000000001</v>
      </c>
      <c r="H740" s="2">
        <f t="shared" si="113"/>
        <v>21.598163420799999</v>
      </c>
      <c r="I740" s="2">
        <f>INDEX('Wood Density Lookup'!$B$2:$B$152,MATCH(B740,'Wood Density Lookup'!$A$2:$A$152,0))</f>
        <v>0.75</v>
      </c>
      <c r="J740" s="2">
        <f t="shared" si="114"/>
        <v>66.189661314021066</v>
      </c>
      <c r="K740" s="2">
        <f t="shared" si="118"/>
        <v>18.5331051679259</v>
      </c>
      <c r="L740" s="2">
        <f t="shared" si="119"/>
        <v>84.722766481946962</v>
      </c>
      <c r="M740" s="2">
        <f t="shared" si="115"/>
        <v>61.424005699411545</v>
      </c>
      <c r="N740" s="2">
        <f t="shared" si="116"/>
        <v>30.712002849705772</v>
      </c>
      <c r="O740" s="2">
        <f t="shared" si="117"/>
        <v>112.71305045842018</v>
      </c>
      <c r="P740" s="2">
        <v>72.550169999999994</v>
      </c>
      <c r="Q740" s="2">
        <v>23.035458999999999</v>
      </c>
    </row>
    <row r="741" spans="1:17" x14ac:dyDescent="0.25">
      <c r="A741" s="2">
        <v>870</v>
      </c>
      <c r="B741" s="2" t="s">
        <v>35</v>
      </c>
      <c r="C741" s="2">
        <v>32</v>
      </c>
      <c r="D741" s="2">
        <f t="shared" si="110"/>
        <v>81.28</v>
      </c>
      <c r="E741" s="2">
        <f t="shared" si="111"/>
        <v>25.872227549018508</v>
      </c>
      <c r="F741" s="2">
        <f t="shared" si="112"/>
        <v>10.185916357881302</v>
      </c>
      <c r="G741" s="2">
        <v>11.79434</v>
      </c>
      <c r="H741" s="2">
        <f t="shared" si="113"/>
        <v>38.695342445599998</v>
      </c>
      <c r="I741" s="2">
        <f>INDEX('Wood Density Lookup'!$B$2:$B$152,MATCH(B741,'Wood Density Lookup'!$A$2:$A$152,0))</f>
        <v>0.75</v>
      </c>
      <c r="J741" s="2">
        <f t="shared" si="114"/>
        <v>323.50422284274026</v>
      </c>
      <c r="K741" s="2">
        <f t="shared" si="118"/>
        <v>90.581182395967275</v>
      </c>
      <c r="L741" s="2">
        <f t="shared" si="119"/>
        <v>414.08540523870755</v>
      </c>
      <c r="M741" s="2">
        <f t="shared" si="115"/>
        <v>300.21191879806298</v>
      </c>
      <c r="N741" s="2">
        <f t="shared" si="116"/>
        <v>150.10595939903149</v>
      </c>
      <c r="O741" s="2">
        <f t="shared" si="117"/>
        <v>550.8888709944456</v>
      </c>
      <c r="P741" s="2">
        <v>72.550169999999994</v>
      </c>
      <c r="Q741" s="2">
        <v>23.035661999999999</v>
      </c>
    </row>
    <row r="742" spans="1:17" x14ac:dyDescent="0.25">
      <c r="A742" s="2">
        <v>871</v>
      </c>
      <c r="B742" s="2" t="s">
        <v>143</v>
      </c>
      <c r="C742" s="2">
        <v>24</v>
      </c>
      <c r="D742" s="2">
        <f t="shared" si="110"/>
        <v>60.96</v>
      </c>
      <c r="E742" s="2">
        <f t="shared" si="111"/>
        <v>19.404170661763882</v>
      </c>
      <c r="F742" s="2">
        <f t="shared" si="112"/>
        <v>7.6394372684109761</v>
      </c>
      <c r="G742" s="2">
        <v>12.745120999999999</v>
      </c>
      <c r="H742" s="2">
        <f t="shared" si="113"/>
        <v>41.814702781639994</v>
      </c>
      <c r="I742" s="2">
        <f>INDEX('Wood Density Lookup'!$B$2:$B$152,MATCH(B742,'Wood Density Lookup'!$A$2:$A$152,0))</f>
        <v>0.75</v>
      </c>
      <c r="J742" s="2">
        <f t="shared" si="114"/>
        <v>199.00398461789635</v>
      </c>
      <c r="K742" s="2">
        <f t="shared" si="118"/>
        <v>55.721115693010987</v>
      </c>
      <c r="L742" s="2">
        <f t="shared" si="119"/>
        <v>254.72510031090735</v>
      </c>
      <c r="M742" s="2">
        <f t="shared" si="115"/>
        <v>184.67569772540782</v>
      </c>
      <c r="N742" s="2">
        <f t="shared" si="116"/>
        <v>92.337848862703908</v>
      </c>
      <c r="O742" s="2">
        <f t="shared" si="117"/>
        <v>338.87990532612332</v>
      </c>
      <c r="P742" s="2">
        <v>72.550171000000006</v>
      </c>
      <c r="Q742" s="2">
        <v>23.038471000000001</v>
      </c>
    </row>
    <row r="743" spans="1:17" x14ac:dyDescent="0.25">
      <c r="A743" s="2">
        <v>872</v>
      </c>
      <c r="B743" s="2" t="s">
        <v>59</v>
      </c>
      <c r="C743" s="2">
        <v>43</v>
      </c>
      <c r="D743" s="2">
        <f t="shared" si="110"/>
        <v>109.22</v>
      </c>
      <c r="E743" s="2">
        <f t="shared" si="111"/>
        <v>34.765805768993616</v>
      </c>
      <c r="F743" s="2">
        <f t="shared" si="112"/>
        <v>13.687325105903</v>
      </c>
      <c r="G743" s="2">
        <v>5.3012139999999999</v>
      </c>
      <c r="H743" s="2">
        <f t="shared" si="113"/>
        <v>17.392434939760001</v>
      </c>
      <c r="I743" s="2">
        <f>INDEX('Wood Density Lookup'!$B$2:$B$152,MATCH(B743,'Wood Density Lookup'!$A$2:$A$152,0))</f>
        <v>0.45</v>
      </c>
      <c r="J743" s="2">
        <f t="shared" si="114"/>
        <v>160.27659019616337</v>
      </c>
      <c r="K743" s="2">
        <f t="shared" si="118"/>
        <v>44.877445254925746</v>
      </c>
      <c r="L743" s="2">
        <f t="shared" si="119"/>
        <v>205.1540354510891</v>
      </c>
      <c r="M743" s="2">
        <f t="shared" si="115"/>
        <v>148.73667570203961</v>
      </c>
      <c r="N743" s="2">
        <f t="shared" si="116"/>
        <v>74.368337851019803</v>
      </c>
      <c r="O743" s="2">
        <f t="shared" si="117"/>
        <v>272.93179991324268</v>
      </c>
      <c r="P743" s="2">
        <v>72.550171000000006</v>
      </c>
      <c r="Q743" s="2">
        <v>23.036562</v>
      </c>
    </row>
    <row r="744" spans="1:17" x14ac:dyDescent="0.25">
      <c r="A744" s="2">
        <v>873</v>
      </c>
      <c r="B744" s="2" t="s">
        <v>15</v>
      </c>
      <c r="C744" s="2">
        <v>39</v>
      </c>
      <c r="D744" s="2">
        <f t="shared" si="110"/>
        <v>99.06</v>
      </c>
      <c r="E744" s="2">
        <f t="shared" si="111"/>
        <v>31.531777325366306</v>
      </c>
      <c r="F744" s="2">
        <f t="shared" si="112"/>
        <v>12.414085561167836</v>
      </c>
      <c r="G744" s="2">
        <v>10.578253</v>
      </c>
      <c r="H744" s="2">
        <f t="shared" si="113"/>
        <v>34.705555572519998</v>
      </c>
      <c r="I744" s="2">
        <f>INDEX('Wood Density Lookup'!$B$2:$B$152,MATCH(B744,'Wood Density Lookup'!$A$2:$A$152,0))</f>
        <v>0.75</v>
      </c>
      <c r="J744" s="2">
        <f t="shared" si="114"/>
        <v>428.01584681217105</v>
      </c>
      <c r="K744" s="2">
        <f t="shared" si="118"/>
        <v>119.8444371074079</v>
      </c>
      <c r="L744" s="2">
        <f t="shared" si="119"/>
        <v>547.86028391957893</v>
      </c>
      <c r="M744" s="2">
        <f t="shared" si="115"/>
        <v>397.19870584169473</v>
      </c>
      <c r="N744" s="2">
        <f t="shared" si="116"/>
        <v>198.59935292084737</v>
      </c>
      <c r="O744" s="2">
        <f t="shared" si="117"/>
        <v>728.85962521950978</v>
      </c>
      <c r="P744" s="2">
        <v>72.550174999999996</v>
      </c>
      <c r="Q744" s="2">
        <v>23.036989999999999</v>
      </c>
    </row>
    <row r="745" spans="1:17" x14ac:dyDescent="0.25">
      <c r="A745" s="2">
        <v>874</v>
      </c>
      <c r="B745" s="2" t="s">
        <v>140</v>
      </c>
      <c r="C745" s="2">
        <v>2</v>
      </c>
      <c r="D745" s="2">
        <f t="shared" si="110"/>
        <v>5.08</v>
      </c>
      <c r="E745" s="2">
        <f t="shared" si="111"/>
        <v>1.6170142218136567</v>
      </c>
      <c r="F745" s="2">
        <f t="shared" si="112"/>
        <v>0.63661977236758138</v>
      </c>
      <c r="G745" s="2">
        <v>5.3730140000000004</v>
      </c>
      <c r="H745" s="2">
        <f t="shared" si="113"/>
        <v>17.627999251760002</v>
      </c>
      <c r="I745" s="2">
        <f>INDEX('Wood Density Lookup'!$B$2:$B$152,MATCH(B745,'Wood Density Lookup'!$A$2:$A$152,0))</f>
        <v>0.6</v>
      </c>
      <c r="J745" s="2">
        <f t="shared" si="114"/>
        <v>0.53900505764384932</v>
      </c>
      <c r="K745" s="2">
        <f t="shared" si="118"/>
        <v>0.15092141614027782</v>
      </c>
      <c r="L745" s="2">
        <f t="shared" si="119"/>
        <v>0.68992647378412708</v>
      </c>
      <c r="M745" s="2">
        <f t="shared" si="115"/>
        <v>0.50019669349349216</v>
      </c>
      <c r="N745" s="2">
        <f t="shared" si="116"/>
        <v>0.25009834674674608</v>
      </c>
      <c r="O745" s="2">
        <f t="shared" si="117"/>
        <v>0.91786093256055812</v>
      </c>
      <c r="P745" s="2">
        <v>72.550174999999996</v>
      </c>
      <c r="Q745" s="2">
        <v>23.034434999999998</v>
      </c>
    </row>
    <row r="746" spans="1:17" x14ac:dyDescent="0.25">
      <c r="A746" s="2">
        <v>875</v>
      </c>
      <c r="B746" s="2" t="s">
        <v>143</v>
      </c>
      <c r="C746" s="2">
        <v>59</v>
      </c>
      <c r="D746" s="2">
        <f t="shared" si="110"/>
        <v>149.86000000000001</v>
      </c>
      <c r="E746" s="2">
        <f t="shared" si="111"/>
        <v>47.701919543502875</v>
      </c>
      <c r="F746" s="2">
        <f t="shared" si="112"/>
        <v>18.780283284843652</v>
      </c>
      <c r="G746" s="2">
        <v>16.927676999999999</v>
      </c>
      <c r="H746" s="2">
        <f t="shared" si="113"/>
        <v>55.536999808679994</v>
      </c>
      <c r="I746" s="2">
        <f>INDEX('Wood Density Lookup'!$B$2:$B$152,MATCH(B746,'Wood Density Lookup'!$A$2:$A$152,0))</f>
        <v>0.75</v>
      </c>
      <c r="J746" s="2">
        <f t="shared" si="114"/>
        <v>1519.4551106592403</v>
      </c>
      <c r="K746" s="2">
        <f t="shared" si="118"/>
        <v>425.4474309845873</v>
      </c>
      <c r="L746" s="2">
        <f t="shared" si="119"/>
        <v>1944.9025416438276</v>
      </c>
      <c r="M746" s="2">
        <f t="shared" si="115"/>
        <v>1410.054342691775</v>
      </c>
      <c r="N746" s="2">
        <f t="shared" si="116"/>
        <v>705.0271713458875</v>
      </c>
      <c r="O746" s="2">
        <f t="shared" si="117"/>
        <v>2587.4497188394071</v>
      </c>
      <c r="P746" s="2">
        <v>72.550175999999993</v>
      </c>
      <c r="Q746" s="2">
        <v>23.038423999999999</v>
      </c>
    </row>
    <row r="747" spans="1:17" x14ac:dyDescent="0.25">
      <c r="A747" s="2">
        <v>876</v>
      </c>
      <c r="B747" s="2" t="s">
        <v>50</v>
      </c>
      <c r="C747" s="2">
        <v>42</v>
      </c>
      <c r="D747" s="2">
        <f t="shared" si="110"/>
        <v>106.68</v>
      </c>
      <c r="E747" s="2">
        <f t="shared" si="111"/>
        <v>33.957298658086792</v>
      </c>
      <c r="F747" s="2">
        <f t="shared" si="112"/>
        <v>13.369015219719209</v>
      </c>
      <c r="G747" s="2">
        <v>12.755608000000001</v>
      </c>
      <c r="H747" s="2">
        <f t="shared" si="113"/>
        <v>41.849108950720002</v>
      </c>
      <c r="I747" s="2">
        <f>INDEX('Wood Density Lookup'!$B$2:$B$152,MATCH(B747,'Wood Density Lookup'!$A$2:$A$152,0))</f>
        <v>0.5</v>
      </c>
      <c r="J747" s="2">
        <f t="shared" si="114"/>
        <v>399.71974615273859</v>
      </c>
      <c r="K747" s="2">
        <f t="shared" si="118"/>
        <v>111.92152892276681</v>
      </c>
      <c r="L747" s="2">
        <f t="shared" si="119"/>
        <v>511.6412750755054</v>
      </c>
      <c r="M747" s="2">
        <f t="shared" si="115"/>
        <v>370.93992442974138</v>
      </c>
      <c r="N747" s="2">
        <f t="shared" si="116"/>
        <v>185.46996221487069</v>
      </c>
      <c r="O747" s="2">
        <f t="shared" si="117"/>
        <v>680.67476132857541</v>
      </c>
      <c r="P747" s="2">
        <v>72.550177000000005</v>
      </c>
      <c r="Q747" s="2">
        <v>23.036881999999999</v>
      </c>
    </row>
    <row r="748" spans="1:17" x14ac:dyDescent="0.25">
      <c r="A748" s="2">
        <v>877</v>
      </c>
      <c r="B748" s="2" t="s">
        <v>148</v>
      </c>
      <c r="C748" s="2">
        <v>12</v>
      </c>
      <c r="D748" s="2">
        <f t="shared" si="110"/>
        <v>30.48</v>
      </c>
      <c r="E748" s="2">
        <f t="shared" si="111"/>
        <v>9.7020853308819408</v>
      </c>
      <c r="F748" s="2">
        <f t="shared" si="112"/>
        <v>3.8197186342054881</v>
      </c>
      <c r="G748" s="2">
        <v>7.6139200000000002</v>
      </c>
      <c r="H748" s="2">
        <f t="shared" si="113"/>
        <v>24.980053292800001</v>
      </c>
      <c r="I748" s="2">
        <f>INDEX('Wood Density Lookup'!$B$2:$B$152,MATCH(B748,'Wood Density Lookup'!$A$2:$A$152,0))</f>
        <v>0.5</v>
      </c>
      <c r="J748" s="2">
        <f t="shared" si="114"/>
        <v>20.942096381126159</v>
      </c>
      <c r="K748" s="2">
        <f t="shared" si="118"/>
        <v>5.8637869867153256</v>
      </c>
      <c r="L748" s="2">
        <f t="shared" si="119"/>
        <v>26.805883367841485</v>
      </c>
      <c r="M748" s="2">
        <f t="shared" si="115"/>
        <v>19.434265441685078</v>
      </c>
      <c r="N748" s="2">
        <f t="shared" si="116"/>
        <v>9.7171327208425389</v>
      </c>
      <c r="O748" s="2">
        <f t="shared" si="117"/>
        <v>35.661877085492115</v>
      </c>
      <c r="P748" s="2">
        <v>72.550178000000002</v>
      </c>
      <c r="Q748" s="2">
        <v>23.035257999999999</v>
      </c>
    </row>
    <row r="749" spans="1:17" x14ac:dyDescent="0.25">
      <c r="A749" s="2">
        <v>878</v>
      </c>
      <c r="B749" s="2" t="s">
        <v>143</v>
      </c>
      <c r="C749" s="2">
        <v>26</v>
      </c>
      <c r="D749" s="2">
        <f t="shared" si="110"/>
        <v>66.040000000000006</v>
      </c>
      <c r="E749" s="2">
        <f t="shared" si="111"/>
        <v>21.02118488357754</v>
      </c>
      <c r="F749" s="2">
        <f t="shared" si="112"/>
        <v>8.2760570407785572</v>
      </c>
      <c r="G749" s="2">
        <v>10.390689</v>
      </c>
      <c r="H749" s="2">
        <f t="shared" si="113"/>
        <v>34.090188098760002</v>
      </c>
      <c r="I749" s="2">
        <f>INDEX('Wood Density Lookup'!$B$2:$B$152,MATCH(B749,'Wood Density Lookup'!$A$2:$A$152,0))</f>
        <v>0.75</v>
      </c>
      <c r="J749" s="2">
        <f t="shared" si="114"/>
        <v>190.6103934769057</v>
      </c>
      <c r="K749" s="2">
        <f t="shared" si="118"/>
        <v>53.370910173533602</v>
      </c>
      <c r="L749" s="2">
        <f t="shared" si="119"/>
        <v>243.98130365043932</v>
      </c>
      <c r="M749" s="2">
        <f t="shared" si="115"/>
        <v>176.88644514656849</v>
      </c>
      <c r="N749" s="2">
        <f t="shared" si="116"/>
        <v>88.443222573284245</v>
      </c>
      <c r="O749" s="2">
        <f t="shared" si="117"/>
        <v>324.58662684395318</v>
      </c>
      <c r="P749" s="2">
        <v>72.550179</v>
      </c>
      <c r="Q749" s="2">
        <v>23.036937999999999</v>
      </c>
    </row>
    <row r="750" spans="1:17" x14ac:dyDescent="0.25">
      <c r="A750" s="2">
        <v>880</v>
      </c>
      <c r="B750" s="2" t="s">
        <v>141</v>
      </c>
      <c r="C750" s="2">
        <v>3</v>
      </c>
      <c r="D750" s="2">
        <f t="shared" si="110"/>
        <v>7.62</v>
      </c>
      <c r="E750" s="2">
        <f t="shared" si="111"/>
        <v>2.4255213327204852</v>
      </c>
      <c r="F750" s="2">
        <f t="shared" si="112"/>
        <v>0.95492965855137202</v>
      </c>
      <c r="G750" s="2">
        <v>5.2621099999999998</v>
      </c>
      <c r="H750" s="2">
        <f t="shared" si="113"/>
        <v>17.2641409724</v>
      </c>
      <c r="I750" s="2">
        <f>INDEX('Wood Density Lookup'!$B$2:$B$152,MATCH(B750,'Wood Density Lookup'!$A$2:$A$152,0))</f>
        <v>0.6</v>
      </c>
      <c r="J750" s="2">
        <f t="shared" si="114"/>
        <v>1.1654196098033929</v>
      </c>
      <c r="K750" s="2">
        <f t="shared" si="118"/>
        <v>0.32631749074495003</v>
      </c>
      <c r="L750" s="2">
        <f t="shared" si="119"/>
        <v>1.4917371005483429</v>
      </c>
      <c r="M750" s="2">
        <f t="shared" si="115"/>
        <v>1.0815093978975485</v>
      </c>
      <c r="N750" s="2">
        <f t="shared" si="116"/>
        <v>0.54075469894877426</v>
      </c>
      <c r="O750" s="2">
        <f t="shared" si="117"/>
        <v>1.9845697451420015</v>
      </c>
      <c r="P750" s="2">
        <v>72.550179</v>
      </c>
      <c r="Q750" s="2">
        <v>23.034441000000001</v>
      </c>
    </row>
    <row r="751" spans="1:17" x14ac:dyDescent="0.25">
      <c r="A751" s="2">
        <v>883</v>
      </c>
      <c r="B751" s="2" t="s">
        <v>15</v>
      </c>
      <c r="C751" s="2">
        <v>33</v>
      </c>
      <c r="D751" s="2">
        <f t="shared" si="110"/>
        <v>83.820000000000007</v>
      </c>
      <c r="E751" s="2">
        <f t="shared" si="111"/>
        <v>26.680734659925339</v>
      </c>
      <c r="F751" s="2">
        <f t="shared" si="112"/>
        <v>10.504226244065093</v>
      </c>
      <c r="G751" s="2">
        <v>6.485303</v>
      </c>
      <c r="H751" s="2">
        <f t="shared" si="113"/>
        <v>21.277241494519998</v>
      </c>
      <c r="I751" s="2">
        <f>INDEX('Wood Density Lookup'!$B$2:$B$152,MATCH(B751,'Wood Density Lookup'!$A$2:$A$152,0))</f>
        <v>0.75</v>
      </c>
      <c r="J751" s="2">
        <f t="shared" si="114"/>
        <v>191.6270775456411</v>
      </c>
      <c r="K751" s="2">
        <f t="shared" si="118"/>
        <v>53.655581712779515</v>
      </c>
      <c r="L751" s="2">
        <f t="shared" si="119"/>
        <v>245.28265925842061</v>
      </c>
      <c r="M751" s="2">
        <f t="shared" si="115"/>
        <v>177.82992796235493</v>
      </c>
      <c r="N751" s="2">
        <f t="shared" si="116"/>
        <v>88.914963981177465</v>
      </c>
      <c r="O751" s="2">
        <f t="shared" si="117"/>
        <v>326.3179178109213</v>
      </c>
      <c r="P751" s="2">
        <v>72.550183000000004</v>
      </c>
      <c r="Q751" s="2">
        <v>23.036612000000002</v>
      </c>
    </row>
    <row r="752" spans="1:17" x14ac:dyDescent="0.25">
      <c r="A752" s="2">
        <v>884</v>
      </c>
      <c r="B752" s="2" t="s">
        <v>114</v>
      </c>
      <c r="C752" s="2">
        <v>16</v>
      </c>
      <c r="D752" s="2">
        <f t="shared" si="110"/>
        <v>40.64</v>
      </c>
      <c r="E752" s="2">
        <f t="shared" si="111"/>
        <v>12.936113774509254</v>
      </c>
      <c r="F752" s="2">
        <f t="shared" si="112"/>
        <v>5.0929581789406511</v>
      </c>
      <c r="G752" s="2">
        <v>6.9935049999999999</v>
      </c>
      <c r="H752" s="2">
        <f t="shared" si="113"/>
        <v>22.944570944199999</v>
      </c>
      <c r="I752" s="2">
        <f>INDEX('Wood Density Lookup'!$B$2:$B$152,MATCH(B752,'Wood Density Lookup'!$A$2:$A$152,0))</f>
        <v>0.55000000000000004</v>
      </c>
      <c r="J752" s="2">
        <f t="shared" si="114"/>
        <v>37.091323571107907</v>
      </c>
      <c r="K752" s="2">
        <f t="shared" si="118"/>
        <v>10.385570599910215</v>
      </c>
      <c r="L752" s="2">
        <f t="shared" si="119"/>
        <v>47.476894171018124</v>
      </c>
      <c r="M752" s="2">
        <f t="shared" si="115"/>
        <v>34.420748273988139</v>
      </c>
      <c r="N752" s="2">
        <f t="shared" si="116"/>
        <v>17.210374136994069</v>
      </c>
      <c r="O752" s="2">
        <f t="shared" si="117"/>
        <v>63.162073082768231</v>
      </c>
      <c r="P752" s="2">
        <v>72.550184000000002</v>
      </c>
      <c r="Q752" s="2">
        <v>23.035312000000001</v>
      </c>
    </row>
    <row r="753" spans="1:17" x14ac:dyDescent="0.25">
      <c r="A753" s="2">
        <v>885</v>
      </c>
      <c r="B753" s="2" t="s">
        <v>148</v>
      </c>
      <c r="C753" s="2">
        <v>9</v>
      </c>
      <c r="D753" s="2">
        <f t="shared" si="110"/>
        <v>22.86</v>
      </c>
      <c r="E753" s="2">
        <f t="shared" si="111"/>
        <v>7.2765639981614552</v>
      </c>
      <c r="F753" s="2">
        <f t="shared" si="112"/>
        <v>2.8647889756541161</v>
      </c>
      <c r="G753" s="2">
        <v>4.9950539999999997</v>
      </c>
      <c r="H753" s="2">
        <f t="shared" si="113"/>
        <v>16.387972965359999</v>
      </c>
      <c r="I753" s="2">
        <f>INDEX('Wood Density Lookup'!$B$2:$B$152,MATCH(B753,'Wood Density Lookup'!$A$2:$A$152,0))</f>
        <v>0.5</v>
      </c>
      <c r="J753" s="2">
        <f t="shared" si="114"/>
        <v>7.9152612433754923</v>
      </c>
      <c r="K753" s="2">
        <f t="shared" si="118"/>
        <v>2.2162731481451381</v>
      </c>
      <c r="L753" s="2">
        <f t="shared" si="119"/>
        <v>10.131534391520631</v>
      </c>
      <c r="M753" s="2">
        <f t="shared" si="115"/>
        <v>7.3453624338524577</v>
      </c>
      <c r="N753" s="2">
        <f t="shared" si="116"/>
        <v>3.6726812169262288</v>
      </c>
      <c r="O753" s="2">
        <f t="shared" si="117"/>
        <v>13.47874006611926</v>
      </c>
      <c r="P753" s="2">
        <v>72.550185999999997</v>
      </c>
      <c r="Q753" s="2">
        <v>23.034423</v>
      </c>
    </row>
    <row r="754" spans="1:17" x14ac:dyDescent="0.25">
      <c r="A754" s="2">
        <v>886</v>
      </c>
      <c r="B754" s="2" t="s">
        <v>82</v>
      </c>
      <c r="C754" s="2">
        <v>22</v>
      </c>
      <c r="D754" s="2">
        <f t="shared" si="110"/>
        <v>55.88</v>
      </c>
      <c r="E754" s="2">
        <f t="shared" si="111"/>
        <v>17.787156439950223</v>
      </c>
      <c r="F754" s="2">
        <f t="shared" si="112"/>
        <v>7.0028174960433951</v>
      </c>
      <c r="G754" s="2">
        <v>12.063871000000001</v>
      </c>
      <c r="H754" s="2">
        <f t="shared" si="113"/>
        <v>39.579630531639999</v>
      </c>
      <c r="I754" s="2">
        <f>INDEX('Wood Density Lookup'!$B$2:$B$152,MATCH(B754,'Wood Density Lookup'!$A$2:$A$152,0))</f>
        <v>0.7</v>
      </c>
      <c r="J754" s="2">
        <f t="shared" si="114"/>
        <v>148.78861177992616</v>
      </c>
      <c r="K754" s="2">
        <f t="shared" si="118"/>
        <v>41.660811298379329</v>
      </c>
      <c r="L754" s="2">
        <f t="shared" si="119"/>
        <v>190.44942307830547</v>
      </c>
      <c r="M754" s="2">
        <f t="shared" si="115"/>
        <v>138.07583173177147</v>
      </c>
      <c r="N754" s="2">
        <f t="shared" si="116"/>
        <v>69.037915865885736</v>
      </c>
      <c r="O754" s="2">
        <f t="shared" si="117"/>
        <v>253.36915122780064</v>
      </c>
      <c r="P754" s="2">
        <v>72.550185999999997</v>
      </c>
      <c r="Q754" s="2">
        <v>23.035909</v>
      </c>
    </row>
    <row r="755" spans="1:17" x14ac:dyDescent="0.25">
      <c r="A755" s="2">
        <v>887</v>
      </c>
      <c r="B755" s="2" t="s">
        <v>24</v>
      </c>
      <c r="C755" s="2">
        <v>37</v>
      </c>
      <c r="D755" s="2">
        <f t="shared" si="110"/>
        <v>93.98</v>
      </c>
      <c r="E755" s="2">
        <f t="shared" si="111"/>
        <v>29.914763103552648</v>
      </c>
      <c r="F755" s="2">
        <f t="shared" si="112"/>
        <v>11.777465788800255</v>
      </c>
      <c r="G755" s="2">
        <v>2.166013</v>
      </c>
      <c r="H755" s="2">
        <f t="shared" si="113"/>
        <v>7.1063420909200001</v>
      </c>
      <c r="I755" s="2">
        <f>INDEX('Wood Density Lookup'!$B$2:$B$152,MATCH(B755,'Wood Density Lookup'!$A$2:$A$152,0))</f>
        <v>0.55000000000000004</v>
      </c>
      <c r="J755" s="2">
        <f t="shared" si="114"/>
        <v>60.693596253408451</v>
      </c>
      <c r="K755" s="2">
        <f t="shared" si="118"/>
        <v>16.994206950954368</v>
      </c>
      <c r="L755" s="2">
        <f t="shared" si="119"/>
        <v>77.687803204362822</v>
      </c>
      <c r="M755" s="2">
        <f t="shared" si="115"/>
        <v>56.323657323163047</v>
      </c>
      <c r="N755" s="2">
        <f t="shared" si="116"/>
        <v>28.161828661581524</v>
      </c>
      <c r="O755" s="2">
        <f t="shared" si="117"/>
        <v>103.35391118800419</v>
      </c>
      <c r="P755" s="2">
        <v>72.550186999999994</v>
      </c>
      <c r="Q755" s="2">
        <v>23.036681000000002</v>
      </c>
    </row>
    <row r="756" spans="1:17" x14ac:dyDescent="0.25">
      <c r="A756" s="2">
        <v>888</v>
      </c>
      <c r="B756" s="2" t="s">
        <v>15</v>
      </c>
      <c r="C756" s="2">
        <v>24</v>
      </c>
      <c r="D756" s="2">
        <f t="shared" si="110"/>
        <v>60.96</v>
      </c>
      <c r="E756" s="2">
        <f t="shared" si="111"/>
        <v>19.404170661763882</v>
      </c>
      <c r="F756" s="2">
        <f t="shared" si="112"/>
        <v>7.6394372684109761</v>
      </c>
      <c r="G756" s="2">
        <v>11.050742</v>
      </c>
      <c r="H756" s="2">
        <f t="shared" si="113"/>
        <v>36.255716383279996</v>
      </c>
      <c r="I756" s="2">
        <f>INDEX('Wood Density Lookup'!$B$2:$B$152,MATCH(B756,'Wood Density Lookup'!$A$2:$A$152,0))</f>
        <v>0.75</v>
      </c>
      <c r="J756" s="2">
        <f t="shared" si="114"/>
        <v>173.13948027439974</v>
      </c>
      <c r="K756" s="2">
        <f t="shared" si="118"/>
        <v>48.479054476831934</v>
      </c>
      <c r="L756" s="2">
        <f t="shared" si="119"/>
        <v>221.61853475123166</v>
      </c>
      <c r="M756" s="2">
        <f t="shared" si="115"/>
        <v>160.67343769464296</v>
      </c>
      <c r="N756" s="2">
        <f t="shared" si="116"/>
        <v>80.336718847321478</v>
      </c>
      <c r="O756" s="2">
        <f t="shared" si="117"/>
        <v>294.83575816966982</v>
      </c>
      <c r="P756" s="2">
        <v>72.550186999999994</v>
      </c>
      <c r="Q756" s="2">
        <v>23.035809</v>
      </c>
    </row>
    <row r="757" spans="1:17" x14ac:dyDescent="0.25">
      <c r="A757" s="2">
        <v>890</v>
      </c>
      <c r="B757" s="2" t="s">
        <v>115</v>
      </c>
      <c r="C757" s="2">
        <v>13</v>
      </c>
      <c r="D757" s="2">
        <f t="shared" si="110"/>
        <v>33.020000000000003</v>
      </c>
      <c r="E757" s="2">
        <f t="shared" si="111"/>
        <v>10.51059244178877</v>
      </c>
      <c r="F757" s="2">
        <f t="shared" si="112"/>
        <v>4.1380285203892786</v>
      </c>
      <c r="G757" s="2">
        <v>3.9103129999999999</v>
      </c>
      <c r="H757" s="2">
        <f t="shared" si="113"/>
        <v>12.829111302919999</v>
      </c>
      <c r="I757" s="2">
        <f>INDEX('Wood Density Lookup'!$B$2:$B$152,MATCH(B757,'Wood Density Lookup'!$A$2:$A$152,0))</f>
        <v>0.65</v>
      </c>
      <c r="J757" s="2">
        <f t="shared" si="114"/>
        <v>16.505672837283598</v>
      </c>
      <c r="K757" s="2">
        <f t="shared" si="118"/>
        <v>4.6215883944394074</v>
      </c>
      <c r="L757" s="2">
        <f t="shared" si="119"/>
        <v>21.127261231723004</v>
      </c>
      <c r="M757" s="2">
        <f t="shared" si="115"/>
        <v>15.317264392999178</v>
      </c>
      <c r="N757" s="2">
        <f t="shared" si="116"/>
        <v>7.6586321964995889</v>
      </c>
      <c r="O757" s="2">
        <f t="shared" si="117"/>
        <v>28.10718016115349</v>
      </c>
      <c r="P757" s="2">
        <v>72.550188000000006</v>
      </c>
      <c r="Q757" s="2">
        <v>23.035233000000002</v>
      </c>
    </row>
    <row r="758" spans="1:17" x14ac:dyDescent="0.25">
      <c r="A758" s="2">
        <v>891</v>
      </c>
      <c r="B758" s="2" t="s">
        <v>15</v>
      </c>
      <c r="C758" s="2">
        <v>27</v>
      </c>
      <c r="D758" s="2">
        <f t="shared" si="110"/>
        <v>68.58</v>
      </c>
      <c r="E758" s="2">
        <f t="shared" si="111"/>
        <v>21.829691994484364</v>
      </c>
      <c r="F758" s="2">
        <f t="shared" si="112"/>
        <v>8.5943669269623477</v>
      </c>
      <c r="G758" s="2">
        <v>10.670449</v>
      </c>
      <c r="H758" s="2">
        <f t="shared" si="113"/>
        <v>35.008035897159999</v>
      </c>
      <c r="I758" s="2">
        <f>INDEX('Wood Density Lookup'!$B$2:$B$152,MATCH(B758,'Wood Density Lookup'!$A$2:$A$152,0))</f>
        <v>0.75</v>
      </c>
      <c r="J758" s="2">
        <f t="shared" si="114"/>
        <v>210.57271563908665</v>
      </c>
      <c r="K758" s="2">
        <f t="shared" si="118"/>
        <v>58.960360378944266</v>
      </c>
      <c r="L758" s="2">
        <f t="shared" si="119"/>
        <v>269.5330760180309</v>
      </c>
      <c r="M758" s="2">
        <f t="shared" si="115"/>
        <v>195.4114801130724</v>
      </c>
      <c r="N758" s="2">
        <f t="shared" si="116"/>
        <v>97.7057400565362</v>
      </c>
      <c r="O758" s="2">
        <f t="shared" si="117"/>
        <v>358.58006600748786</v>
      </c>
      <c r="P758" s="2">
        <v>72.550189000000003</v>
      </c>
      <c r="Q758" s="2">
        <v>23.035281000000001</v>
      </c>
    </row>
    <row r="759" spans="1:17" x14ac:dyDescent="0.25">
      <c r="A759" s="2">
        <v>892</v>
      </c>
      <c r="B759" s="2" t="s">
        <v>15</v>
      </c>
      <c r="C759" s="2">
        <v>8</v>
      </c>
      <c r="D759" s="2">
        <f t="shared" si="110"/>
        <v>20.32</v>
      </c>
      <c r="E759" s="2">
        <f t="shared" si="111"/>
        <v>6.4680568872546269</v>
      </c>
      <c r="F759" s="2">
        <f t="shared" si="112"/>
        <v>2.5464790894703255</v>
      </c>
      <c r="G759" s="2">
        <v>4.5054720000000001</v>
      </c>
      <c r="H759" s="2">
        <f t="shared" si="113"/>
        <v>14.78173275648</v>
      </c>
      <c r="I759" s="2">
        <f>INDEX('Wood Density Lookup'!$B$2:$B$152,MATCH(B759,'Wood Density Lookup'!$A$2:$A$152,0))</f>
        <v>0.75</v>
      </c>
      <c r="J759" s="2">
        <f t="shared" si="114"/>
        <v>8.4480388659420491</v>
      </c>
      <c r="K759" s="2">
        <f t="shared" si="118"/>
        <v>2.3654508824637741</v>
      </c>
      <c r="L759" s="2">
        <f t="shared" si="119"/>
        <v>10.813489748405823</v>
      </c>
      <c r="M759" s="2">
        <f t="shared" si="115"/>
        <v>7.839780067594222</v>
      </c>
      <c r="N759" s="2">
        <f t="shared" si="116"/>
        <v>3.919890033797111</v>
      </c>
      <c r="O759" s="2">
        <f t="shared" si="117"/>
        <v>14.385996424035397</v>
      </c>
      <c r="P759" s="2">
        <v>72.550189000000003</v>
      </c>
      <c r="Q759" s="2">
        <v>23.035724999999999</v>
      </c>
    </row>
    <row r="760" spans="1:17" x14ac:dyDescent="0.25">
      <c r="A760" s="2">
        <v>893</v>
      </c>
      <c r="B760" s="2" t="s">
        <v>148</v>
      </c>
      <c r="C760" s="2">
        <v>6</v>
      </c>
      <c r="D760" s="2">
        <f t="shared" si="110"/>
        <v>15.24</v>
      </c>
      <c r="E760" s="2">
        <f t="shared" si="111"/>
        <v>4.8510426654409704</v>
      </c>
      <c r="F760" s="2">
        <f t="shared" si="112"/>
        <v>1.909859317102744</v>
      </c>
      <c r="G760" s="2">
        <v>5.4009780000000003</v>
      </c>
      <c r="H760" s="2">
        <f t="shared" si="113"/>
        <v>17.71974466152</v>
      </c>
      <c r="I760" s="2">
        <f>INDEX('Wood Density Lookup'!$B$2:$B$152,MATCH(B760,'Wood Density Lookup'!$A$2:$A$152,0))</f>
        <v>0.5</v>
      </c>
      <c r="J760" s="2">
        <f t="shared" si="114"/>
        <v>3.8712655515673555</v>
      </c>
      <c r="K760" s="2">
        <f t="shared" si="118"/>
        <v>1.0839543544388597</v>
      </c>
      <c r="L760" s="2">
        <f t="shared" si="119"/>
        <v>4.9552199060062154</v>
      </c>
      <c r="M760" s="2">
        <f t="shared" si="115"/>
        <v>3.592534431854506</v>
      </c>
      <c r="N760" s="2">
        <f t="shared" si="116"/>
        <v>1.796267215927253</v>
      </c>
      <c r="O760" s="2">
        <f t="shared" si="117"/>
        <v>6.5923006824530184</v>
      </c>
      <c r="P760" s="2">
        <v>72.550189000000003</v>
      </c>
      <c r="Q760" s="2">
        <v>23.034441999999999</v>
      </c>
    </row>
    <row r="761" spans="1:17" x14ac:dyDescent="0.25">
      <c r="A761" s="2">
        <v>895</v>
      </c>
      <c r="B761" s="2" t="s">
        <v>10</v>
      </c>
      <c r="C761" s="2">
        <v>14</v>
      </c>
      <c r="D761" s="2">
        <f t="shared" si="110"/>
        <v>35.56</v>
      </c>
      <c r="E761" s="2">
        <f t="shared" si="111"/>
        <v>11.319099552695597</v>
      </c>
      <c r="F761" s="2">
        <f t="shared" si="112"/>
        <v>4.45633840657307</v>
      </c>
      <c r="G761" s="2">
        <v>5.8397019999999999</v>
      </c>
      <c r="H761" s="2">
        <f t="shared" si="113"/>
        <v>19.159127909679999</v>
      </c>
      <c r="I761" s="2">
        <f>INDEX('Wood Density Lookup'!$B$2:$B$152,MATCH(B761,'Wood Density Lookup'!$A$2:$A$152,0))</f>
        <v>0.65</v>
      </c>
      <c r="J761" s="2">
        <f t="shared" si="114"/>
        <v>28.213476156031128</v>
      </c>
      <c r="K761" s="2">
        <f t="shared" si="118"/>
        <v>7.8997733236887164</v>
      </c>
      <c r="L761" s="2">
        <f t="shared" si="119"/>
        <v>36.11324947971984</v>
      </c>
      <c r="M761" s="2">
        <f t="shared" si="115"/>
        <v>26.182105872796882</v>
      </c>
      <c r="N761" s="2">
        <f t="shared" si="116"/>
        <v>13.091052936398441</v>
      </c>
      <c r="O761" s="2">
        <f t="shared" si="117"/>
        <v>48.044164276582279</v>
      </c>
      <c r="P761" s="2">
        <v>72.550192999999993</v>
      </c>
      <c r="Q761" s="2">
        <v>23.034928000000001</v>
      </c>
    </row>
    <row r="762" spans="1:17" x14ac:dyDescent="0.25">
      <c r="A762" s="2">
        <v>896</v>
      </c>
      <c r="B762" s="2" t="s">
        <v>50</v>
      </c>
      <c r="C762" s="2">
        <v>96</v>
      </c>
      <c r="D762" s="2">
        <f t="shared" si="110"/>
        <v>243.84</v>
      </c>
      <c r="E762" s="2">
        <f t="shared" si="111"/>
        <v>77.616682647055526</v>
      </c>
      <c r="F762" s="2">
        <f t="shared" si="112"/>
        <v>30.557749073643905</v>
      </c>
      <c r="G762" s="2">
        <v>16.364471999999999</v>
      </c>
      <c r="H762" s="2">
        <f t="shared" si="113"/>
        <v>53.689214316479998</v>
      </c>
      <c r="I762" s="2">
        <f>INDEX('Wood Density Lookup'!$B$2:$B$152,MATCH(B762,'Wood Density Lookup'!$A$2:$A$152,0))</f>
        <v>0.5</v>
      </c>
      <c r="J762" s="2">
        <f t="shared" si="114"/>
        <v>2559.5902554347194</v>
      </c>
      <c r="K762" s="2">
        <f t="shared" si="118"/>
        <v>716.68527152172146</v>
      </c>
      <c r="L762" s="2">
        <f t="shared" si="119"/>
        <v>3276.2755269564409</v>
      </c>
      <c r="M762" s="2">
        <f t="shared" si="115"/>
        <v>2375.2997570434195</v>
      </c>
      <c r="N762" s="2">
        <f t="shared" si="116"/>
        <v>1187.6498785217098</v>
      </c>
      <c r="O762" s="2">
        <f t="shared" si="117"/>
        <v>4358.6750541746751</v>
      </c>
      <c r="P762" s="2">
        <v>72.550194000000005</v>
      </c>
      <c r="Q762" s="2">
        <v>23.036814</v>
      </c>
    </row>
    <row r="763" spans="1:17" x14ac:dyDescent="0.25">
      <c r="A763" s="2">
        <v>897</v>
      </c>
      <c r="B763" s="2" t="s">
        <v>140</v>
      </c>
      <c r="C763" s="2">
        <v>2</v>
      </c>
      <c r="D763" s="2">
        <f t="shared" si="110"/>
        <v>5.08</v>
      </c>
      <c r="E763" s="2">
        <f t="shared" si="111"/>
        <v>1.6170142218136567</v>
      </c>
      <c r="F763" s="2">
        <f t="shared" si="112"/>
        <v>0.63661977236758138</v>
      </c>
      <c r="G763" s="2">
        <v>5.5009620000000004</v>
      </c>
      <c r="H763" s="2">
        <f t="shared" si="113"/>
        <v>18.047776168080002</v>
      </c>
      <c r="I763" s="2">
        <f>INDEX('Wood Density Lookup'!$B$2:$B$152,MATCH(B763,'Wood Density Lookup'!$A$2:$A$152,0))</f>
        <v>0.6</v>
      </c>
      <c r="J763" s="2">
        <f t="shared" si="114"/>
        <v>0.5515288270945351</v>
      </c>
      <c r="K763" s="2">
        <f t="shared" si="118"/>
        <v>0.15442807158646985</v>
      </c>
      <c r="L763" s="2">
        <f t="shared" si="119"/>
        <v>0.70595689868100497</v>
      </c>
      <c r="M763" s="2">
        <f t="shared" si="115"/>
        <v>0.51181875154372858</v>
      </c>
      <c r="N763" s="2">
        <f t="shared" si="116"/>
        <v>0.25590937577186429</v>
      </c>
      <c r="O763" s="2">
        <f t="shared" si="117"/>
        <v>0.9391874090827419</v>
      </c>
      <c r="P763" s="2">
        <v>72.550194000000005</v>
      </c>
      <c r="Q763" s="2">
        <v>23.034433</v>
      </c>
    </row>
    <row r="764" spans="1:17" x14ac:dyDescent="0.25">
      <c r="A764" s="2">
        <v>898</v>
      </c>
      <c r="B764" s="2" t="s">
        <v>148</v>
      </c>
      <c r="C764" s="2">
        <v>22</v>
      </c>
      <c r="D764" s="2">
        <f t="shared" si="110"/>
        <v>55.88</v>
      </c>
      <c r="E764" s="2">
        <f t="shared" si="111"/>
        <v>17.787156439950223</v>
      </c>
      <c r="F764" s="2">
        <f t="shared" si="112"/>
        <v>7.0028174960433951</v>
      </c>
      <c r="G764" s="2">
        <v>6.6714840000000004</v>
      </c>
      <c r="H764" s="2">
        <f t="shared" si="113"/>
        <v>21.888071566560001</v>
      </c>
      <c r="I764" s="2">
        <f>INDEX('Wood Density Lookup'!$B$2:$B$152,MATCH(B764,'Wood Density Lookup'!$A$2:$A$152,0))</f>
        <v>0.5</v>
      </c>
      <c r="J764" s="2">
        <f t="shared" si="114"/>
        <v>60.097836079044946</v>
      </c>
      <c r="K764" s="2">
        <f t="shared" si="118"/>
        <v>16.827394102132587</v>
      </c>
      <c r="L764" s="2">
        <f t="shared" si="119"/>
        <v>76.92523018117754</v>
      </c>
      <c r="M764" s="2">
        <f t="shared" si="115"/>
        <v>55.770791881353716</v>
      </c>
      <c r="N764" s="2">
        <f t="shared" si="116"/>
        <v>27.885395940676858</v>
      </c>
      <c r="O764" s="2">
        <f t="shared" si="117"/>
        <v>102.33940310228407</v>
      </c>
      <c r="P764" s="2">
        <v>72.550199000000006</v>
      </c>
      <c r="Q764" s="2">
        <v>23.035001999999999</v>
      </c>
    </row>
    <row r="765" spans="1:17" x14ac:dyDescent="0.25">
      <c r="A765" s="2">
        <v>899</v>
      </c>
      <c r="B765" s="2" t="s">
        <v>148</v>
      </c>
      <c r="C765" s="2">
        <v>5</v>
      </c>
      <c r="D765" s="2">
        <f t="shared" si="110"/>
        <v>12.7</v>
      </c>
      <c r="E765" s="2">
        <f t="shared" si="111"/>
        <v>4.0425355545341413</v>
      </c>
      <c r="F765" s="2">
        <f t="shared" si="112"/>
        <v>1.5915494309189535</v>
      </c>
      <c r="G765" s="2">
        <v>5.1670740000000004</v>
      </c>
      <c r="H765" s="2">
        <f t="shared" si="113"/>
        <v>16.952343062160001</v>
      </c>
      <c r="I765" s="2">
        <f>INDEX('Wood Density Lookup'!$B$2:$B$152,MATCH(B765,'Wood Density Lookup'!$A$2:$A$152,0))</f>
        <v>0.5</v>
      </c>
      <c r="J765" s="2">
        <f t="shared" si="114"/>
        <v>2.5973167078382629</v>
      </c>
      <c r="K765" s="2">
        <f t="shared" si="118"/>
        <v>0.72724867819471362</v>
      </c>
      <c r="L765" s="2">
        <f t="shared" si="119"/>
        <v>3.3245653860329765</v>
      </c>
      <c r="M765" s="2">
        <f t="shared" si="115"/>
        <v>2.4103099048739081</v>
      </c>
      <c r="N765" s="2">
        <f t="shared" si="116"/>
        <v>1.205154952436954</v>
      </c>
      <c r="O765" s="2">
        <f t="shared" si="117"/>
        <v>4.4229186754436212</v>
      </c>
      <c r="P765" s="2">
        <v>72.550199000000006</v>
      </c>
      <c r="Q765" s="2">
        <v>23.034448000000001</v>
      </c>
    </row>
    <row r="766" spans="1:17" x14ac:dyDescent="0.25">
      <c r="A766" s="2">
        <v>900</v>
      </c>
      <c r="B766" s="2" t="s">
        <v>107</v>
      </c>
      <c r="C766" s="2">
        <v>9</v>
      </c>
      <c r="D766" s="2">
        <f t="shared" si="110"/>
        <v>22.86</v>
      </c>
      <c r="E766" s="2">
        <f t="shared" si="111"/>
        <v>7.2765639981614552</v>
      </c>
      <c r="F766" s="2">
        <f t="shared" si="112"/>
        <v>2.8647889756541161</v>
      </c>
      <c r="G766" s="2">
        <v>11.030226000000001</v>
      </c>
      <c r="H766" s="2">
        <f t="shared" si="113"/>
        <v>36.188406669839999</v>
      </c>
      <c r="I766" s="2">
        <f>INDEX('Wood Density Lookup'!$B$2:$B$152,MATCH(B766,'Wood Density Lookup'!$A$2:$A$152,0))</f>
        <v>0.65</v>
      </c>
      <c r="J766" s="2">
        <f t="shared" si="114"/>
        <v>22.154457868263009</v>
      </c>
      <c r="K766" s="2">
        <f t="shared" si="118"/>
        <v>6.2032482031136427</v>
      </c>
      <c r="L766" s="2">
        <f t="shared" si="119"/>
        <v>28.357706071376651</v>
      </c>
      <c r="M766" s="2">
        <f t="shared" si="115"/>
        <v>20.559336901748072</v>
      </c>
      <c r="N766" s="2">
        <f t="shared" si="116"/>
        <v>10.279668450874036</v>
      </c>
      <c r="O766" s="2">
        <f t="shared" si="117"/>
        <v>37.72638321470771</v>
      </c>
      <c r="P766" s="2">
        <v>72.550200000000004</v>
      </c>
      <c r="Q766" s="2">
        <v>23.038519000000001</v>
      </c>
    </row>
    <row r="767" spans="1:17" x14ac:dyDescent="0.25">
      <c r="A767" s="2">
        <v>901</v>
      </c>
      <c r="B767" s="2" t="s">
        <v>148</v>
      </c>
      <c r="C767" s="2">
        <v>3</v>
      </c>
      <c r="D767" s="2">
        <f t="shared" si="110"/>
        <v>7.62</v>
      </c>
      <c r="E767" s="2">
        <f t="shared" si="111"/>
        <v>2.4255213327204852</v>
      </c>
      <c r="F767" s="2">
        <f t="shared" si="112"/>
        <v>0.95492965855137202</v>
      </c>
      <c r="G767" s="2">
        <v>5.8964650000000001</v>
      </c>
      <c r="H767" s="2">
        <f t="shared" si="113"/>
        <v>19.345358230599999</v>
      </c>
      <c r="I767" s="2">
        <f>INDEX('Wood Density Lookup'!$B$2:$B$152,MATCH(B767,'Wood Density Lookup'!$A$2:$A$152,0))</f>
        <v>0.5</v>
      </c>
      <c r="J767" s="2">
        <f t="shared" si="114"/>
        <v>1.090051117870092</v>
      </c>
      <c r="K767" s="2">
        <f t="shared" si="118"/>
        <v>0.30521431300362578</v>
      </c>
      <c r="L767" s="2">
        <f t="shared" si="119"/>
        <v>1.3952654308737178</v>
      </c>
      <c r="M767" s="2">
        <f t="shared" si="115"/>
        <v>1.0115674373834453</v>
      </c>
      <c r="N767" s="2">
        <f t="shared" si="116"/>
        <v>0.50578371869172267</v>
      </c>
      <c r="O767" s="2">
        <f t="shared" si="117"/>
        <v>1.8562262475986222</v>
      </c>
      <c r="P767" s="2">
        <v>72.550201000000001</v>
      </c>
      <c r="Q767" s="2">
        <v>23.035181000000001</v>
      </c>
    </row>
    <row r="768" spans="1:17" x14ac:dyDescent="0.25">
      <c r="A768" s="2">
        <v>902</v>
      </c>
      <c r="B768" s="2" t="s">
        <v>148</v>
      </c>
      <c r="C768" s="2">
        <v>5</v>
      </c>
      <c r="D768" s="2">
        <f t="shared" si="110"/>
        <v>12.7</v>
      </c>
      <c r="E768" s="2">
        <f t="shared" si="111"/>
        <v>4.0425355545341413</v>
      </c>
      <c r="F768" s="2">
        <f t="shared" si="112"/>
        <v>1.5915494309189535</v>
      </c>
      <c r="G768" s="2">
        <v>5.3745099999999999</v>
      </c>
      <c r="H768" s="2">
        <f t="shared" si="113"/>
        <v>17.6329073884</v>
      </c>
      <c r="I768" s="2">
        <f>INDEX('Wood Density Lookup'!$B$2:$B$152,MATCH(B768,'Wood Density Lookup'!$A$2:$A$152,0))</f>
        <v>0.5</v>
      </c>
      <c r="J768" s="2">
        <f t="shared" si="114"/>
        <v>2.6990370272108799</v>
      </c>
      <c r="K768" s="2">
        <f t="shared" si="118"/>
        <v>0.75573036761904644</v>
      </c>
      <c r="L768" s="2">
        <f t="shared" si="119"/>
        <v>3.4547673948299265</v>
      </c>
      <c r="M768" s="2">
        <f t="shared" si="115"/>
        <v>2.5047063612516967</v>
      </c>
      <c r="N768" s="2">
        <f t="shared" si="116"/>
        <v>1.2523531806258483</v>
      </c>
      <c r="O768" s="2">
        <f t="shared" si="117"/>
        <v>4.5961361728968635</v>
      </c>
      <c r="P768" s="2">
        <v>72.550202999999996</v>
      </c>
      <c r="Q768" s="2">
        <v>23.034438999999999</v>
      </c>
    </row>
    <row r="769" spans="1:17" x14ac:dyDescent="0.25">
      <c r="A769" s="2">
        <v>903</v>
      </c>
      <c r="B769" s="2" t="s">
        <v>148</v>
      </c>
      <c r="C769" s="2">
        <v>5</v>
      </c>
      <c r="D769" s="2">
        <f t="shared" ref="D769:D832" si="120">C769*2.54</f>
        <v>12.7</v>
      </c>
      <c r="E769" s="2">
        <f t="shared" ref="E769:E832" si="121">D769/PI()</f>
        <v>4.0425355545341413</v>
      </c>
      <c r="F769" s="2">
        <f t="shared" ref="F769:F832" si="122">C769/PI()</f>
        <v>1.5915494309189535</v>
      </c>
      <c r="G769" s="2">
        <v>6.9322949999999999</v>
      </c>
      <c r="H769" s="2">
        <f t="shared" ref="H769:H832" si="123">G769*3.28084</f>
        <v>22.743750727799998</v>
      </c>
      <c r="I769" s="2">
        <f>INDEX('Wood Density Lookup'!$B$2:$B$152,MATCH(B769,'Wood Density Lookup'!$A$2:$A$152,0))</f>
        <v>0.5</v>
      </c>
      <c r="J769" s="2">
        <f t="shared" ref="J769:J832" si="124">0.0673*POWER(I769*E769^2*G769,0.976)</f>
        <v>3.4601433140672238</v>
      </c>
      <c r="K769" s="2">
        <f t="shared" si="118"/>
        <v>0.96884012793882279</v>
      </c>
      <c r="L769" s="2">
        <f t="shared" si="119"/>
        <v>4.4289834420060465</v>
      </c>
      <c r="M769" s="2">
        <f t="shared" ref="M769:M832" si="125">0.725*L769</f>
        <v>3.2110129954543836</v>
      </c>
      <c r="N769" s="2">
        <f t="shared" ref="N769:N832" si="126">0.5*M769</f>
        <v>1.6055064977271918</v>
      </c>
      <c r="O769" s="2">
        <f t="shared" ref="O769:O832" si="127">3.67*N769</f>
        <v>5.8922088466587939</v>
      </c>
      <c r="P769" s="2">
        <v>72.550205000000005</v>
      </c>
      <c r="Q769" s="2">
        <v>23.034455999999999</v>
      </c>
    </row>
    <row r="770" spans="1:17" x14ac:dyDescent="0.25">
      <c r="A770" s="2">
        <v>904</v>
      </c>
      <c r="B770" s="2" t="s">
        <v>3</v>
      </c>
      <c r="C770" s="2">
        <v>25</v>
      </c>
      <c r="D770" s="2">
        <f t="shared" si="120"/>
        <v>63.5</v>
      </c>
      <c r="E770" s="2">
        <f t="shared" si="121"/>
        <v>20.212677772670709</v>
      </c>
      <c r="F770" s="2">
        <f t="shared" si="122"/>
        <v>7.9577471545947667</v>
      </c>
      <c r="G770" s="2">
        <v>8.7205499999999994</v>
      </c>
      <c r="H770" s="2">
        <f t="shared" si="123"/>
        <v>28.610729261999996</v>
      </c>
      <c r="I770" s="2">
        <f>INDEX('Wood Density Lookup'!$B$2:$B$152,MATCH(B770,'Wood Density Lookup'!$A$2:$A$152,0))</f>
        <v>0.62</v>
      </c>
      <c r="J770" s="2">
        <f t="shared" si="124"/>
        <v>123.57708223081016</v>
      </c>
      <c r="K770" s="2">
        <f t="shared" si="118"/>
        <v>34.601583024626848</v>
      </c>
      <c r="L770" s="2">
        <f t="shared" si="119"/>
        <v>158.17866525543701</v>
      </c>
      <c r="M770" s="2">
        <f t="shared" si="125"/>
        <v>114.67953231019183</v>
      </c>
      <c r="N770" s="2">
        <f t="shared" si="126"/>
        <v>57.339766155095916</v>
      </c>
      <c r="O770" s="2">
        <f t="shared" si="127"/>
        <v>210.436941789202</v>
      </c>
      <c r="P770" s="2">
        <v>72.550206000000003</v>
      </c>
      <c r="Q770" s="2">
        <v>23.038487</v>
      </c>
    </row>
    <row r="771" spans="1:17" x14ac:dyDescent="0.25">
      <c r="A771" s="2">
        <v>906</v>
      </c>
      <c r="B771" s="2" t="s">
        <v>111</v>
      </c>
      <c r="C771" s="2">
        <v>21</v>
      </c>
      <c r="D771" s="2">
        <f t="shared" si="120"/>
        <v>53.34</v>
      </c>
      <c r="E771" s="2">
        <f t="shared" si="121"/>
        <v>16.978649329043396</v>
      </c>
      <c r="F771" s="2">
        <f t="shared" si="122"/>
        <v>6.6845076098596046</v>
      </c>
      <c r="G771" s="2">
        <v>7.7445550000000001</v>
      </c>
      <c r="H771" s="2">
        <f t="shared" si="123"/>
        <v>25.408645826200001</v>
      </c>
      <c r="I771" s="2">
        <f>INDEX('Wood Density Lookup'!$B$2:$B$152,MATCH(B771,'Wood Density Lookup'!$A$2:$A$152,0))</f>
        <v>0.4</v>
      </c>
      <c r="J771" s="2">
        <f t="shared" si="124"/>
        <v>51.057211913734463</v>
      </c>
      <c r="K771" s="2">
        <f t="shared" ref="K771:K834" si="128">0.28*J771</f>
        <v>14.296019335845651</v>
      </c>
      <c r="L771" s="2">
        <f t="shared" ref="L771:L834" si="129">J771+K771</f>
        <v>65.353231249580119</v>
      </c>
      <c r="M771" s="2">
        <f t="shared" si="125"/>
        <v>47.381092655945587</v>
      </c>
      <c r="N771" s="2">
        <f t="shared" si="126"/>
        <v>23.690546327972793</v>
      </c>
      <c r="O771" s="2">
        <f t="shared" si="127"/>
        <v>86.944305023660149</v>
      </c>
      <c r="P771" s="2">
        <v>72.550207</v>
      </c>
      <c r="Q771" s="2">
        <v>23.036519999999999</v>
      </c>
    </row>
    <row r="772" spans="1:17" x14ac:dyDescent="0.25">
      <c r="A772" s="2">
        <v>907</v>
      </c>
      <c r="B772" s="2" t="s">
        <v>82</v>
      </c>
      <c r="C772" s="2">
        <v>12</v>
      </c>
      <c r="D772" s="2">
        <f t="shared" si="120"/>
        <v>30.48</v>
      </c>
      <c r="E772" s="2">
        <f t="shared" si="121"/>
        <v>9.7020853308819408</v>
      </c>
      <c r="F772" s="2">
        <f t="shared" si="122"/>
        <v>3.8197186342054881</v>
      </c>
      <c r="G772" s="2">
        <v>6.7155170000000002</v>
      </c>
      <c r="H772" s="2">
        <f t="shared" si="123"/>
        <v>22.032536794280002</v>
      </c>
      <c r="I772" s="2">
        <f>INDEX('Wood Density Lookup'!$B$2:$B$152,MATCH(B772,'Wood Density Lookup'!$A$2:$A$152,0))</f>
        <v>0.7</v>
      </c>
      <c r="J772" s="2">
        <f t="shared" si="124"/>
        <v>25.728884233465536</v>
      </c>
      <c r="K772" s="2">
        <f t="shared" si="128"/>
        <v>7.2040875853703508</v>
      </c>
      <c r="L772" s="2">
        <f t="shared" si="129"/>
        <v>32.932971818835888</v>
      </c>
      <c r="M772" s="2">
        <f t="shared" si="125"/>
        <v>23.876404568656017</v>
      </c>
      <c r="N772" s="2">
        <f t="shared" si="126"/>
        <v>11.938202284328009</v>
      </c>
      <c r="O772" s="2">
        <f t="shared" si="127"/>
        <v>43.813202383483791</v>
      </c>
      <c r="P772" s="2">
        <v>72.550207</v>
      </c>
      <c r="Q772" s="2">
        <v>23.035173</v>
      </c>
    </row>
    <row r="773" spans="1:17" x14ac:dyDescent="0.25">
      <c r="A773" s="2">
        <v>908</v>
      </c>
      <c r="B773" s="2" t="s">
        <v>82</v>
      </c>
      <c r="C773" s="2">
        <v>8</v>
      </c>
      <c r="D773" s="2">
        <f t="shared" si="120"/>
        <v>20.32</v>
      </c>
      <c r="E773" s="2">
        <f t="shared" si="121"/>
        <v>6.4680568872546269</v>
      </c>
      <c r="F773" s="2">
        <f t="shared" si="122"/>
        <v>2.5464790894703255</v>
      </c>
      <c r="G773" s="2">
        <v>3.0421170000000002</v>
      </c>
      <c r="H773" s="2">
        <f t="shared" si="123"/>
        <v>9.9806991382800003</v>
      </c>
      <c r="I773" s="2">
        <f>INDEX('Wood Density Lookup'!$B$2:$B$152,MATCH(B773,'Wood Density Lookup'!$A$2:$A$152,0))</f>
        <v>0.7</v>
      </c>
      <c r="J773" s="2">
        <f t="shared" si="124"/>
        <v>5.3832055165419161</v>
      </c>
      <c r="K773" s="2">
        <f t="shared" si="128"/>
        <v>1.5072975446317367</v>
      </c>
      <c r="L773" s="2">
        <f t="shared" si="129"/>
        <v>6.8905030611736526</v>
      </c>
      <c r="M773" s="2">
        <f t="shared" si="125"/>
        <v>4.9956147193508977</v>
      </c>
      <c r="N773" s="2">
        <f t="shared" si="126"/>
        <v>2.4978073596754489</v>
      </c>
      <c r="O773" s="2">
        <f t="shared" si="127"/>
        <v>9.1669530100088963</v>
      </c>
      <c r="P773" s="2">
        <v>72.550208999999995</v>
      </c>
      <c r="Q773" s="2">
        <v>23.035549</v>
      </c>
    </row>
    <row r="774" spans="1:17" x14ac:dyDescent="0.25">
      <c r="A774" s="2">
        <v>909</v>
      </c>
      <c r="B774" s="2" t="s">
        <v>148</v>
      </c>
      <c r="C774" s="2">
        <v>4</v>
      </c>
      <c r="D774" s="2">
        <f t="shared" si="120"/>
        <v>10.16</v>
      </c>
      <c r="E774" s="2">
        <f t="shared" si="121"/>
        <v>3.2340284436273135</v>
      </c>
      <c r="F774" s="2">
        <f t="shared" si="122"/>
        <v>1.2732395447351628</v>
      </c>
      <c r="G774" s="2">
        <v>6.8477079999999999</v>
      </c>
      <c r="H774" s="2">
        <f t="shared" si="123"/>
        <v>22.466234314720001</v>
      </c>
      <c r="I774" s="2">
        <f>INDEX('Wood Density Lookup'!$B$2:$B$152,MATCH(B774,'Wood Density Lookup'!$A$2:$A$152,0))</f>
        <v>0.5</v>
      </c>
      <c r="J774" s="2">
        <f t="shared" si="124"/>
        <v>2.2116780214432801</v>
      </c>
      <c r="K774" s="2">
        <f t="shared" si="128"/>
        <v>0.6192698460041185</v>
      </c>
      <c r="L774" s="2">
        <f t="shared" si="129"/>
        <v>2.8309478674473985</v>
      </c>
      <c r="M774" s="2">
        <f t="shared" si="125"/>
        <v>2.0524372038993639</v>
      </c>
      <c r="N774" s="2">
        <f t="shared" si="126"/>
        <v>1.026218601949682</v>
      </c>
      <c r="O774" s="2">
        <f t="shared" si="127"/>
        <v>3.7662222691553326</v>
      </c>
      <c r="P774" s="2">
        <v>72.550210000000007</v>
      </c>
      <c r="Q774" s="2">
        <v>23.034447</v>
      </c>
    </row>
    <row r="775" spans="1:17" x14ac:dyDescent="0.25">
      <c r="A775" s="2">
        <v>910</v>
      </c>
      <c r="B775" s="2" t="s">
        <v>115</v>
      </c>
      <c r="C775" s="2">
        <v>5</v>
      </c>
      <c r="D775" s="2">
        <f t="shared" si="120"/>
        <v>12.7</v>
      </c>
      <c r="E775" s="2">
        <f t="shared" si="121"/>
        <v>4.0425355545341413</v>
      </c>
      <c r="F775" s="2">
        <f t="shared" si="122"/>
        <v>1.5915494309189535</v>
      </c>
      <c r="G775" s="2">
        <v>6.2066109999999997</v>
      </c>
      <c r="H775" s="2">
        <f t="shared" si="123"/>
        <v>20.362897633239999</v>
      </c>
      <c r="I775" s="2">
        <f>INDEX('Wood Density Lookup'!$B$2:$B$152,MATCH(B775,'Wood Density Lookup'!$A$2:$A$152,0))</f>
        <v>0.65</v>
      </c>
      <c r="J775" s="2">
        <f t="shared" si="124"/>
        <v>4.0126643197249878</v>
      </c>
      <c r="K775" s="2">
        <f t="shared" si="128"/>
        <v>1.1235460095229968</v>
      </c>
      <c r="L775" s="2">
        <f t="shared" si="129"/>
        <v>5.1362103292479846</v>
      </c>
      <c r="M775" s="2">
        <f t="shared" si="125"/>
        <v>3.7237524887047888</v>
      </c>
      <c r="N775" s="2">
        <f t="shared" si="126"/>
        <v>1.8618762443523944</v>
      </c>
      <c r="O775" s="2">
        <f t="shared" si="127"/>
        <v>6.8330858167732877</v>
      </c>
      <c r="P775" s="2">
        <v>72.550211000000004</v>
      </c>
      <c r="Q775" s="2">
        <v>23.035212999999999</v>
      </c>
    </row>
    <row r="776" spans="1:17" x14ac:dyDescent="0.25">
      <c r="A776" s="2">
        <v>911</v>
      </c>
      <c r="B776" s="2" t="s">
        <v>82</v>
      </c>
      <c r="C776" s="2">
        <v>9</v>
      </c>
      <c r="D776" s="2">
        <f t="shared" si="120"/>
        <v>22.86</v>
      </c>
      <c r="E776" s="2">
        <f t="shared" si="121"/>
        <v>7.2765639981614552</v>
      </c>
      <c r="F776" s="2">
        <f t="shared" si="122"/>
        <v>2.8647889756541161</v>
      </c>
      <c r="G776" s="2">
        <v>6.216348</v>
      </c>
      <c r="H776" s="2">
        <f t="shared" si="123"/>
        <v>20.394843172319998</v>
      </c>
      <c r="I776" s="2">
        <f>INDEX('Wood Density Lookup'!$B$2:$B$152,MATCH(B776,'Wood Density Lookup'!$A$2:$A$152,0))</f>
        <v>0.7</v>
      </c>
      <c r="J776" s="2">
        <f t="shared" si="124"/>
        <v>13.608224465721921</v>
      </c>
      <c r="K776" s="2">
        <f t="shared" si="128"/>
        <v>3.8103028504021381</v>
      </c>
      <c r="L776" s="2">
        <f t="shared" si="129"/>
        <v>17.418527316124059</v>
      </c>
      <c r="M776" s="2">
        <f t="shared" si="125"/>
        <v>12.628432304189943</v>
      </c>
      <c r="N776" s="2">
        <f t="shared" si="126"/>
        <v>6.3142161520949713</v>
      </c>
      <c r="O776" s="2">
        <f t="shared" si="127"/>
        <v>23.173173278188543</v>
      </c>
      <c r="P776" s="2">
        <v>72.550212999999999</v>
      </c>
      <c r="Q776" s="2">
        <v>23.035513000000002</v>
      </c>
    </row>
    <row r="777" spans="1:17" x14ac:dyDescent="0.25">
      <c r="A777" s="2">
        <v>912</v>
      </c>
      <c r="B777" s="2" t="s">
        <v>10</v>
      </c>
      <c r="C777" s="2">
        <v>19</v>
      </c>
      <c r="D777" s="2">
        <f t="shared" si="120"/>
        <v>48.26</v>
      </c>
      <c r="E777" s="2">
        <f t="shared" si="121"/>
        <v>15.361635107229738</v>
      </c>
      <c r="F777" s="2">
        <f t="shared" si="122"/>
        <v>6.0478878374920226</v>
      </c>
      <c r="G777" s="2">
        <v>5.2670510000000004</v>
      </c>
      <c r="H777" s="2">
        <f t="shared" si="123"/>
        <v>17.28035160284</v>
      </c>
      <c r="I777" s="2">
        <f>INDEX('Wood Density Lookup'!$B$2:$B$152,MATCH(B777,'Wood Density Lookup'!$A$2:$A$152,0))</f>
        <v>0.65</v>
      </c>
      <c r="J777" s="2">
        <f t="shared" si="124"/>
        <v>46.301418432458561</v>
      </c>
      <c r="K777" s="2">
        <f t="shared" si="128"/>
        <v>12.964397161088398</v>
      </c>
      <c r="L777" s="2">
        <f t="shared" si="129"/>
        <v>59.265815593546961</v>
      </c>
      <c r="M777" s="2">
        <f t="shared" si="125"/>
        <v>42.967716305321545</v>
      </c>
      <c r="N777" s="2">
        <f t="shared" si="126"/>
        <v>21.483858152660773</v>
      </c>
      <c r="O777" s="2">
        <f t="shared" si="127"/>
        <v>78.84575942026504</v>
      </c>
      <c r="P777" s="2">
        <v>72.550213999999997</v>
      </c>
      <c r="Q777" s="2">
        <v>23.03547</v>
      </c>
    </row>
    <row r="778" spans="1:17" x14ac:dyDescent="0.25">
      <c r="A778" s="2">
        <v>913</v>
      </c>
      <c r="B778" s="2" t="s">
        <v>148</v>
      </c>
      <c r="C778" s="2">
        <v>6</v>
      </c>
      <c r="D778" s="2">
        <f t="shared" si="120"/>
        <v>15.24</v>
      </c>
      <c r="E778" s="2">
        <f t="shared" si="121"/>
        <v>4.8510426654409704</v>
      </c>
      <c r="F778" s="2">
        <f t="shared" si="122"/>
        <v>1.909859317102744</v>
      </c>
      <c r="G778" s="2">
        <v>6.9033959999999999</v>
      </c>
      <c r="H778" s="2">
        <f t="shared" si="123"/>
        <v>22.64893773264</v>
      </c>
      <c r="I778" s="2">
        <f>INDEX('Wood Density Lookup'!$B$2:$B$152,MATCH(B778,'Wood Density Lookup'!$A$2:$A$152,0))</f>
        <v>0.5</v>
      </c>
      <c r="J778" s="2">
        <f t="shared" si="124"/>
        <v>4.919094572851888</v>
      </c>
      <c r="K778" s="2">
        <f t="shared" si="128"/>
        <v>1.3773464803985287</v>
      </c>
      <c r="L778" s="2">
        <f t="shared" si="129"/>
        <v>6.2964410532504171</v>
      </c>
      <c r="M778" s="2">
        <f t="shared" si="125"/>
        <v>4.5649197636065519</v>
      </c>
      <c r="N778" s="2">
        <f t="shared" si="126"/>
        <v>2.282459881803276</v>
      </c>
      <c r="O778" s="2">
        <f t="shared" si="127"/>
        <v>8.3766277662180233</v>
      </c>
      <c r="P778" s="2">
        <v>72.550214999999994</v>
      </c>
      <c r="Q778" s="2">
        <v>23.034452000000002</v>
      </c>
    </row>
    <row r="779" spans="1:17" x14ac:dyDescent="0.25">
      <c r="A779" s="2">
        <v>914</v>
      </c>
      <c r="B779" s="2" t="s">
        <v>131</v>
      </c>
      <c r="C779" s="2">
        <v>21</v>
      </c>
      <c r="D779" s="2">
        <f t="shared" si="120"/>
        <v>53.34</v>
      </c>
      <c r="E779" s="2">
        <f t="shared" si="121"/>
        <v>16.978649329043396</v>
      </c>
      <c r="F779" s="2">
        <f t="shared" si="122"/>
        <v>6.6845076098596046</v>
      </c>
      <c r="G779" s="2">
        <v>6.8897560000000002</v>
      </c>
      <c r="H779" s="2">
        <f t="shared" si="123"/>
        <v>22.604187075040002</v>
      </c>
      <c r="I779" s="2">
        <f>INDEX('Wood Density Lookup'!$B$2:$B$152,MATCH(B779,'Wood Density Lookup'!$A$2:$A$152,0))</f>
        <v>0.4</v>
      </c>
      <c r="J779" s="2">
        <f t="shared" si="124"/>
        <v>45.54948718915827</v>
      </c>
      <c r="K779" s="2">
        <f t="shared" si="128"/>
        <v>12.753856412964318</v>
      </c>
      <c r="L779" s="2">
        <f t="shared" si="129"/>
        <v>58.303343602122588</v>
      </c>
      <c r="M779" s="2">
        <f t="shared" si="125"/>
        <v>42.269924111538877</v>
      </c>
      <c r="N779" s="2">
        <f t="shared" si="126"/>
        <v>21.134962055769439</v>
      </c>
      <c r="O779" s="2">
        <f t="shared" si="127"/>
        <v>77.565310744673837</v>
      </c>
      <c r="P779" s="2">
        <v>72.550216000000006</v>
      </c>
      <c r="Q779" s="2">
        <v>23.034979</v>
      </c>
    </row>
    <row r="780" spans="1:17" x14ac:dyDescent="0.25">
      <c r="A780" s="2">
        <v>915</v>
      </c>
      <c r="B780" s="2" t="s">
        <v>15</v>
      </c>
      <c r="C780" s="2">
        <v>2</v>
      </c>
      <c r="D780" s="2">
        <f t="shared" si="120"/>
        <v>5.08</v>
      </c>
      <c r="E780" s="2">
        <f t="shared" si="121"/>
        <v>1.6170142218136567</v>
      </c>
      <c r="F780" s="2">
        <f t="shared" si="122"/>
        <v>0.63661977236758138</v>
      </c>
      <c r="G780" s="2">
        <v>4.0963120000000002</v>
      </c>
      <c r="H780" s="2">
        <f t="shared" si="123"/>
        <v>13.439344262080001</v>
      </c>
      <c r="I780" s="2">
        <f>INDEX('Wood Density Lookup'!$B$2:$B$152,MATCH(B780,'Wood Density Lookup'!$A$2:$A$152,0))</f>
        <v>0.75</v>
      </c>
      <c r="J780" s="2">
        <f t="shared" si="124"/>
        <v>0.51425659180226424</v>
      </c>
      <c r="K780" s="2">
        <f t="shared" si="128"/>
        <v>0.143991845704634</v>
      </c>
      <c r="L780" s="2">
        <f t="shared" si="129"/>
        <v>0.65824843750689821</v>
      </c>
      <c r="M780" s="2">
        <f t="shared" si="125"/>
        <v>0.47723011719250119</v>
      </c>
      <c r="N780" s="2">
        <f t="shared" si="126"/>
        <v>0.2386150585962506</v>
      </c>
      <c r="O780" s="2">
        <f t="shared" si="127"/>
        <v>0.87571726504823966</v>
      </c>
      <c r="P780" s="2">
        <v>72.550218999999998</v>
      </c>
      <c r="Q780" s="2">
        <v>23.035428</v>
      </c>
    </row>
    <row r="781" spans="1:17" x14ac:dyDescent="0.25">
      <c r="A781" s="2">
        <v>916</v>
      </c>
      <c r="B781" s="2" t="s">
        <v>50</v>
      </c>
      <c r="C781" s="2">
        <v>11</v>
      </c>
      <c r="D781" s="2">
        <f t="shared" si="120"/>
        <v>27.94</v>
      </c>
      <c r="E781" s="2">
        <f t="shared" si="121"/>
        <v>8.8935782199751117</v>
      </c>
      <c r="F781" s="2">
        <f t="shared" si="122"/>
        <v>3.5014087480216975</v>
      </c>
      <c r="G781" s="2">
        <v>6.6414489999999997</v>
      </c>
      <c r="H781" s="2">
        <f t="shared" si="123"/>
        <v>21.789531537159998</v>
      </c>
      <c r="I781" s="2">
        <f>INDEX('Wood Density Lookup'!$B$2:$B$152,MATCH(B781,'Wood Density Lookup'!$A$2:$A$152,0))</f>
        <v>0.5</v>
      </c>
      <c r="J781" s="2">
        <f t="shared" si="124"/>
        <v>15.464493737878609</v>
      </c>
      <c r="K781" s="2">
        <f t="shared" si="128"/>
        <v>4.3300582466060114</v>
      </c>
      <c r="L781" s="2">
        <f t="shared" si="129"/>
        <v>19.79455198448462</v>
      </c>
      <c r="M781" s="2">
        <f t="shared" si="125"/>
        <v>14.35105018875135</v>
      </c>
      <c r="N781" s="2">
        <f t="shared" si="126"/>
        <v>7.1755250943756748</v>
      </c>
      <c r="O781" s="2">
        <f t="shared" si="127"/>
        <v>26.334177096358726</v>
      </c>
      <c r="P781" s="2">
        <v>72.550218999999998</v>
      </c>
      <c r="Q781" s="2">
        <v>23.034444000000001</v>
      </c>
    </row>
    <row r="782" spans="1:17" x14ac:dyDescent="0.25">
      <c r="A782" s="2">
        <v>917</v>
      </c>
      <c r="B782" s="2" t="s">
        <v>148</v>
      </c>
      <c r="C782" s="2">
        <v>6</v>
      </c>
      <c r="D782" s="2">
        <f t="shared" si="120"/>
        <v>15.24</v>
      </c>
      <c r="E782" s="2">
        <f t="shared" si="121"/>
        <v>4.8510426654409704</v>
      </c>
      <c r="F782" s="2">
        <f t="shared" si="122"/>
        <v>1.909859317102744</v>
      </c>
      <c r="G782" s="2">
        <v>2.122433</v>
      </c>
      <c r="H782" s="2">
        <f t="shared" si="123"/>
        <v>6.96336308372</v>
      </c>
      <c r="I782" s="2">
        <f>INDEX('Wood Density Lookup'!$B$2:$B$152,MATCH(B782,'Wood Density Lookup'!$A$2:$A$152,0))</f>
        <v>0.5</v>
      </c>
      <c r="J782" s="2">
        <f t="shared" si="124"/>
        <v>1.5557860258711496</v>
      </c>
      <c r="K782" s="2">
        <f t="shared" si="128"/>
        <v>0.43562008724392193</v>
      </c>
      <c r="L782" s="2">
        <f t="shared" si="129"/>
        <v>1.9914061131150715</v>
      </c>
      <c r="M782" s="2">
        <f t="shared" si="125"/>
        <v>1.4437694320084269</v>
      </c>
      <c r="N782" s="2">
        <f t="shared" si="126"/>
        <v>0.72188471600421344</v>
      </c>
      <c r="O782" s="2">
        <f t="shared" si="127"/>
        <v>2.6493169077354635</v>
      </c>
      <c r="P782" s="2">
        <v>72.550218999999998</v>
      </c>
      <c r="Q782" s="2">
        <v>23.036104000000002</v>
      </c>
    </row>
    <row r="783" spans="1:17" x14ac:dyDescent="0.25">
      <c r="A783" s="2">
        <v>919</v>
      </c>
      <c r="B783" s="2" t="s">
        <v>148</v>
      </c>
      <c r="C783" s="2">
        <v>4</v>
      </c>
      <c r="D783" s="2">
        <f t="shared" si="120"/>
        <v>10.16</v>
      </c>
      <c r="E783" s="2">
        <f t="shared" si="121"/>
        <v>3.2340284436273135</v>
      </c>
      <c r="F783" s="2">
        <f t="shared" si="122"/>
        <v>1.2732395447351628</v>
      </c>
      <c r="G783" s="2">
        <v>6.0593789999999998</v>
      </c>
      <c r="H783" s="2">
        <f t="shared" si="123"/>
        <v>19.879852998360001</v>
      </c>
      <c r="I783" s="2">
        <f>INDEX('Wood Density Lookup'!$B$2:$B$152,MATCH(B783,'Wood Density Lookup'!$A$2:$A$152,0))</f>
        <v>0.5</v>
      </c>
      <c r="J783" s="2">
        <f t="shared" si="124"/>
        <v>1.9628160361819789</v>
      </c>
      <c r="K783" s="2">
        <f t="shared" si="128"/>
        <v>0.54958849013095412</v>
      </c>
      <c r="L783" s="2">
        <f t="shared" si="129"/>
        <v>2.5124045263129329</v>
      </c>
      <c r="M783" s="2">
        <f t="shared" si="125"/>
        <v>1.8214932815768763</v>
      </c>
      <c r="N783" s="2">
        <f t="shared" si="126"/>
        <v>0.91074664078843814</v>
      </c>
      <c r="O783" s="2">
        <f t="shared" si="127"/>
        <v>3.3424401716935681</v>
      </c>
      <c r="P783" s="2">
        <v>72.550223000000003</v>
      </c>
      <c r="Q783" s="2">
        <v>23.034454</v>
      </c>
    </row>
    <row r="784" spans="1:17" x14ac:dyDescent="0.25">
      <c r="A784" s="2">
        <v>920</v>
      </c>
      <c r="B784" s="2" t="s">
        <v>148</v>
      </c>
      <c r="C784" s="2">
        <v>7</v>
      </c>
      <c r="D784" s="2">
        <f t="shared" si="120"/>
        <v>17.78</v>
      </c>
      <c r="E784" s="2">
        <f t="shared" si="121"/>
        <v>5.6595497763477987</v>
      </c>
      <c r="F784" s="2">
        <f t="shared" si="122"/>
        <v>2.228169203286535</v>
      </c>
      <c r="G784" s="2">
        <v>2.2179639999999998</v>
      </c>
      <c r="H784" s="2">
        <f t="shared" si="123"/>
        <v>7.2767850097599993</v>
      </c>
      <c r="I784" s="2">
        <f>INDEX('Wood Density Lookup'!$B$2:$B$152,MATCH(B784,'Wood Density Lookup'!$A$2:$A$152,0))</f>
        <v>0.5</v>
      </c>
      <c r="J784" s="2">
        <f t="shared" si="124"/>
        <v>2.1942778080560865</v>
      </c>
      <c r="K784" s="2">
        <f t="shared" si="128"/>
        <v>0.61439778625570429</v>
      </c>
      <c r="L784" s="2">
        <f t="shared" si="129"/>
        <v>2.8086755943117909</v>
      </c>
      <c r="M784" s="2">
        <f t="shared" si="125"/>
        <v>2.0362898058760486</v>
      </c>
      <c r="N784" s="2">
        <f t="shared" si="126"/>
        <v>1.0181449029380243</v>
      </c>
      <c r="O784" s="2">
        <f t="shared" si="127"/>
        <v>3.7365917937825492</v>
      </c>
      <c r="P784" s="2">
        <v>72.550224</v>
      </c>
      <c r="Q784" s="2">
        <v>23.036104000000002</v>
      </c>
    </row>
    <row r="785" spans="1:17" x14ac:dyDescent="0.25">
      <c r="A785" s="2">
        <v>921</v>
      </c>
      <c r="B785" s="2" t="s">
        <v>107</v>
      </c>
      <c r="C785" s="2">
        <v>17</v>
      </c>
      <c r="D785" s="2">
        <f t="shared" si="120"/>
        <v>43.18</v>
      </c>
      <c r="E785" s="2">
        <f t="shared" si="121"/>
        <v>13.744620885416081</v>
      </c>
      <c r="F785" s="2">
        <f t="shared" si="122"/>
        <v>5.4112680651244416</v>
      </c>
      <c r="G785" s="2">
        <v>8.6098909999999993</v>
      </c>
      <c r="H785" s="2">
        <f t="shared" si="123"/>
        <v>28.247674788439998</v>
      </c>
      <c r="I785" s="2">
        <f>INDEX('Wood Density Lookup'!$B$2:$B$152,MATCH(B785,'Wood Density Lookup'!$A$2:$A$152,0))</f>
        <v>0.65</v>
      </c>
      <c r="J785" s="2">
        <f t="shared" si="124"/>
        <v>60.202062167794004</v>
      </c>
      <c r="K785" s="2">
        <f t="shared" si="128"/>
        <v>16.856577406982321</v>
      </c>
      <c r="L785" s="2">
        <f t="shared" si="129"/>
        <v>77.058639574776322</v>
      </c>
      <c r="M785" s="2">
        <f t="shared" si="125"/>
        <v>55.86751369171283</v>
      </c>
      <c r="N785" s="2">
        <f t="shared" si="126"/>
        <v>27.933756845856415</v>
      </c>
      <c r="O785" s="2">
        <f t="shared" si="127"/>
        <v>102.51688762429303</v>
      </c>
      <c r="P785" s="2">
        <v>72.550224999999998</v>
      </c>
      <c r="Q785" s="2">
        <v>23.038772999999999</v>
      </c>
    </row>
    <row r="786" spans="1:17" x14ac:dyDescent="0.25">
      <c r="A786" s="2">
        <v>922</v>
      </c>
      <c r="B786" s="2" t="s">
        <v>148</v>
      </c>
      <c r="C786" s="2">
        <v>22</v>
      </c>
      <c r="D786" s="2">
        <f t="shared" si="120"/>
        <v>55.88</v>
      </c>
      <c r="E786" s="2">
        <f t="shared" si="121"/>
        <v>17.787156439950223</v>
      </c>
      <c r="F786" s="2">
        <f t="shared" si="122"/>
        <v>7.0028174960433951</v>
      </c>
      <c r="G786" s="2">
        <v>2.5834069999999998</v>
      </c>
      <c r="H786" s="2">
        <f t="shared" si="123"/>
        <v>8.4757450218799999</v>
      </c>
      <c r="I786" s="2">
        <f>INDEX('Wood Density Lookup'!$B$2:$B$152,MATCH(B786,'Wood Density Lookup'!$A$2:$A$152,0))</f>
        <v>0.5</v>
      </c>
      <c r="J786" s="2">
        <f t="shared" si="124"/>
        <v>23.807726720719504</v>
      </c>
      <c r="K786" s="2">
        <f t="shared" si="128"/>
        <v>6.6661634818014619</v>
      </c>
      <c r="L786" s="2">
        <f t="shared" si="129"/>
        <v>30.473890202520966</v>
      </c>
      <c r="M786" s="2">
        <f t="shared" si="125"/>
        <v>22.093570396827701</v>
      </c>
      <c r="N786" s="2">
        <f t="shared" si="126"/>
        <v>11.046785198413851</v>
      </c>
      <c r="O786" s="2">
        <f t="shared" si="127"/>
        <v>40.541701678178832</v>
      </c>
      <c r="P786" s="2">
        <v>72.550227000000007</v>
      </c>
      <c r="Q786" s="2">
        <v>23.038305000000001</v>
      </c>
    </row>
    <row r="787" spans="1:17" x14ac:dyDescent="0.25">
      <c r="A787" s="2">
        <v>923</v>
      </c>
      <c r="B787" s="2" t="s">
        <v>15</v>
      </c>
      <c r="C787" s="2">
        <v>11</v>
      </c>
      <c r="D787" s="2">
        <f t="shared" si="120"/>
        <v>27.94</v>
      </c>
      <c r="E787" s="2">
        <f t="shared" si="121"/>
        <v>8.8935782199751117</v>
      </c>
      <c r="F787" s="2">
        <f t="shared" si="122"/>
        <v>3.5014087480216975</v>
      </c>
      <c r="G787" s="2">
        <v>10.011627000000001</v>
      </c>
      <c r="H787" s="2">
        <f t="shared" si="123"/>
        <v>32.846546326679999</v>
      </c>
      <c r="I787" s="2">
        <f>INDEX('Wood Density Lookup'!$B$2:$B$152,MATCH(B787,'Wood Density Lookup'!$A$2:$A$152,0))</f>
        <v>0.75</v>
      </c>
      <c r="J787" s="2">
        <f t="shared" si="124"/>
        <v>34.289787290754887</v>
      </c>
      <c r="K787" s="2">
        <f t="shared" si="128"/>
        <v>9.6011404414113688</v>
      </c>
      <c r="L787" s="2">
        <f t="shared" si="129"/>
        <v>43.890927732166254</v>
      </c>
      <c r="M787" s="2">
        <f t="shared" si="125"/>
        <v>31.820922605820535</v>
      </c>
      <c r="N787" s="2">
        <f t="shared" si="126"/>
        <v>15.910461302910267</v>
      </c>
      <c r="O787" s="2">
        <f t="shared" si="127"/>
        <v>58.391392981680681</v>
      </c>
      <c r="P787" s="2">
        <v>72.550229000000002</v>
      </c>
      <c r="Q787" s="2">
        <v>23.036439000000001</v>
      </c>
    </row>
    <row r="788" spans="1:17" x14ac:dyDescent="0.25">
      <c r="A788" s="2">
        <v>924</v>
      </c>
      <c r="B788" s="2" t="s">
        <v>148</v>
      </c>
      <c r="C788" s="2">
        <v>5</v>
      </c>
      <c r="D788" s="2">
        <f t="shared" si="120"/>
        <v>12.7</v>
      </c>
      <c r="E788" s="2">
        <f t="shared" si="121"/>
        <v>4.0425355545341413</v>
      </c>
      <c r="F788" s="2">
        <f t="shared" si="122"/>
        <v>1.5915494309189535</v>
      </c>
      <c r="G788" s="2">
        <v>2.1626069999999999</v>
      </c>
      <c r="H788" s="2">
        <f t="shared" si="123"/>
        <v>7.0951675498800002</v>
      </c>
      <c r="I788" s="2">
        <f>INDEX('Wood Density Lookup'!$B$2:$B$152,MATCH(B788,'Wood Density Lookup'!$A$2:$A$152,0))</f>
        <v>0.5</v>
      </c>
      <c r="J788" s="2">
        <f t="shared" si="124"/>
        <v>1.1100338999512973</v>
      </c>
      <c r="K788" s="2">
        <f t="shared" si="128"/>
        <v>0.31080949198636326</v>
      </c>
      <c r="L788" s="2">
        <f t="shared" si="129"/>
        <v>1.4208433919376606</v>
      </c>
      <c r="M788" s="2">
        <f t="shared" si="125"/>
        <v>1.030111459154804</v>
      </c>
      <c r="N788" s="2">
        <f t="shared" si="126"/>
        <v>0.51505572957740198</v>
      </c>
      <c r="O788" s="2">
        <f t="shared" si="127"/>
        <v>1.8902545275490652</v>
      </c>
      <c r="P788" s="2">
        <v>72.550229000000002</v>
      </c>
      <c r="Q788" s="2">
        <v>23.036104000000002</v>
      </c>
    </row>
    <row r="789" spans="1:17" x14ac:dyDescent="0.25">
      <c r="A789" s="2">
        <v>925</v>
      </c>
      <c r="B789" s="2" t="s">
        <v>134</v>
      </c>
      <c r="C789" s="2">
        <v>78</v>
      </c>
      <c r="D789" s="2">
        <f t="shared" si="120"/>
        <v>198.12</v>
      </c>
      <c r="E789" s="2">
        <f t="shared" si="121"/>
        <v>63.063554650732613</v>
      </c>
      <c r="F789" s="2">
        <f t="shared" si="122"/>
        <v>24.828171122335672</v>
      </c>
      <c r="G789" s="2">
        <v>8.7825120000000005</v>
      </c>
      <c r="H789" s="2">
        <f t="shared" si="123"/>
        <v>28.814016670080001</v>
      </c>
      <c r="I789" s="2">
        <f>INDEX('Wood Density Lookup'!$B$2:$B$152,MATCH(B789,'Wood Density Lookup'!$A$2:$A$152,0))</f>
        <v>0.65</v>
      </c>
      <c r="J789" s="2">
        <f t="shared" si="124"/>
        <v>1201.0412675109631</v>
      </c>
      <c r="K789" s="2">
        <f t="shared" si="128"/>
        <v>336.29155490306971</v>
      </c>
      <c r="L789" s="2">
        <f t="shared" si="129"/>
        <v>1537.3328224140328</v>
      </c>
      <c r="M789" s="2">
        <f t="shared" si="125"/>
        <v>1114.5662962501738</v>
      </c>
      <c r="N789" s="2">
        <f t="shared" si="126"/>
        <v>557.28314812508688</v>
      </c>
      <c r="O789" s="2">
        <f t="shared" si="127"/>
        <v>2045.2291536190687</v>
      </c>
      <c r="P789" s="2">
        <v>72.550229999999999</v>
      </c>
      <c r="Q789" s="2">
        <v>23.036434</v>
      </c>
    </row>
    <row r="790" spans="1:17" x14ac:dyDescent="0.25">
      <c r="A790" s="2">
        <v>926</v>
      </c>
      <c r="B790" s="2" t="s">
        <v>15</v>
      </c>
      <c r="C790" s="2">
        <v>81</v>
      </c>
      <c r="D790" s="2">
        <f t="shared" si="120"/>
        <v>205.74</v>
      </c>
      <c r="E790" s="2">
        <f t="shared" si="121"/>
        <v>65.489075983453091</v>
      </c>
      <c r="F790" s="2">
        <f t="shared" si="122"/>
        <v>25.783100780887047</v>
      </c>
      <c r="G790" s="2">
        <v>12.87297</v>
      </c>
      <c r="H790" s="2">
        <f t="shared" si="123"/>
        <v>42.2341548948</v>
      </c>
      <c r="I790" s="2">
        <f>INDEX('Wood Density Lookup'!$B$2:$B$152,MATCH(B790,'Wood Density Lookup'!$A$2:$A$152,0))</f>
        <v>0.75</v>
      </c>
      <c r="J790" s="2">
        <f t="shared" si="124"/>
        <v>2159.1506456575262</v>
      </c>
      <c r="K790" s="2">
        <f t="shared" si="128"/>
        <v>604.56218078410734</v>
      </c>
      <c r="L790" s="2">
        <f t="shared" si="129"/>
        <v>2763.7128264416333</v>
      </c>
      <c r="M790" s="2">
        <f t="shared" si="125"/>
        <v>2003.6917991701841</v>
      </c>
      <c r="N790" s="2">
        <f t="shared" si="126"/>
        <v>1001.8458995850921</v>
      </c>
      <c r="O790" s="2">
        <f t="shared" si="127"/>
        <v>3676.774451477288</v>
      </c>
      <c r="P790" s="2">
        <v>72.550235000000001</v>
      </c>
      <c r="Q790" s="2">
        <v>23.034870000000002</v>
      </c>
    </row>
    <row r="791" spans="1:17" x14ac:dyDescent="0.25">
      <c r="A791" s="2">
        <v>927</v>
      </c>
      <c r="B791" s="2" t="s">
        <v>32</v>
      </c>
      <c r="C791" s="2">
        <v>27</v>
      </c>
      <c r="D791" s="2">
        <f t="shared" si="120"/>
        <v>68.58</v>
      </c>
      <c r="E791" s="2">
        <f t="shared" si="121"/>
        <v>21.829691994484364</v>
      </c>
      <c r="F791" s="2">
        <f t="shared" si="122"/>
        <v>8.5943669269623477</v>
      </c>
      <c r="G791" s="2">
        <v>10.122534999999999</v>
      </c>
      <c r="H791" s="2">
        <f t="shared" si="123"/>
        <v>33.2104177294</v>
      </c>
      <c r="I791" s="2">
        <f>INDEX('Wood Density Lookup'!$B$2:$B$152,MATCH(B791,'Wood Density Lookup'!$A$2:$A$152,0))</f>
        <v>0.7</v>
      </c>
      <c r="J791" s="2">
        <f t="shared" si="124"/>
        <v>186.98812484636269</v>
      </c>
      <c r="K791" s="2">
        <f t="shared" si="128"/>
        <v>52.356674956981557</v>
      </c>
      <c r="L791" s="2">
        <f t="shared" si="129"/>
        <v>239.34479980334424</v>
      </c>
      <c r="M791" s="2">
        <f t="shared" si="125"/>
        <v>173.52497985742457</v>
      </c>
      <c r="N791" s="2">
        <f t="shared" si="126"/>
        <v>86.762489928712284</v>
      </c>
      <c r="O791" s="2">
        <f t="shared" si="127"/>
        <v>318.41833803837409</v>
      </c>
      <c r="P791" s="2">
        <v>72.550235999999998</v>
      </c>
      <c r="Q791" s="2">
        <v>23.035219999999999</v>
      </c>
    </row>
    <row r="792" spans="1:17" x14ac:dyDescent="0.25">
      <c r="A792" s="2">
        <v>928</v>
      </c>
      <c r="B792" s="2" t="s">
        <v>107</v>
      </c>
      <c r="C792" s="2">
        <v>8</v>
      </c>
      <c r="D792" s="2">
        <f t="shared" si="120"/>
        <v>20.32</v>
      </c>
      <c r="E792" s="2">
        <f t="shared" si="121"/>
        <v>6.4680568872546269</v>
      </c>
      <c r="F792" s="2">
        <f t="shared" si="122"/>
        <v>2.5464790894703255</v>
      </c>
      <c r="G792" s="2">
        <v>9.9424460000000003</v>
      </c>
      <c r="H792" s="2">
        <f t="shared" si="123"/>
        <v>32.619574534640002</v>
      </c>
      <c r="I792" s="2">
        <f>INDEX('Wood Density Lookup'!$B$2:$B$152,MATCH(B792,'Wood Density Lookup'!$A$2:$A$152,0))</f>
        <v>0.65</v>
      </c>
      <c r="J792" s="2">
        <f t="shared" si="124"/>
        <v>15.907517928411611</v>
      </c>
      <c r="K792" s="2">
        <f t="shared" si="128"/>
        <v>4.4541050199552519</v>
      </c>
      <c r="L792" s="2">
        <f t="shared" si="129"/>
        <v>20.361622948366865</v>
      </c>
      <c r="M792" s="2">
        <f t="shared" si="125"/>
        <v>14.762176637565977</v>
      </c>
      <c r="N792" s="2">
        <f t="shared" si="126"/>
        <v>7.3810883187829885</v>
      </c>
      <c r="O792" s="2">
        <f t="shared" si="127"/>
        <v>27.088594129933568</v>
      </c>
      <c r="P792" s="2">
        <v>72.550235999999998</v>
      </c>
      <c r="Q792" s="2">
        <v>23.035183</v>
      </c>
    </row>
    <row r="793" spans="1:17" x14ac:dyDescent="0.25">
      <c r="A793" s="2">
        <v>929</v>
      </c>
      <c r="B793" s="2" t="s">
        <v>148</v>
      </c>
      <c r="C793" s="2">
        <v>6</v>
      </c>
      <c r="D793" s="2">
        <f t="shared" si="120"/>
        <v>15.24</v>
      </c>
      <c r="E793" s="2">
        <f t="shared" si="121"/>
        <v>4.8510426654409704</v>
      </c>
      <c r="F793" s="2">
        <f t="shared" si="122"/>
        <v>1.909859317102744</v>
      </c>
      <c r="G793" s="2">
        <v>2.022697</v>
      </c>
      <c r="H793" s="2">
        <f t="shared" si="123"/>
        <v>6.63614522548</v>
      </c>
      <c r="I793" s="2">
        <f>INDEX('Wood Density Lookup'!$B$2:$B$152,MATCH(B793,'Wood Density Lookup'!$A$2:$A$152,0))</f>
        <v>0.5</v>
      </c>
      <c r="J793" s="2">
        <f t="shared" si="124"/>
        <v>1.484391240742071</v>
      </c>
      <c r="K793" s="2">
        <f t="shared" si="128"/>
        <v>0.41562954740777991</v>
      </c>
      <c r="L793" s="2">
        <f t="shared" si="129"/>
        <v>1.9000207881498508</v>
      </c>
      <c r="M793" s="2">
        <f t="shared" si="125"/>
        <v>1.3775150714086417</v>
      </c>
      <c r="N793" s="2">
        <f t="shared" si="126"/>
        <v>0.68875753570432086</v>
      </c>
      <c r="O793" s="2">
        <f t="shared" si="127"/>
        <v>2.5277401560348576</v>
      </c>
      <c r="P793" s="2">
        <v>72.550236999999996</v>
      </c>
      <c r="Q793" s="2">
        <v>23.036104000000002</v>
      </c>
    </row>
    <row r="794" spans="1:17" x14ac:dyDescent="0.25">
      <c r="A794" s="2">
        <v>930</v>
      </c>
      <c r="B794" s="2" t="s">
        <v>141</v>
      </c>
      <c r="C794" s="2">
        <v>6</v>
      </c>
      <c r="D794" s="2">
        <f t="shared" si="120"/>
        <v>15.24</v>
      </c>
      <c r="E794" s="2">
        <f t="shared" si="121"/>
        <v>4.8510426654409704</v>
      </c>
      <c r="F794" s="2">
        <f t="shared" si="122"/>
        <v>1.909859317102744</v>
      </c>
      <c r="G794" s="2">
        <v>5.7484450000000002</v>
      </c>
      <c r="H794" s="2">
        <f t="shared" si="123"/>
        <v>18.8597282938</v>
      </c>
      <c r="I794" s="2">
        <f>INDEX('Wood Density Lookup'!$B$2:$B$152,MATCH(B794,'Wood Density Lookup'!$A$2:$A$152,0))</f>
        <v>0.6</v>
      </c>
      <c r="J794" s="2">
        <f t="shared" si="124"/>
        <v>4.9154350284532722</v>
      </c>
      <c r="K794" s="2">
        <f t="shared" si="128"/>
        <v>1.3763218079669164</v>
      </c>
      <c r="L794" s="2">
        <f t="shared" si="129"/>
        <v>6.2917568364201886</v>
      </c>
      <c r="M794" s="2">
        <f t="shared" si="125"/>
        <v>4.5615237064046363</v>
      </c>
      <c r="N794" s="2">
        <f t="shared" si="126"/>
        <v>2.2807618532023182</v>
      </c>
      <c r="O794" s="2">
        <f t="shared" si="127"/>
        <v>8.3703960012525069</v>
      </c>
      <c r="P794" s="2">
        <v>72.550240000000002</v>
      </c>
      <c r="Q794" s="2">
        <v>23.034458999999998</v>
      </c>
    </row>
    <row r="795" spans="1:17" x14ac:dyDescent="0.25">
      <c r="A795" s="2">
        <v>931</v>
      </c>
      <c r="B795" s="2" t="s">
        <v>148</v>
      </c>
      <c r="C795" s="2">
        <v>5</v>
      </c>
      <c r="D795" s="2">
        <f t="shared" si="120"/>
        <v>12.7</v>
      </c>
      <c r="E795" s="2">
        <f t="shared" si="121"/>
        <v>4.0425355545341413</v>
      </c>
      <c r="F795" s="2">
        <f t="shared" si="122"/>
        <v>1.5915494309189535</v>
      </c>
      <c r="G795" s="2">
        <v>2.1668970000000001</v>
      </c>
      <c r="H795" s="2">
        <f t="shared" si="123"/>
        <v>7.10924235348</v>
      </c>
      <c r="I795" s="2">
        <f>INDEX('Wood Density Lookup'!$B$2:$B$152,MATCH(B795,'Wood Density Lookup'!$A$2:$A$152,0))</f>
        <v>0.5</v>
      </c>
      <c r="J795" s="2">
        <f t="shared" si="124"/>
        <v>1.1121829939740671</v>
      </c>
      <c r="K795" s="2">
        <f t="shared" si="128"/>
        <v>0.31141123831273881</v>
      </c>
      <c r="L795" s="2">
        <f t="shared" si="129"/>
        <v>1.4235942322868058</v>
      </c>
      <c r="M795" s="2">
        <f t="shared" si="125"/>
        <v>1.0321058184079341</v>
      </c>
      <c r="N795" s="2">
        <f t="shared" si="126"/>
        <v>0.51605290920396707</v>
      </c>
      <c r="O795" s="2">
        <f t="shared" si="127"/>
        <v>1.893914176778559</v>
      </c>
      <c r="P795" s="2">
        <v>72.550241999999997</v>
      </c>
      <c r="Q795" s="2">
        <v>23.036104000000002</v>
      </c>
    </row>
    <row r="796" spans="1:17" x14ac:dyDescent="0.25">
      <c r="A796" s="2">
        <v>932</v>
      </c>
      <c r="B796" s="2" t="s">
        <v>107</v>
      </c>
      <c r="C796" s="2">
        <v>122</v>
      </c>
      <c r="D796" s="2">
        <f t="shared" si="120"/>
        <v>309.88</v>
      </c>
      <c r="E796" s="2">
        <f t="shared" si="121"/>
        <v>98.637867530633059</v>
      </c>
      <c r="F796" s="2">
        <f t="shared" si="122"/>
        <v>38.833806114422465</v>
      </c>
      <c r="G796" s="2">
        <v>10.354799999999999</v>
      </c>
      <c r="H796" s="2">
        <f t="shared" si="123"/>
        <v>33.972442031999996</v>
      </c>
      <c r="I796" s="2">
        <f>INDEX('Wood Density Lookup'!$B$2:$B$152,MATCH(B796,'Wood Density Lookup'!$A$2:$A$152,0))</f>
        <v>0.65</v>
      </c>
      <c r="J796" s="2">
        <f t="shared" si="124"/>
        <v>3377.3033205036154</v>
      </c>
      <c r="K796" s="2">
        <f t="shared" si="128"/>
        <v>945.64492974101245</v>
      </c>
      <c r="L796" s="2">
        <f t="shared" si="129"/>
        <v>4322.9482502446281</v>
      </c>
      <c r="M796" s="2">
        <f t="shared" si="125"/>
        <v>3134.1374814273554</v>
      </c>
      <c r="N796" s="2">
        <f t="shared" si="126"/>
        <v>1567.0687407136777</v>
      </c>
      <c r="O796" s="2">
        <f t="shared" si="127"/>
        <v>5751.1422784191973</v>
      </c>
      <c r="P796" s="2">
        <v>72.550242999999995</v>
      </c>
      <c r="Q796" s="2">
        <v>23.035361999999999</v>
      </c>
    </row>
    <row r="797" spans="1:17" x14ac:dyDescent="0.25">
      <c r="A797" s="2">
        <v>933</v>
      </c>
      <c r="B797" s="2" t="s">
        <v>140</v>
      </c>
      <c r="C797" s="2">
        <v>12</v>
      </c>
      <c r="D797" s="2">
        <f t="shared" si="120"/>
        <v>30.48</v>
      </c>
      <c r="E797" s="2">
        <f t="shared" si="121"/>
        <v>9.7020853308819408</v>
      </c>
      <c r="F797" s="2">
        <f t="shared" si="122"/>
        <v>3.8197186342054881</v>
      </c>
      <c r="G797" s="2">
        <v>15.270446</v>
      </c>
      <c r="H797" s="2">
        <f t="shared" si="123"/>
        <v>50.099890054639999</v>
      </c>
      <c r="I797" s="2">
        <f>INDEX('Wood Density Lookup'!$B$2:$B$152,MATCH(B797,'Wood Density Lookup'!$A$2:$A$152,0))</f>
        <v>0.6</v>
      </c>
      <c r="J797" s="2">
        <f t="shared" si="124"/>
        <v>49.350393564858933</v>
      </c>
      <c r="K797" s="2">
        <f t="shared" si="128"/>
        <v>13.818110198160502</v>
      </c>
      <c r="L797" s="2">
        <f t="shared" si="129"/>
        <v>63.168503763019437</v>
      </c>
      <c r="M797" s="2">
        <f t="shared" si="125"/>
        <v>45.797165228189094</v>
      </c>
      <c r="N797" s="2">
        <f t="shared" si="126"/>
        <v>22.898582614094547</v>
      </c>
      <c r="O797" s="2">
        <f t="shared" si="127"/>
        <v>84.037798193726985</v>
      </c>
      <c r="P797" s="2">
        <v>72.550247999999996</v>
      </c>
      <c r="Q797" s="2">
        <v>23.036864000000001</v>
      </c>
    </row>
    <row r="798" spans="1:17" x14ac:dyDescent="0.25">
      <c r="A798" s="2">
        <v>934</v>
      </c>
      <c r="B798" s="2" t="s">
        <v>141</v>
      </c>
      <c r="C798" s="2">
        <v>8</v>
      </c>
      <c r="D798" s="2">
        <f t="shared" si="120"/>
        <v>20.32</v>
      </c>
      <c r="E798" s="2">
        <f t="shared" si="121"/>
        <v>6.4680568872546269</v>
      </c>
      <c r="F798" s="2">
        <f t="shared" si="122"/>
        <v>2.5464790894703255</v>
      </c>
      <c r="G798" s="2">
        <v>5.9093980000000004</v>
      </c>
      <c r="H798" s="2">
        <f t="shared" si="123"/>
        <v>19.387789334320001</v>
      </c>
      <c r="I798" s="2">
        <f>INDEX('Wood Density Lookup'!$B$2:$B$152,MATCH(B798,'Wood Density Lookup'!$A$2:$A$152,0))</f>
        <v>0.6</v>
      </c>
      <c r="J798" s="2">
        <f t="shared" si="124"/>
        <v>8.8541608143041159</v>
      </c>
      <c r="K798" s="2">
        <f t="shared" si="128"/>
        <v>2.4791650280051525</v>
      </c>
      <c r="L798" s="2">
        <f t="shared" si="129"/>
        <v>11.333325842309268</v>
      </c>
      <c r="M798" s="2">
        <f t="shared" si="125"/>
        <v>8.2166612356742199</v>
      </c>
      <c r="N798" s="2">
        <f t="shared" si="126"/>
        <v>4.10833061783711</v>
      </c>
      <c r="O798" s="2">
        <f t="shared" si="127"/>
        <v>15.077573367462193</v>
      </c>
      <c r="P798" s="2">
        <v>72.550247999999996</v>
      </c>
      <c r="Q798" s="2">
        <v>23.034464</v>
      </c>
    </row>
    <row r="799" spans="1:17" x14ac:dyDescent="0.25">
      <c r="A799" s="2">
        <v>935</v>
      </c>
      <c r="B799" s="2" t="s">
        <v>148</v>
      </c>
      <c r="C799" s="2">
        <v>4</v>
      </c>
      <c r="D799" s="2">
        <f t="shared" si="120"/>
        <v>10.16</v>
      </c>
      <c r="E799" s="2">
        <f t="shared" si="121"/>
        <v>3.2340284436273135</v>
      </c>
      <c r="F799" s="2">
        <f t="shared" si="122"/>
        <v>1.2732395447351628</v>
      </c>
      <c r="G799" s="2">
        <v>2.1585489999999998</v>
      </c>
      <c r="H799" s="2">
        <f t="shared" si="123"/>
        <v>7.0818539011599997</v>
      </c>
      <c r="I799" s="2">
        <f>INDEX('Wood Density Lookup'!$B$2:$B$152,MATCH(B799,'Wood Density Lookup'!$A$2:$A$152,0))</f>
        <v>0.5</v>
      </c>
      <c r="J799" s="2">
        <f t="shared" si="124"/>
        <v>0.71675673216666946</v>
      </c>
      <c r="K799" s="2">
        <f t="shared" si="128"/>
        <v>0.20069188500666746</v>
      </c>
      <c r="L799" s="2">
        <f t="shared" si="129"/>
        <v>0.91744861717333692</v>
      </c>
      <c r="M799" s="2">
        <f t="shared" si="125"/>
        <v>0.6651502474506692</v>
      </c>
      <c r="N799" s="2">
        <f t="shared" si="126"/>
        <v>0.3325751237253346</v>
      </c>
      <c r="O799" s="2">
        <f t="shared" si="127"/>
        <v>1.2205507040719779</v>
      </c>
      <c r="P799" s="2">
        <v>72.550250000000005</v>
      </c>
      <c r="Q799" s="2">
        <v>23.036104999999999</v>
      </c>
    </row>
    <row r="800" spans="1:17" x14ac:dyDescent="0.25">
      <c r="A800" s="2">
        <v>936</v>
      </c>
      <c r="B800" s="2" t="s">
        <v>134</v>
      </c>
      <c r="C800" s="2">
        <v>21</v>
      </c>
      <c r="D800" s="2">
        <f t="shared" si="120"/>
        <v>53.34</v>
      </c>
      <c r="E800" s="2">
        <f t="shared" si="121"/>
        <v>16.978649329043396</v>
      </c>
      <c r="F800" s="2">
        <f t="shared" si="122"/>
        <v>6.6845076098596046</v>
      </c>
      <c r="G800" s="2">
        <v>4.0277830000000003</v>
      </c>
      <c r="H800" s="2">
        <f t="shared" si="123"/>
        <v>13.214511577720002</v>
      </c>
      <c r="I800" s="2">
        <f>INDEX('Wood Density Lookup'!$B$2:$B$152,MATCH(B800,'Wood Density Lookup'!$A$2:$A$152,0))</f>
        <v>0.65</v>
      </c>
      <c r="J800" s="2">
        <f t="shared" si="124"/>
        <v>43.324534583390246</v>
      </c>
      <c r="K800" s="2">
        <f t="shared" si="128"/>
        <v>12.130869683349269</v>
      </c>
      <c r="L800" s="2">
        <f t="shared" si="129"/>
        <v>55.455404266739514</v>
      </c>
      <c r="M800" s="2">
        <f t="shared" si="125"/>
        <v>40.205168093386149</v>
      </c>
      <c r="N800" s="2">
        <f t="shared" si="126"/>
        <v>20.102584046693075</v>
      </c>
      <c r="O800" s="2">
        <f t="shared" si="127"/>
        <v>73.776483451363589</v>
      </c>
      <c r="P800" s="2">
        <v>72.550251000000003</v>
      </c>
      <c r="Q800" s="2">
        <v>23.035432</v>
      </c>
    </row>
    <row r="801" spans="1:17" x14ac:dyDescent="0.25">
      <c r="A801" s="2">
        <v>937</v>
      </c>
      <c r="B801" s="2" t="s">
        <v>143</v>
      </c>
      <c r="C801" s="2">
        <v>32</v>
      </c>
      <c r="D801" s="2">
        <f t="shared" si="120"/>
        <v>81.28</v>
      </c>
      <c r="E801" s="2">
        <f t="shared" si="121"/>
        <v>25.872227549018508</v>
      </c>
      <c r="F801" s="2">
        <f t="shared" si="122"/>
        <v>10.185916357881302</v>
      </c>
      <c r="G801" s="2">
        <v>10.017654</v>
      </c>
      <c r="H801" s="2">
        <f t="shared" si="123"/>
        <v>32.866319949359998</v>
      </c>
      <c r="I801" s="2">
        <f>INDEX('Wood Density Lookup'!$B$2:$B$152,MATCH(B801,'Wood Density Lookup'!$A$2:$A$152,0))</f>
        <v>0.75</v>
      </c>
      <c r="J801" s="2">
        <f t="shared" si="124"/>
        <v>275.85071956298503</v>
      </c>
      <c r="K801" s="2">
        <f t="shared" si="128"/>
        <v>77.238201477635812</v>
      </c>
      <c r="L801" s="2">
        <f t="shared" si="129"/>
        <v>353.08892104062085</v>
      </c>
      <c r="M801" s="2">
        <f t="shared" si="125"/>
        <v>255.98946775445012</v>
      </c>
      <c r="N801" s="2">
        <f t="shared" si="126"/>
        <v>127.99473387722506</v>
      </c>
      <c r="O801" s="2">
        <f t="shared" si="127"/>
        <v>469.74067332941598</v>
      </c>
      <c r="P801" s="2">
        <v>72.550252</v>
      </c>
      <c r="Q801" s="2">
        <v>23.037033999999998</v>
      </c>
    </row>
    <row r="802" spans="1:17" x14ac:dyDescent="0.25">
      <c r="A802" s="2">
        <v>938</v>
      </c>
      <c r="B802" s="2" t="s">
        <v>107</v>
      </c>
      <c r="C802" s="2">
        <v>60</v>
      </c>
      <c r="D802" s="2">
        <f t="shared" si="120"/>
        <v>152.4</v>
      </c>
      <c r="E802" s="2">
        <f t="shared" si="121"/>
        <v>48.510426654409699</v>
      </c>
      <c r="F802" s="2">
        <f t="shared" si="122"/>
        <v>19.098593171027442</v>
      </c>
      <c r="G802" s="2">
        <v>10.157254</v>
      </c>
      <c r="H802" s="2">
        <f t="shared" si="123"/>
        <v>33.324325213359998</v>
      </c>
      <c r="I802" s="2">
        <f>INDEX('Wood Density Lookup'!$B$2:$B$152,MATCH(B802,'Wood Density Lookup'!$A$2:$A$152,0))</f>
        <v>0.65</v>
      </c>
      <c r="J802" s="2">
        <f t="shared" si="124"/>
        <v>829.4348629933271</v>
      </c>
      <c r="K802" s="2">
        <f t="shared" si="128"/>
        <v>232.24176163813161</v>
      </c>
      <c r="L802" s="2">
        <f t="shared" si="129"/>
        <v>1061.6766246314587</v>
      </c>
      <c r="M802" s="2">
        <f t="shared" si="125"/>
        <v>769.71555285780755</v>
      </c>
      <c r="N802" s="2">
        <f t="shared" si="126"/>
        <v>384.85777642890378</v>
      </c>
      <c r="O802" s="2">
        <f t="shared" si="127"/>
        <v>1412.4280394940768</v>
      </c>
      <c r="P802" s="2">
        <v>72.550253999999995</v>
      </c>
      <c r="Q802" s="2">
        <v>23.036054</v>
      </c>
    </row>
    <row r="803" spans="1:17" x14ac:dyDescent="0.25">
      <c r="A803" s="2">
        <v>939</v>
      </c>
      <c r="B803" s="2" t="s">
        <v>148</v>
      </c>
      <c r="C803" s="2">
        <v>6</v>
      </c>
      <c r="D803" s="2">
        <f t="shared" si="120"/>
        <v>15.24</v>
      </c>
      <c r="E803" s="2">
        <f t="shared" si="121"/>
        <v>4.8510426654409704</v>
      </c>
      <c r="F803" s="2">
        <f t="shared" si="122"/>
        <v>1.909859317102744</v>
      </c>
      <c r="G803" s="2">
        <v>2.1987130000000001</v>
      </c>
      <c r="H803" s="2">
        <f t="shared" si="123"/>
        <v>7.2136255589200005</v>
      </c>
      <c r="I803" s="2">
        <f>INDEX('Wood Density Lookup'!$B$2:$B$152,MATCH(B803,'Wood Density Lookup'!$A$2:$A$152,0))</f>
        <v>0.5</v>
      </c>
      <c r="J803" s="2">
        <f t="shared" si="124"/>
        <v>1.6103355911977901</v>
      </c>
      <c r="K803" s="2">
        <f t="shared" si="128"/>
        <v>0.4508939655353813</v>
      </c>
      <c r="L803" s="2">
        <f t="shared" si="129"/>
        <v>2.0612295567331715</v>
      </c>
      <c r="M803" s="2">
        <f t="shared" si="125"/>
        <v>1.4943914286315494</v>
      </c>
      <c r="N803" s="2">
        <f t="shared" si="126"/>
        <v>0.7471957143157747</v>
      </c>
      <c r="O803" s="2">
        <f t="shared" si="127"/>
        <v>2.7422082715388929</v>
      </c>
      <c r="P803" s="2">
        <v>72.550255000000007</v>
      </c>
      <c r="Q803" s="2">
        <v>23.036104999999999</v>
      </c>
    </row>
    <row r="804" spans="1:17" x14ac:dyDescent="0.25">
      <c r="A804" s="2">
        <v>940</v>
      </c>
      <c r="B804" s="2" t="s">
        <v>15</v>
      </c>
      <c r="C804" s="2">
        <v>157</v>
      </c>
      <c r="D804" s="2">
        <f t="shared" si="120"/>
        <v>398.78000000000003</v>
      </c>
      <c r="E804" s="2">
        <f t="shared" si="121"/>
        <v>126.93561641237206</v>
      </c>
      <c r="F804" s="2">
        <f t="shared" si="122"/>
        <v>49.974652130855141</v>
      </c>
      <c r="G804" s="2">
        <v>14.751139</v>
      </c>
      <c r="H804" s="2">
        <f t="shared" si="123"/>
        <v>48.39612687676</v>
      </c>
      <c r="I804" s="2">
        <f>INDEX('Wood Density Lookup'!$B$2:$B$152,MATCH(B804,'Wood Density Lookup'!$A$2:$A$152,0))</f>
        <v>0.75</v>
      </c>
      <c r="J804" s="2">
        <f t="shared" si="124"/>
        <v>8975.1886167447337</v>
      </c>
      <c r="K804" s="2">
        <f t="shared" si="128"/>
        <v>2513.0528126885256</v>
      </c>
      <c r="L804" s="2">
        <f t="shared" si="129"/>
        <v>11488.241429433259</v>
      </c>
      <c r="M804" s="2">
        <f t="shared" si="125"/>
        <v>8328.9750363391122</v>
      </c>
      <c r="N804" s="2">
        <f t="shared" si="126"/>
        <v>4164.4875181695561</v>
      </c>
      <c r="O804" s="2">
        <f t="shared" si="127"/>
        <v>15283.669191682271</v>
      </c>
      <c r="P804" s="2">
        <v>72.550257000000002</v>
      </c>
      <c r="Q804" s="2">
        <v>23.038688</v>
      </c>
    </row>
    <row r="805" spans="1:17" x14ac:dyDescent="0.25">
      <c r="A805" s="2">
        <v>941</v>
      </c>
      <c r="B805" s="2" t="s">
        <v>143</v>
      </c>
      <c r="C805" s="2">
        <v>65</v>
      </c>
      <c r="D805" s="2">
        <f t="shared" si="120"/>
        <v>165.1</v>
      </c>
      <c r="E805" s="2">
        <f t="shared" si="121"/>
        <v>52.552962208943839</v>
      </c>
      <c r="F805" s="2">
        <f t="shared" si="122"/>
        <v>20.690142601946395</v>
      </c>
      <c r="G805" s="2">
        <v>13.667297</v>
      </c>
      <c r="H805" s="2">
        <f t="shared" si="123"/>
        <v>44.84021468948</v>
      </c>
      <c r="I805" s="2">
        <f>INDEX('Wood Density Lookup'!$B$2:$B$152,MATCH(B805,'Wood Density Lookup'!$A$2:$A$152,0))</f>
        <v>0.75</v>
      </c>
      <c r="J805" s="2">
        <f t="shared" si="124"/>
        <v>1489.7275235781453</v>
      </c>
      <c r="K805" s="2">
        <f t="shared" si="128"/>
        <v>417.12370660188071</v>
      </c>
      <c r="L805" s="2">
        <f t="shared" si="129"/>
        <v>1906.8512301800261</v>
      </c>
      <c r="M805" s="2">
        <f t="shared" si="125"/>
        <v>1382.4671418805187</v>
      </c>
      <c r="N805" s="2">
        <f t="shared" si="126"/>
        <v>691.23357094025937</v>
      </c>
      <c r="O805" s="2">
        <f t="shared" si="127"/>
        <v>2536.8272053507517</v>
      </c>
      <c r="P805" s="2">
        <v>72.550257000000002</v>
      </c>
      <c r="Q805" s="2">
        <v>23.037282999999999</v>
      </c>
    </row>
    <row r="806" spans="1:17" x14ac:dyDescent="0.25">
      <c r="A806" s="2">
        <v>942</v>
      </c>
      <c r="B806" s="2" t="s">
        <v>141</v>
      </c>
      <c r="C806" s="2">
        <v>6</v>
      </c>
      <c r="D806" s="2">
        <f t="shared" si="120"/>
        <v>15.24</v>
      </c>
      <c r="E806" s="2">
        <f t="shared" si="121"/>
        <v>4.8510426654409704</v>
      </c>
      <c r="F806" s="2">
        <f t="shared" si="122"/>
        <v>1.909859317102744</v>
      </c>
      <c r="G806" s="2">
        <v>5.553814</v>
      </c>
      <c r="H806" s="2">
        <f t="shared" si="123"/>
        <v>18.221175123759998</v>
      </c>
      <c r="I806" s="2">
        <f>INDEX('Wood Density Lookup'!$B$2:$B$152,MATCH(B806,'Wood Density Lookup'!$A$2:$A$152,0))</f>
        <v>0.6</v>
      </c>
      <c r="J806" s="2">
        <f t="shared" si="124"/>
        <v>4.752935576086843</v>
      </c>
      <c r="K806" s="2">
        <f t="shared" si="128"/>
        <v>1.3308219613043162</v>
      </c>
      <c r="L806" s="2">
        <f t="shared" si="129"/>
        <v>6.0837575373911594</v>
      </c>
      <c r="M806" s="2">
        <f t="shared" si="125"/>
        <v>4.4107242146085905</v>
      </c>
      <c r="N806" s="2">
        <f t="shared" si="126"/>
        <v>2.2053621073042953</v>
      </c>
      <c r="O806" s="2">
        <f t="shared" si="127"/>
        <v>8.0936789338067641</v>
      </c>
      <c r="P806" s="2">
        <v>72.550257999999999</v>
      </c>
      <c r="Q806" s="2">
        <v>23.034466999999999</v>
      </c>
    </row>
    <row r="807" spans="1:17" x14ac:dyDescent="0.25">
      <c r="A807" s="2">
        <v>943</v>
      </c>
      <c r="B807" s="2" t="s">
        <v>134</v>
      </c>
      <c r="C807" s="2">
        <v>43</v>
      </c>
      <c r="D807" s="2">
        <f t="shared" si="120"/>
        <v>109.22</v>
      </c>
      <c r="E807" s="2">
        <f t="shared" si="121"/>
        <v>34.765805768993616</v>
      </c>
      <c r="F807" s="2">
        <f t="shared" si="122"/>
        <v>13.687325105903</v>
      </c>
      <c r="G807" s="2">
        <v>4.0560010000000002</v>
      </c>
      <c r="H807" s="2">
        <f t="shared" si="123"/>
        <v>13.30709032084</v>
      </c>
      <c r="I807" s="2">
        <f>INDEX('Wood Density Lookup'!$B$2:$B$152,MATCH(B807,'Wood Density Lookup'!$A$2:$A$152,0))</f>
        <v>0.65</v>
      </c>
      <c r="J807" s="2">
        <f t="shared" si="124"/>
        <v>176.70607851262724</v>
      </c>
      <c r="K807" s="2">
        <f t="shared" si="128"/>
        <v>49.477701983535631</v>
      </c>
      <c r="L807" s="2">
        <f t="shared" si="129"/>
        <v>226.18378049616288</v>
      </c>
      <c r="M807" s="2">
        <f t="shared" si="125"/>
        <v>163.98324085971808</v>
      </c>
      <c r="N807" s="2">
        <f t="shared" si="126"/>
        <v>81.99162042985904</v>
      </c>
      <c r="O807" s="2">
        <f t="shared" si="127"/>
        <v>300.90924697758265</v>
      </c>
      <c r="P807" s="2">
        <v>72.550258999999997</v>
      </c>
      <c r="Q807" s="2">
        <v>23.035478000000001</v>
      </c>
    </row>
    <row r="808" spans="1:17" x14ac:dyDescent="0.25">
      <c r="A808" s="2">
        <v>944</v>
      </c>
      <c r="B808" s="2" t="s">
        <v>10</v>
      </c>
      <c r="C808" s="2">
        <v>37</v>
      </c>
      <c r="D808" s="2">
        <f t="shared" si="120"/>
        <v>93.98</v>
      </c>
      <c r="E808" s="2">
        <f t="shared" si="121"/>
        <v>29.914763103552648</v>
      </c>
      <c r="F808" s="2">
        <f t="shared" si="122"/>
        <v>11.777465788800255</v>
      </c>
      <c r="G808" s="2">
        <v>6.2974519999999998</v>
      </c>
      <c r="H808" s="2">
        <f t="shared" si="123"/>
        <v>20.660932419679998</v>
      </c>
      <c r="I808" s="2">
        <f>INDEX('Wood Density Lookup'!$B$2:$B$152,MATCH(B808,'Wood Density Lookup'!$A$2:$A$152,0))</f>
        <v>0.65</v>
      </c>
      <c r="J808" s="2">
        <f t="shared" si="124"/>
        <v>202.45664616420177</v>
      </c>
      <c r="K808" s="2">
        <f t="shared" si="128"/>
        <v>56.687860925976501</v>
      </c>
      <c r="L808" s="2">
        <f t="shared" si="129"/>
        <v>259.14450709017825</v>
      </c>
      <c r="M808" s="2">
        <f t="shared" si="125"/>
        <v>187.87976764037921</v>
      </c>
      <c r="N808" s="2">
        <f t="shared" si="126"/>
        <v>93.939883820189607</v>
      </c>
      <c r="O808" s="2">
        <f t="shared" si="127"/>
        <v>344.75937362009586</v>
      </c>
      <c r="P808" s="2">
        <v>72.550259999999994</v>
      </c>
      <c r="Q808" s="2">
        <v>23.038529</v>
      </c>
    </row>
    <row r="809" spans="1:17" x14ac:dyDescent="0.25">
      <c r="A809" s="2">
        <v>945</v>
      </c>
      <c r="B809" s="2" t="s">
        <v>148</v>
      </c>
      <c r="C809" s="2">
        <v>3</v>
      </c>
      <c r="D809" s="2">
        <f t="shared" si="120"/>
        <v>7.62</v>
      </c>
      <c r="E809" s="2">
        <f t="shared" si="121"/>
        <v>2.4255213327204852</v>
      </c>
      <c r="F809" s="2">
        <f t="shared" si="122"/>
        <v>0.95492965855137202</v>
      </c>
      <c r="G809" s="2">
        <v>2.2917130000000001</v>
      </c>
      <c r="H809" s="2">
        <f t="shared" si="123"/>
        <v>7.51874367892</v>
      </c>
      <c r="I809" s="2">
        <f>INDEX('Wood Density Lookup'!$B$2:$B$152,MATCH(B809,'Wood Density Lookup'!$A$2:$A$152,0))</f>
        <v>0.5</v>
      </c>
      <c r="J809" s="2">
        <f t="shared" si="124"/>
        <v>0.43337686525253194</v>
      </c>
      <c r="K809" s="2">
        <f t="shared" si="128"/>
        <v>0.12134552227070895</v>
      </c>
      <c r="L809" s="2">
        <f t="shared" si="129"/>
        <v>0.55472238752324088</v>
      </c>
      <c r="M809" s="2">
        <f t="shared" si="125"/>
        <v>0.40217373095434961</v>
      </c>
      <c r="N809" s="2">
        <f t="shared" si="126"/>
        <v>0.2010868654771748</v>
      </c>
      <c r="O809" s="2">
        <f t="shared" si="127"/>
        <v>0.73798879630123149</v>
      </c>
      <c r="P809" s="2">
        <v>72.550259999999994</v>
      </c>
      <c r="Q809" s="2">
        <v>23.036104999999999</v>
      </c>
    </row>
    <row r="810" spans="1:17" x14ac:dyDescent="0.25">
      <c r="A810" s="2">
        <v>946</v>
      </c>
      <c r="B810" s="2" t="s">
        <v>121</v>
      </c>
      <c r="C810" s="2">
        <v>19</v>
      </c>
      <c r="D810" s="2">
        <f t="shared" si="120"/>
        <v>48.26</v>
      </c>
      <c r="E810" s="2">
        <f t="shared" si="121"/>
        <v>15.361635107229738</v>
      </c>
      <c r="F810" s="2">
        <f t="shared" si="122"/>
        <v>6.0478878374920226</v>
      </c>
      <c r="G810" s="2">
        <v>1.488637</v>
      </c>
      <c r="H810" s="2">
        <f t="shared" si="123"/>
        <v>4.88397981508</v>
      </c>
      <c r="I810" s="2">
        <f>INDEX('Wood Density Lookup'!$B$2:$B$152,MATCH(B810,'Wood Density Lookup'!$A$2:$A$152,0))</f>
        <v>0.75</v>
      </c>
      <c r="J810" s="2">
        <f t="shared" si="124"/>
        <v>15.511101060297877</v>
      </c>
      <c r="K810" s="2">
        <f t="shared" si="128"/>
        <v>4.3431082968834058</v>
      </c>
      <c r="L810" s="2">
        <f t="shared" si="129"/>
        <v>19.854209357181283</v>
      </c>
      <c r="M810" s="2">
        <f t="shared" si="125"/>
        <v>14.394301783956429</v>
      </c>
      <c r="N810" s="2">
        <f t="shared" si="126"/>
        <v>7.1971508919782146</v>
      </c>
      <c r="O810" s="2">
        <f t="shared" si="127"/>
        <v>26.413543773560047</v>
      </c>
      <c r="P810" s="2">
        <v>72.550261000000006</v>
      </c>
      <c r="Q810" s="2">
        <v>23.038350000000001</v>
      </c>
    </row>
    <row r="811" spans="1:17" x14ac:dyDescent="0.25">
      <c r="A811" s="2">
        <v>947</v>
      </c>
      <c r="B811" s="2" t="s">
        <v>87</v>
      </c>
      <c r="C811" s="2">
        <v>13</v>
      </c>
      <c r="D811" s="2">
        <f t="shared" si="120"/>
        <v>33.020000000000003</v>
      </c>
      <c r="E811" s="2">
        <f t="shared" si="121"/>
        <v>10.51059244178877</v>
      </c>
      <c r="F811" s="2">
        <f t="shared" si="122"/>
        <v>4.1380285203892786</v>
      </c>
      <c r="G811" s="2">
        <v>2.3364579999999999</v>
      </c>
      <c r="H811" s="2">
        <f t="shared" si="123"/>
        <v>7.6655448647199993</v>
      </c>
      <c r="I811" s="2">
        <f>INDEX('Wood Density Lookup'!$B$2:$B$152,MATCH(B811,'Wood Density Lookup'!$A$2:$A$152,0))</f>
        <v>0.9</v>
      </c>
      <c r="J811" s="2">
        <f t="shared" si="124"/>
        <v>13.717805080711321</v>
      </c>
      <c r="K811" s="2">
        <f t="shared" si="128"/>
        <v>3.8409854225991702</v>
      </c>
      <c r="L811" s="2">
        <f t="shared" si="129"/>
        <v>17.55879050331049</v>
      </c>
      <c r="M811" s="2">
        <f t="shared" si="125"/>
        <v>12.730123114900104</v>
      </c>
      <c r="N811" s="2">
        <f t="shared" si="126"/>
        <v>6.3650615574500522</v>
      </c>
      <c r="O811" s="2">
        <f t="shared" si="127"/>
        <v>23.359775915841691</v>
      </c>
      <c r="P811" s="2">
        <v>72.550263999999999</v>
      </c>
      <c r="Q811" s="2">
        <v>23.038589999999999</v>
      </c>
    </row>
    <row r="812" spans="1:17" x14ac:dyDescent="0.25">
      <c r="A812" s="2">
        <v>948</v>
      </c>
      <c r="B812" s="2" t="s">
        <v>148</v>
      </c>
      <c r="C812" s="2">
        <v>7</v>
      </c>
      <c r="D812" s="2">
        <f t="shared" si="120"/>
        <v>17.78</v>
      </c>
      <c r="E812" s="2">
        <f t="shared" si="121"/>
        <v>5.6595497763477987</v>
      </c>
      <c r="F812" s="2">
        <f t="shared" si="122"/>
        <v>2.228169203286535</v>
      </c>
      <c r="G812" s="2">
        <v>2.3242470000000002</v>
      </c>
      <c r="H812" s="2">
        <f t="shared" si="123"/>
        <v>7.6254825274800009</v>
      </c>
      <c r="I812" s="2">
        <f>INDEX('Wood Density Lookup'!$B$2:$B$152,MATCH(B812,'Wood Density Lookup'!$A$2:$A$152,0))</f>
        <v>0.5</v>
      </c>
      <c r="J812" s="2">
        <f t="shared" si="124"/>
        <v>2.2968441642275148</v>
      </c>
      <c r="K812" s="2">
        <f t="shared" si="128"/>
        <v>0.64311636598370425</v>
      </c>
      <c r="L812" s="2">
        <f t="shared" si="129"/>
        <v>2.9399605302112191</v>
      </c>
      <c r="M812" s="2">
        <f t="shared" si="125"/>
        <v>2.1314713844031337</v>
      </c>
      <c r="N812" s="2">
        <f t="shared" si="126"/>
        <v>1.0657356922015668</v>
      </c>
      <c r="O812" s="2">
        <f t="shared" si="127"/>
        <v>3.9112499903797504</v>
      </c>
      <c r="P812" s="2">
        <v>72.550265999999993</v>
      </c>
      <c r="Q812" s="2">
        <v>23.036104999999999</v>
      </c>
    </row>
    <row r="813" spans="1:17" x14ac:dyDescent="0.25">
      <c r="A813" s="2">
        <v>949</v>
      </c>
      <c r="B813" s="2" t="s">
        <v>8</v>
      </c>
      <c r="C813" s="2">
        <v>18</v>
      </c>
      <c r="D813" s="2">
        <f t="shared" si="120"/>
        <v>45.72</v>
      </c>
      <c r="E813" s="2">
        <f t="shared" si="121"/>
        <v>14.55312799632291</v>
      </c>
      <c r="F813" s="2">
        <f t="shared" si="122"/>
        <v>5.7295779513082321</v>
      </c>
      <c r="G813" s="2">
        <v>4.0272050000000004</v>
      </c>
      <c r="H813" s="2">
        <f t="shared" si="123"/>
        <v>13.212615252200001</v>
      </c>
      <c r="I813" s="2">
        <f>INDEX('Wood Density Lookup'!$B$2:$B$152,MATCH(B813,'Wood Density Lookup'!$A$2:$A$152,0))</f>
        <v>0.75</v>
      </c>
      <c r="J813" s="2">
        <f t="shared" si="124"/>
        <v>36.867976186948866</v>
      </c>
      <c r="K813" s="2">
        <f t="shared" si="128"/>
        <v>10.323033332345684</v>
      </c>
      <c r="L813" s="2">
        <f t="shared" si="129"/>
        <v>47.191009519294553</v>
      </c>
      <c r="M813" s="2">
        <f t="shared" si="125"/>
        <v>34.213481901488549</v>
      </c>
      <c r="N813" s="2">
        <f t="shared" si="126"/>
        <v>17.106740950744275</v>
      </c>
      <c r="O813" s="2">
        <f t="shared" si="127"/>
        <v>62.781739289231488</v>
      </c>
      <c r="P813" s="2">
        <v>72.550269999999998</v>
      </c>
      <c r="Q813" s="2">
        <v>23.038315999999998</v>
      </c>
    </row>
    <row r="814" spans="1:17" x14ac:dyDescent="0.25">
      <c r="A814" s="2">
        <v>950</v>
      </c>
      <c r="B814" s="2" t="s">
        <v>148</v>
      </c>
      <c r="C814" s="2">
        <v>15</v>
      </c>
      <c r="D814" s="2">
        <f t="shared" si="120"/>
        <v>38.1</v>
      </c>
      <c r="E814" s="2">
        <f t="shared" si="121"/>
        <v>12.127606663602425</v>
      </c>
      <c r="F814" s="2">
        <f t="shared" si="122"/>
        <v>4.7746482927568605</v>
      </c>
      <c r="G814" s="2">
        <v>5.705419</v>
      </c>
      <c r="H814" s="2">
        <f t="shared" si="123"/>
        <v>18.71856687196</v>
      </c>
      <c r="I814" s="2">
        <f>INDEX('Wood Density Lookup'!$B$2:$B$152,MATCH(B814,'Wood Density Lookup'!$A$2:$A$152,0))</f>
        <v>0.5</v>
      </c>
      <c r="J814" s="2">
        <f t="shared" si="124"/>
        <v>24.427298105486344</v>
      </c>
      <c r="K814" s="2">
        <f t="shared" si="128"/>
        <v>6.8396434695361767</v>
      </c>
      <c r="L814" s="2">
        <f t="shared" si="129"/>
        <v>31.266941575022521</v>
      </c>
      <c r="M814" s="2">
        <f t="shared" si="125"/>
        <v>22.668532641891328</v>
      </c>
      <c r="N814" s="2">
        <f t="shared" si="126"/>
        <v>11.334266320945664</v>
      </c>
      <c r="O814" s="2">
        <f t="shared" si="127"/>
        <v>41.59675739787059</v>
      </c>
      <c r="P814" s="2">
        <v>72.550270999999995</v>
      </c>
      <c r="Q814" s="2">
        <v>23.034462000000001</v>
      </c>
    </row>
    <row r="815" spans="1:17" x14ac:dyDescent="0.25">
      <c r="A815" s="2">
        <v>951</v>
      </c>
      <c r="B815" s="2" t="s">
        <v>148</v>
      </c>
      <c r="C815" s="2">
        <v>4</v>
      </c>
      <c r="D815" s="2">
        <f t="shared" si="120"/>
        <v>10.16</v>
      </c>
      <c r="E815" s="2">
        <f t="shared" si="121"/>
        <v>3.2340284436273135</v>
      </c>
      <c r="F815" s="2">
        <f t="shared" si="122"/>
        <v>1.2732395447351628</v>
      </c>
      <c r="G815" s="2">
        <v>2.3309389999999999</v>
      </c>
      <c r="H815" s="2">
        <f t="shared" si="123"/>
        <v>7.6474379087599997</v>
      </c>
      <c r="I815" s="2">
        <f>INDEX('Wood Density Lookup'!$B$2:$B$152,MATCH(B815,'Wood Density Lookup'!$A$2:$A$152,0))</f>
        <v>0.5</v>
      </c>
      <c r="J815" s="2">
        <f t="shared" si="124"/>
        <v>0.77257370284328397</v>
      </c>
      <c r="K815" s="2">
        <f t="shared" si="128"/>
        <v>0.21632063679611954</v>
      </c>
      <c r="L815" s="2">
        <f t="shared" si="129"/>
        <v>0.98889433963940354</v>
      </c>
      <c r="M815" s="2">
        <f t="shared" si="125"/>
        <v>0.71694839623856754</v>
      </c>
      <c r="N815" s="2">
        <f t="shared" si="126"/>
        <v>0.35847419811928377</v>
      </c>
      <c r="O815" s="2">
        <f t="shared" si="127"/>
        <v>1.3156003070977713</v>
      </c>
      <c r="P815" s="2">
        <v>72.550273000000004</v>
      </c>
      <c r="Q815" s="2">
        <v>23.036104999999999</v>
      </c>
    </row>
    <row r="816" spans="1:17" x14ac:dyDescent="0.25">
      <c r="A816" s="2">
        <v>952</v>
      </c>
      <c r="B816" s="2" t="s">
        <v>115</v>
      </c>
      <c r="C816" s="2">
        <v>14</v>
      </c>
      <c r="D816" s="2">
        <f t="shared" si="120"/>
        <v>35.56</v>
      </c>
      <c r="E816" s="2">
        <f t="shared" si="121"/>
        <v>11.319099552695597</v>
      </c>
      <c r="F816" s="2">
        <f t="shared" si="122"/>
        <v>4.45633840657307</v>
      </c>
      <c r="G816" s="2">
        <v>4.4150710000000002</v>
      </c>
      <c r="H816" s="2">
        <f t="shared" si="123"/>
        <v>14.485141539640001</v>
      </c>
      <c r="I816" s="2">
        <f>INDEX('Wood Density Lookup'!$B$2:$B$152,MATCH(B816,'Wood Density Lookup'!$A$2:$A$152,0))</f>
        <v>0.65</v>
      </c>
      <c r="J816" s="2">
        <f t="shared" si="124"/>
        <v>21.4742733324398</v>
      </c>
      <c r="K816" s="2">
        <f t="shared" si="128"/>
        <v>6.0127965330831445</v>
      </c>
      <c r="L816" s="2">
        <f t="shared" si="129"/>
        <v>27.487069865522944</v>
      </c>
      <c r="M816" s="2">
        <f t="shared" si="125"/>
        <v>19.928125652504132</v>
      </c>
      <c r="N816" s="2">
        <f t="shared" si="126"/>
        <v>9.9640628262520661</v>
      </c>
      <c r="O816" s="2">
        <f t="shared" si="127"/>
        <v>36.568110572345084</v>
      </c>
      <c r="P816" s="2">
        <v>72.550275999999997</v>
      </c>
      <c r="Q816" s="2">
        <v>23.035592000000001</v>
      </c>
    </row>
    <row r="817" spans="1:17" x14ac:dyDescent="0.25">
      <c r="A817" s="2">
        <v>953</v>
      </c>
      <c r="B817" s="2" t="s">
        <v>107</v>
      </c>
      <c r="C817" s="2">
        <v>34</v>
      </c>
      <c r="D817" s="2">
        <f t="shared" si="120"/>
        <v>86.36</v>
      </c>
      <c r="E817" s="2">
        <f t="shared" si="121"/>
        <v>27.489241770832162</v>
      </c>
      <c r="F817" s="2">
        <f t="shared" si="122"/>
        <v>10.822536130248883</v>
      </c>
      <c r="G817" s="2">
        <v>3.8259799999999999</v>
      </c>
      <c r="H817" s="2">
        <f t="shared" si="123"/>
        <v>12.5524282232</v>
      </c>
      <c r="I817" s="2">
        <f>INDEX('Wood Density Lookup'!$B$2:$B$152,MATCH(B817,'Wood Density Lookup'!$A$2:$A$152,0))</f>
        <v>0.65</v>
      </c>
      <c r="J817" s="2">
        <f t="shared" si="124"/>
        <v>105.54096978988966</v>
      </c>
      <c r="K817" s="2">
        <f t="shared" si="128"/>
        <v>29.551471541169107</v>
      </c>
      <c r="L817" s="2">
        <f t="shared" si="129"/>
        <v>135.09244133105875</v>
      </c>
      <c r="M817" s="2">
        <f t="shared" si="125"/>
        <v>97.942019965017593</v>
      </c>
      <c r="N817" s="2">
        <f t="shared" si="126"/>
        <v>48.971009982508797</v>
      </c>
      <c r="O817" s="2">
        <f t="shared" si="127"/>
        <v>179.72360663580727</v>
      </c>
      <c r="P817" s="2">
        <v>72.550279000000003</v>
      </c>
      <c r="Q817" s="2">
        <v>23.035703000000002</v>
      </c>
    </row>
    <row r="818" spans="1:17" x14ac:dyDescent="0.25">
      <c r="A818" s="2">
        <v>954</v>
      </c>
      <c r="B818" s="2" t="s">
        <v>140</v>
      </c>
      <c r="C818" s="2">
        <v>3</v>
      </c>
      <c r="D818" s="2">
        <f t="shared" si="120"/>
        <v>7.62</v>
      </c>
      <c r="E818" s="2">
        <f t="shared" si="121"/>
        <v>2.4255213327204852</v>
      </c>
      <c r="F818" s="2">
        <f t="shared" si="122"/>
        <v>0.95492965855137202</v>
      </c>
      <c r="G818" s="2">
        <v>5.8108490000000002</v>
      </c>
      <c r="H818" s="2">
        <f t="shared" si="123"/>
        <v>19.06446583316</v>
      </c>
      <c r="I818" s="2">
        <f>INDEX('Wood Density Lookup'!$B$2:$B$152,MATCH(B818,'Wood Density Lookup'!$A$2:$A$152,0))</f>
        <v>0.6</v>
      </c>
      <c r="J818" s="2">
        <f t="shared" si="124"/>
        <v>1.2838907710841061</v>
      </c>
      <c r="K818" s="2">
        <f t="shared" si="128"/>
        <v>0.35948941590354971</v>
      </c>
      <c r="L818" s="2">
        <f t="shared" si="129"/>
        <v>1.6433801869876559</v>
      </c>
      <c r="M818" s="2">
        <f t="shared" si="125"/>
        <v>1.1914506355660506</v>
      </c>
      <c r="N818" s="2">
        <f t="shared" si="126"/>
        <v>0.59572531778302529</v>
      </c>
      <c r="O818" s="2">
        <f t="shared" si="127"/>
        <v>2.1863119162637026</v>
      </c>
      <c r="P818" s="2">
        <v>72.550280000000001</v>
      </c>
      <c r="Q818" s="2">
        <v>23.034472999999998</v>
      </c>
    </row>
    <row r="819" spans="1:17" x14ac:dyDescent="0.25">
      <c r="A819" s="2">
        <v>955</v>
      </c>
      <c r="B819" s="2" t="s">
        <v>143</v>
      </c>
      <c r="C819" s="2">
        <v>14</v>
      </c>
      <c r="D819" s="2">
        <f t="shared" si="120"/>
        <v>35.56</v>
      </c>
      <c r="E819" s="2">
        <f t="shared" si="121"/>
        <v>11.319099552695597</v>
      </c>
      <c r="F819" s="2">
        <f t="shared" si="122"/>
        <v>4.45633840657307</v>
      </c>
      <c r="G819" s="2">
        <v>4.9137269999999997</v>
      </c>
      <c r="H819" s="2">
        <f t="shared" si="123"/>
        <v>16.121152090679999</v>
      </c>
      <c r="I819" s="2">
        <f>INDEX('Wood Density Lookup'!$B$2:$B$152,MATCH(B819,'Wood Density Lookup'!$A$2:$A$152,0))</f>
        <v>0.75</v>
      </c>
      <c r="J819" s="2">
        <f t="shared" si="124"/>
        <v>27.411500268076495</v>
      </c>
      <c r="K819" s="2">
        <f t="shared" si="128"/>
        <v>7.6752200750614188</v>
      </c>
      <c r="L819" s="2">
        <f t="shared" si="129"/>
        <v>35.086720343137912</v>
      </c>
      <c r="M819" s="2">
        <f t="shared" si="125"/>
        <v>25.437872248774987</v>
      </c>
      <c r="N819" s="2">
        <f t="shared" si="126"/>
        <v>12.718936124387493</v>
      </c>
      <c r="O819" s="2">
        <f t="shared" si="127"/>
        <v>46.678495576502101</v>
      </c>
      <c r="P819" s="2">
        <v>72.550284000000005</v>
      </c>
      <c r="Q819" s="2">
        <v>23.037344999999998</v>
      </c>
    </row>
    <row r="820" spans="1:17" x14ac:dyDescent="0.25">
      <c r="A820" s="2">
        <v>956</v>
      </c>
      <c r="B820" s="2" t="s">
        <v>15</v>
      </c>
      <c r="C820" s="2">
        <v>41</v>
      </c>
      <c r="D820" s="2">
        <f t="shared" si="120"/>
        <v>104.14</v>
      </c>
      <c r="E820" s="2">
        <f t="shared" si="121"/>
        <v>33.148791547179961</v>
      </c>
      <c r="F820" s="2">
        <f t="shared" si="122"/>
        <v>13.050705333535419</v>
      </c>
      <c r="G820" s="2">
        <v>8.7967650000000006</v>
      </c>
      <c r="H820" s="2">
        <f t="shared" si="123"/>
        <v>28.860778482600001</v>
      </c>
      <c r="I820" s="2">
        <f>INDEX('Wood Density Lookup'!$B$2:$B$152,MATCH(B820,'Wood Density Lookup'!$A$2:$A$152,0))</f>
        <v>0.75</v>
      </c>
      <c r="J820" s="2">
        <f t="shared" si="124"/>
        <v>394.1731585477296</v>
      </c>
      <c r="K820" s="2">
        <f t="shared" si="128"/>
        <v>110.3684843933643</v>
      </c>
      <c r="L820" s="2">
        <f t="shared" si="129"/>
        <v>504.54164294109387</v>
      </c>
      <c r="M820" s="2">
        <f t="shared" si="125"/>
        <v>365.79269113229304</v>
      </c>
      <c r="N820" s="2">
        <f t="shared" si="126"/>
        <v>182.89634556614652</v>
      </c>
      <c r="O820" s="2">
        <f t="shared" si="127"/>
        <v>671.22958822775774</v>
      </c>
      <c r="P820" s="2">
        <v>72.550285000000002</v>
      </c>
      <c r="Q820" s="2">
        <v>23.038426000000001</v>
      </c>
    </row>
    <row r="821" spans="1:17" x14ac:dyDescent="0.25">
      <c r="A821" s="2">
        <v>957</v>
      </c>
      <c r="B821" s="2" t="s">
        <v>107</v>
      </c>
      <c r="C821" s="2">
        <v>34</v>
      </c>
      <c r="D821" s="2">
        <f t="shared" si="120"/>
        <v>86.36</v>
      </c>
      <c r="E821" s="2">
        <f t="shared" si="121"/>
        <v>27.489241770832162</v>
      </c>
      <c r="F821" s="2">
        <f t="shared" si="122"/>
        <v>10.822536130248883</v>
      </c>
      <c r="G821" s="2">
        <v>4.6060359999999996</v>
      </c>
      <c r="H821" s="2">
        <f t="shared" si="123"/>
        <v>15.111667150239999</v>
      </c>
      <c r="I821" s="2">
        <f>INDEX('Wood Density Lookup'!$B$2:$B$152,MATCH(B821,'Wood Density Lookup'!$A$2:$A$152,0))</f>
        <v>0.65</v>
      </c>
      <c r="J821" s="2">
        <f t="shared" si="124"/>
        <v>126.49451139601332</v>
      </c>
      <c r="K821" s="2">
        <f t="shared" si="128"/>
        <v>35.418463190883735</v>
      </c>
      <c r="L821" s="2">
        <f t="shared" si="129"/>
        <v>161.91297458689706</v>
      </c>
      <c r="M821" s="2">
        <f t="shared" si="125"/>
        <v>117.38690657550036</v>
      </c>
      <c r="N821" s="2">
        <f t="shared" si="126"/>
        <v>58.693453287750181</v>
      </c>
      <c r="O821" s="2">
        <f t="shared" si="127"/>
        <v>215.40497356604317</v>
      </c>
      <c r="P821" s="2">
        <v>72.550285000000002</v>
      </c>
      <c r="Q821" s="2">
        <v>23.035678999999998</v>
      </c>
    </row>
    <row r="822" spans="1:17" x14ac:dyDescent="0.25">
      <c r="A822" s="2">
        <v>958</v>
      </c>
      <c r="B822" s="2" t="s">
        <v>107</v>
      </c>
      <c r="C822" s="2">
        <v>53</v>
      </c>
      <c r="D822" s="2">
        <f t="shared" si="120"/>
        <v>134.62</v>
      </c>
      <c r="E822" s="2">
        <f t="shared" si="121"/>
        <v>42.850876878061904</v>
      </c>
      <c r="F822" s="2">
        <f t="shared" si="122"/>
        <v>16.870423967740905</v>
      </c>
      <c r="G822" s="2">
        <v>5.2649400000000002</v>
      </c>
      <c r="H822" s="2">
        <f t="shared" si="123"/>
        <v>17.273425749600001</v>
      </c>
      <c r="I822" s="2">
        <f>INDEX('Wood Density Lookup'!$B$2:$B$152,MATCH(B822,'Wood Density Lookup'!$A$2:$A$152,0))</f>
        <v>0.65</v>
      </c>
      <c r="J822" s="2">
        <f t="shared" si="124"/>
        <v>342.83396788616892</v>
      </c>
      <c r="K822" s="2">
        <f t="shared" si="128"/>
        <v>95.993511008127314</v>
      </c>
      <c r="L822" s="2">
        <f t="shared" si="129"/>
        <v>438.82747889429623</v>
      </c>
      <c r="M822" s="2">
        <f t="shared" si="125"/>
        <v>318.14992219836478</v>
      </c>
      <c r="N822" s="2">
        <f t="shared" si="126"/>
        <v>159.07496109918239</v>
      </c>
      <c r="O822" s="2">
        <f t="shared" si="127"/>
        <v>583.80510723399937</v>
      </c>
      <c r="P822" s="2">
        <v>72.550286</v>
      </c>
      <c r="Q822" s="2">
        <v>23.035653</v>
      </c>
    </row>
    <row r="823" spans="1:17" x14ac:dyDescent="0.25">
      <c r="A823" s="2">
        <v>959</v>
      </c>
      <c r="B823" s="2" t="s">
        <v>62</v>
      </c>
      <c r="C823" s="2">
        <v>21</v>
      </c>
      <c r="D823" s="2">
        <f t="shared" si="120"/>
        <v>53.34</v>
      </c>
      <c r="E823" s="2">
        <f t="shared" si="121"/>
        <v>16.978649329043396</v>
      </c>
      <c r="F823" s="2">
        <f t="shared" si="122"/>
        <v>6.6845076098596046</v>
      </c>
      <c r="G823" s="2">
        <v>18.797478999999999</v>
      </c>
      <c r="H823" s="2">
        <f t="shared" si="123"/>
        <v>61.671521002359995</v>
      </c>
      <c r="I823" s="2">
        <f>INDEX('Wood Density Lookup'!$B$2:$B$152,MATCH(B823,'Wood Density Lookup'!$A$2:$A$152,0))</f>
        <v>0.47</v>
      </c>
      <c r="J823" s="2">
        <f t="shared" si="124"/>
        <v>141.99554467486249</v>
      </c>
      <c r="K823" s="2">
        <f t="shared" si="128"/>
        <v>39.7587525089615</v>
      </c>
      <c r="L823" s="2">
        <f t="shared" si="129"/>
        <v>181.75429718382398</v>
      </c>
      <c r="M823" s="2">
        <f t="shared" si="125"/>
        <v>131.77186545827237</v>
      </c>
      <c r="N823" s="2">
        <f t="shared" si="126"/>
        <v>65.885932729136186</v>
      </c>
      <c r="O823" s="2">
        <f t="shared" si="127"/>
        <v>241.80137311592981</v>
      </c>
      <c r="P823" s="2">
        <v>72.550286</v>
      </c>
      <c r="Q823" s="2">
        <v>23.036967000000001</v>
      </c>
    </row>
    <row r="824" spans="1:17" x14ac:dyDescent="0.25">
      <c r="A824" s="2">
        <v>960</v>
      </c>
      <c r="B824" s="2" t="s">
        <v>59</v>
      </c>
      <c r="C824" s="2">
        <v>7</v>
      </c>
      <c r="D824" s="2">
        <f t="shared" si="120"/>
        <v>17.78</v>
      </c>
      <c r="E824" s="2">
        <f t="shared" si="121"/>
        <v>5.6595497763477987</v>
      </c>
      <c r="F824" s="2">
        <f t="shared" si="122"/>
        <v>2.228169203286535</v>
      </c>
      <c r="G824" s="2">
        <v>2.0334560000000002</v>
      </c>
      <c r="H824" s="2">
        <f t="shared" si="123"/>
        <v>6.6714437830400009</v>
      </c>
      <c r="I824" s="2">
        <f>INDEX('Wood Density Lookup'!$B$2:$B$152,MATCH(B824,'Wood Density Lookup'!$A$2:$A$152,0))</f>
        <v>0.45</v>
      </c>
      <c r="J824" s="2">
        <f t="shared" si="124"/>
        <v>1.8189378489755679</v>
      </c>
      <c r="K824" s="2">
        <f t="shared" si="128"/>
        <v>0.509302597713159</v>
      </c>
      <c r="L824" s="2">
        <f t="shared" si="129"/>
        <v>2.328240446688727</v>
      </c>
      <c r="M824" s="2">
        <f t="shared" si="125"/>
        <v>1.687974323849327</v>
      </c>
      <c r="N824" s="2">
        <f t="shared" si="126"/>
        <v>0.8439871619246635</v>
      </c>
      <c r="O824" s="2">
        <f t="shared" si="127"/>
        <v>3.0974328842635148</v>
      </c>
      <c r="P824" s="2">
        <v>72.550286999999997</v>
      </c>
      <c r="Q824" s="2">
        <v>23.038240999999999</v>
      </c>
    </row>
    <row r="825" spans="1:17" x14ac:dyDescent="0.25">
      <c r="A825" s="2">
        <v>961</v>
      </c>
      <c r="B825" s="2" t="s">
        <v>143</v>
      </c>
      <c r="C825" s="2">
        <v>34</v>
      </c>
      <c r="D825" s="2">
        <f t="shared" si="120"/>
        <v>86.36</v>
      </c>
      <c r="E825" s="2">
        <f t="shared" si="121"/>
        <v>27.489241770832162</v>
      </c>
      <c r="F825" s="2">
        <f t="shared" si="122"/>
        <v>10.822536130248883</v>
      </c>
      <c r="G825" s="2">
        <v>9.9620270000000009</v>
      </c>
      <c r="H825" s="2">
        <f t="shared" si="123"/>
        <v>32.683816662680002</v>
      </c>
      <c r="I825" s="2">
        <f>INDEX('Wood Density Lookup'!$B$2:$B$152,MATCH(B825,'Wood Density Lookup'!$A$2:$A$152,0))</f>
        <v>0.75</v>
      </c>
      <c r="J825" s="2">
        <f t="shared" si="124"/>
        <v>308.82179007873469</v>
      </c>
      <c r="K825" s="2">
        <f t="shared" si="128"/>
        <v>86.470101222045727</v>
      </c>
      <c r="L825" s="2">
        <f t="shared" si="129"/>
        <v>395.29189130078043</v>
      </c>
      <c r="M825" s="2">
        <f t="shared" si="125"/>
        <v>286.58662119306581</v>
      </c>
      <c r="N825" s="2">
        <f t="shared" si="126"/>
        <v>143.2933105965329</v>
      </c>
      <c r="O825" s="2">
        <f t="shared" si="127"/>
        <v>525.8864498892757</v>
      </c>
      <c r="P825" s="2">
        <v>72.550286999999997</v>
      </c>
      <c r="Q825" s="2">
        <v>23.037085000000001</v>
      </c>
    </row>
    <row r="826" spans="1:17" x14ac:dyDescent="0.25">
      <c r="A826" s="2">
        <v>962</v>
      </c>
      <c r="B826" s="2" t="s">
        <v>140</v>
      </c>
      <c r="C826" s="2">
        <v>4</v>
      </c>
      <c r="D826" s="2">
        <f t="shared" si="120"/>
        <v>10.16</v>
      </c>
      <c r="E826" s="2">
        <f t="shared" si="121"/>
        <v>3.2340284436273135</v>
      </c>
      <c r="F826" s="2">
        <f t="shared" si="122"/>
        <v>1.2732395447351628</v>
      </c>
      <c r="G826" s="2">
        <v>6.0258440000000002</v>
      </c>
      <c r="H826" s="2">
        <f t="shared" si="123"/>
        <v>19.769830028960001</v>
      </c>
      <c r="I826" s="2">
        <f>INDEX('Wood Density Lookup'!$B$2:$B$152,MATCH(B826,'Wood Density Lookup'!$A$2:$A$152,0))</f>
        <v>0.6</v>
      </c>
      <c r="J826" s="2">
        <f t="shared" si="124"/>
        <v>2.3324272465533773</v>
      </c>
      <c r="K826" s="2">
        <f t="shared" si="128"/>
        <v>0.65307962903494565</v>
      </c>
      <c r="L826" s="2">
        <f t="shared" si="129"/>
        <v>2.9855068755883227</v>
      </c>
      <c r="M826" s="2">
        <f t="shared" si="125"/>
        <v>2.1644924848015341</v>
      </c>
      <c r="N826" s="2">
        <f t="shared" si="126"/>
        <v>1.0822462424007671</v>
      </c>
      <c r="O826" s="2">
        <f t="shared" si="127"/>
        <v>3.9718437096108152</v>
      </c>
      <c r="P826" s="2">
        <v>72.550286999999997</v>
      </c>
      <c r="Q826" s="2">
        <v>23.034475</v>
      </c>
    </row>
    <row r="827" spans="1:17" x14ac:dyDescent="0.25">
      <c r="A827" s="2">
        <v>963</v>
      </c>
      <c r="B827" s="2" t="s">
        <v>15</v>
      </c>
      <c r="C827" s="2">
        <v>86</v>
      </c>
      <c r="D827" s="2">
        <f t="shared" si="120"/>
        <v>218.44</v>
      </c>
      <c r="E827" s="2">
        <f t="shared" si="121"/>
        <v>69.531611537987231</v>
      </c>
      <c r="F827" s="2">
        <f t="shared" si="122"/>
        <v>27.374650211805999</v>
      </c>
      <c r="G827" s="2">
        <v>14.469445</v>
      </c>
      <c r="H827" s="2">
        <f t="shared" si="123"/>
        <v>47.471933933800003</v>
      </c>
      <c r="I827" s="2">
        <f>INDEX('Wood Density Lookup'!$B$2:$B$152,MATCH(B827,'Wood Density Lookup'!$A$2:$A$152,0))</f>
        <v>0.75</v>
      </c>
      <c r="J827" s="2">
        <f t="shared" si="124"/>
        <v>2720.2932622813569</v>
      </c>
      <c r="K827" s="2">
        <f t="shared" si="128"/>
        <v>761.68211343877999</v>
      </c>
      <c r="L827" s="2">
        <f t="shared" si="129"/>
        <v>3481.975375720137</v>
      </c>
      <c r="M827" s="2">
        <f t="shared" si="125"/>
        <v>2524.432147397099</v>
      </c>
      <c r="N827" s="2">
        <f t="shared" si="126"/>
        <v>1262.2160736985495</v>
      </c>
      <c r="O827" s="2">
        <f t="shared" si="127"/>
        <v>4632.3329904736765</v>
      </c>
      <c r="P827" s="2">
        <v>72.550287999999995</v>
      </c>
      <c r="Q827" s="2">
        <v>23.034770999999999</v>
      </c>
    </row>
    <row r="828" spans="1:17" x14ac:dyDescent="0.25">
      <c r="A828" s="2">
        <v>964</v>
      </c>
      <c r="B828" s="2" t="s">
        <v>120</v>
      </c>
      <c r="C828" s="2">
        <v>10</v>
      </c>
      <c r="D828" s="2">
        <f t="shared" si="120"/>
        <v>25.4</v>
      </c>
      <c r="E828" s="2">
        <f t="shared" si="121"/>
        <v>8.0850711090682825</v>
      </c>
      <c r="F828" s="2">
        <f t="shared" si="122"/>
        <v>3.183098861837907</v>
      </c>
      <c r="G828" s="2">
        <v>5.3251489999999997</v>
      </c>
      <c r="H828" s="2">
        <f t="shared" si="123"/>
        <v>17.470961845159998</v>
      </c>
      <c r="I828" s="2">
        <f>INDEX('Wood Density Lookup'!$B$2:$B$152,MATCH(B828,'Wood Density Lookup'!$A$2:$A$152,0))</f>
        <v>0.8</v>
      </c>
      <c r="J828" s="2">
        <f t="shared" si="124"/>
        <v>16.373048812124601</v>
      </c>
      <c r="K828" s="2">
        <f t="shared" si="128"/>
        <v>4.5844536673948886</v>
      </c>
      <c r="L828" s="2">
        <f t="shared" si="129"/>
        <v>20.957502479519491</v>
      </c>
      <c r="M828" s="2">
        <f t="shared" si="125"/>
        <v>15.194189297651631</v>
      </c>
      <c r="N828" s="2">
        <f t="shared" si="126"/>
        <v>7.5970946488258155</v>
      </c>
      <c r="O828" s="2">
        <f t="shared" si="127"/>
        <v>27.881337361190742</v>
      </c>
      <c r="P828" s="2">
        <v>72.550291000000001</v>
      </c>
      <c r="Q828" s="2">
        <v>23.035936</v>
      </c>
    </row>
    <row r="829" spans="1:17" x14ac:dyDescent="0.25">
      <c r="A829" s="2">
        <v>965</v>
      </c>
      <c r="B829" s="2" t="s">
        <v>140</v>
      </c>
      <c r="C829" s="2">
        <v>4</v>
      </c>
      <c r="D829" s="2">
        <f t="shared" si="120"/>
        <v>10.16</v>
      </c>
      <c r="E829" s="2">
        <f t="shared" si="121"/>
        <v>3.2340284436273135</v>
      </c>
      <c r="F829" s="2">
        <f t="shared" si="122"/>
        <v>1.2732395447351628</v>
      </c>
      <c r="G829" s="2">
        <v>6.0049799999999998</v>
      </c>
      <c r="H829" s="2">
        <f t="shared" si="123"/>
        <v>19.7013785832</v>
      </c>
      <c r="I829" s="2">
        <f>INDEX('Wood Density Lookup'!$B$2:$B$152,MATCH(B829,'Wood Density Lookup'!$A$2:$A$152,0))</f>
        <v>0.6</v>
      </c>
      <c r="J829" s="2">
        <f t="shared" si="124"/>
        <v>2.3245448972053597</v>
      </c>
      <c r="K829" s="2">
        <f t="shared" si="128"/>
        <v>0.65087257121750075</v>
      </c>
      <c r="L829" s="2">
        <f t="shared" si="129"/>
        <v>2.9754174684228607</v>
      </c>
      <c r="M829" s="2">
        <f t="shared" si="125"/>
        <v>2.1571776646065741</v>
      </c>
      <c r="N829" s="2">
        <f t="shared" si="126"/>
        <v>1.0785888323032871</v>
      </c>
      <c r="O829" s="2">
        <f t="shared" si="127"/>
        <v>3.9584210145530636</v>
      </c>
      <c r="P829" s="2">
        <v>72.550292999999996</v>
      </c>
      <c r="Q829" s="2">
        <v>23.034476999999999</v>
      </c>
    </row>
    <row r="830" spans="1:17" x14ac:dyDescent="0.25">
      <c r="A830" s="2">
        <v>966</v>
      </c>
      <c r="B830" s="2" t="s">
        <v>143</v>
      </c>
      <c r="C830" s="2">
        <v>69</v>
      </c>
      <c r="D830" s="2">
        <f t="shared" si="120"/>
        <v>175.26</v>
      </c>
      <c r="E830" s="2">
        <f t="shared" si="121"/>
        <v>55.786990652571156</v>
      </c>
      <c r="F830" s="2">
        <f t="shared" si="122"/>
        <v>21.963382146681557</v>
      </c>
      <c r="G830" s="2">
        <v>17.443966</v>
      </c>
      <c r="H830" s="2">
        <f t="shared" si="123"/>
        <v>57.230861411439996</v>
      </c>
      <c r="I830" s="2">
        <f>INDEX('Wood Density Lookup'!$B$2:$B$152,MATCH(B830,'Wood Density Lookup'!$A$2:$A$152,0))</f>
        <v>0.75</v>
      </c>
      <c r="J830" s="2">
        <f t="shared" si="124"/>
        <v>2123.9920737229445</v>
      </c>
      <c r="K830" s="2">
        <f t="shared" si="128"/>
        <v>594.71778064242449</v>
      </c>
      <c r="L830" s="2">
        <f t="shared" si="129"/>
        <v>2718.7098543653692</v>
      </c>
      <c r="M830" s="2">
        <f t="shared" si="125"/>
        <v>1971.0646444148927</v>
      </c>
      <c r="N830" s="2">
        <f t="shared" si="126"/>
        <v>985.53232220744633</v>
      </c>
      <c r="O830" s="2">
        <f t="shared" si="127"/>
        <v>3616.9036225013278</v>
      </c>
      <c r="P830" s="2">
        <v>72.550296000000003</v>
      </c>
      <c r="Q830" s="2">
        <v>23.036847000000002</v>
      </c>
    </row>
    <row r="831" spans="1:17" x14ac:dyDescent="0.25">
      <c r="A831" s="2">
        <v>967</v>
      </c>
      <c r="B831" s="2" t="s">
        <v>140</v>
      </c>
      <c r="C831" s="2">
        <v>5</v>
      </c>
      <c r="D831" s="2">
        <f t="shared" si="120"/>
        <v>12.7</v>
      </c>
      <c r="E831" s="2">
        <f t="shared" si="121"/>
        <v>4.0425355545341413</v>
      </c>
      <c r="F831" s="2">
        <f t="shared" si="122"/>
        <v>1.5915494309189535</v>
      </c>
      <c r="G831" s="2">
        <v>5.6349840000000002</v>
      </c>
      <c r="H831" s="2">
        <f t="shared" si="123"/>
        <v>18.487480906560002</v>
      </c>
      <c r="I831" s="2">
        <f>INDEX('Wood Density Lookup'!$B$2:$B$152,MATCH(B831,'Wood Density Lookup'!$A$2:$A$152,0))</f>
        <v>0.6</v>
      </c>
      <c r="J831" s="2">
        <f t="shared" si="124"/>
        <v>3.3771492877423452</v>
      </c>
      <c r="K831" s="2">
        <f t="shared" si="128"/>
        <v>0.94560180056785681</v>
      </c>
      <c r="L831" s="2">
        <f t="shared" si="129"/>
        <v>4.3227510883102021</v>
      </c>
      <c r="M831" s="2">
        <f t="shared" si="125"/>
        <v>3.1339945390248962</v>
      </c>
      <c r="N831" s="2">
        <f t="shared" si="126"/>
        <v>1.5669972695124481</v>
      </c>
      <c r="O831" s="2">
        <f t="shared" si="127"/>
        <v>5.7508799791106844</v>
      </c>
      <c r="P831" s="2">
        <v>72.550296000000003</v>
      </c>
      <c r="Q831" s="2">
        <v>23.034483999999999</v>
      </c>
    </row>
    <row r="832" spans="1:17" x14ac:dyDescent="0.25">
      <c r="A832" s="2">
        <v>968</v>
      </c>
      <c r="B832" s="2" t="s">
        <v>72</v>
      </c>
      <c r="C832" s="2">
        <v>2</v>
      </c>
      <c r="D832" s="2">
        <f t="shared" si="120"/>
        <v>5.08</v>
      </c>
      <c r="E832" s="2">
        <f t="shared" si="121"/>
        <v>1.6170142218136567</v>
      </c>
      <c r="F832" s="2">
        <f t="shared" si="122"/>
        <v>0.63661977236758138</v>
      </c>
      <c r="G832" s="2">
        <v>3.9251930000000002</v>
      </c>
      <c r="H832" s="2">
        <f t="shared" si="123"/>
        <v>12.87793020212</v>
      </c>
      <c r="I832" s="2">
        <f>INDEX('Wood Density Lookup'!$B$2:$B$152,MATCH(B832,'Wood Density Lookup'!$A$2:$A$152,0))</f>
        <v>0.65</v>
      </c>
      <c r="J832" s="2">
        <f t="shared" si="124"/>
        <v>0.42897923112619502</v>
      </c>
      <c r="K832" s="2">
        <f t="shared" si="128"/>
        <v>0.12011418471533461</v>
      </c>
      <c r="L832" s="2">
        <f t="shared" si="129"/>
        <v>0.5490934158415296</v>
      </c>
      <c r="M832" s="2">
        <f t="shared" si="125"/>
        <v>0.39809272648510896</v>
      </c>
      <c r="N832" s="2">
        <f t="shared" si="126"/>
        <v>0.19904636324255448</v>
      </c>
      <c r="O832" s="2">
        <f t="shared" si="127"/>
        <v>0.73050015310017491</v>
      </c>
      <c r="P832" s="2">
        <v>72.550301000000005</v>
      </c>
      <c r="Q832" s="2">
        <v>23.034690999999999</v>
      </c>
    </row>
    <row r="833" spans="1:17" x14ac:dyDescent="0.25">
      <c r="A833" s="2">
        <v>969</v>
      </c>
      <c r="B833" s="2" t="s">
        <v>110</v>
      </c>
      <c r="C833" s="2">
        <v>53</v>
      </c>
      <c r="D833" s="2">
        <f t="shared" ref="D833:D896" si="130">C833*2.54</f>
        <v>134.62</v>
      </c>
      <c r="E833" s="2">
        <f t="shared" ref="E833:E896" si="131">D833/PI()</f>
        <v>42.850876878061904</v>
      </c>
      <c r="F833" s="2">
        <f t="shared" ref="F833:F896" si="132">C833/PI()</f>
        <v>16.870423967740905</v>
      </c>
      <c r="G833" s="2">
        <v>8.3646239999999992</v>
      </c>
      <c r="H833" s="2">
        <f t="shared" ref="H833:H896" si="133">G833*3.28084</f>
        <v>27.442993004159998</v>
      </c>
      <c r="I833" s="2">
        <f>INDEX('Wood Density Lookup'!$B$2:$B$152,MATCH(B833,'Wood Density Lookup'!$A$2:$A$152,0))</f>
        <v>0.75</v>
      </c>
      <c r="J833" s="2">
        <f t="shared" ref="J833:J896" si="134">0.0673*POWER(I833*E833^2*G833,0.976)</f>
        <v>619.39533140001924</v>
      </c>
      <c r="K833" s="2">
        <f t="shared" si="128"/>
        <v>173.4306927920054</v>
      </c>
      <c r="L833" s="2">
        <f t="shared" si="129"/>
        <v>792.82602419202465</v>
      </c>
      <c r="M833" s="2">
        <f t="shared" ref="M833:M896" si="135">0.725*L833</f>
        <v>574.79886753921789</v>
      </c>
      <c r="N833" s="2">
        <f t="shared" ref="N833:N896" si="136">0.5*M833</f>
        <v>287.39943376960895</v>
      </c>
      <c r="O833" s="2">
        <f t="shared" ref="O833:O896" si="137">3.67*N833</f>
        <v>1054.7559219344648</v>
      </c>
      <c r="P833" s="2">
        <v>72.550302000000002</v>
      </c>
      <c r="Q833" s="2">
        <v>23.035025000000001</v>
      </c>
    </row>
    <row r="834" spans="1:17" x14ac:dyDescent="0.25">
      <c r="A834" s="2">
        <v>970</v>
      </c>
      <c r="B834" s="2" t="s">
        <v>3</v>
      </c>
      <c r="C834" s="2">
        <v>34</v>
      </c>
      <c r="D834" s="2">
        <f t="shared" si="130"/>
        <v>86.36</v>
      </c>
      <c r="E834" s="2">
        <f t="shared" si="131"/>
        <v>27.489241770832162</v>
      </c>
      <c r="F834" s="2">
        <f t="shared" si="132"/>
        <v>10.822536130248883</v>
      </c>
      <c r="G834" s="2">
        <v>8.1643270000000001</v>
      </c>
      <c r="H834" s="2">
        <f t="shared" si="133"/>
        <v>26.785850594679999</v>
      </c>
      <c r="I834" s="2">
        <f>INDEX('Wood Density Lookup'!$B$2:$B$152,MATCH(B834,'Wood Density Lookup'!$A$2:$A$152,0))</f>
        <v>0.62</v>
      </c>
      <c r="J834" s="2">
        <f t="shared" si="134"/>
        <v>211.18806163393563</v>
      </c>
      <c r="K834" s="2">
        <f t="shared" si="128"/>
        <v>59.132657257501982</v>
      </c>
      <c r="L834" s="2">
        <f t="shared" si="129"/>
        <v>270.32071889143759</v>
      </c>
      <c r="M834" s="2">
        <f t="shared" si="135"/>
        <v>195.98252119629225</v>
      </c>
      <c r="N834" s="2">
        <f t="shared" si="136"/>
        <v>97.991260598146127</v>
      </c>
      <c r="O834" s="2">
        <f t="shared" si="137"/>
        <v>359.62792639519625</v>
      </c>
      <c r="P834" s="2">
        <v>72.550302000000002</v>
      </c>
      <c r="Q834" s="2">
        <v>23.035416000000001</v>
      </c>
    </row>
    <row r="835" spans="1:17" x14ac:dyDescent="0.25">
      <c r="A835" s="2">
        <v>971</v>
      </c>
      <c r="B835" s="2" t="s">
        <v>50</v>
      </c>
      <c r="C835" s="2">
        <v>14</v>
      </c>
      <c r="D835" s="2">
        <f t="shared" si="130"/>
        <v>35.56</v>
      </c>
      <c r="E835" s="2">
        <f t="shared" si="131"/>
        <v>11.319099552695597</v>
      </c>
      <c r="F835" s="2">
        <f t="shared" si="132"/>
        <v>4.45633840657307</v>
      </c>
      <c r="G835" s="2">
        <v>3.8843999999999999</v>
      </c>
      <c r="H835" s="2">
        <f t="shared" si="133"/>
        <v>12.744094896</v>
      </c>
      <c r="I835" s="2">
        <f>INDEX('Wood Density Lookup'!$B$2:$B$152,MATCH(B835,'Wood Density Lookup'!$A$2:$A$152,0))</f>
        <v>0.5</v>
      </c>
      <c r="J835" s="2">
        <f t="shared" si="134"/>
        <v>14.670021427984121</v>
      </c>
      <c r="K835" s="2">
        <f t="shared" ref="K835:K898" si="138">0.28*J835</f>
        <v>4.1076059998355543</v>
      </c>
      <c r="L835" s="2">
        <f t="shared" ref="L835:L898" si="139">J835+K835</f>
        <v>18.777627427819674</v>
      </c>
      <c r="M835" s="2">
        <f t="shared" si="135"/>
        <v>13.613779885169263</v>
      </c>
      <c r="N835" s="2">
        <f t="shared" si="136"/>
        <v>6.8068899425846316</v>
      </c>
      <c r="O835" s="2">
        <f t="shared" si="137"/>
        <v>24.981286089285597</v>
      </c>
      <c r="P835" s="2">
        <v>72.550306000000006</v>
      </c>
      <c r="Q835" s="2">
        <v>23.034694999999999</v>
      </c>
    </row>
    <row r="836" spans="1:17" x14ac:dyDescent="0.25">
      <c r="A836" s="2">
        <v>972</v>
      </c>
      <c r="B836" s="2" t="s">
        <v>15</v>
      </c>
      <c r="C836" s="2">
        <v>2</v>
      </c>
      <c r="D836" s="2">
        <f t="shared" si="130"/>
        <v>5.08</v>
      </c>
      <c r="E836" s="2">
        <f t="shared" si="131"/>
        <v>1.6170142218136567</v>
      </c>
      <c r="F836" s="2">
        <f t="shared" si="132"/>
        <v>0.63661977236758138</v>
      </c>
      <c r="G836" s="2">
        <v>3.8685010000000002</v>
      </c>
      <c r="H836" s="2">
        <f t="shared" si="133"/>
        <v>12.69193282084</v>
      </c>
      <c r="I836" s="2">
        <f>INDEX('Wood Density Lookup'!$B$2:$B$152,MATCH(B836,'Wood Density Lookup'!$A$2:$A$152,0))</f>
        <v>0.75</v>
      </c>
      <c r="J836" s="2">
        <f t="shared" si="134"/>
        <v>0.48632428897469976</v>
      </c>
      <c r="K836" s="2">
        <f t="shared" si="138"/>
        <v>0.13617080091291595</v>
      </c>
      <c r="L836" s="2">
        <f t="shared" si="139"/>
        <v>0.6224950898876157</v>
      </c>
      <c r="M836" s="2">
        <f t="shared" si="135"/>
        <v>0.45130894016852136</v>
      </c>
      <c r="N836" s="2">
        <f t="shared" si="136"/>
        <v>0.22565447008426068</v>
      </c>
      <c r="O836" s="2">
        <f t="shared" si="137"/>
        <v>0.82815190520923665</v>
      </c>
      <c r="P836" s="2">
        <v>72.550306000000006</v>
      </c>
      <c r="Q836" s="2">
        <v>23.034678</v>
      </c>
    </row>
    <row r="837" spans="1:17" x14ac:dyDescent="0.25">
      <c r="A837" s="2">
        <v>973</v>
      </c>
      <c r="B837" s="2" t="s">
        <v>148</v>
      </c>
      <c r="C837" s="2">
        <v>13</v>
      </c>
      <c r="D837" s="2">
        <f t="shared" si="130"/>
        <v>33.020000000000003</v>
      </c>
      <c r="E837" s="2">
        <f t="shared" si="131"/>
        <v>10.51059244178877</v>
      </c>
      <c r="F837" s="2">
        <f t="shared" si="132"/>
        <v>4.1380285203892786</v>
      </c>
      <c r="G837" s="2">
        <v>5.8470459999999997</v>
      </c>
      <c r="H837" s="2">
        <f t="shared" si="133"/>
        <v>19.183222398639998</v>
      </c>
      <c r="I837" s="2">
        <f>INDEX('Wood Density Lookup'!$B$2:$B$152,MATCH(B837,'Wood Density Lookup'!$A$2:$A$152,0))</f>
        <v>0.5</v>
      </c>
      <c r="J837" s="2">
        <f t="shared" si="134"/>
        <v>18.921523862780681</v>
      </c>
      <c r="K837" s="2">
        <f t="shared" si="138"/>
        <v>5.298026681578591</v>
      </c>
      <c r="L837" s="2">
        <f t="shared" si="139"/>
        <v>24.219550544359272</v>
      </c>
      <c r="M837" s="2">
        <f t="shared" si="135"/>
        <v>17.559174144660471</v>
      </c>
      <c r="N837" s="2">
        <f t="shared" si="136"/>
        <v>8.7795870723302354</v>
      </c>
      <c r="O837" s="2">
        <f t="shared" si="137"/>
        <v>32.221084555451966</v>
      </c>
      <c r="P837" s="2">
        <v>72.550306000000006</v>
      </c>
      <c r="Q837" s="2">
        <v>23.034481</v>
      </c>
    </row>
    <row r="838" spans="1:17" x14ac:dyDescent="0.25">
      <c r="A838" s="2">
        <v>974</v>
      </c>
      <c r="B838" s="2" t="s">
        <v>143</v>
      </c>
      <c r="C838" s="2">
        <v>74</v>
      </c>
      <c r="D838" s="2">
        <f t="shared" si="130"/>
        <v>187.96</v>
      </c>
      <c r="E838" s="2">
        <f t="shared" si="131"/>
        <v>59.829526207105296</v>
      </c>
      <c r="F838" s="2">
        <f t="shared" si="132"/>
        <v>23.554931577600509</v>
      </c>
      <c r="G838" s="2">
        <v>11.940063</v>
      </c>
      <c r="H838" s="2">
        <f t="shared" si="133"/>
        <v>39.173436292920002</v>
      </c>
      <c r="I838" s="2">
        <f>INDEX('Wood Density Lookup'!$B$2:$B$152,MATCH(B838,'Wood Density Lookup'!$A$2:$A$152,0))</f>
        <v>0.75</v>
      </c>
      <c r="J838" s="2">
        <f t="shared" si="134"/>
        <v>1681.7928314995468</v>
      </c>
      <c r="K838" s="2">
        <f t="shared" si="138"/>
        <v>470.90199281987316</v>
      </c>
      <c r="L838" s="2">
        <f t="shared" si="139"/>
        <v>2152.6948243194201</v>
      </c>
      <c r="M838" s="2">
        <f t="shared" si="135"/>
        <v>1560.7037476315795</v>
      </c>
      <c r="N838" s="2">
        <f t="shared" si="136"/>
        <v>780.35187381578976</v>
      </c>
      <c r="O838" s="2">
        <f t="shared" si="137"/>
        <v>2863.8913769039482</v>
      </c>
      <c r="P838" s="2">
        <v>72.550308000000001</v>
      </c>
      <c r="Q838" s="2">
        <v>23.036688999999999</v>
      </c>
    </row>
    <row r="839" spans="1:17" x14ac:dyDescent="0.25">
      <c r="A839" s="2">
        <v>975</v>
      </c>
      <c r="B839" s="2" t="s">
        <v>31</v>
      </c>
      <c r="C839" s="2">
        <v>2</v>
      </c>
      <c r="D839" s="2">
        <f t="shared" si="130"/>
        <v>5.08</v>
      </c>
      <c r="E839" s="2">
        <f t="shared" si="131"/>
        <v>1.6170142218136567</v>
      </c>
      <c r="F839" s="2">
        <f t="shared" si="132"/>
        <v>0.63661977236758138</v>
      </c>
      <c r="G839" s="2">
        <v>3.7096969999999998</v>
      </c>
      <c r="H839" s="2">
        <f t="shared" si="133"/>
        <v>12.17092230548</v>
      </c>
      <c r="I839" s="2">
        <f>INDEX('Wood Density Lookup'!$B$2:$B$152,MATCH(B839,'Wood Density Lookup'!$A$2:$A$152,0))</f>
        <v>0.78</v>
      </c>
      <c r="J839" s="2">
        <f t="shared" si="134"/>
        <v>0.48504622355534277</v>
      </c>
      <c r="K839" s="2">
        <f t="shared" si="138"/>
        <v>0.13581294259549598</v>
      </c>
      <c r="L839" s="2">
        <f t="shared" si="139"/>
        <v>0.62085916615083869</v>
      </c>
      <c r="M839" s="2">
        <f t="shared" si="135"/>
        <v>0.45012289545935802</v>
      </c>
      <c r="N839" s="2">
        <f t="shared" si="136"/>
        <v>0.22506144772967901</v>
      </c>
      <c r="O839" s="2">
        <f t="shared" si="137"/>
        <v>0.82597551316792195</v>
      </c>
      <c r="P839" s="2">
        <v>72.550309999999996</v>
      </c>
      <c r="Q839" s="2">
        <v>23.034659000000001</v>
      </c>
    </row>
    <row r="840" spans="1:17" x14ac:dyDescent="0.25">
      <c r="A840" s="2">
        <v>976</v>
      </c>
      <c r="B840" s="2" t="s">
        <v>107</v>
      </c>
      <c r="C840" s="2">
        <v>43</v>
      </c>
      <c r="D840" s="2">
        <f t="shared" si="130"/>
        <v>109.22</v>
      </c>
      <c r="E840" s="2">
        <f t="shared" si="131"/>
        <v>34.765805768993616</v>
      </c>
      <c r="F840" s="2">
        <f t="shared" si="132"/>
        <v>13.687325105903</v>
      </c>
      <c r="G840" s="2">
        <v>5.4478739999999997</v>
      </c>
      <c r="H840" s="2">
        <f t="shared" si="133"/>
        <v>17.873602934159997</v>
      </c>
      <c r="I840" s="2">
        <f>INDEX('Wood Density Lookup'!$B$2:$B$152,MATCH(B840,'Wood Density Lookup'!$A$2:$A$152,0))</f>
        <v>0.65</v>
      </c>
      <c r="J840" s="2">
        <f t="shared" si="134"/>
        <v>235.67059276645165</v>
      </c>
      <c r="K840" s="2">
        <f t="shared" si="138"/>
        <v>65.987765974606461</v>
      </c>
      <c r="L840" s="2">
        <f t="shared" si="139"/>
        <v>301.65835874105812</v>
      </c>
      <c r="M840" s="2">
        <f t="shared" si="135"/>
        <v>218.70231008726714</v>
      </c>
      <c r="N840" s="2">
        <f t="shared" si="136"/>
        <v>109.35115504363357</v>
      </c>
      <c r="O840" s="2">
        <f t="shared" si="137"/>
        <v>401.31873901013518</v>
      </c>
      <c r="P840" s="2">
        <v>72.550313000000003</v>
      </c>
      <c r="Q840" s="2">
        <v>23.035851999999998</v>
      </c>
    </row>
    <row r="841" spans="1:17" x14ac:dyDescent="0.25">
      <c r="A841" s="2">
        <v>977</v>
      </c>
      <c r="B841" s="2" t="s">
        <v>15</v>
      </c>
      <c r="C841" s="2">
        <v>59</v>
      </c>
      <c r="D841" s="2">
        <f t="shared" si="130"/>
        <v>149.86000000000001</v>
      </c>
      <c r="E841" s="2">
        <f t="shared" si="131"/>
        <v>47.701919543502875</v>
      </c>
      <c r="F841" s="2">
        <f t="shared" si="132"/>
        <v>18.780283284843652</v>
      </c>
      <c r="G841" s="2">
        <v>12.126676</v>
      </c>
      <c r="H841" s="2">
        <f t="shared" si="133"/>
        <v>39.785683687839999</v>
      </c>
      <c r="I841" s="2">
        <f>INDEX('Wood Density Lookup'!$B$2:$B$152,MATCH(B841,'Wood Density Lookup'!$A$2:$A$152,0))</f>
        <v>0.75</v>
      </c>
      <c r="J841" s="2">
        <f t="shared" si="134"/>
        <v>1097.2581594688702</v>
      </c>
      <c r="K841" s="2">
        <f t="shared" si="138"/>
        <v>307.23228465128369</v>
      </c>
      <c r="L841" s="2">
        <f t="shared" si="139"/>
        <v>1404.4904441201538</v>
      </c>
      <c r="M841" s="2">
        <f t="shared" si="135"/>
        <v>1018.2555719871115</v>
      </c>
      <c r="N841" s="2">
        <f t="shared" si="136"/>
        <v>509.12778599355573</v>
      </c>
      <c r="O841" s="2">
        <f t="shared" si="137"/>
        <v>1868.4989745963494</v>
      </c>
      <c r="P841" s="2">
        <v>72.550314999999998</v>
      </c>
      <c r="Q841" s="2">
        <v>23.036563000000001</v>
      </c>
    </row>
    <row r="842" spans="1:17" x14ac:dyDescent="0.25">
      <c r="A842" s="2">
        <v>978</v>
      </c>
      <c r="B842" s="2" t="s">
        <v>50</v>
      </c>
      <c r="C842" s="2">
        <v>15</v>
      </c>
      <c r="D842" s="2">
        <f t="shared" si="130"/>
        <v>38.1</v>
      </c>
      <c r="E842" s="2">
        <f t="shared" si="131"/>
        <v>12.127606663602425</v>
      </c>
      <c r="F842" s="2">
        <f t="shared" si="132"/>
        <v>4.7746482927568605</v>
      </c>
      <c r="G842" s="2">
        <v>4.509868</v>
      </c>
      <c r="H842" s="2">
        <f t="shared" si="133"/>
        <v>14.796155329119999</v>
      </c>
      <c r="I842" s="2">
        <f>INDEX('Wood Density Lookup'!$B$2:$B$152,MATCH(B842,'Wood Density Lookup'!$A$2:$A$152,0))</f>
        <v>0.5</v>
      </c>
      <c r="J842" s="2">
        <f t="shared" si="134"/>
        <v>19.417919135801267</v>
      </c>
      <c r="K842" s="2">
        <f t="shared" si="138"/>
        <v>5.437017358024355</v>
      </c>
      <c r="L842" s="2">
        <f t="shared" si="139"/>
        <v>24.854936493825623</v>
      </c>
      <c r="M842" s="2">
        <f t="shared" si="135"/>
        <v>18.019828958023577</v>
      </c>
      <c r="N842" s="2">
        <f t="shared" si="136"/>
        <v>9.0099144790117887</v>
      </c>
      <c r="O842" s="2">
        <f t="shared" si="137"/>
        <v>33.066386137973261</v>
      </c>
      <c r="P842" s="2">
        <v>72.550318000000004</v>
      </c>
      <c r="Q842" s="2">
        <v>23.034638000000001</v>
      </c>
    </row>
    <row r="843" spans="1:17" x14ac:dyDescent="0.25">
      <c r="A843" s="2">
        <v>979</v>
      </c>
      <c r="B843" s="2" t="s">
        <v>148</v>
      </c>
      <c r="C843" s="2">
        <v>14</v>
      </c>
      <c r="D843" s="2">
        <f t="shared" si="130"/>
        <v>35.56</v>
      </c>
      <c r="E843" s="2">
        <f t="shared" si="131"/>
        <v>11.319099552695597</v>
      </c>
      <c r="F843" s="2">
        <f t="shared" si="132"/>
        <v>4.45633840657307</v>
      </c>
      <c r="G843" s="2">
        <v>6.2799870000000002</v>
      </c>
      <c r="H843" s="2">
        <f t="shared" si="133"/>
        <v>20.60363254908</v>
      </c>
      <c r="I843" s="2">
        <f>INDEX('Wood Density Lookup'!$B$2:$B$152,MATCH(B843,'Wood Density Lookup'!$A$2:$A$152,0))</f>
        <v>0.5</v>
      </c>
      <c r="J843" s="2">
        <f t="shared" si="134"/>
        <v>23.445435937269409</v>
      </c>
      <c r="K843" s="2">
        <f t="shared" si="138"/>
        <v>6.5647220624354352</v>
      </c>
      <c r="L843" s="2">
        <f t="shared" si="139"/>
        <v>30.010157999704845</v>
      </c>
      <c r="M843" s="2">
        <f t="shared" si="135"/>
        <v>21.757364549786011</v>
      </c>
      <c r="N843" s="2">
        <f t="shared" si="136"/>
        <v>10.878682274893006</v>
      </c>
      <c r="O843" s="2">
        <f t="shared" si="137"/>
        <v>39.924763948857333</v>
      </c>
      <c r="P843" s="2">
        <v>72.550324000000003</v>
      </c>
      <c r="Q843" s="2">
        <v>23.034483999999999</v>
      </c>
    </row>
    <row r="844" spans="1:17" x14ac:dyDescent="0.25">
      <c r="A844" s="2">
        <v>980</v>
      </c>
      <c r="B844" s="2" t="s">
        <v>15</v>
      </c>
      <c r="C844" s="2">
        <v>14</v>
      </c>
      <c r="D844" s="2">
        <f t="shared" si="130"/>
        <v>35.56</v>
      </c>
      <c r="E844" s="2">
        <f t="shared" si="131"/>
        <v>11.319099552695597</v>
      </c>
      <c r="F844" s="2">
        <f t="shared" si="132"/>
        <v>4.45633840657307</v>
      </c>
      <c r="G844" s="2">
        <v>9.8955099999999998</v>
      </c>
      <c r="H844" s="2">
        <f t="shared" si="133"/>
        <v>32.4655850284</v>
      </c>
      <c r="I844" s="2">
        <f>INDEX('Wood Density Lookup'!$B$2:$B$152,MATCH(B844,'Wood Density Lookup'!$A$2:$A$152,0))</f>
        <v>0.75</v>
      </c>
      <c r="J844" s="2">
        <f t="shared" si="134"/>
        <v>54.282933828946518</v>
      </c>
      <c r="K844" s="2">
        <f t="shared" si="138"/>
        <v>15.199221472105027</v>
      </c>
      <c r="L844" s="2">
        <f t="shared" si="139"/>
        <v>69.482155301051549</v>
      </c>
      <c r="M844" s="2">
        <f t="shared" si="135"/>
        <v>50.374562593262368</v>
      </c>
      <c r="N844" s="2">
        <f t="shared" si="136"/>
        <v>25.187281296631184</v>
      </c>
      <c r="O844" s="2">
        <f t="shared" si="137"/>
        <v>92.43732235863645</v>
      </c>
      <c r="P844" s="2">
        <v>72.550324000000003</v>
      </c>
      <c r="Q844" s="2">
        <v>23.035785000000001</v>
      </c>
    </row>
    <row r="845" spans="1:17" x14ac:dyDescent="0.25">
      <c r="A845" s="2">
        <v>981</v>
      </c>
      <c r="B845" s="2" t="s">
        <v>110</v>
      </c>
      <c r="C845" s="2">
        <v>44</v>
      </c>
      <c r="D845" s="2">
        <f t="shared" si="130"/>
        <v>111.76</v>
      </c>
      <c r="E845" s="2">
        <f t="shared" si="131"/>
        <v>35.574312879900447</v>
      </c>
      <c r="F845" s="2">
        <f t="shared" si="132"/>
        <v>14.00563499208679</v>
      </c>
      <c r="G845" s="2">
        <v>9.8633190000000006</v>
      </c>
      <c r="H845" s="2">
        <f t="shared" si="133"/>
        <v>32.359971507960005</v>
      </c>
      <c r="I845" s="2">
        <f>INDEX('Wood Density Lookup'!$B$2:$B$152,MATCH(B845,'Wood Density Lookup'!$A$2:$A$152,0))</f>
        <v>0.75</v>
      </c>
      <c r="J845" s="2">
        <f t="shared" si="134"/>
        <v>505.8943983114516</v>
      </c>
      <c r="K845" s="2">
        <f t="shared" si="138"/>
        <v>141.65043152720645</v>
      </c>
      <c r="L845" s="2">
        <f t="shared" si="139"/>
        <v>647.54482983865807</v>
      </c>
      <c r="M845" s="2">
        <f t="shared" si="135"/>
        <v>469.4700016330271</v>
      </c>
      <c r="N845" s="2">
        <f t="shared" si="136"/>
        <v>234.73500081651355</v>
      </c>
      <c r="O845" s="2">
        <f t="shared" si="137"/>
        <v>861.47745299660471</v>
      </c>
      <c r="P845" s="2">
        <v>72.550325000000001</v>
      </c>
      <c r="Q845" s="2">
        <v>23.035112000000002</v>
      </c>
    </row>
    <row r="846" spans="1:17" x14ac:dyDescent="0.25">
      <c r="A846" s="2">
        <v>982</v>
      </c>
      <c r="B846" s="2" t="s">
        <v>50</v>
      </c>
      <c r="C846" s="2">
        <v>12</v>
      </c>
      <c r="D846" s="2">
        <f t="shared" si="130"/>
        <v>30.48</v>
      </c>
      <c r="E846" s="2">
        <f t="shared" si="131"/>
        <v>9.7020853308819408</v>
      </c>
      <c r="F846" s="2">
        <f t="shared" si="132"/>
        <v>3.8197186342054881</v>
      </c>
      <c r="G846" s="2">
        <v>4.9809190000000001</v>
      </c>
      <c r="H846" s="2">
        <f t="shared" si="133"/>
        <v>16.34159829196</v>
      </c>
      <c r="I846" s="2">
        <f>INDEX('Wood Density Lookup'!$B$2:$B$152,MATCH(B846,'Wood Density Lookup'!$A$2:$A$152,0))</f>
        <v>0.5</v>
      </c>
      <c r="J846" s="2">
        <f t="shared" si="134"/>
        <v>13.840267874467216</v>
      </c>
      <c r="K846" s="2">
        <f t="shared" si="138"/>
        <v>3.8752750048508209</v>
      </c>
      <c r="L846" s="2">
        <f t="shared" si="139"/>
        <v>17.715542879318036</v>
      </c>
      <c r="M846" s="2">
        <f t="shared" si="135"/>
        <v>12.843768587505576</v>
      </c>
      <c r="N846" s="2">
        <f t="shared" si="136"/>
        <v>6.4218842937527878</v>
      </c>
      <c r="O846" s="2">
        <f t="shared" si="137"/>
        <v>23.568315358072731</v>
      </c>
      <c r="P846" s="2">
        <v>72.550329000000005</v>
      </c>
      <c r="Q846" s="2">
        <v>23.034617000000001</v>
      </c>
    </row>
    <row r="847" spans="1:17" x14ac:dyDescent="0.25">
      <c r="A847" s="2">
        <v>983</v>
      </c>
      <c r="B847" s="2" t="s">
        <v>140</v>
      </c>
      <c r="C847" s="2">
        <v>5</v>
      </c>
      <c r="D847" s="2">
        <f t="shared" si="130"/>
        <v>12.7</v>
      </c>
      <c r="E847" s="2">
        <f t="shared" si="131"/>
        <v>4.0425355545341413</v>
      </c>
      <c r="F847" s="2">
        <f t="shared" si="132"/>
        <v>1.5915494309189535</v>
      </c>
      <c r="G847" s="2">
        <v>5.6118959999999998</v>
      </c>
      <c r="H847" s="2">
        <f t="shared" si="133"/>
        <v>18.411732872639998</v>
      </c>
      <c r="I847" s="2">
        <f>INDEX('Wood Density Lookup'!$B$2:$B$152,MATCH(B847,'Wood Density Lookup'!$A$2:$A$152,0))</f>
        <v>0.6</v>
      </c>
      <c r="J847" s="2">
        <f t="shared" si="134"/>
        <v>3.3636436503374139</v>
      </c>
      <c r="K847" s="2">
        <f t="shared" si="138"/>
        <v>0.94182022209447602</v>
      </c>
      <c r="L847" s="2">
        <f t="shared" si="139"/>
        <v>4.3054638724318899</v>
      </c>
      <c r="M847" s="2">
        <f t="shared" si="135"/>
        <v>3.1214613075131199</v>
      </c>
      <c r="N847" s="2">
        <f t="shared" si="136"/>
        <v>1.5607306537565599</v>
      </c>
      <c r="O847" s="2">
        <f t="shared" si="137"/>
        <v>5.7278814992865748</v>
      </c>
      <c r="P847" s="2">
        <v>72.550330000000002</v>
      </c>
      <c r="Q847" s="2">
        <v>23.034510999999998</v>
      </c>
    </row>
    <row r="848" spans="1:17" x14ac:dyDescent="0.25">
      <c r="A848" s="2">
        <v>984</v>
      </c>
      <c r="B848" s="2" t="s">
        <v>50</v>
      </c>
      <c r="C848" s="2">
        <v>1</v>
      </c>
      <c r="D848" s="2">
        <f t="shared" si="130"/>
        <v>2.54</v>
      </c>
      <c r="E848" s="2">
        <f t="shared" si="131"/>
        <v>0.80850711090682836</v>
      </c>
      <c r="F848" s="2">
        <f t="shared" si="132"/>
        <v>0.31830988618379069</v>
      </c>
      <c r="G848" s="2">
        <v>4.5760909999999999</v>
      </c>
      <c r="H848" s="2">
        <f t="shared" si="133"/>
        <v>15.013422396439999</v>
      </c>
      <c r="I848" s="2">
        <f>INDEX('Wood Density Lookup'!$B$2:$B$152,MATCH(B848,'Wood Density Lookup'!$A$2:$A$152,0))</f>
        <v>0.5</v>
      </c>
      <c r="J848" s="2">
        <f t="shared" si="134"/>
        <v>9.968996244284864E-2</v>
      </c>
      <c r="K848" s="2">
        <f t="shared" si="138"/>
        <v>2.7913189483997621E-2</v>
      </c>
      <c r="L848" s="2">
        <f t="shared" si="139"/>
        <v>0.12760315192684626</v>
      </c>
      <c r="M848" s="2">
        <f t="shared" si="135"/>
        <v>9.2512285146963538E-2</v>
      </c>
      <c r="N848" s="2">
        <f t="shared" si="136"/>
        <v>4.6256142573481769E-2</v>
      </c>
      <c r="O848" s="2">
        <f t="shared" si="137"/>
        <v>0.16976004324467808</v>
      </c>
      <c r="P848" s="2">
        <v>72.550331</v>
      </c>
      <c r="Q848" s="2">
        <v>23.034602</v>
      </c>
    </row>
    <row r="849" spans="1:17" x14ac:dyDescent="0.25">
      <c r="A849" s="2">
        <v>985</v>
      </c>
      <c r="B849" s="2" t="s">
        <v>15</v>
      </c>
      <c r="C849" s="2">
        <v>195</v>
      </c>
      <c r="D849" s="2">
        <f t="shared" si="130"/>
        <v>495.3</v>
      </c>
      <c r="E849" s="2">
        <f t="shared" si="131"/>
        <v>157.65888662683153</v>
      </c>
      <c r="F849" s="2">
        <f t="shared" si="132"/>
        <v>62.070427805839181</v>
      </c>
      <c r="G849" s="2">
        <v>12.780434</v>
      </c>
      <c r="H849" s="2">
        <f t="shared" si="133"/>
        <v>41.930559084559995</v>
      </c>
      <c r="I849" s="2">
        <f>INDEX('Wood Density Lookup'!$B$2:$B$152,MATCH(B849,'Wood Density Lookup'!$A$2:$A$152,0))</f>
        <v>0.75</v>
      </c>
      <c r="J849" s="2">
        <f t="shared" si="134"/>
        <v>11912.688602608501</v>
      </c>
      <c r="K849" s="2">
        <f t="shared" si="138"/>
        <v>3335.5528087303805</v>
      </c>
      <c r="L849" s="2">
        <f t="shared" si="139"/>
        <v>15248.241411338882</v>
      </c>
      <c r="M849" s="2">
        <f t="shared" si="135"/>
        <v>11054.97502322069</v>
      </c>
      <c r="N849" s="2">
        <f t="shared" si="136"/>
        <v>5527.4875116103449</v>
      </c>
      <c r="O849" s="2">
        <f t="shared" si="137"/>
        <v>20285.879167609964</v>
      </c>
      <c r="P849" s="2">
        <v>72.550334000000007</v>
      </c>
      <c r="Q849" s="2">
        <v>23.036301000000002</v>
      </c>
    </row>
    <row r="850" spans="1:17" x14ac:dyDescent="0.25">
      <c r="A850" s="2">
        <v>986</v>
      </c>
      <c r="B850" s="2" t="s">
        <v>61</v>
      </c>
      <c r="C850" s="2">
        <v>5</v>
      </c>
      <c r="D850" s="2">
        <f t="shared" si="130"/>
        <v>12.7</v>
      </c>
      <c r="E850" s="2">
        <f t="shared" si="131"/>
        <v>4.0425355545341413</v>
      </c>
      <c r="F850" s="2">
        <f t="shared" si="132"/>
        <v>1.5915494309189535</v>
      </c>
      <c r="G850" s="2">
        <v>3.6610490000000002</v>
      </c>
      <c r="H850" s="2">
        <f t="shared" si="133"/>
        <v>12.011316001160001</v>
      </c>
      <c r="I850" s="2">
        <f>INDEX('Wood Density Lookup'!$B$2:$B$152,MATCH(B850,'Wood Density Lookup'!$A$2:$A$152,0))</f>
        <v>0.5</v>
      </c>
      <c r="J850" s="2">
        <f t="shared" si="134"/>
        <v>1.8555690019788869</v>
      </c>
      <c r="K850" s="2">
        <f t="shared" si="138"/>
        <v>0.51955932055408838</v>
      </c>
      <c r="L850" s="2">
        <f t="shared" si="139"/>
        <v>2.3751283225329751</v>
      </c>
      <c r="M850" s="2">
        <f t="shared" si="135"/>
        <v>1.721968033836407</v>
      </c>
      <c r="N850" s="2">
        <f t="shared" si="136"/>
        <v>0.86098401691820348</v>
      </c>
      <c r="O850" s="2">
        <f t="shared" si="137"/>
        <v>3.1598113420898066</v>
      </c>
      <c r="P850" s="2">
        <v>72.550336000000001</v>
      </c>
      <c r="Q850" s="2">
        <v>23.034579999999998</v>
      </c>
    </row>
    <row r="851" spans="1:17" x14ac:dyDescent="0.25">
      <c r="A851" s="2">
        <v>987</v>
      </c>
      <c r="B851" s="2" t="s">
        <v>107</v>
      </c>
      <c r="C851" s="2">
        <v>26</v>
      </c>
      <c r="D851" s="2">
        <f t="shared" si="130"/>
        <v>66.040000000000006</v>
      </c>
      <c r="E851" s="2">
        <f t="shared" si="131"/>
        <v>21.02118488357754</v>
      </c>
      <c r="F851" s="2">
        <f t="shared" si="132"/>
        <v>8.2760570407785572</v>
      </c>
      <c r="G851" s="2">
        <v>3.5259260000000001</v>
      </c>
      <c r="H851" s="2">
        <f t="shared" si="133"/>
        <v>11.56799905784</v>
      </c>
      <c r="I851" s="2">
        <f>INDEX('Wood Density Lookup'!$B$2:$B$152,MATCH(B851,'Wood Density Lookup'!$A$2:$A$152,0))</f>
        <v>0.65</v>
      </c>
      <c r="J851" s="2">
        <f t="shared" si="134"/>
        <v>57.727662916318799</v>
      </c>
      <c r="K851" s="2">
        <f t="shared" si="138"/>
        <v>16.163745616569265</v>
      </c>
      <c r="L851" s="2">
        <f t="shared" si="139"/>
        <v>73.891408532888065</v>
      </c>
      <c r="M851" s="2">
        <f t="shared" si="135"/>
        <v>53.571271186343843</v>
      </c>
      <c r="N851" s="2">
        <f t="shared" si="136"/>
        <v>26.785635593171921</v>
      </c>
      <c r="O851" s="2">
        <f t="shared" si="137"/>
        <v>98.303282626940955</v>
      </c>
      <c r="P851" s="2">
        <v>72.550337999999996</v>
      </c>
      <c r="Q851" s="2">
        <v>23.035723000000001</v>
      </c>
    </row>
    <row r="852" spans="1:17" x14ac:dyDescent="0.25">
      <c r="A852" s="2">
        <v>989</v>
      </c>
      <c r="B852" s="2" t="s">
        <v>31</v>
      </c>
      <c r="C852" s="2">
        <v>4</v>
      </c>
      <c r="D852" s="2">
        <f t="shared" si="130"/>
        <v>10.16</v>
      </c>
      <c r="E852" s="2">
        <f t="shared" si="131"/>
        <v>3.2340284436273135</v>
      </c>
      <c r="F852" s="2">
        <f t="shared" si="132"/>
        <v>1.2732395447351628</v>
      </c>
      <c r="G852" s="2">
        <v>2.1510950000000002</v>
      </c>
      <c r="H852" s="2">
        <f t="shared" si="133"/>
        <v>7.0573985198000004</v>
      </c>
      <c r="I852" s="2">
        <f>INDEX('Wood Density Lookup'!$B$2:$B$152,MATCH(B852,'Wood Density Lookup'!$A$2:$A$152,0))</f>
        <v>0.78</v>
      </c>
      <c r="J852" s="2">
        <f t="shared" si="134"/>
        <v>1.1025419520399431</v>
      </c>
      <c r="K852" s="2">
        <f t="shared" si="138"/>
        <v>0.30871174657118411</v>
      </c>
      <c r="L852" s="2">
        <f t="shared" si="139"/>
        <v>1.4112536986111273</v>
      </c>
      <c r="M852" s="2">
        <f t="shared" si="135"/>
        <v>1.0231589314930671</v>
      </c>
      <c r="N852" s="2">
        <f t="shared" si="136"/>
        <v>0.51157946574653357</v>
      </c>
      <c r="O852" s="2">
        <f t="shared" si="137"/>
        <v>1.8774966392897781</v>
      </c>
      <c r="P852" s="2">
        <v>72.550342999999998</v>
      </c>
      <c r="Q852" s="2">
        <v>23.034559000000002</v>
      </c>
    </row>
    <row r="853" spans="1:17" x14ac:dyDescent="0.25">
      <c r="A853" s="2">
        <v>990</v>
      </c>
      <c r="B853" s="2" t="s">
        <v>15</v>
      </c>
      <c r="C853" s="2">
        <v>77</v>
      </c>
      <c r="D853" s="2">
        <f t="shared" si="130"/>
        <v>195.58</v>
      </c>
      <c r="E853" s="2">
        <f t="shared" si="131"/>
        <v>62.255047539825789</v>
      </c>
      <c r="F853" s="2">
        <f t="shared" si="132"/>
        <v>24.509861236151881</v>
      </c>
      <c r="G853" s="2">
        <v>11.334885999999999</v>
      </c>
      <c r="H853" s="2">
        <f t="shared" si="133"/>
        <v>37.187947384239997</v>
      </c>
      <c r="I853" s="2">
        <f>INDEX('Wood Density Lookup'!$B$2:$B$152,MATCH(B853,'Wood Density Lookup'!$A$2:$A$152,0))</f>
        <v>0.75</v>
      </c>
      <c r="J853" s="2">
        <f t="shared" si="134"/>
        <v>1727.4868933214022</v>
      </c>
      <c r="K853" s="2">
        <f t="shared" si="138"/>
        <v>483.6963301299927</v>
      </c>
      <c r="L853" s="2">
        <f t="shared" si="139"/>
        <v>2211.183223451395</v>
      </c>
      <c r="M853" s="2">
        <f t="shared" si="135"/>
        <v>1603.1078370022612</v>
      </c>
      <c r="N853" s="2">
        <f t="shared" si="136"/>
        <v>801.55391850113062</v>
      </c>
      <c r="O853" s="2">
        <f t="shared" si="137"/>
        <v>2941.7028808991495</v>
      </c>
      <c r="P853" s="2">
        <v>72.550344999999993</v>
      </c>
      <c r="Q853" s="2">
        <v>23.037209000000001</v>
      </c>
    </row>
    <row r="854" spans="1:17" x14ac:dyDescent="0.25">
      <c r="A854" s="2">
        <v>994</v>
      </c>
      <c r="B854" s="2" t="s">
        <v>50</v>
      </c>
      <c r="C854" s="2">
        <v>9</v>
      </c>
      <c r="D854" s="2">
        <f t="shared" si="130"/>
        <v>22.86</v>
      </c>
      <c r="E854" s="2">
        <f t="shared" si="131"/>
        <v>7.2765639981614552</v>
      </c>
      <c r="F854" s="2">
        <f t="shared" si="132"/>
        <v>2.8647889756541161</v>
      </c>
      <c r="G854" s="2">
        <v>3.1294749999999998</v>
      </c>
      <c r="H854" s="2">
        <f t="shared" si="133"/>
        <v>10.267306758999998</v>
      </c>
      <c r="I854" s="2">
        <f>INDEX('Wood Density Lookup'!$B$2:$B$152,MATCH(B854,'Wood Density Lookup'!$A$2:$A$152,0))</f>
        <v>0.5</v>
      </c>
      <c r="J854" s="2">
        <f t="shared" si="134"/>
        <v>5.0149914976939884</v>
      </c>
      <c r="K854" s="2">
        <f t="shared" si="138"/>
        <v>1.4041976193543169</v>
      </c>
      <c r="L854" s="2">
        <f t="shared" si="139"/>
        <v>6.4191891170483055</v>
      </c>
      <c r="M854" s="2">
        <f t="shared" si="135"/>
        <v>4.6539121098600216</v>
      </c>
      <c r="N854" s="2">
        <f t="shared" si="136"/>
        <v>2.3269560549300108</v>
      </c>
      <c r="O854" s="2">
        <f t="shared" si="137"/>
        <v>8.5399287215931388</v>
      </c>
      <c r="P854" s="2">
        <v>72.550351000000006</v>
      </c>
      <c r="Q854" s="2">
        <v>23.034535000000002</v>
      </c>
    </row>
    <row r="855" spans="1:17" x14ac:dyDescent="0.25">
      <c r="A855" s="2">
        <v>1000</v>
      </c>
      <c r="B855" s="2" t="s">
        <v>107</v>
      </c>
      <c r="C855" s="2">
        <v>47</v>
      </c>
      <c r="D855" s="2">
        <f t="shared" si="130"/>
        <v>119.38</v>
      </c>
      <c r="E855" s="2">
        <f t="shared" si="131"/>
        <v>37.999834212620932</v>
      </c>
      <c r="F855" s="2">
        <f t="shared" si="132"/>
        <v>14.960564650638162</v>
      </c>
      <c r="G855" s="2">
        <v>8.5811639999999993</v>
      </c>
      <c r="H855" s="2">
        <f t="shared" si="133"/>
        <v>28.153426097759997</v>
      </c>
      <c r="I855" s="2">
        <f>INDEX('Wood Density Lookup'!$B$2:$B$152,MATCH(B855,'Wood Density Lookup'!$A$2:$A$152,0))</f>
        <v>0.65</v>
      </c>
      <c r="J855" s="2">
        <f t="shared" si="134"/>
        <v>436.81090862644413</v>
      </c>
      <c r="K855" s="2">
        <f t="shared" si="138"/>
        <v>122.30705441540437</v>
      </c>
      <c r="L855" s="2">
        <f t="shared" si="139"/>
        <v>559.1179630418485</v>
      </c>
      <c r="M855" s="2">
        <f t="shared" si="135"/>
        <v>405.36052320534014</v>
      </c>
      <c r="N855" s="2">
        <f t="shared" si="136"/>
        <v>202.68026160267007</v>
      </c>
      <c r="O855" s="2">
        <f t="shared" si="137"/>
        <v>743.83656008179912</v>
      </c>
      <c r="P855" s="2">
        <v>72.550354999999996</v>
      </c>
      <c r="Q855" s="2">
        <v>23.036023</v>
      </c>
    </row>
    <row r="856" spans="1:17" x14ac:dyDescent="0.25">
      <c r="A856" s="2">
        <v>1001</v>
      </c>
      <c r="B856" s="2" t="s">
        <v>143</v>
      </c>
      <c r="C856" s="2">
        <v>9</v>
      </c>
      <c r="D856" s="2">
        <f t="shared" si="130"/>
        <v>22.86</v>
      </c>
      <c r="E856" s="2">
        <f t="shared" si="131"/>
        <v>7.2765639981614552</v>
      </c>
      <c r="F856" s="2">
        <f t="shared" si="132"/>
        <v>2.8647889756541161</v>
      </c>
      <c r="G856" s="2">
        <v>2.8872550000000001</v>
      </c>
      <c r="H856" s="2">
        <f t="shared" si="133"/>
        <v>9.4726216942000008</v>
      </c>
      <c r="I856" s="2">
        <f>INDEX('Wood Density Lookup'!$B$2:$B$152,MATCH(B856,'Wood Density Lookup'!$A$2:$A$152,0))</f>
        <v>0.75</v>
      </c>
      <c r="J856" s="2">
        <f t="shared" si="134"/>
        <v>6.8863421627258905</v>
      </c>
      <c r="K856" s="2">
        <f t="shared" si="138"/>
        <v>1.9281758055632496</v>
      </c>
      <c r="L856" s="2">
        <f t="shared" si="139"/>
        <v>8.8145179682891399</v>
      </c>
      <c r="M856" s="2">
        <f t="shared" si="135"/>
        <v>6.3905255270096264</v>
      </c>
      <c r="N856" s="2">
        <f t="shared" si="136"/>
        <v>3.1952627635048132</v>
      </c>
      <c r="O856" s="2">
        <f t="shared" si="137"/>
        <v>11.726614342062664</v>
      </c>
      <c r="P856" s="2">
        <v>72.550354999999996</v>
      </c>
      <c r="Q856" s="2">
        <v>23.038598</v>
      </c>
    </row>
    <row r="857" spans="1:17" x14ac:dyDescent="0.25">
      <c r="A857" s="2">
        <v>1002</v>
      </c>
      <c r="B857" s="2" t="s">
        <v>143</v>
      </c>
      <c r="C857" s="2">
        <v>10</v>
      </c>
      <c r="D857" s="2">
        <f t="shared" si="130"/>
        <v>25.4</v>
      </c>
      <c r="E857" s="2">
        <f t="shared" si="131"/>
        <v>8.0850711090682825</v>
      </c>
      <c r="F857" s="2">
        <f t="shared" si="132"/>
        <v>3.183098861837907</v>
      </c>
      <c r="G857" s="2">
        <v>2.4465710000000001</v>
      </c>
      <c r="H857" s="2">
        <f t="shared" si="133"/>
        <v>8.0268079996400008</v>
      </c>
      <c r="I857" s="2">
        <f>INDEX('Wood Density Lookup'!$B$2:$B$152,MATCH(B857,'Wood Density Lookup'!$A$2:$A$152,0))</f>
        <v>0.75</v>
      </c>
      <c r="J857" s="2">
        <f t="shared" si="134"/>
        <v>7.1962485750338763</v>
      </c>
      <c r="K857" s="2">
        <f t="shared" si="138"/>
        <v>2.0149496010094854</v>
      </c>
      <c r="L857" s="2">
        <f t="shared" si="139"/>
        <v>9.2111981760433608</v>
      </c>
      <c r="M857" s="2">
        <f t="shared" si="135"/>
        <v>6.6781186776314367</v>
      </c>
      <c r="N857" s="2">
        <f t="shared" si="136"/>
        <v>3.3390593388157184</v>
      </c>
      <c r="O857" s="2">
        <f t="shared" si="137"/>
        <v>12.254347773453686</v>
      </c>
      <c r="P857" s="2">
        <v>72.550354999999996</v>
      </c>
      <c r="Q857" s="2">
        <v>23.038616000000001</v>
      </c>
    </row>
    <row r="858" spans="1:17" x14ac:dyDescent="0.25">
      <c r="A858" s="2">
        <v>1003</v>
      </c>
      <c r="B858" s="2" t="s">
        <v>143</v>
      </c>
      <c r="C858" s="2">
        <v>12</v>
      </c>
      <c r="D858" s="2">
        <f t="shared" si="130"/>
        <v>30.48</v>
      </c>
      <c r="E858" s="2">
        <f t="shared" si="131"/>
        <v>9.7020853308819408</v>
      </c>
      <c r="F858" s="2">
        <f t="shared" si="132"/>
        <v>3.8197186342054881</v>
      </c>
      <c r="G858" s="2">
        <v>3.6804999999999999</v>
      </c>
      <c r="H858" s="2">
        <f t="shared" si="133"/>
        <v>12.075131619999999</v>
      </c>
      <c r="I858" s="2">
        <f>INDEX('Wood Density Lookup'!$B$2:$B$152,MATCH(B858,'Wood Density Lookup'!$A$2:$A$152,0))</f>
        <v>0.75</v>
      </c>
      <c r="J858" s="2">
        <f t="shared" si="134"/>
        <v>15.302435980722235</v>
      </c>
      <c r="K858" s="2">
        <f t="shared" si="138"/>
        <v>4.2846820746022258</v>
      </c>
      <c r="L858" s="2">
        <f t="shared" si="139"/>
        <v>19.58711805532446</v>
      </c>
      <c r="M858" s="2">
        <f t="shared" si="135"/>
        <v>14.200660590110234</v>
      </c>
      <c r="N858" s="2">
        <f t="shared" si="136"/>
        <v>7.1003302950551168</v>
      </c>
      <c r="O858" s="2">
        <f t="shared" si="137"/>
        <v>26.058212182852277</v>
      </c>
      <c r="P858" s="2">
        <v>72.550355999999994</v>
      </c>
      <c r="Q858" s="2">
        <v>23.038565999999999</v>
      </c>
    </row>
    <row r="859" spans="1:17" x14ac:dyDescent="0.25">
      <c r="A859" s="2">
        <v>1004</v>
      </c>
      <c r="B859" s="2" t="s">
        <v>143</v>
      </c>
      <c r="C859" s="2">
        <v>10</v>
      </c>
      <c r="D859" s="2">
        <f t="shared" si="130"/>
        <v>25.4</v>
      </c>
      <c r="E859" s="2">
        <f t="shared" si="131"/>
        <v>8.0850711090682825</v>
      </c>
      <c r="F859" s="2">
        <f t="shared" si="132"/>
        <v>3.183098861837907</v>
      </c>
      <c r="G859" s="2">
        <v>4.8863219999999998</v>
      </c>
      <c r="H859" s="2">
        <f t="shared" si="133"/>
        <v>16.031240670479999</v>
      </c>
      <c r="I859" s="2">
        <f>INDEX('Wood Density Lookup'!$B$2:$B$152,MATCH(B859,'Wood Density Lookup'!$A$2:$A$152,0))</f>
        <v>0.75</v>
      </c>
      <c r="J859" s="2">
        <f t="shared" si="134"/>
        <v>14.135794842059896</v>
      </c>
      <c r="K859" s="2">
        <f t="shared" si="138"/>
        <v>3.9580225557767714</v>
      </c>
      <c r="L859" s="2">
        <f t="shared" si="139"/>
        <v>18.093817397836666</v>
      </c>
      <c r="M859" s="2">
        <f t="shared" si="135"/>
        <v>13.118017613431583</v>
      </c>
      <c r="N859" s="2">
        <f t="shared" si="136"/>
        <v>6.5590088067157915</v>
      </c>
      <c r="O859" s="2">
        <f t="shared" si="137"/>
        <v>24.071562320646954</v>
      </c>
      <c r="P859" s="2">
        <v>72.550357000000005</v>
      </c>
      <c r="Q859" s="2">
        <v>23.038471999999999</v>
      </c>
    </row>
    <row r="860" spans="1:17" x14ac:dyDescent="0.25">
      <c r="A860" s="2">
        <v>1005</v>
      </c>
      <c r="B860" s="2" t="s">
        <v>143</v>
      </c>
      <c r="C860" s="2">
        <v>8</v>
      </c>
      <c r="D860" s="2">
        <f t="shared" si="130"/>
        <v>20.32</v>
      </c>
      <c r="E860" s="2">
        <f t="shared" si="131"/>
        <v>6.4680568872546269</v>
      </c>
      <c r="F860" s="2">
        <f t="shared" si="132"/>
        <v>2.5464790894703255</v>
      </c>
      <c r="G860" s="2">
        <v>3.1720440000000001</v>
      </c>
      <c r="H860" s="2">
        <f t="shared" si="133"/>
        <v>10.406968836960001</v>
      </c>
      <c r="I860" s="2">
        <f>INDEX('Wood Density Lookup'!$B$2:$B$152,MATCH(B860,'Wood Density Lookup'!$A$2:$A$152,0))</f>
        <v>0.75</v>
      </c>
      <c r="J860" s="2">
        <f t="shared" si="134"/>
        <v>5.9980825320337248</v>
      </c>
      <c r="K860" s="2">
        <f t="shared" si="138"/>
        <v>1.6794631089694432</v>
      </c>
      <c r="L860" s="2">
        <f t="shared" si="139"/>
        <v>7.6775456410031682</v>
      </c>
      <c r="M860" s="2">
        <f t="shared" si="135"/>
        <v>5.5662205897272967</v>
      </c>
      <c r="N860" s="2">
        <f t="shared" si="136"/>
        <v>2.7831102948636484</v>
      </c>
      <c r="O860" s="2">
        <f t="shared" si="137"/>
        <v>10.21401478214959</v>
      </c>
      <c r="P860" s="2">
        <v>72.550357000000005</v>
      </c>
      <c r="Q860" s="2">
        <v>23.038582000000002</v>
      </c>
    </row>
    <row r="861" spans="1:17" x14ac:dyDescent="0.25">
      <c r="A861" s="2">
        <v>1006</v>
      </c>
      <c r="B861" s="2" t="s">
        <v>15</v>
      </c>
      <c r="C861" s="2">
        <v>59</v>
      </c>
      <c r="D861" s="2">
        <f t="shared" si="130"/>
        <v>149.86000000000001</v>
      </c>
      <c r="E861" s="2">
        <f t="shared" si="131"/>
        <v>47.701919543502875</v>
      </c>
      <c r="F861" s="2">
        <f t="shared" si="132"/>
        <v>18.780283284843652</v>
      </c>
      <c r="G861" s="2">
        <v>13.85402</v>
      </c>
      <c r="H861" s="2">
        <f t="shared" si="133"/>
        <v>45.4528229768</v>
      </c>
      <c r="I861" s="2">
        <f>INDEX('Wood Density Lookup'!$B$2:$B$152,MATCH(B861,'Wood Density Lookup'!$A$2:$A$152,0))</f>
        <v>0.75</v>
      </c>
      <c r="J861" s="2">
        <f t="shared" si="134"/>
        <v>1249.5534507127152</v>
      </c>
      <c r="K861" s="2">
        <f t="shared" si="138"/>
        <v>349.87496619956028</v>
      </c>
      <c r="L861" s="2">
        <f t="shared" si="139"/>
        <v>1599.4284169122755</v>
      </c>
      <c r="M861" s="2">
        <f t="shared" si="135"/>
        <v>1159.5856022613996</v>
      </c>
      <c r="N861" s="2">
        <f t="shared" si="136"/>
        <v>579.79280113069979</v>
      </c>
      <c r="O861" s="2">
        <f t="shared" si="137"/>
        <v>2127.8395801496681</v>
      </c>
      <c r="P861" s="2">
        <v>72.550358000000003</v>
      </c>
      <c r="Q861" s="2">
        <v>23.038063999999999</v>
      </c>
    </row>
    <row r="862" spans="1:17" x14ac:dyDescent="0.25">
      <c r="A862" s="2">
        <v>1009</v>
      </c>
      <c r="B862" s="2" t="s">
        <v>143</v>
      </c>
      <c r="C862" s="2">
        <v>11</v>
      </c>
      <c r="D862" s="2">
        <f t="shared" si="130"/>
        <v>27.94</v>
      </c>
      <c r="E862" s="2">
        <f t="shared" si="131"/>
        <v>8.8935782199751117</v>
      </c>
      <c r="F862" s="2">
        <f t="shared" si="132"/>
        <v>3.5014087480216975</v>
      </c>
      <c r="G862" s="2">
        <v>4.6267180000000003</v>
      </c>
      <c r="H862" s="2">
        <f t="shared" si="133"/>
        <v>15.17952148312</v>
      </c>
      <c r="I862" s="2">
        <f>INDEX('Wood Density Lookup'!$B$2:$B$152,MATCH(B862,'Wood Density Lookup'!$A$2:$A$152,0))</f>
        <v>0.75</v>
      </c>
      <c r="J862" s="2">
        <f t="shared" si="134"/>
        <v>16.14279454048561</v>
      </c>
      <c r="K862" s="2">
        <f t="shared" si="138"/>
        <v>4.5199824713359718</v>
      </c>
      <c r="L862" s="2">
        <f t="shared" si="139"/>
        <v>20.662777011821582</v>
      </c>
      <c r="M862" s="2">
        <f t="shared" si="135"/>
        <v>14.980513333570647</v>
      </c>
      <c r="N862" s="2">
        <f t="shared" si="136"/>
        <v>7.4902566667853234</v>
      </c>
      <c r="O862" s="2">
        <f t="shared" si="137"/>
        <v>27.489241967102135</v>
      </c>
      <c r="P862" s="2">
        <v>72.550359</v>
      </c>
      <c r="Q862" s="2">
        <v>23.038461000000002</v>
      </c>
    </row>
    <row r="863" spans="1:17" x14ac:dyDescent="0.25">
      <c r="A863" s="2">
        <v>1011</v>
      </c>
      <c r="B863" s="2" t="s">
        <v>107</v>
      </c>
      <c r="C863" s="2">
        <v>31</v>
      </c>
      <c r="D863" s="2">
        <f t="shared" si="130"/>
        <v>78.739999999999995</v>
      </c>
      <c r="E863" s="2">
        <f t="shared" si="131"/>
        <v>25.063720438111677</v>
      </c>
      <c r="F863" s="2">
        <f t="shared" si="132"/>
        <v>9.8676064716975116</v>
      </c>
      <c r="G863" s="2">
        <v>6.6150029999999997</v>
      </c>
      <c r="H863" s="2">
        <f t="shared" si="133"/>
        <v>21.702766442519998</v>
      </c>
      <c r="I863" s="2">
        <f>INDEX('Wood Density Lookup'!$B$2:$B$152,MATCH(B863,'Wood Density Lookup'!$A$2:$A$152,0))</f>
        <v>0.65</v>
      </c>
      <c r="J863" s="2">
        <f t="shared" si="134"/>
        <v>150.38091202986064</v>
      </c>
      <c r="K863" s="2">
        <f t="shared" si="138"/>
        <v>42.106655368360983</v>
      </c>
      <c r="L863" s="2">
        <f t="shared" si="139"/>
        <v>192.48756739822161</v>
      </c>
      <c r="M863" s="2">
        <f t="shared" si="135"/>
        <v>139.55348636371068</v>
      </c>
      <c r="N863" s="2">
        <f t="shared" si="136"/>
        <v>69.776743181855338</v>
      </c>
      <c r="O863" s="2">
        <f t="shared" si="137"/>
        <v>256.08064747740906</v>
      </c>
      <c r="P863" s="2">
        <v>72.550359999999998</v>
      </c>
      <c r="Q863" s="2">
        <v>23.035905</v>
      </c>
    </row>
    <row r="864" spans="1:17" x14ac:dyDescent="0.25">
      <c r="A864" s="2">
        <v>1012</v>
      </c>
      <c r="B864" s="2" t="s">
        <v>143</v>
      </c>
      <c r="C864" s="2">
        <v>14</v>
      </c>
      <c r="D864" s="2">
        <f t="shared" si="130"/>
        <v>35.56</v>
      </c>
      <c r="E864" s="2">
        <f t="shared" si="131"/>
        <v>11.319099552695597</v>
      </c>
      <c r="F864" s="2">
        <f t="shared" si="132"/>
        <v>4.45633840657307</v>
      </c>
      <c r="G864" s="2">
        <v>4.1533769999999999</v>
      </c>
      <c r="H864" s="2">
        <f t="shared" si="133"/>
        <v>13.62656539668</v>
      </c>
      <c r="I864" s="2">
        <f>INDEX('Wood Density Lookup'!$B$2:$B$152,MATCH(B864,'Wood Density Lookup'!$A$2:$A$152,0))</f>
        <v>0.75</v>
      </c>
      <c r="J864" s="2">
        <f t="shared" si="134"/>
        <v>23.263516731892004</v>
      </c>
      <c r="K864" s="2">
        <f t="shared" si="138"/>
        <v>6.513784684929762</v>
      </c>
      <c r="L864" s="2">
        <f t="shared" si="139"/>
        <v>29.777301416821764</v>
      </c>
      <c r="M864" s="2">
        <f t="shared" si="135"/>
        <v>21.588543527195778</v>
      </c>
      <c r="N864" s="2">
        <f t="shared" si="136"/>
        <v>10.794271763597889</v>
      </c>
      <c r="O864" s="2">
        <f t="shared" si="137"/>
        <v>39.614977372404255</v>
      </c>
      <c r="P864" s="2">
        <v>72.550359999999998</v>
      </c>
      <c r="Q864" s="2">
        <v>23.038446</v>
      </c>
    </row>
    <row r="865" spans="1:17" x14ac:dyDescent="0.25">
      <c r="A865" s="2">
        <v>1013</v>
      </c>
      <c r="B865" s="2" t="s">
        <v>143</v>
      </c>
      <c r="C865" s="2">
        <v>12</v>
      </c>
      <c r="D865" s="2">
        <f t="shared" si="130"/>
        <v>30.48</v>
      </c>
      <c r="E865" s="2">
        <f t="shared" si="131"/>
        <v>9.7020853308819408</v>
      </c>
      <c r="F865" s="2">
        <f t="shared" si="132"/>
        <v>3.8197186342054881</v>
      </c>
      <c r="G865" s="2">
        <v>1.8601529999999999</v>
      </c>
      <c r="H865" s="2">
        <f t="shared" si="133"/>
        <v>6.1028643685199997</v>
      </c>
      <c r="I865" s="2">
        <f>INDEX('Wood Density Lookup'!$B$2:$B$152,MATCH(B865,'Wood Density Lookup'!$A$2:$A$152,0))</f>
        <v>0.75</v>
      </c>
      <c r="J865" s="2">
        <f t="shared" si="134"/>
        <v>7.8616736545587846</v>
      </c>
      <c r="K865" s="2">
        <f t="shared" si="138"/>
        <v>2.20126862327646</v>
      </c>
      <c r="L865" s="2">
        <f t="shared" si="139"/>
        <v>10.062942277835244</v>
      </c>
      <c r="M865" s="2">
        <f t="shared" si="135"/>
        <v>7.2956331514305521</v>
      </c>
      <c r="N865" s="2">
        <f t="shared" si="136"/>
        <v>3.6478165757152761</v>
      </c>
      <c r="O865" s="2">
        <f t="shared" si="137"/>
        <v>13.387486832875062</v>
      </c>
      <c r="P865" s="2">
        <v>72.550359999999998</v>
      </c>
      <c r="Q865" s="2">
        <v>23.038298999999999</v>
      </c>
    </row>
    <row r="866" spans="1:17" x14ac:dyDescent="0.25">
      <c r="A866" s="2">
        <v>1014</v>
      </c>
      <c r="B866" s="2" t="s">
        <v>143</v>
      </c>
      <c r="C866" s="2">
        <v>8</v>
      </c>
      <c r="D866" s="2">
        <f t="shared" si="130"/>
        <v>20.32</v>
      </c>
      <c r="E866" s="2">
        <f t="shared" si="131"/>
        <v>6.4680568872546269</v>
      </c>
      <c r="F866" s="2">
        <f t="shared" si="132"/>
        <v>2.5464790894703255</v>
      </c>
      <c r="G866" s="2">
        <v>4.9024390000000002</v>
      </c>
      <c r="H866" s="2">
        <f t="shared" si="133"/>
        <v>16.084117968760001</v>
      </c>
      <c r="I866" s="2">
        <f>INDEX('Wood Density Lookup'!$B$2:$B$152,MATCH(B866,'Wood Density Lookup'!$A$2:$A$152,0))</f>
        <v>0.75</v>
      </c>
      <c r="J866" s="2">
        <f t="shared" si="134"/>
        <v>9.1737664828349299</v>
      </c>
      <c r="K866" s="2">
        <f t="shared" si="138"/>
        <v>2.5686546151937808</v>
      </c>
      <c r="L866" s="2">
        <f t="shared" si="139"/>
        <v>11.742421098028711</v>
      </c>
      <c r="M866" s="2">
        <f t="shared" si="135"/>
        <v>8.513255296070815</v>
      </c>
      <c r="N866" s="2">
        <f t="shared" si="136"/>
        <v>4.2566276480354075</v>
      </c>
      <c r="O866" s="2">
        <f t="shared" si="137"/>
        <v>15.621823468289945</v>
      </c>
      <c r="P866" s="2">
        <v>72.550360999999995</v>
      </c>
      <c r="Q866" s="2">
        <v>23.038432</v>
      </c>
    </row>
    <row r="867" spans="1:17" x14ac:dyDescent="0.25">
      <c r="A867" s="2">
        <v>1015</v>
      </c>
      <c r="B867" s="2" t="s">
        <v>143</v>
      </c>
      <c r="C867" s="2">
        <v>9</v>
      </c>
      <c r="D867" s="2">
        <f t="shared" si="130"/>
        <v>22.86</v>
      </c>
      <c r="E867" s="2">
        <f t="shared" si="131"/>
        <v>7.2765639981614552</v>
      </c>
      <c r="F867" s="2">
        <f t="shared" si="132"/>
        <v>2.8647889756541161</v>
      </c>
      <c r="G867" s="2">
        <v>3.847769</v>
      </c>
      <c r="H867" s="2">
        <f t="shared" si="133"/>
        <v>12.623914445960001</v>
      </c>
      <c r="I867" s="2">
        <f>INDEX('Wood Density Lookup'!$B$2:$B$152,MATCH(B867,'Wood Density Lookup'!$A$2:$A$152,0))</f>
        <v>0.75</v>
      </c>
      <c r="J867" s="2">
        <f t="shared" si="134"/>
        <v>9.1142109176123505</v>
      </c>
      <c r="K867" s="2">
        <f t="shared" si="138"/>
        <v>2.5519790569314584</v>
      </c>
      <c r="L867" s="2">
        <f t="shared" si="139"/>
        <v>11.666189974543808</v>
      </c>
      <c r="M867" s="2">
        <f t="shared" si="135"/>
        <v>8.4579877315442609</v>
      </c>
      <c r="N867" s="2">
        <f t="shared" si="136"/>
        <v>4.2289938657721304</v>
      </c>
      <c r="O867" s="2">
        <f t="shared" si="137"/>
        <v>15.520407487383718</v>
      </c>
      <c r="P867" s="2">
        <v>72.550360999999995</v>
      </c>
      <c r="Q867" s="2">
        <v>23.038409999999999</v>
      </c>
    </row>
    <row r="868" spans="1:17" x14ac:dyDescent="0.25">
      <c r="A868" s="2">
        <v>1016</v>
      </c>
      <c r="B868" s="2" t="s">
        <v>143</v>
      </c>
      <c r="C868" s="2">
        <v>13</v>
      </c>
      <c r="D868" s="2">
        <f t="shared" si="130"/>
        <v>33.020000000000003</v>
      </c>
      <c r="E868" s="2">
        <f t="shared" si="131"/>
        <v>10.51059244178877</v>
      </c>
      <c r="F868" s="2">
        <f t="shared" si="132"/>
        <v>4.1380285203892786</v>
      </c>
      <c r="G868" s="2">
        <v>3.394244</v>
      </c>
      <c r="H868" s="2">
        <f t="shared" si="133"/>
        <v>11.135971484960001</v>
      </c>
      <c r="I868" s="2">
        <f>INDEX('Wood Density Lookup'!$B$2:$B$152,MATCH(B868,'Wood Density Lookup'!$A$2:$A$152,0))</f>
        <v>0.75</v>
      </c>
      <c r="J868" s="2">
        <f t="shared" si="134"/>
        <v>16.530895096344985</v>
      </c>
      <c r="K868" s="2">
        <f t="shared" si="138"/>
        <v>4.6286506269765963</v>
      </c>
      <c r="L868" s="2">
        <f t="shared" si="139"/>
        <v>21.159545723321582</v>
      </c>
      <c r="M868" s="2">
        <f t="shared" si="135"/>
        <v>15.340670649408146</v>
      </c>
      <c r="N868" s="2">
        <f t="shared" si="136"/>
        <v>7.6703353247040731</v>
      </c>
      <c r="O868" s="2">
        <f t="shared" si="137"/>
        <v>28.150130641663949</v>
      </c>
      <c r="P868" s="2">
        <v>72.550362000000007</v>
      </c>
      <c r="Q868" s="2">
        <v>23.038388999999999</v>
      </c>
    </row>
    <row r="869" spans="1:17" x14ac:dyDescent="0.25">
      <c r="A869" s="2">
        <v>1017</v>
      </c>
      <c r="B869" s="2" t="s">
        <v>143</v>
      </c>
      <c r="C869" s="2">
        <v>8</v>
      </c>
      <c r="D869" s="2">
        <f t="shared" si="130"/>
        <v>20.32</v>
      </c>
      <c r="E869" s="2">
        <f t="shared" si="131"/>
        <v>6.4680568872546269</v>
      </c>
      <c r="F869" s="2">
        <f t="shared" si="132"/>
        <v>2.5464790894703255</v>
      </c>
      <c r="G869" s="2">
        <v>1.272764</v>
      </c>
      <c r="H869" s="2">
        <f t="shared" si="133"/>
        <v>4.1757350417600003</v>
      </c>
      <c r="I869" s="2">
        <f>INDEX('Wood Density Lookup'!$B$2:$B$152,MATCH(B869,'Wood Density Lookup'!$A$2:$A$152,0))</f>
        <v>0.75</v>
      </c>
      <c r="J869" s="2">
        <f t="shared" si="134"/>
        <v>2.4600238005711499</v>
      </c>
      <c r="K869" s="2">
        <f t="shared" si="138"/>
        <v>0.68880666415992209</v>
      </c>
      <c r="L869" s="2">
        <f t="shared" si="139"/>
        <v>3.1488304647310721</v>
      </c>
      <c r="M869" s="2">
        <f t="shared" si="135"/>
        <v>2.2829020869300272</v>
      </c>
      <c r="N869" s="2">
        <f t="shared" si="136"/>
        <v>1.1414510434650136</v>
      </c>
      <c r="O869" s="2">
        <f t="shared" si="137"/>
        <v>4.1891253295165995</v>
      </c>
      <c r="P869" s="2">
        <v>72.550362000000007</v>
      </c>
      <c r="Q869" s="2">
        <v>23.038340000000002</v>
      </c>
    </row>
    <row r="870" spans="1:17" x14ac:dyDescent="0.25">
      <c r="A870" s="2">
        <v>1018</v>
      </c>
      <c r="B870" s="2" t="s">
        <v>143</v>
      </c>
      <c r="C870" s="2">
        <v>10</v>
      </c>
      <c r="D870" s="2">
        <f t="shared" si="130"/>
        <v>25.4</v>
      </c>
      <c r="E870" s="2">
        <f t="shared" si="131"/>
        <v>8.0850711090682825</v>
      </c>
      <c r="F870" s="2">
        <f t="shared" si="132"/>
        <v>3.183098861837907</v>
      </c>
      <c r="G870" s="2">
        <v>1.404345</v>
      </c>
      <c r="H870" s="2">
        <f t="shared" si="133"/>
        <v>4.6074312497999994</v>
      </c>
      <c r="I870" s="2">
        <f>INDEX('Wood Density Lookup'!$B$2:$B$152,MATCH(B870,'Wood Density Lookup'!$A$2:$A$152,0))</f>
        <v>0.75</v>
      </c>
      <c r="J870" s="2">
        <f t="shared" si="134"/>
        <v>4.1860861459081509</v>
      </c>
      <c r="K870" s="2">
        <f t="shared" si="138"/>
        <v>1.1721041208542824</v>
      </c>
      <c r="L870" s="2">
        <f t="shared" si="139"/>
        <v>5.358190266762433</v>
      </c>
      <c r="M870" s="2">
        <f t="shared" si="135"/>
        <v>3.8846879434027639</v>
      </c>
      <c r="N870" s="2">
        <f t="shared" si="136"/>
        <v>1.942343971701382</v>
      </c>
      <c r="O870" s="2">
        <f t="shared" si="137"/>
        <v>7.1284023761440718</v>
      </c>
      <c r="P870" s="2">
        <v>72.550362000000007</v>
      </c>
      <c r="Q870" s="2">
        <v>23.038319000000001</v>
      </c>
    </row>
    <row r="871" spans="1:17" x14ac:dyDescent="0.25">
      <c r="A871" s="2">
        <v>1019</v>
      </c>
      <c r="B871" s="2" t="s">
        <v>107</v>
      </c>
      <c r="C871" s="2">
        <v>26</v>
      </c>
      <c r="D871" s="2">
        <f t="shared" si="130"/>
        <v>66.040000000000006</v>
      </c>
      <c r="E871" s="2">
        <f t="shared" si="131"/>
        <v>21.02118488357754</v>
      </c>
      <c r="F871" s="2">
        <f t="shared" si="132"/>
        <v>8.2760570407785572</v>
      </c>
      <c r="G871" s="2">
        <v>4.9925940000000004</v>
      </c>
      <c r="H871" s="2">
        <f t="shared" si="133"/>
        <v>16.379902098960002</v>
      </c>
      <c r="I871" s="2">
        <f>INDEX('Wood Density Lookup'!$B$2:$B$152,MATCH(B871,'Wood Density Lookup'!$A$2:$A$152,0))</f>
        <v>0.65</v>
      </c>
      <c r="J871" s="2">
        <f t="shared" si="134"/>
        <v>81.060963095913138</v>
      </c>
      <c r="K871" s="2">
        <f t="shared" si="138"/>
        <v>22.697069666855679</v>
      </c>
      <c r="L871" s="2">
        <f t="shared" si="139"/>
        <v>103.75803276276882</v>
      </c>
      <c r="M871" s="2">
        <f t="shared" si="135"/>
        <v>75.224573753007391</v>
      </c>
      <c r="N871" s="2">
        <f t="shared" si="136"/>
        <v>37.612286876503696</v>
      </c>
      <c r="O871" s="2">
        <f t="shared" si="137"/>
        <v>138.03709283676855</v>
      </c>
      <c r="P871" s="2">
        <v>72.550363000000004</v>
      </c>
      <c r="Q871" s="2">
        <v>23.037006999999999</v>
      </c>
    </row>
    <row r="872" spans="1:17" x14ac:dyDescent="0.25">
      <c r="A872" s="2">
        <v>1020</v>
      </c>
      <c r="B872" s="2" t="s">
        <v>50</v>
      </c>
      <c r="C872" s="2">
        <v>55</v>
      </c>
      <c r="D872" s="2">
        <f t="shared" si="130"/>
        <v>139.69999999999999</v>
      </c>
      <c r="E872" s="2">
        <f t="shared" si="131"/>
        <v>44.467891099875558</v>
      </c>
      <c r="F872" s="2">
        <f t="shared" si="132"/>
        <v>17.507043740108486</v>
      </c>
      <c r="G872" s="2">
        <v>11.136361000000001</v>
      </c>
      <c r="H872" s="2">
        <f t="shared" si="133"/>
        <v>36.536618623240003</v>
      </c>
      <c r="I872" s="2">
        <f>INDEX('Wood Density Lookup'!$B$2:$B$152,MATCH(B872,'Wood Density Lookup'!$A$2:$A$152,0))</f>
        <v>0.5</v>
      </c>
      <c r="J872" s="2">
        <f t="shared" si="134"/>
        <v>592.67701268076212</v>
      </c>
      <c r="K872" s="2">
        <f t="shared" si="138"/>
        <v>165.94956355061342</v>
      </c>
      <c r="L872" s="2">
        <f t="shared" si="139"/>
        <v>758.62657623137557</v>
      </c>
      <c r="M872" s="2">
        <f t="shared" si="135"/>
        <v>550.00426776774725</v>
      </c>
      <c r="N872" s="2">
        <f t="shared" si="136"/>
        <v>275.00213388387363</v>
      </c>
      <c r="O872" s="2">
        <f t="shared" si="137"/>
        <v>1009.2578313538162</v>
      </c>
      <c r="P872" s="2">
        <v>72.550364000000002</v>
      </c>
      <c r="Q872" s="2">
        <v>23.038674</v>
      </c>
    </row>
    <row r="873" spans="1:17" x14ac:dyDescent="0.25">
      <c r="A873" s="2">
        <v>1021</v>
      </c>
      <c r="B873" s="2" t="s">
        <v>107</v>
      </c>
      <c r="C873" s="2">
        <v>45</v>
      </c>
      <c r="D873" s="2">
        <f t="shared" si="130"/>
        <v>114.3</v>
      </c>
      <c r="E873" s="2">
        <f t="shared" si="131"/>
        <v>36.382819990807278</v>
      </c>
      <c r="F873" s="2">
        <f t="shared" si="132"/>
        <v>14.323944878270581</v>
      </c>
      <c r="G873" s="2">
        <v>9.8339669999999995</v>
      </c>
      <c r="H873" s="2">
        <f t="shared" si="133"/>
        <v>32.263672292279999</v>
      </c>
      <c r="I873" s="2">
        <f>INDEX('Wood Density Lookup'!$B$2:$B$152,MATCH(B873,'Wood Density Lookup'!$A$2:$A$152,0))</f>
        <v>0.65</v>
      </c>
      <c r="J873" s="2">
        <f t="shared" si="134"/>
        <v>458.34389094121002</v>
      </c>
      <c r="K873" s="2">
        <f t="shared" si="138"/>
        <v>128.3362894635388</v>
      </c>
      <c r="L873" s="2">
        <f t="shared" si="139"/>
        <v>586.68018040474885</v>
      </c>
      <c r="M873" s="2">
        <f t="shared" si="135"/>
        <v>425.34313079344292</v>
      </c>
      <c r="N873" s="2">
        <f t="shared" si="136"/>
        <v>212.67156539672146</v>
      </c>
      <c r="O873" s="2">
        <f t="shared" si="137"/>
        <v>780.50464500596775</v>
      </c>
      <c r="P873" s="2">
        <v>72.550364999999999</v>
      </c>
      <c r="Q873" s="2">
        <v>23.038516999999999</v>
      </c>
    </row>
    <row r="874" spans="1:17" x14ac:dyDescent="0.25">
      <c r="A874" s="2">
        <v>1022</v>
      </c>
      <c r="B874" s="2" t="s">
        <v>143</v>
      </c>
      <c r="C874" s="2">
        <v>11</v>
      </c>
      <c r="D874" s="2">
        <f t="shared" si="130"/>
        <v>27.94</v>
      </c>
      <c r="E874" s="2">
        <f t="shared" si="131"/>
        <v>8.8935782199751117</v>
      </c>
      <c r="F874" s="2">
        <f t="shared" si="132"/>
        <v>3.5014087480216975</v>
      </c>
      <c r="G874" s="2">
        <v>3.8858079999999999</v>
      </c>
      <c r="H874" s="2">
        <f t="shared" si="133"/>
        <v>12.748714318719999</v>
      </c>
      <c r="I874" s="2">
        <f>INDEX('Wood Density Lookup'!$B$2:$B$152,MATCH(B874,'Wood Density Lookup'!$A$2:$A$152,0))</f>
        <v>0.75</v>
      </c>
      <c r="J874" s="2">
        <f t="shared" si="134"/>
        <v>13.614635794500781</v>
      </c>
      <c r="K874" s="2">
        <f t="shared" si="138"/>
        <v>3.8120980224602192</v>
      </c>
      <c r="L874" s="2">
        <f t="shared" si="139"/>
        <v>17.426733816961001</v>
      </c>
      <c r="M874" s="2">
        <f t="shared" si="135"/>
        <v>12.634382017296724</v>
      </c>
      <c r="N874" s="2">
        <f t="shared" si="136"/>
        <v>6.3171910086483622</v>
      </c>
      <c r="O874" s="2">
        <f t="shared" si="137"/>
        <v>23.184091001739489</v>
      </c>
      <c r="P874" s="2">
        <v>72.550364999999999</v>
      </c>
      <c r="Q874" s="2">
        <v>23.038376</v>
      </c>
    </row>
    <row r="875" spans="1:17" x14ac:dyDescent="0.25">
      <c r="A875" s="2">
        <v>1023</v>
      </c>
      <c r="B875" s="2" t="s">
        <v>15</v>
      </c>
      <c r="C875" s="2">
        <v>64</v>
      </c>
      <c r="D875" s="2">
        <f t="shared" si="130"/>
        <v>162.56</v>
      </c>
      <c r="E875" s="2">
        <f t="shared" si="131"/>
        <v>51.744455098037015</v>
      </c>
      <c r="F875" s="2">
        <f t="shared" si="132"/>
        <v>20.371832715762604</v>
      </c>
      <c r="G875" s="2">
        <v>9.4771850000000004</v>
      </c>
      <c r="H875" s="2">
        <f t="shared" si="133"/>
        <v>31.093127635400002</v>
      </c>
      <c r="I875" s="2">
        <f>INDEX('Wood Density Lookup'!$B$2:$B$152,MATCH(B875,'Wood Density Lookup'!$A$2:$A$152,0))</f>
        <v>0.75</v>
      </c>
      <c r="J875" s="2">
        <f t="shared" si="134"/>
        <v>1011.0580319935657</v>
      </c>
      <c r="K875" s="2">
        <f t="shared" si="138"/>
        <v>283.09624895819843</v>
      </c>
      <c r="L875" s="2">
        <f t="shared" si="139"/>
        <v>1294.1542809517641</v>
      </c>
      <c r="M875" s="2">
        <f t="shared" si="135"/>
        <v>938.26185369002894</v>
      </c>
      <c r="N875" s="2">
        <f t="shared" si="136"/>
        <v>469.13092684501447</v>
      </c>
      <c r="O875" s="2">
        <f t="shared" si="137"/>
        <v>1721.710501521203</v>
      </c>
      <c r="P875" s="2">
        <v>72.550371999999996</v>
      </c>
      <c r="Q875" s="2">
        <v>23.036905999999998</v>
      </c>
    </row>
    <row r="876" spans="1:17" x14ac:dyDescent="0.25">
      <c r="A876" s="2">
        <v>1024</v>
      </c>
      <c r="B876" s="2" t="s">
        <v>15</v>
      </c>
      <c r="C876" s="2">
        <v>85</v>
      </c>
      <c r="D876" s="2">
        <f t="shared" si="130"/>
        <v>215.9</v>
      </c>
      <c r="E876" s="2">
        <f t="shared" si="131"/>
        <v>68.723104427080415</v>
      </c>
      <c r="F876" s="2">
        <f t="shared" si="132"/>
        <v>27.056340325622209</v>
      </c>
      <c r="G876" s="2">
        <v>13.944668999999999</v>
      </c>
      <c r="H876" s="2">
        <f t="shared" si="133"/>
        <v>45.750227841959997</v>
      </c>
      <c r="I876" s="2">
        <f>INDEX('Wood Density Lookup'!$B$2:$B$152,MATCH(B876,'Wood Density Lookup'!$A$2:$A$152,0))</f>
        <v>0.75</v>
      </c>
      <c r="J876" s="2">
        <f t="shared" si="134"/>
        <v>2564.7313274294447</v>
      </c>
      <c r="K876" s="2">
        <f t="shared" si="138"/>
        <v>718.12477168024463</v>
      </c>
      <c r="L876" s="2">
        <f t="shared" si="139"/>
        <v>3282.8560991096892</v>
      </c>
      <c r="M876" s="2">
        <f t="shared" si="135"/>
        <v>2380.0706718545248</v>
      </c>
      <c r="N876" s="2">
        <f t="shared" si="136"/>
        <v>1190.0353359272624</v>
      </c>
      <c r="O876" s="2">
        <f t="shared" si="137"/>
        <v>4367.4296828530532</v>
      </c>
      <c r="P876" s="2">
        <v>72.550379000000007</v>
      </c>
      <c r="Q876" s="2">
        <v>23.037738999999998</v>
      </c>
    </row>
    <row r="877" spans="1:17" x14ac:dyDescent="0.25">
      <c r="A877" s="2">
        <v>1025</v>
      </c>
      <c r="B877" s="2" t="s">
        <v>15</v>
      </c>
      <c r="C877" s="2">
        <v>5</v>
      </c>
      <c r="D877" s="2">
        <f t="shared" si="130"/>
        <v>12.7</v>
      </c>
      <c r="E877" s="2">
        <f t="shared" si="131"/>
        <v>4.0425355545341413</v>
      </c>
      <c r="F877" s="2">
        <f t="shared" si="132"/>
        <v>1.5915494309189535</v>
      </c>
      <c r="G877" s="2">
        <v>7.695271</v>
      </c>
      <c r="H877" s="2">
        <f t="shared" si="133"/>
        <v>25.246952907640001</v>
      </c>
      <c r="I877" s="2">
        <f>INDEX('Wood Density Lookup'!$B$2:$B$152,MATCH(B877,'Wood Density Lookup'!$A$2:$A$152,0))</f>
        <v>0.75</v>
      </c>
      <c r="J877" s="2">
        <f t="shared" si="134"/>
        <v>5.6913817088513792</v>
      </c>
      <c r="K877" s="2">
        <f t="shared" si="138"/>
        <v>1.5935868784783864</v>
      </c>
      <c r="L877" s="2">
        <f t="shared" si="139"/>
        <v>7.2849685873297654</v>
      </c>
      <c r="M877" s="2">
        <f t="shared" si="135"/>
        <v>5.2816022258140798</v>
      </c>
      <c r="N877" s="2">
        <f t="shared" si="136"/>
        <v>2.6408011129070399</v>
      </c>
      <c r="O877" s="2">
        <f t="shared" si="137"/>
        <v>9.6917400843688366</v>
      </c>
      <c r="P877" s="2">
        <v>72.550380000000004</v>
      </c>
      <c r="Q877" s="2">
        <v>23.036773</v>
      </c>
    </row>
    <row r="878" spans="1:17" x14ac:dyDescent="0.25">
      <c r="A878" s="2">
        <v>1026</v>
      </c>
      <c r="B878" s="2" t="s">
        <v>72</v>
      </c>
      <c r="C878" s="2">
        <v>77</v>
      </c>
      <c r="D878" s="2">
        <f t="shared" si="130"/>
        <v>195.58</v>
      </c>
      <c r="E878" s="2">
        <f t="shared" si="131"/>
        <v>62.255047539825789</v>
      </c>
      <c r="F878" s="2">
        <f t="shared" si="132"/>
        <v>24.509861236151881</v>
      </c>
      <c r="G878" s="2">
        <v>12.614364</v>
      </c>
      <c r="H878" s="2">
        <f t="shared" si="133"/>
        <v>41.385709985760002</v>
      </c>
      <c r="I878" s="2">
        <f>INDEX('Wood Density Lookup'!$B$2:$B$152,MATCH(B878,'Wood Density Lookup'!$A$2:$A$152,0))</f>
        <v>0.65</v>
      </c>
      <c r="J878" s="2">
        <f t="shared" si="134"/>
        <v>1667.5998577648936</v>
      </c>
      <c r="K878" s="2">
        <f t="shared" si="138"/>
        <v>466.92796017417027</v>
      </c>
      <c r="L878" s="2">
        <f t="shared" si="139"/>
        <v>2134.5278179390639</v>
      </c>
      <c r="M878" s="2">
        <f t="shared" si="135"/>
        <v>1547.5326680058213</v>
      </c>
      <c r="N878" s="2">
        <f t="shared" si="136"/>
        <v>773.76633400291064</v>
      </c>
      <c r="O878" s="2">
        <f t="shared" si="137"/>
        <v>2839.7224457906818</v>
      </c>
      <c r="P878" s="2">
        <v>72.550381000000002</v>
      </c>
      <c r="Q878" s="2">
        <v>23.038005999999999</v>
      </c>
    </row>
    <row r="879" spans="1:17" x14ac:dyDescent="0.25">
      <c r="A879" s="2">
        <v>1027</v>
      </c>
      <c r="B879" s="2" t="s">
        <v>107</v>
      </c>
      <c r="C879" s="2">
        <v>33</v>
      </c>
      <c r="D879" s="2">
        <f t="shared" si="130"/>
        <v>83.820000000000007</v>
      </c>
      <c r="E879" s="2">
        <f t="shared" si="131"/>
        <v>26.680734659925339</v>
      </c>
      <c r="F879" s="2">
        <f t="shared" si="132"/>
        <v>10.504226244065093</v>
      </c>
      <c r="G879" s="2">
        <v>16.573177999999999</v>
      </c>
      <c r="H879" s="2">
        <f t="shared" si="133"/>
        <v>54.373945309519996</v>
      </c>
      <c r="I879" s="2">
        <f>INDEX('Wood Density Lookup'!$B$2:$B$152,MATCH(B879,'Wood Density Lookup'!$A$2:$A$152,0))</f>
        <v>0.65</v>
      </c>
      <c r="J879" s="2">
        <f t="shared" si="134"/>
        <v>416.38649000097666</v>
      </c>
      <c r="K879" s="2">
        <f t="shared" si="138"/>
        <v>116.58821720027348</v>
      </c>
      <c r="L879" s="2">
        <f t="shared" si="139"/>
        <v>532.97470720125011</v>
      </c>
      <c r="M879" s="2">
        <f t="shared" si="135"/>
        <v>386.4066627209063</v>
      </c>
      <c r="N879" s="2">
        <f t="shared" si="136"/>
        <v>193.20333136045315</v>
      </c>
      <c r="O879" s="2">
        <f t="shared" si="137"/>
        <v>709.05622609286308</v>
      </c>
      <c r="P879" s="2">
        <v>72.550382999999997</v>
      </c>
      <c r="Q879" s="2">
        <v>23.037391</v>
      </c>
    </row>
    <row r="880" spans="1:17" x14ac:dyDescent="0.25">
      <c r="A880" s="2">
        <v>1028</v>
      </c>
      <c r="B880" s="2" t="s">
        <v>115</v>
      </c>
      <c r="C880" s="2">
        <v>47</v>
      </c>
      <c r="D880" s="2">
        <f t="shared" si="130"/>
        <v>119.38</v>
      </c>
      <c r="E880" s="2">
        <f t="shared" si="131"/>
        <v>37.999834212620932</v>
      </c>
      <c r="F880" s="2">
        <f t="shared" si="132"/>
        <v>14.960564650638162</v>
      </c>
      <c r="G880" s="2">
        <v>8.2147050000000004</v>
      </c>
      <c r="H880" s="2">
        <f t="shared" si="133"/>
        <v>26.951132752199999</v>
      </c>
      <c r="I880" s="2">
        <f>INDEX('Wood Density Lookup'!$B$2:$B$152,MATCH(B880,'Wood Density Lookup'!$A$2:$A$152,0))</f>
        <v>0.65</v>
      </c>
      <c r="J880" s="2">
        <f t="shared" si="134"/>
        <v>418.5951065206184</v>
      </c>
      <c r="K880" s="2">
        <f t="shared" si="138"/>
        <v>117.20662982577316</v>
      </c>
      <c r="L880" s="2">
        <f t="shared" si="139"/>
        <v>535.80173634639152</v>
      </c>
      <c r="M880" s="2">
        <f t="shared" si="135"/>
        <v>388.45625885113384</v>
      </c>
      <c r="N880" s="2">
        <f t="shared" si="136"/>
        <v>194.22812942556692</v>
      </c>
      <c r="O880" s="2">
        <f t="shared" si="137"/>
        <v>712.81723499183056</v>
      </c>
      <c r="P880" s="2">
        <v>72.550385000000006</v>
      </c>
      <c r="Q880" s="2">
        <v>23.035810999999999</v>
      </c>
    </row>
    <row r="881" spans="1:17" x14ac:dyDescent="0.25">
      <c r="A881" s="2">
        <v>1029</v>
      </c>
      <c r="B881" s="2" t="s">
        <v>107</v>
      </c>
      <c r="C881" s="2">
        <v>29</v>
      </c>
      <c r="D881" s="2">
        <f t="shared" si="130"/>
        <v>73.66</v>
      </c>
      <c r="E881" s="2">
        <f t="shared" si="131"/>
        <v>23.446706216298022</v>
      </c>
      <c r="F881" s="2">
        <f t="shared" si="132"/>
        <v>9.2309866993299305</v>
      </c>
      <c r="G881" s="2">
        <v>7.1965070000000004</v>
      </c>
      <c r="H881" s="2">
        <f t="shared" si="133"/>
        <v>23.610588025880002</v>
      </c>
      <c r="I881" s="2">
        <f>INDEX('Wood Density Lookup'!$B$2:$B$152,MATCH(B881,'Wood Density Lookup'!$A$2:$A$152,0))</f>
        <v>0.65</v>
      </c>
      <c r="J881" s="2">
        <f t="shared" si="134"/>
        <v>143.34055631404686</v>
      </c>
      <c r="K881" s="2">
        <f t="shared" si="138"/>
        <v>40.135355767933127</v>
      </c>
      <c r="L881" s="2">
        <f t="shared" si="139"/>
        <v>183.47591208198</v>
      </c>
      <c r="M881" s="2">
        <f t="shared" si="135"/>
        <v>133.0200362594355</v>
      </c>
      <c r="N881" s="2">
        <f t="shared" si="136"/>
        <v>66.51001812971775</v>
      </c>
      <c r="O881" s="2">
        <f t="shared" si="137"/>
        <v>244.09176653606414</v>
      </c>
      <c r="P881" s="2">
        <v>72.550385000000006</v>
      </c>
      <c r="Q881" s="2">
        <v>23.036042999999999</v>
      </c>
    </row>
    <row r="882" spans="1:17" x14ac:dyDescent="0.25">
      <c r="A882" s="2">
        <v>1030</v>
      </c>
      <c r="B882" s="2" t="s">
        <v>15</v>
      </c>
      <c r="C882" s="2">
        <v>44</v>
      </c>
      <c r="D882" s="2">
        <f t="shared" si="130"/>
        <v>111.76</v>
      </c>
      <c r="E882" s="2">
        <f t="shared" si="131"/>
        <v>35.574312879900447</v>
      </c>
      <c r="F882" s="2">
        <f t="shared" si="132"/>
        <v>14.00563499208679</v>
      </c>
      <c r="G882" s="2">
        <v>9.5838509999999992</v>
      </c>
      <c r="H882" s="2">
        <f t="shared" si="133"/>
        <v>31.443081714839998</v>
      </c>
      <c r="I882" s="2">
        <f>INDEX('Wood Density Lookup'!$B$2:$B$152,MATCH(B882,'Wood Density Lookup'!$A$2:$A$152,0))</f>
        <v>0.75</v>
      </c>
      <c r="J882" s="2">
        <f t="shared" si="134"/>
        <v>491.89956328922966</v>
      </c>
      <c r="K882" s="2">
        <f t="shared" si="138"/>
        <v>137.73187772098433</v>
      </c>
      <c r="L882" s="2">
        <f t="shared" si="139"/>
        <v>629.63144101021396</v>
      </c>
      <c r="M882" s="2">
        <f t="shared" si="135"/>
        <v>456.48279473240513</v>
      </c>
      <c r="N882" s="2">
        <f t="shared" si="136"/>
        <v>228.24139736620256</v>
      </c>
      <c r="O882" s="2">
        <f t="shared" si="137"/>
        <v>837.64592833396341</v>
      </c>
      <c r="P882" s="2">
        <v>72.550387000000001</v>
      </c>
      <c r="Q882" s="2">
        <v>23.036667000000001</v>
      </c>
    </row>
    <row r="883" spans="1:17" x14ac:dyDescent="0.25">
      <c r="A883" s="2">
        <v>1031</v>
      </c>
      <c r="B883" s="2" t="s">
        <v>15</v>
      </c>
      <c r="C883" s="2">
        <v>52</v>
      </c>
      <c r="D883" s="2">
        <f t="shared" si="130"/>
        <v>132.08000000000001</v>
      </c>
      <c r="E883" s="2">
        <f t="shared" si="131"/>
        <v>42.04236976715508</v>
      </c>
      <c r="F883" s="2">
        <f t="shared" si="132"/>
        <v>16.552114081557114</v>
      </c>
      <c r="G883" s="2">
        <v>8.6967750000000006</v>
      </c>
      <c r="H883" s="2">
        <f t="shared" si="133"/>
        <v>28.532727291</v>
      </c>
      <c r="I883" s="2">
        <f>INDEX('Wood Density Lookup'!$B$2:$B$152,MATCH(B883,'Wood Density Lookup'!$A$2:$A$152,0))</f>
        <v>0.75</v>
      </c>
      <c r="J883" s="2">
        <f t="shared" si="134"/>
        <v>619.90606313533397</v>
      </c>
      <c r="K883" s="2">
        <f t="shared" si="138"/>
        <v>173.57369767789353</v>
      </c>
      <c r="L883" s="2">
        <f t="shared" si="139"/>
        <v>793.47976081322747</v>
      </c>
      <c r="M883" s="2">
        <f t="shared" si="135"/>
        <v>575.27282658958995</v>
      </c>
      <c r="N883" s="2">
        <f t="shared" si="136"/>
        <v>287.63641329479498</v>
      </c>
      <c r="O883" s="2">
        <f t="shared" si="137"/>
        <v>1055.6256367918975</v>
      </c>
      <c r="P883" s="2">
        <v>72.550388999999996</v>
      </c>
      <c r="Q883" s="2">
        <v>23.035057999999999</v>
      </c>
    </row>
    <row r="884" spans="1:17" x14ac:dyDescent="0.25">
      <c r="A884" s="2">
        <v>1032</v>
      </c>
      <c r="B884" s="2" t="s">
        <v>31</v>
      </c>
      <c r="C884" s="2">
        <v>89</v>
      </c>
      <c r="D884" s="2">
        <f t="shared" si="130"/>
        <v>226.06</v>
      </c>
      <c r="E884" s="2">
        <f t="shared" si="131"/>
        <v>71.957132870707724</v>
      </c>
      <c r="F884" s="2">
        <f t="shared" si="132"/>
        <v>28.329579870357371</v>
      </c>
      <c r="G884" s="2">
        <v>9.1074920000000006</v>
      </c>
      <c r="H884" s="2">
        <f t="shared" si="133"/>
        <v>29.880224053280003</v>
      </c>
      <c r="I884" s="2">
        <f>INDEX('Wood Density Lookup'!$B$2:$B$152,MATCH(B884,'Wood Density Lookup'!$A$2:$A$152,0))</f>
        <v>0.78</v>
      </c>
      <c r="J884" s="2">
        <f t="shared" si="134"/>
        <v>1923.4494628145405</v>
      </c>
      <c r="K884" s="2">
        <f t="shared" si="138"/>
        <v>538.56584958807139</v>
      </c>
      <c r="L884" s="2">
        <f t="shared" si="139"/>
        <v>2462.0153124026119</v>
      </c>
      <c r="M884" s="2">
        <f t="shared" si="135"/>
        <v>1784.9611014918935</v>
      </c>
      <c r="N884" s="2">
        <f t="shared" si="136"/>
        <v>892.48055074594674</v>
      </c>
      <c r="O884" s="2">
        <f t="shared" si="137"/>
        <v>3275.4036212376245</v>
      </c>
      <c r="P884" s="2">
        <v>72.550392000000002</v>
      </c>
      <c r="Q884" s="2">
        <v>23.038153999999999</v>
      </c>
    </row>
    <row r="885" spans="1:17" x14ac:dyDescent="0.25">
      <c r="A885" s="2">
        <v>1033</v>
      </c>
      <c r="B885" s="2" t="s">
        <v>15</v>
      </c>
      <c r="C885" s="2">
        <v>12</v>
      </c>
      <c r="D885" s="2">
        <f t="shared" si="130"/>
        <v>30.48</v>
      </c>
      <c r="E885" s="2">
        <f t="shared" si="131"/>
        <v>9.7020853308819408</v>
      </c>
      <c r="F885" s="2">
        <f t="shared" si="132"/>
        <v>3.8197186342054881</v>
      </c>
      <c r="G885" s="2">
        <v>7.1909850000000004</v>
      </c>
      <c r="H885" s="2">
        <f t="shared" si="133"/>
        <v>23.592471227400001</v>
      </c>
      <c r="I885" s="2">
        <f>INDEX('Wood Density Lookup'!$B$2:$B$152,MATCH(B885,'Wood Density Lookup'!$A$2:$A$152,0))</f>
        <v>0.75</v>
      </c>
      <c r="J885" s="2">
        <f t="shared" si="134"/>
        <v>29.421240124533103</v>
      </c>
      <c r="K885" s="2">
        <f t="shared" si="138"/>
        <v>8.2379472348692691</v>
      </c>
      <c r="L885" s="2">
        <f t="shared" si="139"/>
        <v>37.659187359402374</v>
      </c>
      <c r="M885" s="2">
        <f t="shared" si="135"/>
        <v>27.30291083556672</v>
      </c>
      <c r="N885" s="2">
        <f t="shared" si="136"/>
        <v>13.65145541778336</v>
      </c>
      <c r="O885" s="2">
        <f t="shared" si="137"/>
        <v>50.100841383264928</v>
      </c>
      <c r="P885" s="2">
        <v>72.550393</v>
      </c>
      <c r="Q885" s="2">
        <v>23.035762999999999</v>
      </c>
    </row>
    <row r="886" spans="1:17" x14ac:dyDescent="0.25">
      <c r="A886" s="2">
        <v>1034</v>
      </c>
      <c r="B886" s="2" t="s">
        <v>107</v>
      </c>
      <c r="C886" s="2">
        <v>30</v>
      </c>
      <c r="D886" s="2">
        <f t="shared" si="130"/>
        <v>76.2</v>
      </c>
      <c r="E886" s="2">
        <f t="shared" si="131"/>
        <v>24.255213327204849</v>
      </c>
      <c r="F886" s="2">
        <f t="shared" si="132"/>
        <v>9.5492965855137211</v>
      </c>
      <c r="G886" s="2">
        <v>6.0882509999999996</v>
      </c>
      <c r="H886" s="2">
        <f t="shared" si="133"/>
        <v>19.974577410839998</v>
      </c>
      <c r="I886" s="2">
        <f>INDEX('Wood Density Lookup'!$B$2:$B$152,MATCH(B886,'Wood Density Lookup'!$A$2:$A$152,0))</f>
        <v>0.65</v>
      </c>
      <c r="J886" s="2">
        <f t="shared" si="134"/>
        <v>130.0836698370147</v>
      </c>
      <c r="K886" s="2">
        <f t="shared" si="138"/>
        <v>36.423427554364117</v>
      </c>
      <c r="L886" s="2">
        <f t="shared" si="139"/>
        <v>166.50709739137881</v>
      </c>
      <c r="M886" s="2">
        <f t="shared" si="135"/>
        <v>120.71764560874963</v>
      </c>
      <c r="N886" s="2">
        <f t="shared" si="136"/>
        <v>60.358822804374817</v>
      </c>
      <c r="O886" s="2">
        <f t="shared" si="137"/>
        <v>221.51687969205557</v>
      </c>
      <c r="P886" s="2">
        <v>72.550400999999994</v>
      </c>
      <c r="Q886" s="2">
        <v>23.035361000000002</v>
      </c>
    </row>
    <row r="887" spans="1:17" x14ac:dyDescent="0.25">
      <c r="A887" s="2">
        <v>1035</v>
      </c>
      <c r="B887" s="2" t="s">
        <v>3</v>
      </c>
      <c r="C887" s="2">
        <v>38</v>
      </c>
      <c r="D887" s="2">
        <f t="shared" si="130"/>
        <v>96.52</v>
      </c>
      <c r="E887" s="2">
        <f t="shared" si="131"/>
        <v>30.723270214459475</v>
      </c>
      <c r="F887" s="2">
        <f t="shared" si="132"/>
        <v>12.095775674984045</v>
      </c>
      <c r="G887" s="2">
        <v>7.524349</v>
      </c>
      <c r="H887" s="2">
        <f t="shared" si="133"/>
        <v>24.686185173159998</v>
      </c>
      <c r="I887" s="2">
        <f>INDEX('Wood Density Lookup'!$B$2:$B$152,MATCH(B887,'Wood Density Lookup'!$A$2:$A$152,0))</f>
        <v>0.62</v>
      </c>
      <c r="J887" s="2">
        <f t="shared" si="134"/>
        <v>242.30338085567848</v>
      </c>
      <c r="K887" s="2">
        <f t="shared" si="138"/>
        <v>67.844946639589978</v>
      </c>
      <c r="L887" s="2">
        <f t="shared" si="139"/>
        <v>310.14832749526846</v>
      </c>
      <c r="M887" s="2">
        <f t="shared" si="135"/>
        <v>224.85753743406963</v>
      </c>
      <c r="N887" s="2">
        <f t="shared" si="136"/>
        <v>112.42876871703481</v>
      </c>
      <c r="O887" s="2">
        <f t="shared" si="137"/>
        <v>412.61358119151777</v>
      </c>
      <c r="P887" s="2">
        <v>72.550400999999994</v>
      </c>
      <c r="Q887" s="2">
        <v>23.035596999999999</v>
      </c>
    </row>
    <row r="888" spans="1:17" x14ac:dyDescent="0.25">
      <c r="A888" s="2">
        <v>1036</v>
      </c>
      <c r="B888" s="2" t="s">
        <v>15</v>
      </c>
      <c r="C888" s="2">
        <v>83</v>
      </c>
      <c r="D888" s="2">
        <f t="shared" si="130"/>
        <v>210.82</v>
      </c>
      <c r="E888" s="2">
        <f t="shared" si="131"/>
        <v>67.106090205266753</v>
      </c>
      <c r="F888" s="2">
        <f t="shared" si="132"/>
        <v>26.419720553254628</v>
      </c>
      <c r="G888" s="2">
        <v>16.104603000000001</v>
      </c>
      <c r="H888" s="2">
        <f t="shared" si="133"/>
        <v>52.836625706520003</v>
      </c>
      <c r="I888" s="2">
        <f>INDEX('Wood Density Lookup'!$B$2:$B$152,MATCH(B888,'Wood Density Lookup'!$A$2:$A$152,0))</f>
        <v>0.75</v>
      </c>
      <c r="J888" s="2">
        <f t="shared" si="134"/>
        <v>2817.7170489550817</v>
      </c>
      <c r="K888" s="2">
        <f t="shared" si="138"/>
        <v>788.96077370742296</v>
      </c>
      <c r="L888" s="2">
        <f t="shared" si="139"/>
        <v>3606.6778226625047</v>
      </c>
      <c r="M888" s="2">
        <f t="shared" si="135"/>
        <v>2614.8414214303157</v>
      </c>
      <c r="N888" s="2">
        <f t="shared" si="136"/>
        <v>1307.4207107151578</v>
      </c>
      <c r="O888" s="2">
        <f t="shared" si="137"/>
        <v>4798.234008324629</v>
      </c>
      <c r="P888" s="2">
        <v>72.550400999999994</v>
      </c>
      <c r="Q888" s="2">
        <v>23.037396999999999</v>
      </c>
    </row>
    <row r="889" spans="1:17" x14ac:dyDescent="0.25">
      <c r="A889" s="2">
        <v>1037</v>
      </c>
      <c r="B889" s="2" t="s">
        <v>15</v>
      </c>
      <c r="C889" s="2">
        <v>87</v>
      </c>
      <c r="D889" s="2">
        <f t="shared" si="130"/>
        <v>220.98</v>
      </c>
      <c r="E889" s="2">
        <f t="shared" si="131"/>
        <v>70.340118648894062</v>
      </c>
      <c r="F889" s="2">
        <f t="shared" si="132"/>
        <v>27.69296009798979</v>
      </c>
      <c r="G889" s="2">
        <v>15.092915</v>
      </c>
      <c r="H889" s="2">
        <f t="shared" si="133"/>
        <v>49.517439248599999</v>
      </c>
      <c r="I889" s="2">
        <f>INDEX('Wood Density Lookup'!$B$2:$B$152,MATCH(B889,'Wood Density Lookup'!$A$2:$A$152,0))</f>
        <v>0.75</v>
      </c>
      <c r="J889" s="2">
        <f t="shared" si="134"/>
        <v>2899.3314928458635</v>
      </c>
      <c r="K889" s="2">
        <f t="shared" si="138"/>
        <v>811.81281799684189</v>
      </c>
      <c r="L889" s="2">
        <f t="shared" si="139"/>
        <v>3711.1443108427056</v>
      </c>
      <c r="M889" s="2">
        <f t="shared" si="135"/>
        <v>2690.5796253609615</v>
      </c>
      <c r="N889" s="2">
        <f t="shared" si="136"/>
        <v>1345.2898126804807</v>
      </c>
      <c r="O889" s="2">
        <f t="shared" si="137"/>
        <v>4937.2136125373645</v>
      </c>
      <c r="P889" s="2">
        <v>72.550407000000007</v>
      </c>
      <c r="Q889" s="2">
        <v>23.037413000000001</v>
      </c>
    </row>
    <row r="890" spans="1:17" x14ac:dyDescent="0.25">
      <c r="A890" s="2">
        <v>1038</v>
      </c>
      <c r="B890" s="2" t="s">
        <v>31</v>
      </c>
      <c r="C890" s="2">
        <v>22</v>
      </c>
      <c r="D890" s="2">
        <f t="shared" si="130"/>
        <v>55.88</v>
      </c>
      <c r="E890" s="2">
        <f t="shared" si="131"/>
        <v>17.787156439950223</v>
      </c>
      <c r="F890" s="2">
        <f t="shared" si="132"/>
        <v>7.0028174960433951</v>
      </c>
      <c r="G890" s="2">
        <v>7.0911949999999999</v>
      </c>
      <c r="H890" s="2">
        <f t="shared" si="133"/>
        <v>23.2650762038</v>
      </c>
      <c r="I890" s="2">
        <f>INDEX('Wood Density Lookup'!$B$2:$B$152,MATCH(B890,'Wood Density Lookup'!$A$2:$A$152,0))</f>
        <v>0.78</v>
      </c>
      <c r="J890" s="2">
        <f t="shared" si="134"/>
        <v>98.448588678360125</v>
      </c>
      <c r="K890" s="2">
        <f t="shared" si="138"/>
        <v>27.565604829940838</v>
      </c>
      <c r="L890" s="2">
        <f t="shared" si="139"/>
        <v>126.01419350830096</v>
      </c>
      <c r="M890" s="2">
        <f t="shared" si="135"/>
        <v>91.36029029351819</v>
      </c>
      <c r="N890" s="2">
        <f t="shared" si="136"/>
        <v>45.680145146759095</v>
      </c>
      <c r="O890" s="2">
        <f t="shared" si="137"/>
        <v>167.64613268860589</v>
      </c>
      <c r="P890" s="2">
        <v>72.550410999999997</v>
      </c>
      <c r="Q890" s="2">
        <v>23.035582999999999</v>
      </c>
    </row>
    <row r="891" spans="1:17" x14ac:dyDescent="0.25">
      <c r="A891" s="2">
        <v>1039</v>
      </c>
      <c r="B891" s="2" t="s">
        <v>107</v>
      </c>
      <c r="C891" s="2">
        <v>34</v>
      </c>
      <c r="D891" s="2">
        <f t="shared" si="130"/>
        <v>86.36</v>
      </c>
      <c r="E891" s="2">
        <f t="shared" si="131"/>
        <v>27.489241770832162</v>
      </c>
      <c r="F891" s="2">
        <f t="shared" si="132"/>
        <v>10.822536130248883</v>
      </c>
      <c r="G891" s="2">
        <v>7.251322</v>
      </c>
      <c r="H891" s="2">
        <f t="shared" si="133"/>
        <v>23.790427270479999</v>
      </c>
      <c r="I891" s="2">
        <f>INDEX('Wood Density Lookup'!$B$2:$B$152,MATCH(B891,'Wood Density Lookup'!$A$2:$A$152,0))</f>
        <v>0.65</v>
      </c>
      <c r="J891" s="2">
        <f t="shared" si="134"/>
        <v>196.98419765042141</v>
      </c>
      <c r="K891" s="2">
        <f t="shared" si="138"/>
        <v>55.155575342117999</v>
      </c>
      <c r="L891" s="2">
        <f t="shared" si="139"/>
        <v>252.13977299253941</v>
      </c>
      <c r="M891" s="2">
        <f t="shared" si="135"/>
        <v>182.80133541959106</v>
      </c>
      <c r="N891" s="2">
        <f t="shared" si="136"/>
        <v>91.400667709795528</v>
      </c>
      <c r="O891" s="2">
        <f t="shared" si="137"/>
        <v>335.44045049494957</v>
      </c>
      <c r="P891" s="2">
        <v>72.550414000000004</v>
      </c>
      <c r="Q891" s="2">
        <v>23.035947</v>
      </c>
    </row>
    <row r="892" spans="1:17" x14ac:dyDescent="0.25">
      <c r="A892" s="2">
        <v>1040</v>
      </c>
      <c r="B892" s="2" t="s">
        <v>15</v>
      </c>
      <c r="C892" s="2">
        <v>53</v>
      </c>
      <c r="D892" s="2">
        <f t="shared" si="130"/>
        <v>134.62</v>
      </c>
      <c r="E892" s="2">
        <f t="shared" si="131"/>
        <v>42.850876878061904</v>
      </c>
      <c r="F892" s="2">
        <f t="shared" si="132"/>
        <v>16.870423967740905</v>
      </c>
      <c r="G892" s="2">
        <v>13.892365</v>
      </c>
      <c r="H892" s="2">
        <f t="shared" si="133"/>
        <v>45.578626786599997</v>
      </c>
      <c r="I892" s="2">
        <f>INDEX('Wood Density Lookup'!$B$2:$B$152,MATCH(B892,'Wood Density Lookup'!$A$2:$A$152,0))</f>
        <v>0.75</v>
      </c>
      <c r="J892" s="2">
        <f t="shared" si="134"/>
        <v>1016.2715662574416</v>
      </c>
      <c r="K892" s="2">
        <f t="shared" si="138"/>
        <v>284.55603855208369</v>
      </c>
      <c r="L892" s="2">
        <f t="shared" si="139"/>
        <v>1300.8276048095254</v>
      </c>
      <c r="M892" s="2">
        <f t="shared" si="135"/>
        <v>943.10001348690582</v>
      </c>
      <c r="N892" s="2">
        <f t="shared" si="136"/>
        <v>471.55000674345291</v>
      </c>
      <c r="O892" s="2">
        <f t="shared" si="137"/>
        <v>1730.5885247484721</v>
      </c>
      <c r="P892" s="2">
        <v>72.550420000000003</v>
      </c>
      <c r="Q892" s="2">
        <v>23.037443</v>
      </c>
    </row>
    <row r="893" spans="1:17" x14ac:dyDescent="0.25">
      <c r="A893" s="2">
        <v>1041</v>
      </c>
      <c r="B893" s="2" t="s">
        <v>124</v>
      </c>
      <c r="C893" s="2">
        <v>73</v>
      </c>
      <c r="D893" s="2">
        <f t="shared" si="130"/>
        <v>185.42000000000002</v>
      </c>
      <c r="E893" s="2">
        <f t="shared" si="131"/>
        <v>59.021019096198472</v>
      </c>
      <c r="F893" s="2">
        <f t="shared" si="132"/>
        <v>23.236621691416719</v>
      </c>
      <c r="G893" s="2">
        <v>14.866368</v>
      </c>
      <c r="H893" s="2">
        <f t="shared" si="133"/>
        <v>48.774174789119996</v>
      </c>
      <c r="I893" s="2">
        <f>INDEX('Wood Density Lookup'!$B$2:$B$152,MATCH(B893,'Wood Density Lookup'!$A$2:$A$152,0))</f>
        <v>0.55000000000000004</v>
      </c>
      <c r="J893" s="2">
        <f t="shared" si="134"/>
        <v>1498.6012738924223</v>
      </c>
      <c r="K893" s="2">
        <f t="shared" si="138"/>
        <v>419.60835668987829</v>
      </c>
      <c r="L893" s="2">
        <f t="shared" si="139"/>
        <v>1918.2096305823006</v>
      </c>
      <c r="M893" s="2">
        <f t="shared" si="135"/>
        <v>1390.7019821721678</v>
      </c>
      <c r="N893" s="2">
        <f t="shared" si="136"/>
        <v>695.35099108608392</v>
      </c>
      <c r="O893" s="2">
        <f t="shared" si="137"/>
        <v>2551.938137285928</v>
      </c>
      <c r="P893" s="2">
        <v>72.550430000000006</v>
      </c>
      <c r="Q893" s="2">
        <v>23.037693000000001</v>
      </c>
    </row>
    <row r="894" spans="1:17" x14ac:dyDescent="0.25">
      <c r="A894" s="2">
        <v>1042</v>
      </c>
      <c r="B894" s="2" t="s">
        <v>107</v>
      </c>
      <c r="C894" s="2">
        <v>29</v>
      </c>
      <c r="D894" s="2">
        <f t="shared" si="130"/>
        <v>73.66</v>
      </c>
      <c r="E894" s="2">
        <f t="shared" si="131"/>
        <v>23.446706216298022</v>
      </c>
      <c r="F894" s="2">
        <f t="shared" si="132"/>
        <v>9.2309866993299305</v>
      </c>
      <c r="G894" s="2">
        <v>7.581925</v>
      </c>
      <c r="H894" s="2">
        <f t="shared" si="133"/>
        <v>24.875082816999999</v>
      </c>
      <c r="I894" s="2">
        <f>INDEX('Wood Density Lookup'!$B$2:$B$152,MATCH(B894,'Wood Density Lookup'!$A$2:$A$152,0))</f>
        <v>0.65</v>
      </c>
      <c r="J894" s="2">
        <f t="shared" si="134"/>
        <v>150.82836804339348</v>
      </c>
      <c r="K894" s="2">
        <f t="shared" si="138"/>
        <v>42.231943052150179</v>
      </c>
      <c r="L894" s="2">
        <f t="shared" si="139"/>
        <v>193.06031109554365</v>
      </c>
      <c r="M894" s="2">
        <f t="shared" si="135"/>
        <v>139.96872554426915</v>
      </c>
      <c r="N894" s="2">
        <f t="shared" si="136"/>
        <v>69.984362772134574</v>
      </c>
      <c r="O894" s="2">
        <f t="shared" si="137"/>
        <v>256.84261137373386</v>
      </c>
      <c r="P894" s="2">
        <v>72.550442000000004</v>
      </c>
      <c r="Q894" s="2">
        <v>23.038640000000001</v>
      </c>
    </row>
    <row r="895" spans="1:17" x14ac:dyDescent="0.25">
      <c r="A895" s="2">
        <v>1043</v>
      </c>
      <c r="B895" s="2" t="s">
        <v>151</v>
      </c>
      <c r="C895" s="2">
        <v>49</v>
      </c>
      <c r="D895" s="2">
        <f t="shared" si="130"/>
        <v>124.46000000000001</v>
      </c>
      <c r="E895" s="2">
        <f t="shared" si="131"/>
        <v>39.616848434434594</v>
      </c>
      <c r="F895" s="2">
        <f t="shared" si="132"/>
        <v>15.597184423005743</v>
      </c>
      <c r="G895" s="2">
        <v>5.056476</v>
      </c>
      <c r="H895" s="2">
        <f t="shared" si="133"/>
        <v>16.589488719839999</v>
      </c>
      <c r="I895" s="2">
        <f>INDEX('Wood Density Lookup'!$B$2:$B$152,MATCH(B895,'Wood Density Lookup'!$A$2:$A$152,0))</f>
        <v>0.8</v>
      </c>
      <c r="J895" s="2">
        <f t="shared" si="134"/>
        <v>346.29650028010843</v>
      </c>
      <c r="K895" s="2">
        <f t="shared" si="138"/>
        <v>96.963020078430375</v>
      </c>
      <c r="L895" s="2">
        <f t="shared" si="139"/>
        <v>443.25952035853879</v>
      </c>
      <c r="M895" s="2">
        <f t="shared" si="135"/>
        <v>321.36315225994059</v>
      </c>
      <c r="N895" s="2">
        <f t="shared" si="136"/>
        <v>160.6815761299703</v>
      </c>
      <c r="O895" s="2">
        <f t="shared" si="137"/>
        <v>589.70138439699099</v>
      </c>
      <c r="P895" s="2">
        <v>72.550459000000004</v>
      </c>
      <c r="Q895" s="2">
        <v>23.036242000000001</v>
      </c>
    </row>
    <row r="896" spans="1:17" x14ac:dyDescent="0.25">
      <c r="A896" s="2">
        <v>1044</v>
      </c>
      <c r="B896" s="2" t="s">
        <v>15</v>
      </c>
      <c r="C896" s="2">
        <v>22</v>
      </c>
      <c r="D896" s="2">
        <f t="shared" si="130"/>
        <v>55.88</v>
      </c>
      <c r="E896" s="2">
        <f t="shared" si="131"/>
        <v>17.787156439950223</v>
      </c>
      <c r="F896" s="2">
        <f t="shared" si="132"/>
        <v>7.0028174960433951</v>
      </c>
      <c r="G896" s="2">
        <v>3.2862300000000002</v>
      </c>
      <c r="H896" s="2">
        <f t="shared" si="133"/>
        <v>10.7815948332</v>
      </c>
      <c r="I896" s="2">
        <f>INDEX('Wood Density Lookup'!$B$2:$B$152,MATCH(B896,'Wood Density Lookup'!$A$2:$A$152,0))</f>
        <v>0.75</v>
      </c>
      <c r="J896" s="2">
        <f t="shared" si="134"/>
        <v>44.728053494424096</v>
      </c>
      <c r="K896" s="2">
        <f t="shared" si="138"/>
        <v>12.523854978438749</v>
      </c>
      <c r="L896" s="2">
        <f t="shared" si="139"/>
        <v>57.251908472862844</v>
      </c>
      <c r="M896" s="2">
        <f t="shared" si="135"/>
        <v>41.50763364282556</v>
      </c>
      <c r="N896" s="2">
        <f t="shared" si="136"/>
        <v>20.75381682141278</v>
      </c>
      <c r="O896" s="2">
        <f t="shared" si="137"/>
        <v>76.166507734584897</v>
      </c>
      <c r="P896" s="2">
        <v>72.550460999999999</v>
      </c>
      <c r="Q896" s="2">
        <v>23.038302000000002</v>
      </c>
    </row>
    <row r="897" spans="1:17" x14ac:dyDescent="0.25">
      <c r="A897" s="2">
        <v>1045</v>
      </c>
      <c r="B897" s="2" t="s">
        <v>31</v>
      </c>
      <c r="C897" s="2">
        <v>66</v>
      </c>
      <c r="D897" s="2">
        <f t="shared" ref="D897:D960" si="140">C897*2.54</f>
        <v>167.64000000000001</v>
      </c>
      <c r="E897" s="2">
        <f t="shared" ref="E897:E960" si="141">D897/PI()</f>
        <v>53.361469319850677</v>
      </c>
      <c r="F897" s="2">
        <f t="shared" ref="F897:F960" si="142">C897/PI()</f>
        <v>21.008452488130185</v>
      </c>
      <c r="G897" s="2">
        <v>8.0594950000000001</v>
      </c>
      <c r="H897" s="2">
        <f t="shared" ref="H897:H960" si="143">G897*3.28084</f>
        <v>26.441913575800001</v>
      </c>
      <c r="I897" s="2">
        <f>INDEX('Wood Density Lookup'!$B$2:$B$152,MATCH(B897,'Wood Density Lookup'!$A$2:$A$152,0))</f>
        <v>0.78</v>
      </c>
      <c r="J897" s="2">
        <f t="shared" ref="J897:J960" si="144">0.0673*POWER(I897*E897^2*G897,0.976)</f>
        <v>952.36727580392835</v>
      </c>
      <c r="K897" s="2">
        <f t="shared" si="138"/>
        <v>266.66283722509996</v>
      </c>
      <c r="L897" s="2">
        <f t="shared" si="139"/>
        <v>1219.0301130290284</v>
      </c>
      <c r="M897" s="2">
        <f t="shared" ref="M897:M960" si="145">0.725*L897</f>
        <v>883.79683194604559</v>
      </c>
      <c r="N897" s="2">
        <f t="shared" ref="N897:N960" si="146">0.5*M897</f>
        <v>441.89841597302279</v>
      </c>
      <c r="O897" s="2">
        <f t="shared" ref="O897:O960" si="147">3.67*N897</f>
        <v>1621.7671866209937</v>
      </c>
      <c r="P897" s="2">
        <v>72.550466</v>
      </c>
      <c r="Q897" s="2">
        <v>23.037935000000001</v>
      </c>
    </row>
    <row r="898" spans="1:17" x14ac:dyDescent="0.25">
      <c r="A898" s="2">
        <v>1046</v>
      </c>
      <c r="B898" s="2" t="s">
        <v>11</v>
      </c>
      <c r="C898" s="2">
        <v>6</v>
      </c>
      <c r="D898" s="2">
        <f t="shared" si="140"/>
        <v>15.24</v>
      </c>
      <c r="E898" s="2">
        <f t="shared" si="141"/>
        <v>4.8510426654409704</v>
      </c>
      <c r="F898" s="2">
        <f t="shared" si="142"/>
        <v>1.909859317102744</v>
      </c>
      <c r="G898" s="2">
        <v>8.6976329999999997</v>
      </c>
      <c r="H898" s="2">
        <f t="shared" si="143"/>
        <v>28.535542251719999</v>
      </c>
      <c r="I898" s="2">
        <f>INDEX('Wood Density Lookup'!$B$2:$B$152,MATCH(B898,'Wood Density Lookup'!$A$2:$A$152,0))</f>
        <v>0.45</v>
      </c>
      <c r="J898" s="2">
        <f t="shared" si="144"/>
        <v>5.5610401977582722</v>
      </c>
      <c r="K898" s="2">
        <f t="shared" si="138"/>
        <v>1.5570912553723164</v>
      </c>
      <c r="L898" s="2">
        <f t="shared" si="139"/>
        <v>7.118131453130589</v>
      </c>
      <c r="M898" s="2">
        <f t="shared" si="145"/>
        <v>5.1606453035196767</v>
      </c>
      <c r="N898" s="2">
        <f t="shared" si="146"/>
        <v>2.5803226517598383</v>
      </c>
      <c r="O898" s="2">
        <f t="shared" si="147"/>
        <v>9.4697841319586065</v>
      </c>
      <c r="P898" s="2">
        <v>72.550471000000002</v>
      </c>
      <c r="Q898" s="2">
        <v>23.035944000000001</v>
      </c>
    </row>
    <row r="899" spans="1:17" x14ac:dyDescent="0.25">
      <c r="A899" s="2">
        <v>1047</v>
      </c>
      <c r="B899" s="2" t="s">
        <v>107</v>
      </c>
      <c r="C899" s="2">
        <v>52</v>
      </c>
      <c r="D899" s="2">
        <f t="shared" si="140"/>
        <v>132.08000000000001</v>
      </c>
      <c r="E899" s="2">
        <f t="shared" si="141"/>
        <v>42.04236976715508</v>
      </c>
      <c r="F899" s="2">
        <f t="shared" si="142"/>
        <v>16.552114081557114</v>
      </c>
      <c r="G899" s="2">
        <v>6.7360800000000003</v>
      </c>
      <c r="H899" s="2">
        <f t="shared" si="143"/>
        <v>22.1000007072</v>
      </c>
      <c r="I899" s="2">
        <f>INDEX('Wood Density Lookup'!$B$2:$B$152,MATCH(B899,'Wood Density Lookup'!$A$2:$A$152,0))</f>
        <v>0.65</v>
      </c>
      <c r="J899" s="2">
        <f t="shared" si="144"/>
        <v>420.12773538184132</v>
      </c>
      <c r="K899" s="2">
        <f t="shared" ref="K899:K962" si="148">0.28*J899</f>
        <v>117.63576590691558</v>
      </c>
      <c r="L899" s="2">
        <f t="shared" ref="L899:L962" si="149">J899+K899</f>
        <v>537.76350128875686</v>
      </c>
      <c r="M899" s="2">
        <f t="shared" si="145"/>
        <v>389.87853843434868</v>
      </c>
      <c r="N899" s="2">
        <f t="shared" si="146"/>
        <v>194.93926921717434</v>
      </c>
      <c r="O899" s="2">
        <f t="shared" si="147"/>
        <v>715.42711802702979</v>
      </c>
      <c r="P899" s="2">
        <v>72.550471999999999</v>
      </c>
      <c r="Q899" s="2">
        <v>23.038404</v>
      </c>
    </row>
    <row r="900" spans="1:17" x14ac:dyDescent="0.25">
      <c r="A900" s="2">
        <v>1048</v>
      </c>
      <c r="B900" s="2" t="s">
        <v>124</v>
      </c>
      <c r="C900" s="2">
        <v>29</v>
      </c>
      <c r="D900" s="2">
        <f t="shared" si="140"/>
        <v>73.66</v>
      </c>
      <c r="E900" s="2">
        <f t="shared" si="141"/>
        <v>23.446706216298022</v>
      </c>
      <c r="F900" s="2">
        <f t="shared" si="142"/>
        <v>9.2309866993299305</v>
      </c>
      <c r="G900" s="2">
        <v>9.8724100000000004</v>
      </c>
      <c r="H900" s="2">
        <f t="shared" si="143"/>
        <v>32.389797624400003</v>
      </c>
      <c r="I900" s="2">
        <f>INDEX('Wood Density Lookup'!$B$2:$B$152,MATCH(B900,'Wood Density Lookup'!$A$2:$A$152,0))</f>
        <v>0.55000000000000004</v>
      </c>
      <c r="J900" s="2">
        <f t="shared" si="144"/>
        <v>165.79286301279143</v>
      </c>
      <c r="K900" s="2">
        <f t="shared" si="148"/>
        <v>46.422001643581602</v>
      </c>
      <c r="L900" s="2">
        <f t="shared" si="149"/>
        <v>212.21486465637304</v>
      </c>
      <c r="M900" s="2">
        <f t="shared" si="145"/>
        <v>153.85577687587045</v>
      </c>
      <c r="N900" s="2">
        <f t="shared" si="146"/>
        <v>76.927888437935223</v>
      </c>
      <c r="O900" s="2">
        <f t="shared" si="147"/>
        <v>282.32535056722224</v>
      </c>
      <c r="P900" s="2">
        <v>72.550472999999997</v>
      </c>
      <c r="Q900" s="2">
        <v>23.037994999999999</v>
      </c>
    </row>
    <row r="901" spans="1:17" x14ac:dyDescent="0.25">
      <c r="A901" s="2">
        <v>1049</v>
      </c>
      <c r="B901" s="2" t="s">
        <v>134</v>
      </c>
      <c r="C901" s="2">
        <v>82</v>
      </c>
      <c r="D901" s="2">
        <f t="shared" si="140"/>
        <v>208.28</v>
      </c>
      <c r="E901" s="2">
        <f t="shared" si="141"/>
        <v>66.297583094359922</v>
      </c>
      <c r="F901" s="2">
        <f t="shared" si="142"/>
        <v>26.101410667070837</v>
      </c>
      <c r="G901" s="2">
        <v>8.0396529999999995</v>
      </c>
      <c r="H901" s="2">
        <f t="shared" si="143"/>
        <v>26.376815148519999</v>
      </c>
      <c r="I901" s="2">
        <f>INDEX('Wood Density Lookup'!$B$2:$B$152,MATCH(B901,'Wood Density Lookup'!$A$2:$A$152,0))</f>
        <v>0.65</v>
      </c>
      <c r="J901" s="2">
        <f t="shared" si="144"/>
        <v>1214.7687544655751</v>
      </c>
      <c r="K901" s="2">
        <f t="shared" si="148"/>
        <v>340.13525125036102</v>
      </c>
      <c r="L901" s="2">
        <f t="shared" si="149"/>
        <v>1554.9040057159361</v>
      </c>
      <c r="M901" s="2">
        <f t="shared" si="145"/>
        <v>1127.3054041440537</v>
      </c>
      <c r="N901" s="2">
        <f t="shared" si="146"/>
        <v>563.65270207202684</v>
      </c>
      <c r="O901" s="2">
        <f t="shared" si="147"/>
        <v>2068.6054166043386</v>
      </c>
      <c r="P901" s="2">
        <v>72.550472999999997</v>
      </c>
      <c r="Q901" s="2">
        <v>23.038146000000001</v>
      </c>
    </row>
    <row r="902" spans="1:17" x14ac:dyDescent="0.25">
      <c r="A902" s="2">
        <v>1050</v>
      </c>
      <c r="B902" s="2" t="s">
        <v>62</v>
      </c>
      <c r="C902" s="2">
        <v>13</v>
      </c>
      <c r="D902" s="2">
        <f t="shared" si="140"/>
        <v>33.020000000000003</v>
      </c>
      <c r="E902" s="2">
        <f t="shared" si="141"/>
        <v>10.51059244178877</v>
      </c>
      <c r="F902" s="2">
        <f t="shared" si="142"/>
        <v>4.1380285203892786</v>
      </c>
      <c r="G902" s="2">
        <v>6.2060630000000003</v>
      </c>
      <c r="H902" s="2">
        <f t="shared" si="143"/>
        <v>20.36109973292</v>
      </c>
      <c r="I902" s="2">
        <f>INDEX('Wood Density Lookup'!$B$2:$B$152,MATCH(B902,'Wood Density Lookup'!$A$2:$A$152,0))</f>
        <v>0.47</v>
      </c>
      <c r="J902" s="2">
        <f t="shared" si="144"/>
        <v>18.879368015351005</v>
      </c>
      <c r="K902" s="2">
        <f t="shared" si="148"/>
        <v>5.286223044298282</v>
      </c>
      <c r="L902" s="2">
        <f t="shared" si="149"/>
        <v>24.165591059649287</v>
      </c>
      <c r="M902" s="2">
        <f t="shared" si="145"/>
        <v>17.520053518245732</v>
      </c>
      <c r="N902" s="2">
        <f t="shared" si="146"/>
        <v>8.7600267591228658</v>
      </c>
      <c r="O902" s="2">
        <f t="shared" si="147"/>
        <v>32.149298205980919</v>
      </c>
      <c r="P902" s="2">
        <v>72.550477000000001</v>
      </c>
      <c r="Q902" s="2">
        <v>23.038640000000001</v>
      </c>
    </row>
    <row r="903" spans="1:17" x14ac:dyDescent="0.25">
      <c r="A903" s="2">
        <v>1051</v>
      </c>
      <c r="B903" s="2" t="s">
        <v>107</v>
      </c>
      <c r="C903" s="2">
        <v>49</v>
      </c>
      <c r="D903" s="2">
        <f t="shared" si="140"/>
        <v>124.46000000000001</v>
      </c>
      <c r="E903" s="2">
        <f t="shared" si="141"/>
        <v>39.616848434434594</v>
      </c>
      <c r="F903" s="2">
        <f t="shared" si="142"/>
        <v>15.597184423005743</v>
      </c>
      <c r="G903" s="2">
        <v>11.021049</v>
      </c>
      <c r="H903" s="2">
        <f t="shared" si="143"/>
        <v>36.158298401159996</v>
      </c>
      <c r="I903" s="2">
        <f>INDEX('Wood Density Lookup'!$B$2:$B$152,MATCH(B903,'Wood Density Lookup'!$A$2:$A$152,0))</f>
        <v>0.65</v>
      </c>
      <c r="J903" s="2">
        <f t="shared" si="144"/>
        <v>604.90851061431943</v>
      </c>
      <c r="K903" s="2">
        <f t="shared" si="148"/>
        <v>169.37438297200944</v>
      </c>
      <c r="L903" s="2">
        <f t="shared" si="149"/>
        <v>774.2828935863289</v>
      </c>
      <c r="M903" s="2">
        <f t="shared" si="145"/>
        <v>561.35509785008844</v>
      </c>
      <c r="N903" s="2">
        <f t="shared" si="146"/>
        <v>280.67754892504422</v>
      </c>
      <c r="O903" s="2">
        <f t="shared" si="147"/>
        <v>1030.0866045549124</v>
      </c>
      <c r="P903" s="2">
        <v>72.550477999999998</v>
      </c>
      <c r="Q903" s="2">
        <v>23.038529</v>
      </c>
    </row>
    <row r="904" spans="1:17" x14ac:dyDescent="0.25">
      <c r="A904" s="2">
        <v>1052</v>
      </c>
      <c r="B904" s="2" t="s">
        <v>107</v>
      </c>
      <c r="C904" s="2">
        <v>44</v>
      </c>
      <c r="D904" s="2">
        <f t="shared" si="140"/>
        <v>111.76</v>
      </c>
      <c r="E904" s="2">
        <f t="shared" si="141"/>
        <v>35.574312879900447</v>
      </c>
      <c r="F904" s="2">
        <f t="shared" si="142"/>
        <v>14.00563499208679</v>
      </c>
      <c r="G904" s="2">
        <v>10.767734000000001</v>
      </c>
      <c r="H904" s="2">
        <f t="shared" si="143"/>
        <v>35.327212416560002</v>
      </c>
      <c r="I904" s="2">
        <f>INDEX('Wood Density Lookup'!$B$2:$B$152,MATCH(B904,'Wood Density Lookup'!$A$2:$A$152,0))</f>
        <v>0.65</v>
      </c>
      <c r="J904" s="2">
        <f t="shared" si="144"/>
        <v>479.28112165453535</v>
      </c>
      <c r="K904" s="2">
        <f t="shared" si="148"/>
        <v>134.1987140632699</v>
      </c>
      <c r="L904" s="2">
        <f t="shared" si="149"/>
        <v>613.47983571780526</v>
      </c>
      <c r="M904" s="2">
        <f t="shared" si="145"/>
        <v>444.77288089540878</v>
      </c>
      <c r="N904" s="2">
        <f t="shared" si="146"/>
        <v>222.38644044770439</v>
      </c>
      <c r="O904" s="2">
        <f t="shared" si="147"/>
        <v>816.15823644307511</v>
      </c>
      <c r="P904" s="2">
        <v>72.550478999999996</v>
      </c>
      <c r="Q904" s="2">
        <v>23.037834</v>
      </c>
    </row>
    <row r="905" spans="1:17" x14ac:dyDescent="0.25">
      <c r="A905" s="2">
        <v>1053</v>
      </c>
      <c r="B905" s="2" t="s">
        <v>15</v>
      </c>
      <c r="C905" s="2">
        <v>15</v>
      </c>
      <c r="D905" s="2">
        <f t="shared" si="140"/>
        <v>38.1</v>
      </c>
      <c r="E905" s="2">
        <f t="shared" si="141"/>
        <v>12.127606663602425</v>
      </c>
      <c r="F905" s="2">
        <f t="shared" si="142"/>
        <v>4.7746482927568605</v>
      </c>
      <c r="G905" s="2">
        <v>8.0570869999999992</v>
      </c>
      <c r="H905" s="2">
        <f t="shared" si="143"/>
        <v>26.434013313079998</v>
      </c>
      <c r="I905" s="2">
        <f>INDEX('Wood Density Lookup'!$B$2:$B$152,MATCH(B905,'Wood Density Lookup'!$A$2:$A$152,0))</f>
        <v>0.75</v>
      </c>
      <c r="J905" s="2">
        <f t="shared" si="144"/>
        <v>50.81988034779706</v>
      </c>
      <c r="K905" s="2">
        <f t="shared" si="148"/>
        <v>14.229566497383178</v>
      </c>
      <c r="L905" s="2">
        <f t="shared" si="149"/>
        <v>65.049446845180242</v>
      </c>
      <c r="M905" s="2">
        <f t="shared" si="145"/>
        <v>47.160848962755672</v>
      </c>
      <c r="N905" s="2">
        <f t="shared" si="146"/>
        <v>23.580424481377836</v>
      </c>
      <c r="O905" s="2">
        <f t="shared" si="147"/>
        <v>86.540157846656655</v>
      </c>
      <c r="P905" s="2">
        <v>72.550482000000002</v>
      </c>
      <c r="Q905" s="2">
        <v>23.038734000000002</v>
      </c>
    </row>
    <row r="906" spans="1:17" x14ac:dyDescent="0.25">
      <c r="A906" s="2">
        <v>1054</v>
      </c>
      <c r="B906" s="2" t="s">
        <v>107</v>
      </c>
      <c r="C906" s="2">
        <v>51</v>
      </c>
      <c r="D906" s="2">
        <f t="shared" si="140"/>
        <v>129.54</v>
      </c>
      <c r="E906" s="2">
        <f t="shared" si="141"/>
        <v>41.233862656248242</v>
      </c>
      <c r="F906" s="2">
        <f t="shared" si="142"/>
        <v>16.233804195373324</v>
      </c>
      <c r="G906" s="2">
        <v>9.9909339999999993</v>
      </c>
      <c r="H906" s="2">
        <f t="shared" si="143"/>
        <v>32.778655904559997</v>
      </c>
      <c r="I906" s="2">
        <f>INDEX('Wood Density Lookup'!$B$2:$B$152,MATCH(B906,'Wood Density Lookup'!$A$2:$A$152,0))</f>
        <v>0.65</v>
      </c>
      <c r="J906" s="2">
        <f t="shared" si="144"/>
        <v>594.30569406424001</v>
      </c>
      <c r="K906" s="2">
        <f t="shared" si="148"/>
        <v>166.40559433798722</v>
      </c>
      <c r="L906" s="2">
        <f t="shared" si="149"/>
        <v>760.71128840222718</v>
      </c>
      <c r="M906" s="2">
        <f t="shared" si="145"/>
        <v>551.51568409161473</v>
      </c>
      <c r="N906" s="2">
        <f t="shared" si="146"/>
        <v>275.75784204580737</v>
      </c>
      <c r="O906" s="2">
        <f t="shared" si="147"/>
        <v>1012.031280308113</v>
      </c>
      <c r="P906" s="2">
        <v>72.550489999999996</v>
      </c>
      <c r="Q906" s="2">
        <v>23.036054</v>
      </c>
    </row>
    <row r="907" spans="1:17" x14ac:dyDescent="0.25">
      <c r="A907" s="2">
        <v>1055</v>
      </c>
      <c r="B907" s="2" t="s">
        <v>135</v>
      </c>
      <c r="C907" s="2">
        <v>17</v>
      </c>
      <c r="D907" s="2">
        <f t="shared" si="140"/>
        <v>43.18</v>
      </c>
      <c r="E907" s="2">
        <f t="shared" si="141"/>
        <v>13.744620885416081</v>
      </c>
      <c r="F907" s="2">
        <f t="shared" si="142"/>
        <v>5.4112680651244416</v>
      </c>
      <c r="G907" s="2">
        <v>3.3503780000000001</v>
      </c>
      <c r="H907" s="2">
        <f t="shared" si="143"/>
        <v>10.99205415752</v>
      </c>
      <c r="I907" s="2">
        <f>INDEX('Wood Density Lookup'!$B$2:$B$152,MATCH(B907,'Wood Density Lookup'!$A$2:$A$152,0))</f>
        <v>0.8</v>
      </c>
      <c r="J907" s="2">
        <f t="shared" si="144"/>
        <v>29.34658740941607</v>
      </c>
      <c r="K907" s="2">
        <f t="shared" si="148"/>
        <v>8.2170444746365003</v>
      </c>
      <c r="L907" s="2">
        <f t="shared" si="149"/>
        <v>37.563631884052569</v>
      </c>
      <c r="M907" s="2">
        <f t="shared" si="145"/>
        <v>27.233633115938112</v>
      </c>
      <c r="N907" s="2">
        <f t="shared" si="146"/>
        <v>13.616816557969056</v>
      </c>
      <c r="O907" s="2">
        <f t="shared" si="147"/>
        <v>49.973716767746431</v>
      </c>
      <c r="P907" s="2">
        <v>72.550489999999996</v>
      </c>
      <c r="Q907" s="2">
        <v>23.036625000000001</v>
      </c>
    </row>
    <row r="908" spans="1:17" x14ac:dyDescent="0.25">
      <c r="A908" s="2">
        <v>1056</v>
      </c>
      <c r="B908" s="2" t="s">
        <v>107</v>
      </c>
      <c r="C908" s="2">
        <v>36</v>
      </c>
      <c r="D908" s="2">
        <f t="shared" si="140"/>
        <v>91.44</v>
      </c>
      <c r="E908" s="2">
        <f t="shared" si="141"/>
        <v>29.106255992645821</v>
      </c>
      <c r="F908" s="2">
        <f t="shared" si="142"/>
        <v>11.459155902616464</v>
      </c>
      <c r="G908" s="2">
        <v>6.5964429999999998</v>
      </c>
      <c r="H908" s="2">
        <f t="shared" si="143"/>
        <v>21.641874052119999</v>
      </c>
      <c r="I908" s="2">
        <f>INDEX('Wood Density Lookup'!$B$2:$B$152,MATCH(B908,'Wood Density Lookup'!$A$2:$A$152,0))</f>
        <v>0.65</v>
      </c>
      <c r="J908" s="2">
        <f t="shared" si="144"/>
        <v>200.80116292015535</v>
      </c>
      <c r="K908" s="2">
        <f t="shared" si="148"/>
        <v>56.224325617643501</v>
      </c>
      <c r="L908" s="2">
        <f t="shared" si="149"/>
        <v>257.02548853779888</v>
      </c>
      <c r="M908" s="2">
        <f t="shared" si="145"/>
        <v>186.34347918990417</v>
      </c>
      <c r="N908" s="2">
        <f t="shared" si="146"/>
        <v>93.171739594952086</v>
      </c>
      <c r="O908" s="2">
        <f t="shared" si="147"/>
        <v>341.94028431347414</v>
      </c>
      <c r="P908" s="2">
        <v>72.550494999999998</v>
      </c>
      <c r="Q908" s="2">
        <v>23.037672000000001</v>
      </c>
    </row>
    <row r="909" spans="1:17" x14ac:dyDescent="0.25">
      <c r="A909" s="2">
        <v>1057</v>
      </c>
      <c r="B909" s="2" t="s">
        <v>3</v>
      </c>
      <c r="C909" s="2">
        <v>16</v>
      </c>
      <c r="D909" s="2">
        <f t="shared" si="140"/>
        <v>40.64</v>
      </c>
      <c r="E909" s="2">
        <f t="shared" si="141"/>
        <v>12.936113774509254</v>
      </c>
      <c r="F909" s="2">
        <f t="shared" si="142"/>
        <v>5.0929581789406511</v>
      </c>
      <c r="G909" s="2">
        <v>4.0074240000000003</v>
      </c>
      <c r="H909" s="2">
        <f t="shared" si="143"/>
        <v>13.147716956160002</v>
      </c>
      <c r="I909" s="2">
        <f>INDEX('Wood Density Lookup'!$B$2:$B$152,MATCH(B909,'Wood Density Lookup'!$A$2:$A$152,0))</f>
        <v>0.62</v>
      </c>
      <c r="J909" s="2">
        <f t="shared" si="144"/>
        <v>24.2117928968404</v>
      </c>
      <c r="K909" s="2">
        <f t="shared" si="148"/>
        <v>6.7793020111153126</v>
      </c>
      <c r="L909" s="2">
        <f t="shared" si="149"/>
        <v>30.991094907955713</v>
      </c>
      <c r="M909" s="2">
        <f t="shared" si="145"/>
        <v>22.468543808267892</v>
      </c>
      <c r="N909" s="2">
        <f t="shared" si="146"/>
        <v>11.234271904133946</v>
      </c>
      <c r="O909" s="2">
        <f t="shared" si="147"/>
        <v>41.229777888171583</v>
      </c>
      <c r="P909" s="2">
        <v>72.550499000000002</v>
      </c>
      <c r="Q909" s="2">
        <v>23.038768999999998</v>
      </c>
    </row>
    <row r="910" spans="1:17" x14ac:dyDescent="0.25">
      <c r="A910" s="2">
        <v>1058</v>
      </c>
      <c r="B910" s="2" t="s">
        <v>134</v>
      </c>
      <c r="C910" s="2">
        <v>48</v>
      </c>
      <c r="D910" s="2">
        <f t="shared" si="140"/>
        <v>121.92</v>
      </c>
      <c r="E910" s="2">
        <f t="shared" si="141"/>
        <v>38.808341323527763</v>
      </c>
      <c r="F910" s="2">
        <f t="shared" si="142"/>
        <v>15.278874536821952</v>
      </c>
      <c r="G910" s="2">
        <v>4.0178250000000002</v>
      </c>
      <c r="H910" s="2">
        <f t="shared" si="143"/>
        <v>13.181840973</v>
      </c>
      <c r="I910" s="2">
        <f>INDEX('Wood Density Lookup'!$B$2:$B$152,MATCH(B910,'Wood Density Lookup'!$A$2:$A$152,0))</f>
        <v>0.65</v>
      </c>
      <c r="J910" s="2">
        <f t="shared" si="144"/>
        <v>217.01786735898125</v>
      </c>
      <c r="K910" s="2">
        <f t="shared" si="148"/>
        <v>60.765002860514755</v>
      </c>
      <c r="L910" s="2">
        <f t="shared" si="149"/>
        <v>277.78287021949598</v>
      </c>
      <c r="M910" s="2">
        <f t="shared" si="145"/>
        <v>201.39258090913458</v>
      </c>
      <c r="N910" s="2">
        <f t="shared" si="146"/>
        <v>100.69629045456729</v>
      </c>
      <c r="O910" s="2">
        <f t="shared" si="147"/>
        <v>369.55538596826193</v>
      </c>
      <c r="P910" s="2">
        <v>72.550500999999997</v>
      </c>
      <c r="Q910" s="2">
        <v>23.036154</v>
      </c>
    </row>
    <row r="911" spans="1:17" x14ac:dyDescent="0.25">
      <c r="A911" s="2">
        <v>1059</v>
      </c>
      <c r="B911" s="2" t="s">
        <v>62</v>
      </c>
      <c r="C911" s="2">
        <v>72</v>
      </c>
      <c r="D911" s="2">
        <f t="shared" si="140"/>
        <v>182.88</v>
      </c>
      <c r="E911" s="2">
        <f t="shared" si="141"/>
        <v>58.212511985291641</v>
      </c>
      <c r="F911" s="2">
        <f t="shared" si="142"/>
        <v>22.918311805232928</v>
      </c>
      <c r="G911" s="2">
        <v>7.7462220000000004</v>
      </c>
      <c r="H911" s="2">
        <f t="shared" si="143"/>
        <v>25.414114986480001</v>
      </c>
      <c r="I911" s="2">
        <f>INDEX('Wood Density Lookup'!$B$2:$B$152,MATCH(B911,'Wood Density Lookup'!$A$2:$A$152,0))</f>
        <v>0.47</v>
      </c>
      <c r="J911" s="2">
        <f t="shared" si="144"/>
        <v>662.28703103138878</v>
      </c>
      <c r="K911" s="2">
        <f t="shared" si="148"/>
        <v>185.44036868878888</v>
      </c>
      <c r="L911" s="2">
        <f t="shared" si="149"/>
        <v>847.72739972017769</v>
      </c>
      <c r="M911" s="2">
        <f t="shared" si="145"/>
        <v>614.60236479712876</v>
      </c>
      <c r="N911" s="2">
        <f t="shared" si="146"/>
        <v>307.30118239856438</v>
      </c>
      <c r="O911" s="2">
        <f t="shared" si="147"/>
        <v>1127.7953394027313</v>
      </c>
      <c r="P911" s="2">
        <v>72.550511999999998</v>
      </c>
      <c r="Q911" s="2">
        <v>23.035378000000001</v>
      </c>
    </row>
    <row r="912" spans="1:17" x14ac:dyDescent="0.25">
      <c r="A912" s="2">
        <v>1060</v>
      </c>
      <c r="B912" s="2" t="s">
        <v>107</v>
      </c>
      <c r="C912" s="2">
        <v>41</v>
      </c>
      <c r="D912" s="2">
        <f t="shared" si="140"/>
        <v>104.14</v>
      </c>
      <c r="E912" s="2">
        <f t="shared" si="141"/>
        <v>33.148791547179961</v>
      </c>
      <c r="F912" s="2">
        <f t="shared" si="142"/>
        <v>13.050705333535419</v>
      </c>
      <c r="G912" s="2">
        <v>10.830114999999999</v>
      </c>
      <c r="H912" s="2">
        <f t="shared" si="143"/>
        <v>35.531874496599997</v>
      </c>
      <c r="I912" s="2">
        <f>INDEX('Wood Density Lookup'!$B$2:$B$152,MATCH(B912,'Wood Density Lookup'!$A$2:$A$152,0))</f>
        <v>0.65</v>
      </c>
      <c r="J912" s="2">
        <f t="shared" si="144"/>
        <v>419.92654287332357</v>
      </c>
      <c r="K912" s="2">
        <f t="shared" si="148"/>
        <v>117.57943200453062</v>
      </c>
      <c r="L912" s="2">
        <f t="shared" si="149"/>
        <v>537.50597487785421</v>
      </c>
      <c r="M912" s="2">
        <f t="shared" si="145"/>
        <v>389.69183178644431</v>
      </c>
      <c r="N912" s="2">
        <f t="shared" si="146"/>
        <v>194.84591589322216</v>
      </c>
      <c r="O912" s="2">
        <f t="shared" si="147"/>
        <v>715.08451132812525</v>
      </c>
      <c r="P912" s="2">
        <v>72.550511999999998</v>
      </c>
      <c r="Q912" s="2">
        <v>23.035495999999998</v>
      </c>
    </row>
    <row r="913" spans="1:17" x14ac:dyDescent="0.25">
      <c r="A913" s="2">
        <v>1061</v>
      </c>
      <c r="B913" s="2" t="s">
        <v>107</v>
      </c>
      <c r="C913" s="2">
        <v>37</v>
      </c>
      <c r="D913" s="2">
        <f t="shared" si="140"/>
        <v>93.98</v>
      </c>
      <c r="E913" s="2">
        <f t="shared" si="141"/>
        <v>29.914763103552648</v>
      </c>
      <c r="F913" s="2">
        <f t="shared" si="142"/>
        <v>11.777465788800255</v>
      </c>
      <c r="G913" s="2">
        <v>7.8209590000000002</v>
      </c>
      <c r="H913" s="2">
        <f t="shared" si="143"/>
        <v>25.659315125559999</v>
      </c>
      <c r="I913" s="2">
        <f>INDEX('Wood Density Lookup'!$B$2:$B$152,MATCH(B913,'Wood Density Lookup'!$A$2:$A$152,0))</f>
        <v>0.65</v>
      </c>
      <c r="J913" s="2">
        <f t="shared" si="144"/>
        <v>250.13179401034762</v>
      </c>
      <c r="K913" s="2">
        <f t="shared" si="148"/>
        <v>70.036902322897333</v>
      </c>
      <c r="L913" s="2">
        <f t="shared" si="149"/>
        <v>320.16869633324495</v>
      </c>
      <c r="M913" s="2">
        <f t="shared" si="145"/>
        <v>232.12230484160258</v>
      </c>
      <c r="N913" s="2">
        <f t="shared" si="146"/>
        <v>116.06115242080129</v>
      </c>
      <c r="O913" s="2">
        <f t="shared" si="147"/>
        <v>425.94442938434071</v>
      </c>
      <c r="P913" s="2">
        <v>72.550516000000002</v>
      </c>
      <c r="Q913" s="2">
        <v>23.037514999999999</v>
      </c>
    </row>
    <row r="914" spans="1:17" x14ac:dyDescent="0.25">
      <c r="A914" s="2">
        <v>1062</v>
      </c>
      <c r="B914" s="2" t="s">
        <v>62</v>
      </c>
      <c r="C914" s="2">
        <v>40</v>
      </c>
      <c r="D914" s="2">
        <f t="shared" si="140"/>
        <v>101.6</v>
      </c>
      <c r="E914" s="2">
        <f t="shared" si="141"/>
        <v>32.34028443627313</v>
      </c>
      <c r="F914" s="2">
        <f t="shared" si="142"/>
        <v>12.732395447351628</v>
      </c>
      <c r="G914" s="2">
        <v>10.167844000000001</v>
      </c>
      <c r="H914" s="2">
        <f t="shared" si="143"/>
        <v>33.359069308960002</v>
      </c>
      <c r="I914" s="2">
        <f>INDEX('Wood Density Lookup'!$B$2:$B$152,MATCH(B914,'Wood Density Lookup'!$A$2:$A$152,0))</f>
        <v>0.47</v>
      </c>
      <c r="J914" s="2">
        <f t="shared" si="144"/>
        <v>274.19398374278063</v>
      </c>
      <c r="K914" s="2">
        <f t="shared" si="148"/>
        <v>76.77431544797858</v>
      </c>
      <c r="L914" s="2">
        <f t="shared" si="149"/>
        <v>350.96829919075924</v>
      </c>
      <c r="M914" s="2">
        <f t="shared" si="145"/>
        <v>254.45201691330044</v>
      </c>
      <c r="N914" s="2">
        <f t="shared" si="146"/>
        <v>127.22600845665022</v>
      </c>
      <c r="O914" s="2">
        <f t="shared" si="147"/>
        <v>466.91945103590632</v>
      </c>
      <c r="P914" s="2">
        <v>72.550516999999999</v>
      </c>
      <c r="Q914" s="2">
        <v>23.035447999999999</v>
      </c>
    </row>
    <row r="915" spans="1:17" x14ac:dyDescent="0.25">
      <c r="A915" s="2">
        <v>1063</v>
      </c>
      <c r="B915" s="2" t="s">
        <v>107</v>
      </c>
      <c r="C915" s="2">
        <v>47</v>
      </c>
      <c r="D915" s="2">
        <f t="shared" si="140"/>
        <v>119.38</v>
      </c>
      <c r="E915" s="2">
        <f t="shared" si="141"/>
        <v>37.999834212620932</v>
      </c>
      <c r="F915" s="2">
        <f t="shared" si="142"/>
        <v>14.960564650638162</v>
      </c>
      <c r="G915" s="2">
        <v>9.4373450000000005</v>
      </c>
      <c r="H915" s="2">
        <f t="shared" si="143"/>
        <v>30.962418969800002</v>
      </c>
      <c r="I915" s="2">
        <f>INDEX('Wood Density Lookup'!$B$2:$B$152,MATCH(B915,'Wood Density Lookup'!$A$2:$A$152,0))</f>
        <v>0.65</v>
      </c>
      <c r="J915" s="2">
        <f t="shared" si="144"/>
        <v>479.29822225706408</v>
      </c>
      <c r="K915" s="2">
        <f t="shared" si="148"/>
        <v>134.20350223197795</v>
      </c>
      <c r="L915" s="2">
        <f t="shared" si="149"/>
        <v>613.50172448904209</v>
      </c>
      <c r="M915" s="2">
        <f t="shared" si="145"/>
        <v>444.78875025455551</v>
      </c>
      <c r="N915" s="2">
        <f t="shared" si="146"/>
        <v>222.39437512727775</v>
      </c>
      <c r="O915" s="2">
        <f t="shared" si="147"/>
        <v>816.18735671710931</v>
      </c>
      <c r="P915" s="2">
        <v>72.550522000000001</v>
      </c>
      <c r="Q915" s="2">
        <v>23.036469</v>
      </c>
    </row>
    <row r="916" spans="1:17" x14ac:dyDescent="0.25">
      <c r="A916" s="2">
        <v>1064</v>
      </c>
      <c r="B916" s="2" t="s">
        <v>34</v>
      </c>
      <c r="C916" s="2">
        <v>6</v>
      </c>
      <c r="D916" s="2">
        <f t="shared" si="140"/>
        <v>15.24</v>
      </c>
      <c r="E916" s="2">
        <f t="shared" si="141"/>
        <v>4.8510426654409704</v>
      </c>
      <c r="F916" s="2">
        <f t="shared" si="142"/>
        <v>1.909859317102744</v>
      </c>
      <c r="G916" s="2">
        <v>2.3405930000000001</v>
      </c>
      <c r="H916" s="2">
        <f t="shared" si="143"/>
        <v>7.6791111381200006</v>
      </c>
      <c r="I916" s="2">
        <f>INDEX('Wood Density Lookup'!$B$2:$B$152,MATCH(B916,'Wood Density Lookup'!$A$2:$A$152,0))</f>
        <v>0.6</v>
      </c>
      <c r="J916" s="2">
        <f t="shared" si="144"/>
        <v>2.0450450002845537</v>
      </c>
      <c r="K916" s="2">
        <f t="shared" si="148"/>
        <v>0.57261260007967507</v>
      </c>
      <c r="L916" s="2">
        <f t="shared" si="149"/>
        <v>2.6176576003642289</v>
      </c>
      <c r="M916" s="2">
        <f t="shared" si="145"/>
        <v>1.897801760264066</v>
      </c>
      <c r="N916" s="2">
        <f t="shared" si="146"/>
        <v>0.948900880132033</v>
      </c>
      <c r="O916" s="2">
        <f t="shared" si="147"/>
        <v>3.4824662300845612</v>
      </c>
      <c r="P916" s="2">
        <v>72.550522000000001</v>
      </c>
      <c r="Q916" s="2">
        <v>23.037828999999999</v>
      </c>
    </row>
    <row r="917" spans="1:17" x14ac:dyDescent="0.25">
      <c r="A917" s="2">
        <v>1065</v>
      </c>
      <c r="B917" s="2" t="s">
        <v>107</v>
      </c>
      <c r="C917" s="2">
        <v>42</v>
      </c>
      <c r="D917" s="2">
        <f t="shared" si="140"/>
        <v>106.68</v>
      </c>
      <c r="E917" s="2">
        <f t="shared" si="141"/>
        <v>33.957298658086792</v>
      </c>
      <c r="F917" s="2">
        <f t="shared" si="142"/>
        <v>13.369015219719209</v>
      </c>
      <c r="G917" s="2">
        <v>7.353669</v>
      </c>
      <c r="H917" s="2">
        <f t="shared" si="143"/>
        <v>24.126211401959999</v>
      </c>
      <c r="I917" s="2">
        <f>INDEX('Wood Density Lookup'!$B$2:$B$152,MATCH(B917,'Wood Density Lookup'!$A$2:$A$152,0))</f>
        <v>0.65</v>
      </c>
      <c r="J917" s="2">
        <f t="shared" si="144"/>
        <v>301.65321499354974</v>
      </c>
      <c r="K917" s="2">
        <f t="shared" si="148"/>
        <v>84.462900198193935</v>
      </c>
      <c r="L917" s="2">
        <f t="shared" si="149"/>
        <v>386.11611519174369</v>
      </c>
      <c r="M917" s="2">
        <f t="shared" si="145"/>
        <v>279.93418351401414</v>
      </c>
      <c r="N917" s="2">
        <f t="shared" si="146"/>
        <v>139.96709175700707</v>
      </c>
      <c r="O917" s="2">
        <f t="shared" si="147"/>
        <v>513.67922674821591</v>
      </c>
      <c r="P917" s="2">
        <v>72.550522999999998</v>
      </c>
      <c r="Q917" s="2">
        <v>23.038302000000002</v>
      </c>
    </row>
    <row r="918" spans="1:17" x14ac:dyDescent="0.25">
      <c r="A918" s="2">
        <v>1066</v>
      </c>
      <c r="B918" s="2" t="s">
        <v>37</v>
      </c>
      <c r="C918" s="2">
        <v>20</v>
      </c>
      <c r="D918" s="2">
        <f t="shared" si="140"/>
        <v>50.8</v>
      </c>
      <c r="E918" s="2">
        <f t="shared" si="141"/>
        <v>16.170142218136565</v>
      </c>
      <c r="F918" s="2">
        <f t="shared" si="142"/>
        <v>6.366197723675814</v>
      </c>
      <c r="G918" s="2">
        <v>11.767153</v>
      </c>
      <c r="H918" s="2">
        <f t="shared" si="143"/>
        <v>38.606146248519998</v>
      </c>
      <c r="I918" s="2">
        <f>INDEX('Wood Density Lookup'!$B$2:$B$152,MATCH(B918,'Wood Density Lookup'!$A$2:$A$152,0))</f>
        <v>0.27</v>
      </c>
      <c r="J918" s="2">
        <f t="shared" si="144"/>
        <v>47.578505877354253</v>
      </c>
      <c r="K918" s="2">
        <f t="shared" si="148"/>
        <v>13.321981645659193</v>
      </c>
      <c r="L918" s="2">
        <f t="shared" si="149"/>
        <v>60.900487523013446</v>
      </c>
      <c r="M918" s="2">
        <f t="shared" si="145"/>
        <v>44.152853454184743</v>
      </c>
      <c r="N918" s="2">
        <f t="shared" si="146"/>
        <v>22.076426727092372</v>
      </c>
      <c r="O918" s="2">
        <f t="shared" si="147"/>
        <v>81.020486088428996</v>
      </c>
      <c r="P918" s="2">
        <v>72.550524999999993</v>
      </c>
      <c r="Q918" s="2">
        <v>23.034558000000001</v>
      </c>
    </row>
    <row r="919" spans="1:17" x14ac:dyDescent="0.25">
      <c r="A919" s="2">
        <v>1067</v>
      </c>
      <c r="B919" s="2" t="s">
        <v>107</v>
      </c>
      <c r="C919" s="2">
        <v>22</v>
      </c>
      <c r="D919" s="2">
        <f t="shared" si="140"/>
        <v>55.88</v>
      </c>
      <c r="E919" s="2">
        <f t="shared" si="141"/>
        <v>17.787156439950223</v>
      </c>
      <c r="F919" s="2">
        <f t="shared" si="142"/>
        <v>7.0028174960433951</v>
      </c>
      <c r="G919" s="2">
        <v>2.39771</v>
      </c>
      <c r="H919" s="2">
        <f t="shared" si="143"/>
        <v>7.8665028764000002</v>
      </c>
      <c r="I919" s="2">
        <f>INDEX('Wood Density Lookup'!$B$2:$B$152,MATCH(B919,'Wood Density Lookup'!$A$2:$A$152,0))</f>
        <v>0.65</v>
      </c>
      <c r="J919" s="2">
        <f t="shared" si="144"/>
        <v>28.596176667281405</v>
      </c>
      <c r="K919" s="2">
        <f t="shared" si="148"/>
        <v>8.0069294668387947</v>
      </c>
      <c r="L919" s="2">
        <f t="shared" si="149"/>
        <v>36.603106134120196</v>
      </c>
      <c r="M919" s="2">
        <f t="shared" si="145"/>
        <v>26.537251947237142</v>
      </c>
      <c r="N919" s="2">
        <f t="shared" si="146"/>
        <v>13.268625973618571</v>
      </c>
      <c r="O919" s="2">
        <f t="shared" si="147"/>
        <v>48.695857323180157</v>
      </c>
      <c r="P919" s="2">
        <v>72.550524999999993</v>
      </c>
      <c r="Q919" s="2">
        <v>23.03594</v>
      </c>
    </row>
    <row r="920" spans="1:17" x14ac:dyDescent="0.25">
      <c r="A920" s="2">
        <v>1068</v>
      </c>
      <c r="B920" s="2" t="s">
        <v>151</v>
      </c>
      <c r="C920" s="2">
        <v>63</v>
      </c>
      <c r="D920" s="2">
        <f t="shared" si="140"/>
        <v>160.02000000000001</v>
      </c>
      <c r="E920" s="2">
        <f t="shared" si="141"/>
        <v>50.935947987130191</v>
      </c>
      <c r="F920" s="2">
        <f t="shared" si="142"/>
        <v>20.053522829578814</v>
      </c>
      <c r="G920" s="2">
        <v>6.1199260000000004</v>
      </c>
      <c r="H920" s="2">
        <f t="shared" si="143"/>
        <v>20.078498017840001</v>
      </c>
      <c r="I920" s="2">
        <f>INDEX('Wood Density Lookup'!$B$2:$B$152,MATCH(B920,'Wood Density Lookup'!$A$2:$A$152,0))</f>
        <v>0.8</v>
      </c>
      <c r="J920" s="2">
        <f t="shared" si="144"/>
        <v>681.40728154594547</v>
      </c>
      <c r="K920" s="2">
        <f t="shared" si="148"/>
        <v>190.79403883286474</v>
      </c>
      <c r="L920" s="2">
        <f t="shared" si="149"/>
        <v>872.20132037881024</v>
      </c>
      <c r="M920" s="2">
        <f t="shared" si="145"/>
        <v>632.34595727463739</v>
      </c>
      <c r="N920" s="2">
        <f t="shared" si="146"/>
        <v>316.17297863731869</v>
      </c>
      <c r="O920" s="2">
        <f t="shared" si="147"/>
        <v>1160.3548315989597</v>
      </c>
      <c r="P920" s="2">
        <v>72.550526000000005</v>
      </c>
      <c r="Q920" s="2">
        <v>23.036252999999999</v>
      </c>
    </row>
    <row r="921" spans="1:17" x14ac:dyDescent="0.25">
      <c r="A921" s="2">
        <v>1069</v>
      </c>
      <c r="B921" s="2" t="s">
        <v>15</v>
      </c>
      <c r="C921" s="2">
        <v>31</v>
      </c>
      <c r="D921" s="2">
        <f t="shared" si="140"/>
        <v>78.739999999999995</v>
      </c>
      <c r="E921" s="2">
        <f t="shared" si="141"/>
        <v>25.063720438111677</v>
      </c>
      <c r="F921" s="2">
        <f t="shared" si="142"/>
        <v>9.8676064716975116</v>
      </c>
      <c r="G921" s="2">
        <v>8.1828950000000003</v>
      </c>
      <c r="H921" s="2">
        <f t="shared" si="143"/>
        <v>26.8467692318</v>
      </c>
      <c r="I921" s="2">
        <f>INDEX('Wood Density Lookup'!$B$2:$B$152,MATCH(B921,'Wood Density Lookup'!$A$2:$A$152,0))</f>
        <v>0.75</v>
      </c>
      <c r="J921" s="2">
        <f t="shared" si="144"/>
        <v>212.81829427025392</v>
      </c>
      <c r="K921" s="2">
        <f t="shared" si="148"/>
        <v>59.589122395671104</v>
      </c>
      <c r="L921" s="2">
        <f t="shared" si="149"/>
        <v>272.40741666592504</v>
      </c>
      <c r="M921" s="2">
        <f t="shared" si="145"/>
        <v>197.49537708279564</v>
      </c>
      <c r="N921" s="2">
        <f t="shared" si="146"/>
        <v>98.747688541397821</v>
      </c>
      <c r="O921" s="2">
        <f t="shared" si="147"/>
        <v>362.40401694692997</v>
      </c>
      <c r="P921" s="2">
        <v>72.550529999999995</v>
      </c>
      <c r="Q921" s="2">
        <v>23.038716000000001</v>
      </c>
    </row>
    <row r="922" spans="1:17" x14ac:dyDescent="0.25">
      <c r="A922" s="2">
        <v>1070</v>
      </c>
      <c r="B922" s="2" t="s">
        <v>15</v>
      </c>
      <c r="C922" s="2">
        <v>50</v>
      </c>
      <c r="D922" s="2">
        <f t="shared" si="140"/>
        <v>127</v>
      </c>
      <c r="E922" s="2">
        <f t="shared" si="141"/>
        <v>40.425355545341418</v>
      </c>
      <c r="F922" s="2">
        <f t="shared" si="142"/>
        <v>15.915494309189533</v>
      </c>
      <c r="G922" s="2">
        <v>3.297164</v>
      </c>
      <c r="H922" s="2">
        <f t="shared" si="143"/>
        <v>10.817467537760001</v>
      </c>
      <c r="I922" s="2">
        <f>INDEX('Wood Density Lookup'!$B$2:$B$152,MATCH(B922,'Wood Density Lookup'!$A$2:$A$152,0))</f>
        <v>0.75</v>
      </c>
      <c r="J922" s="2">
        <f t="shared" si="144"/>
        <v>222.82727297127573</v>
      </c>
      <c r="K922" s="2">
        <f t="shared" si="148"/>
        <v>62.39163643195721</v>
      </c>
      <c r="L922" s="2">
        <f t="shared" si="149"/>
        <v>285.21890940323294</v>
      </c>
      <c r="M922" s="2">
        <f t="shared" si="145"/>
        <v>206.78370931734386</v>
      </c>
      <c r="N922" s="2">
        <f t="shared" si="146"/>
        <v>103.39185465867193</v>
      </c>
      <c r="O922" s="2">
        <f t="shared" si="147"/>
        <v>379.44810659732599</v>
      </c>
      <c r="P922" s="2">
        <v>72.550531000000007</v>
      </c>
      <c r="Q922" s="2">
        <v>23.036085</v>
      </c>
    </row>
    <row r="923" spans="1:17" x14ac:dyDescent="0.25">
      <c r="A923" s="2">
        <v>1071</v>
      </c>
      <c r="B923" s="2" t="s">
        <v>15</v>
      </c>
      <c r="C923" s="2">
        <v>17</v>
      </c>
      <c r="D923" s="2">
        <f t="shared" si="140"/>
        <v>43.18</v>
      </c>
      <c r="E923" s="2">
        <f t="shared" si="141"/>
        <v>13.744620885416081</v>
      </c>
      <c r="F923" s="2">
        <f t="shared" si="142"/>
        <v>5.4112680651244416</v>
      </c>
      <c r="G923" s="2">
        <v>8.6817060000000001</v>
      </c>
      <c r="H923" s="2">
        <f t="shared" si="143"/>
        <v>28.483288313039999</v>
      </c>
      <c r="I923" s="2">
        <f>INDEX('Wood Density Lookup'!$B$2:$B$152,MATCH(B923,'Wood Density Lookup'!$A$2:$A$152,0))</f>
        <v>0.75</v>
      </c>
      <c r="J923" s="2">
        <f t="shared" si="144"/>
        <v>69.789255929591135</v>
      </c>
      <c r="K923" s="2">
        <f t="shared" si="148"/>
        <v>19.54099166028552</v>
      </c>
      <c r="L923" s="2">
        <f t="shared" si="149"/>
        <v>89.330247589876649</v>
      </c>
      <c r="M923" s="2">
        <f t="shared" si="145"/>
        <v>64.764429502660562</v>
      </c>
      <c r="N923" s="2">
        <f t="shared" si="146"/>
        <v>32.382214751330281</v>
      </c>
      <c r="O923" s="2">
        <f t="shared" si="147"/>
        <v>118.84272813738212</v>
      </c>
      <c r="P923" s="2">
        <v>72.550534999999996</v>
      </c>
      <c r="Q923" s="2">
        <v>23.038571999999998</v>
      </c>
    </row>
    <row r="924" spans="1:17" x14ac:dyDescent="0.25">
      <c r="A924" s="2">
        <v>1072</v>
      </c>
      <c r="B924" s="2" t="s">
        <v>134</v>
      </c>
      <c r="C924" s="2">
        <v>29</v>
      </c>
      <c r="D924" s="2">
        <f t="shared" si="140"/>
        <v>73.66</v>
      </c>
      <c r="E924" s="2">
        <f t="shared" si="141"/>
        <v>23.446706216298022</v>
      </c>
      <c r="F924" s="2">
        <f t="shared" si="142"/>
        <v>9.2309866993299305</v>
      </c>
      <c r="G924" s="2">
        <v>7.0833089999999999</v>
      </c>
      <c r="H924" s="2">
        <f t="shared" si="143"/>
        <v>23.239203499559999</v>
      </c>
      <c r="I924" s="2">
        <f>INDEX('Wood Density Lookup'!$B$2:$B$152,MATCH(B924,'Wood Density Lookup'!$A$2:$A$152,0))</f>
        <v>0.65</v>
      </c>
      <c r="J924" s="2">
        <f t="shared" si="144"/>
        <v>141.1395650643893</v>
      </c>
      <c r="K924" s="2">
        <f t="shared" si="148"/>
        <v>39.519078218029009</v>
      </c>
      <c r="L924" s="2">
        <f t="shared" si="149"/>
        <v>180.65864328241832</v>
      </c>
      <c r="M924" s="2">
        <f t="shared" si="145"/>
        <v>130.97751637975327</v>
      </c>
      <c r="N924" s="2">
        <f t="shared" si="146"/>
        <v>65.488758189876634</v>
      </c>
      <c r="O924" s="2">
        <f t="shared" si="147"/>
        <v>240.34374255684725</v>
      </c>
      <c r="P924" s="2">
        <v>72.550535999999994</v>
      </c>
      <c r="Q924" s="2">
        <v>23.038364000000001</v>
      </c>
    </row>
    <row r="925" spans="1:17" x14ac:dyDescent="0.25">
      <c r="A925" s="2">
        <v>1073</v>
      </c>
      <c r="B925" s="2" t="s">
        <v>107</v>
      </c>
      <c r="C925" s="2">
        <v>37</v>
      </c>
      <c r="D925" s="2">
        <f t="shared" si="140"/>
        <v>93.98</v>
      </c>
      <c r="E925" s="2">
        <f t="shared" si="141"/>
        <v>29.914763103552648</v>
      </c>
      <c r="F925" s="2">
        <f t="shared" si="142"/>
        <v>11.777465788800255</v>
      </c>
      <c r="G925" s="2">
        <v>5.186153</v>
      </c>
      <c r="H925" s="2">
        <f t="shared" si="143"/>
        <v>17.01493820852</v>
      </c>
      <c r="I925" s="2">
        <f>INDEX('Wood Density Lookup'!$B$2:$B$152,MATCH(B925,'Wood Density Lookup'!$A$2:$A$152,0))</f>
        <v>0.65</v>
      </c>
      <c r="J925" s="2">
        <f t="shared" si="144"/>
        <v>167.5082364152849</v>
      </c>
      <c r="K925" s="2">
        <f t="shared" si="148"/>
        <v>46.902306196279774</v>
      </c>
      <c r="L925" s="2">
        <f t="shared" si="149"/>
        <v>214.41054261156467</v>
      </c>
      <c r="M925" s="2">
        <f t="shared" si="145"/>
        <v>155.44764339338437</v>
      </c>
      <c r="N925" s="2">
        <f t="shared" si="146"/>
        <v>77.723821696692184</v>
      </c>
      <c r="O925" s="2">
        <f t="shared" si="147"/>
        <v>285.24642562686029</v>
      </c>
      <c r="P925" s="2">
        <v>72.550541999999993</v>
      </c>
      <c r="Q925" s="2">
        <v>23.037675</v>
      </c>
    </row>
    <row r="926" spans="1:17" x14ac:dyDescent="0.25">
      <c r="A926" s="2">
        <v>1074</v>
      </c>
      <c r="B926" s="2" t="s">
        <v>134</v>
      </c>
      <c r="C926" s="2">
        <v>21</v>
      </c>
      <c r="D926" s="2">
        <f t="shared" si="140"/>
        <v>53.34</v>
      </c>
      <c r="E926" s="2">
        <f t="shared" si="141"/>
        <v>16.978649329043396</v>
      </c>
      <c r="F926" s="2">
        <f t="shared" si="142"/>
        <v>6.6845076098596046</v>
      </c>
      <c r="G926" s="2">
        <v>8.2105890000000006</v>
      </c>
      <c r="H926" s="2">
        <f t="shared" si="143"/>
        <v>26.93762881476</v>
      </c>
      <c r="I926" s="2">
        <f>INDEX('Wood Density Lookup'!$B$2:$B$152,MATCH(B926,'Wood Density Lookup'!$A$2:$A$152,0))</f>
        <v>0.65</v>
      </c>
      <c r="J926" s="2">
        <f t="shared" si="144"/>
        <v>86.819795095114614</v>
      </c>
      <c r="K926" s="2">
        <f t="shared" si="148"/>
        <v>24.309542626632094</v>
      </c>
      <c r="L926" s="2">
        <f t="shared" si="149"/>
        <v>111.12933772174671</v>
      </c>
      <c r="M926" s="2">
        <f t="shared" si="145"/>
        <v>80.568769848266356</v>
      </c>
      <c r="N926" s="2">
        <f t="shared" si="146"/>
        <v>40.284384924133178</v>
      </c>
      <c r="O926" s="2">
        <f t="shared" si="147"/>
        <v>147.84369267156876</v>
      </c>
      <c r="P926" s="2">
        <v>72.550551999999996</v>
      </c>
      <c r="Q926" s="2">
        <v>23.038388000000001</v>
      </c>
    </row>
    <row r="927" spans="1:17" x14ac:dyDescent="0.25">
      <c r="A927" s="2">
        <v>1075</v>
      </c>
      <c r="B927" s="2" t="s">
        <v>3</v>
      </c>
      <c r="C927" s="2">
        <v>52</v>
      </c>
      <c r="D927" s="2">
        <f t="shared" si="140"/>
        <v>132.08000000000001</v>
      </c>
      <c r="E927" s="2">
        <f t="shared" si="141"/>
        <v>42.04236976715508</v>
      </c>
      <c r="F927" s="2">
        <f t="shared" si="142"/>
        <v>16.552114081557114</v>
      </c>
      <c r="G927" s="2">
        <v>8.0458800000000004</v>
      </c>
      <c r="H927" s="2">
        <f t="shared" si="143"/>
        <v>26.3972449392</v>
      </c>
      <c r="I927" s="2">
        <f>INDEX('Wood Density Lookup'!$B$2:$B$152,MATCH(B927,'Wood Density Lookup'!$A$2:$A$152,0))</f>
        <v>0.62</v>
      </c>
      <c r="J927" s="2">
        <f t="shared" si="144"/>
        <v>477.16274584988321</v>
      </c>
      <c r="K927" s="2">
        <f t="shared" si="148"/>
        <v>133.6055688379673</v>
      </c>
      <c r="L927" s="2">
        <f t="shared" si="149"/>
        <v>610.76831468785053</v>
      </c>
      <c r="M927" s="2">
        <f t="shared" si="145"/>
        <v>442.80702814869164</v>
      </c>
      <c r="N927" s="2">
        <f t="shared" si="146"/>
        <v>221.40351407434582</v>
      </c>
      <c r="O927" s="2">
        <f t="shared" si="147"/>
        <v>812.55089665284913</v>
      </c>
      <c r="P927" s="2">
        <v>72.550559000000007</v>
      </c>
      <c r="Q927" s="2">
        <v>23.038702000000001</v>
      </c>
    </row>
    <row r="928" spans="1:17" x14ac:dyDescent="0.25">
      <c r="A928" s="2">
        <v>1076</v>
      </c>
      <c r="B928" s="2" t="s">
        <v>92</v>
      </c>
      <c r="C928" s="2">
        <v>60</v>
      </c>
      <c r="D928" s="2">
        <f t="shared" si="140"/>
        <v>152.4</v>
      </c>
      <c r="E928" s="2">
        <f t="shared" si="141"/>
        <v>48.510426654409699</v>
      </c>
      <c r="F928" s="2">
        <f t="shared" si="142"/>
        <v>19.098593171027442</v>
      </c>
      <c r="G928" s="2">
        <v>8.6190270000000009</v>
      </c>
      <c r="H928" s="2">
        <f t="shared" si="143"/>
        <v>28.277648542680001</v>
      </c>
      <c r="I928" s="2">
        <f>INDEX('Wood Density Lookup'!$B$2:$B$152,MATCH(B928,'Wood Density Lookup'!$A$2:$A$152,0))</f>
        <v>0.85</v>
      </c>
      <c r="J928" s="2">
        <f t="shared" si="144"/>
        <v>918.09005540009991</v>
      </c>
      <c r="K928" s="2">
        <f t="shared" si="148"/>
        <v>257.06521551202798</v>
      </c>
      <c r="L928" s="2">
        <f t="shared" si="149"/>
        <v>1175.1552709121279</v>
      </c>
      <c r="M928" s="2">
        <f t="shared" si="145"/>
        <v>851.98757141129272</v>
      </c>
      <c r="N928" s="2">
        <f t="shared" si="146"/>
        <v>425.99378570564636</v>
      </c>
      <c r="O928" s="2">
        <f t="shared" si="147"/>
        <v>1563.3971935397221</v>
      </c>
      <c r="P928" s="2">
        <v>72.550561000000002</v>
      </c>
      <c r="Q928" s="2">
        <v>23.035236000000001</v>
      </c>
    </row>
    <row r="929" spans="1:17" x14ac:dyDescent="0.25">
      <c r="A929" s="2">
        <v>1077</v>
      </c>
      <c r="B929" s="2" t="s">
        <v>34</v>
      </c>
      <c r="C929" s="2">
        <v>5</v>
      </c>
      <c r="D929" s="2">
        <f t="shared" si="140"/>
        <v>12.7</v>
      </c>
      <c r="E929" s="2">
        <f t="shared" si="141"/>
        <v>4.0425355545341413</v>
      </c>
      <c r="F929" s="2">
        <f t="shared" si="142"/>
        <v>1.5915494309189535</v>
      </c>
      <c r="G929" s="2">
        <v>1.2409380000000001</v>
      </c>
      <c r="H929" s="2">
        <f t="shared" si="143"/>
        <v>4.0713190279200004</v>
      </c>
      <c r="I929" s="2">
        <f>INDEX('Wood Density Lookup'!$B$2:$B$152,MATCH(B929,'Wood Density Lookup'!$A$2:$A$152,0))</f>
        <v>0.6</v>
      </c>
      <c r="J929" s="2">
        <f t="shared" si="144"/>
        <v>0.77122141096987262</v>
      </c>
      <c r="K929" s="2">
        <f t="shared" si="148"/>
        <v>0.21594199507156436</v>
      </c>
      <c r="L929" s="2">
        <f t="shared" si="149"/>
        <v>0.98716340604143693</v>
      </c>
      <c r="M929" s="2">
        <f t="shared" si="145"/>
        <v>0.71569346938004175</v>
      </c>
      <c r="N929" s="2">
        <f t="shared" si="146"/>
        <v>0.35784673469002087</v>
      </c>
      <c r="O929" s="2">
        <f t="shared" si="147"/>
        <v>1.3132975163123766</v>
      </c>
      <c r="P929" s="2">
        <v>72.550561000000002</v>
      </c>
      <c r="Q929" s="2">
        <v>23.037987000000001</v>
      </c>
    </row>
    <row r="930" spans="1:17" x14ac:dyDescent="0.25">
      <c r="A930" s="2">
        <v>1078</v>
      </c>
      <c r="B930" s="2" t="s">
        <v>107</v>
      </c>
      <c r="C930" s="2">
        <v>33</v>
      </c>
      <c r="D930" s="2">
        <f t="shared" si="140"/>
        <v>83.820000000000007</v>
      </c>
      <c r="E930" s="2">
        <f t="shared" si="141"/>
        <v>26.680734659925339</v>
      </c>
      <c r="F930" s="2">
        <f t="shared" si="142"/>
        <v>10.504226244065093</v>
      </c>
      <c r="G930" s="2">
        <v>6.6513400000000003</v>
      </c>
      <c r="H930" s="2">
        <f t="shared" si="143"/>
        <v>21.821982325600001</v>
      </c>
      <c r="I930" s="2">
        <f>INDEX('Wood Density Lookup'!$B$2:$B$152,MATCH(B930,'Wood Density Lookup'!$A$2:$A$152,0))</f>
        <v>0.65</v>
      </c>
      <c r="J930" s="2">
        <f t="shared" si="144"/>
        <v>170.81102672512696</v>
      </c>
      <c r="K930" s="2">
        <f t="shared" si="148"/>
        <v>47.827087483035555</v>
      </c>
      <c r="L930" s="2">
        <f t="shared" si="149"/>
        <v>218.63811420816251</v>
      </c>
      <c r="M930" s="2">
        <f t="shared" si="145"/>
        <v>158.5126328009178</v>
      </c>
      <c r="N930" s="2">
        <f t="shared" si="146"/>
        <v>79.2563164004589</v>
      </c>
      <c r="O930" s="2">
        <f t="shared" si="147"/>
        <v>290.87068118968415</v>
      </c>
      <c r="P930" s="2">
        <v>72.550562999999997</v>
      </c>
      <c r="Q930" s="2">
        <v>23.037516</v>
      </c>
    </row>
    <row r="931" spans="1:17" x14ac:dyDescent="0.25">
      <c r="A931" s="2">
        <v>1079</v>
      </c>
      <c r="B931" s="2" t="s">
        <v>93</v>
      </c>
      <c r="C931" s="2">
        <v>7</v>
      </c>
      <c r="D931" s="2">
        <f t="shared" si="140"/>
        <v>17.78</v>
      </c>
      <c r="E931" s="2">
        <f t="shared" si="141"/>
        <v>5.6595497763477987</v>
      </c>
      <c r="F931" s="2">
        <f t="shared" si="142"/>
        <v>2.228169203286535</v>
      </c>
      <c r="G931" s="2">
        <v>3.488442</v>
      </c>
      <c r="H931" s="2">
        <f t="shared" si="143"/>
        <v>11.44502005128</v>
      </c>
      <c r="I931" s="2">
        <f>INDEX('Wood Density Lookup'!$B$2:$B$152,MATCH(B931,'Wood Density Lookup'!$A$2:$A$152,0))</f>
        <v>0.9</v>
      </c>
      <c r="J931" s="2">
        <f t="shared" si="144"/>
        <v>6.0589077665934212</v>
      </c>
      <c r="K931" s="2">
        <f t="shared" si="148"/>
        <v>1.6964941746461581</v>
      </c>
      <c r="L931" s="2">
        <f t="shared" si="149"/>
        <v>7.7554019412395796</v>
      </c>
      <c r="M931" s="2">
        <f t="shared" si="145"/>
        <v>5.6226664073986949</v>
      </c>
      <c r="N931" s="2">
        <f t="shared" si="146"/>
        <v>2.8113332036993475</v>
      </c>
      <c r="O931" s="2">
        <f t="shared" si="147"/>
        <v>10.317592857576605</v>
      </c>
      <c r="P931" s="2">
        <v>72.550566000000003</v>
      </c>
      <c r="Q931" s="2">
        <v>23.036092</v>
      </c>
    </row>
    <row r="932" spans="1:17" x14ac:dyDescent="0.25">
      <c r="A932" s="2">
        <v>1080</v>
      </c>
      <c r="B932" s="2" t="s">
        <v>15</v>
      </c>
      <c r="C932" s="2">
        <v>6</v>
      </c>
      <c r="D932" s="2">
        <f t="shared" si="140"/>
        <v>15.24</v>
      </c>
      <c r="E932" s="2">
        <f t="shared" si="141"/>
        <v>4.8510426654409704</v>
      </c>
      <c r="F932" s="2">
        <f t="shared" si="142"/>
        <v>1.909859317102744</v>
      </c>
      <c r="G932" s="2">
        <v>6.73787</v>
      </c>
      <c r="H932" s="2">
        <f t="shared" si="143"/>
        <v>22.105873410800001</v>
      </c>
      <c r="I932" s="2">
        <f>INDEX('Wood Density Lookup'!$B$2:$B$152,MATCH(B932,'Wood Density Lookup'!$A$2:$A$152,0))</f>
        <v>0.75</v>
      </c>
      <c r="J932" s="2">
        <f t="shared" si="144"/>
        <v>7.1361348104039397</v>
      </c>
      <c r="K932" s="2">
        <f t="shared" si="148"/>
        <v>1.9981177469131033</v>
      </c>
      <c r="L932" s="2">
        <f t="shared" si="149"/>
        <v>9.1342525573170423</v>
      </c>
      <c r="M932" s="2">
        <f t="shared" si="145"/>
        <v>6.6223331040548556</v>
      </c>
      <c r="N932" s="2">
        <f t="shared" si="146"/>
        <v>3.3111665520274278</v>
      </c>
      <c r="O932" s="2">
        <f t="shared" si="147"/>
        <v>12.151981245940659</v>
      </c>
      <c r="P932" s="2">
        <v>72.550567000000001</v>
      </c>
      <c r="Q932" s="2">
        <v>23.035924999999999</v>
      </c>
    </row>
    <row r="933" spans="1:17" x14ac:dyDescent="0.25">
      <c r="A933" s="2">
        <v>1081</v>
      </c>
      <c r="B933" s="2" t="s">
        <v>15</v>
      </c>
      <c r="C933" s="2">
        <v>76</v>
      </c>
      <c r="D933" s="2">
        <f t="shared" si="140"/>
        <v>193.04</v>
      </c>
      <c r="E933" s="2">
        <f t="shared" si="141"/>
        <v>61.446540428918951</v>
      </c>
      <c r="F933" s="2">
        <f t="shared" si="142"/>
        <v>24.191551349968091</v>
      </c>
      <c r="G933" s="2">
        <v>13.239514</v>
      </c>
      <c r="H933" s="2">
        <f t="shared" si="143"/>
        <v>43.43672711176</v>
      </c>
      <c r="I933" s="2">
        <f>INDEX('Wood Density Lookup'!$B$2:$B$152,MATCH(B933,'Wood Density Lookup'!$A$2:$A$152,0))</f>
        <v>0.75</v>
      </c>
      <c r="J933" s="2">
        <f t="shared" si="144"/>
        <v>1959.6069312756651</v>
      </c>
      <c r="K933" s="2">
        <f t="shared" si="148"/>
        <v>548.68994075718626</v>
      </c>
      <c r="L933" s="2">
        <f t="shared" si="149"/>
        <v>2508.2968720328513</v>
      </c>
      <c r="M933" s="2">
        <f t="shared" si="145"/>
        <v>1818.5152322238171</v>
      </c>
      <c r="N933" s="2">
        <f t="shared" si="146"/>
        <v>909.25761611190853</v>
      </c>
      <c r="O933" s="2">
        <f t="shared" si="147"/>
        <v>3336.9754511307042</v>
      </c>
      <c r="P933" s="2">
        <v>72.550567999999998</v>
      </c>
      <c r="Q933" s="2">
        <v>23.036601999999998</v>
      </c>
    </row>
    <row r="934" spans="1:17" x14ac:dyDescent="0.25">
      <c r="A934" s="2">
        <v>1082</v>
      </c>
      <c r="B934" s="2" t="s">
        <v>15</v>
      </c>
      <c r="C934" s="2">
        <v>26</v>
      </c>
      <c r="D934" s="2">
        <f t="shared" si="140"/>
        <v>66.040000000000006</v>
      </c>
      <c r="E934" s="2">
        <f t="shared" si="141"/>
        <v>21.02118488357754</v>
      </c>
      <c r="F934" s="2">
        <f t="shared" si="142"/>
        <v>8.2760570407785572</v>
      </c>
      <c r="G934" s="2">
        <v>8.6991720000000008</v>
      </c>
      <c r="H934" s="2">
        <f t="shared" si="143"/>
        <v>28.540591464480002</v>
      </c>
      <c r="I934" s="2">
        <f>INDEX('Wood Density Lookup'!$B$2:$B$152,MATCH(B934,'Wood Density Lookup'!$A$2:$A$152,0))</f>
        <v>0.75</v>
      </c>
      <c r="J934" s="2">
        <f t="shared" si="144"/>
        <v>160.26258504114867</v>
      </c>
      <c r="K934" s="2">
        <f t="shared" si="148"/>
        <v>44.873523811521629</v>
      </c>
      <c r="L934" s="2">
        <f t="shared" si="149"/>
        <v>205.1361088526703</v>
      </c>
      <c r="M934" s="2">
        <f t="shared" si="145"/>
        <v>148.72367891818595</v>
      </c>
      <c r="N934" s="2">
        <f t="shared" si="146"/>
        <v>74.361839459092977</v>
      </c>
      <c r="O934" s="2">
        <f t="shared" si="147"/>
        <v>272.90795081487124</v>
      </c>
      <c r="P934" s="2">
        <v>72.550578000000002</v>
      </c>
      <c r="Q934" s="2">
        <v>23.038152</v>
      </c>
    </row>
    <row r="935" spans="1:17" x14ac:dyDescent="0.25">
      <c r="A935" s="2">
        <v>1083</v>
      </c>
      <c r="B935" s="2" t="s">
        <v>134</v>
      </c>
      <c r="C935" s="2">
        <v>2</v>
      </c>
      <c r="D935" s="2">
        <f t="shared" si="140"/>
        <v>5.08</v>
      </c>
      <c r="E935" s="2">
        <f t="shared" si="141"/>
        <v>1.6170142218136567</v>
      </c>
      <c r="F935" s="2">
        <f t="shared" si="142"/>
        <v>0.63661977236758138</v>
      </c>
      <c r="G935" s="2">
        <v>6.4928809999999997</v>
      </c>
      <c r="H935" s="2">
        <f t="shared" si="143"/>
        <v>21.30210370004</v>
      </c>
      <c r="I935" s="2">
        <f>INDEX('Wood Density Lookup'!$B$2:$B$152,MATCH(B935,'Wood Density Lookup'!$A$2:$A$152,0))</f>
        <v>0.65</v>
      </c>
      <c r="J935" s="2">
        <f t="shared" si="144"/>
        <v>0.701078840703801</v>
      </c>
      <c r="K935" s="2">
        <f t="shared" si="148"/>
        <v>0.19630207539706429</v>
      </c>
      <c r="L935" s="2">
        <f t="shared" si="149"/>
        <v>0.89738091610086523</v>
      </c>
      <c r="M935" s="2">
        <f t="shared" si="145"/>
        <v>0.6506011641731273</v>
      </c>
      <c r="N935" s="2">
        <f t="shared" si="146"/>
        <v>0.32530058208656365</v>
      </c>
      <c r="O935" s="2">
        <f t="shared" si="147"/>
        <v>1.1938531362576885</v>
      </c>
      <c r="P935" s="2">
        <v>72.550590999999997</v>
      </c>
      <c r="Q935" s="2">
        <v>23.038371000000001</v>
      </c>
    </row>
    <row r="936" spans="1:17" x14ac:dyDescent="0.25">
      <c r="A936" s="2">
        <v>1084</v>
      </c>
      <c r="B936" s="2" t="s">
        <v>15</v>
      </c>
      <c r="C936" s="2">
        <v>43</v>
      </c>
      <c r="D936" s="2">
        <f t="shared" si="140"/>
        <v>109.22</v>
      </c>
      <c r="E936" s="2">
        <f t="shared" si="141"/>
        <v>34.765805768993616</v>
      </c>
      <c r="F936" s="2">
        <f t="shared" si="142"/>
        <v>13.687325105903</v>
      </c>
      <c r="G936" s="2">
        <v>11.432335</v>
      </c>
      <c r="H936" s="2">
        <f t="shared" si="143"/>
        <v>37.507661961400004</v>
      </c>
      <c r="I936" s="2">
        <f>INDEX('Wood Density Lookup'!$B$2:$B$152,MATCH(B936,'Wood Density Lookup'!$A$2:$A$152,0))</f>
        <v>0.75</v>
      </c>
      <c r="J936" s="2">
        <f t="shared" si="144"/>
        <v>558.65520487849415</v>
      </c>
      <c r="K936" s="2">
        <f t="shared" si="148"/>
        <v>156.42345736597838</v>
      </c>
      <c r="L936" s="2">
        <f t="shared" si="149"/>
        <v>715.07866224447253</v>
      </c>
      <c r="M936" s="2">
        <f t="shared" si="145"/>
        <v>518.43203012724257</v>
      </c>
      <c r="N936" s="2">
        <f t="shared" si="146"/>
        <v>259.21601506362128</v>
      </c>
      <c r="O936" s="2">
        <f t="shared" si="147"/>
        <v>951.32277528349005</v>
      </c>
      <c r="P936" s="2">
        <v>72.550590999999997</v>
      </c>
      <c r="Q936" s="2">
        <v>23.038762999999999</v>
      </c>
    </row>
    <row r="937" spans="1:17" x14ac:dyDescent="0.25">
      <c r="A937" s="2">
        <v>1085</v>
      </c>
      <c r="B937" s="2" t="s">
        <v>114</v>
      </c>
      <c r="C937" s="2">
        <v>7</v>
      </c>
      <c r="D937" s="2">
        <f t="shared" si="140"/>
        <v>17.78</v>
      </c>
      <c r="E937" s="2">
        <f t="shared" si="141"/>
        <v>5.6595497763477987</v>
      </c>
      <c r="F937" s="2">
        <f t="shared" si="142"/>
        <v>2.228169203286535</v>
      </c>
      <c r="G937" s="2">
        <v>2.2821479999999998</v>
      </c>
      <c r="H937" s="2">
        <f t="shared" si="143"/>
        <v>7.4873624443199995</v>
      </c>
      <c r="I937" s="2">
        <f>INDEX('Wood Density Lookup'!$B$2:$B$152,MATCH(B937,'Wood Density Lookup'!$A$2:$A$152,0))</f>
        <v>0.55000000000000004</v>
      </c>
      <c r="J937" s="2">
        <f t="shared" si="144"/>
        <v>2.4761835880221725</v>
      </c>
      <c r="K937" s="2">
        <f t="shared" si="148"/>
        <v>0.69333140464620835</v>
      </c>
      <c r="L937" s="2">
        <f t="shared" si="149"/>
        <v>3.1695149926683808</v>
      </c>
      <c r="M937" s="2">
        <f t="shared" si="145"/>
        <v>2.2978983696845758</v>
      </c>
      <c r="N937" s="2">
        <f t="shared" si="146"/>
        <v>1.1489491848422879</v>
      </c>
      <c r="O937" s="2">
        <f t="shared" si="147"/>
        <v>4.2166435083711962</v>
      </c>
      <c r="P937" s="2">
        <v>72.550590999999997</v>
      </c>
      <c r="Q937" s="2">
        <v>23.037831000000001</v>
      </c>
    </row>
    <row r="938" spans="1:17" x14ac:dyDescent="0.25">
      <c r="A938" s="2">
        <v>1086</v>
      </c>
      <c r="B938" s="2" t="s">
        <v>107</v>
      </c>
      <c r="C938" s="2">
        <v>56</v>
      </c>
      <c r="D938" s="2">
        <f t="shared" si="140"/>
        <v>142.24</v>
      </c>
      <c r="E938" s="2">
        <f t="shared" si="141"/>
        <v>45.276398210782389</v>
      </c>
      <c r="F938" s="2">
        <f t="shared" si="142"/>
        <v>17.82535362629228</v>
      </c>
      <c r="G938" s="2">
        <v>11.755115999999999</v>
      </c>
      <c r="H938" s="2">
        <f t="shared" si="143"/>
        <v>38.56665477744</v>
      </c>
      <c r="I938" s="2">
        <f>INDEX('Wood Density Lookup'!$B$2:$B$152,MATCH(B938,'Wood Density Lookup'!$A$2:$A$152,0))</f>
        <v>0.65</v>
      </c>
      <c r="J938" s="2">
        <f t="shared" si="144"/>
        <v>836.03000680941625</v>
      </c>
      <c r="K938" s="2">
        <f t="shared" si="148"/>
        <v>234.08840190663656</v>
      </c>
      <c r="L938" s="2">
        <f t="shared" si="149"/>
        <v>1070.1184087160527</v>
      </c>
      <c r="M938" s="2">
        <f t="shared" si="145"/>
        <v>775.83584631913823</v>
      </c>
      <c r="N938" s="2">
        <f t="shared" si="146"/>
        <v>387.91792315956911</v>
      </c>
      <c r="O938" s="2">
        <f t="shared" si="147"/>
        <v>1423.6587779956187</v>
      </c>
      <c r="P938" s="2">
        <v>72.550595000000001</v>
      </c>
      <c r="Q938" s="2">
        <v>23.038630000000001</v>
      </c>
    </row>
    <row r="939" spans="1:17" x14ac:dyDescent="0.25">
      <c r="A939" s="2">
        <v>1087</v>
      </c>
      <c r="B939" s="2" t="s">
        <v>15</v>
      </c>
      <c r="C939" s="2">
        <v>8</v>
      </c>
      <c r="D939" s="2">
        <f t="shared" si="140"/>
        <v>20.32</v>
      </c>
      <c r="E939" s="2">
        <f t="shared" si="141"/>
        <v>6.4680568872546269</v>
      </c>
      <c r="F939" s="2">
        <f t="shared" si="142"/>
        <v>2.5464790894703255</v>
      </c>
      <c r="G939" s="2">
        <v>3.1419090000000001</v>
      </c>
      <c r="H939" s="2">
        <f t="shared" si="143"/>
        <v>10.308100723560001</v>
      </c>
      <c r="I939" s="2">
        <f>INDEX('Wood Density Lookup'!$B$2:$B$152,MATCH(B939,'Wood Density Lookup'!$A$2:$A$152,0))</f>
        <v>0.75</v>
      </c>
      <c r="J939" s="2">
        <f t="shared" si="144"/>
        <v>5.9424608757681519</v>
      </c>
      <c r="K939" s="2">
        <f t="shared" si="148"/>
        <v>1.6638890452150827</v>
      </c>
      <c r="L939" s="2">
        <f t="shared" si="149"/>
        <v>7.6063499209832344</v>
      </c>
      <c r="M939" s="2">
        <f t="shared" si="145"/>
        <v>5.5146036927128446</v>
      </c>
      <c r="N939" s="2">
        <f t="shared" si="146"/>
        <v>2.7573018463564223</v>
      </c>
      <c r="O939" s="2">
        <f t="shared" si="147"/>
        <v>10.11929777612807</v>
      </c>
      <c r="P939" s="2">
        <v>72.550600000000003</v>
      </c>
      <c r="Q939" s="2">
        <v>23.036092</v>
      </c>
    </row>
    <row r="940" spans="1:17" x14ac:dyDescent="0.25">
      <c r="A940" s="2">
        <v>1088</v>
      </c>
      <c r="B940" s="2" t="s">
        <v>107</v>
      </c>
      <c r="C940" s="2">
        <v>28</v>
      </c>
      <c r="D940" s="2">
        <f t="shared" si="140"/>
        <v>71.12</v>
      </c>
      <c r="E940" s="2">
        <f t="shared" si="141"/>
        <v>22.638199105391195</v>
      </c>
      <c r="F940" s="2">
        <f t="shared" si="142"/>
        <v>8.91267681314614</v>
      </c>
      <c r="G940" s="2">
        <v>8.5285449999999994</v>
      </c>
      <c r="H940" s="2">
        <f t="shared" si="143"/>
        <v>27.980791577799998</v>
      </c>
      <c r="I940" s="2">
        <f>INDEX('Wood Density Lookup'!$B$2:$B$152,MATCH(B940,'Wood Density Lookup'!$A$2:$A$152,0))</f>
        <v>0.65</v>
      </c>
      <c r="J940" s="2">
        <f t="shared" si="144"/>
        <v>157.98061038094448</v>
      </c>
      <c r="K940" s="2">
        <f t="shared" si="148"/>
        <v>44.234570906664459</v>
      </c>
      <c r="L940" s="2">
        <f t="shared" si="149"/>
        <v>202.21518128760894</v>
      </c>
      <c r="M940" s="2">
        <f t="shared" si="145"/>
        <v>146.60600643351648</v>
      </c>
      <c r="N940" s="2">
        <f t="shared" si="146"/>
        <v>73.303003216758242</v>
      </c>
      <c r="O940" s="2">
        <f t="shared" si="147"/>
        <v>269.02202180550273</v>
      </c>
      <c r="P940" s="2">
        <v>72.550601999999998</v>
      </c>
      <c r="Q940" s="2">
        <v>23.038302000000002</v>
      </c>
    </row>
    <row r="941" spans="1:17" x14ac:dyDescent="0.25">
      <c r="A941" s="2">
        <v>1089</v>
      </c>
      <c r="B941" s="2" t="s">
        <v>15</v>
      </c>
      <c r="C941" s="2">
        <v>8</v>
      </c>
      <c r="D941" s="2">
        <f t="shared" si="140"/>
        <v>20.32</v>
      </c>
      <c r="E941" s="2">
        <f t="shared" si="141"/>
        <v>6.4680568872546269</v>
      </c>
      <c r="F941" s="2">
        <f t="shared" si="142"/>
        <v>2.5464790894703255</v>
      </c>
      <c r="G941" s="2">
        <v>3.9437700000000002</v>
      </c>
      <c r="H941" s="2">
        <f t="shared" si="143"/>
        <v>12.938878366800001</v>
      </c>
      <c r="I941" s="2">
        <f>INDEX('Wood Density Lookup'!$B$2:$B$152,MATCH(B941,'Wood Density Lookup'!$A$2:$A$152,0))</f>
        <v>0.75</v>
      </c>
      <c r="J941" s="2">
        <f t="shared" si="144"/>
        <v>7.4184824972761216</v>
      </c>
      <c r="K941" s="2">
        <f t="shared" si="148"/>
        <v>2.0771750992373144</v>
      </c>
      <c r="L941" s="2">
        <f t="shared" si="149"/>
        <v>9.4956575965134355</v>
      </c>
      <c r="M941" s="2">
        <f t="shared" si="145"/>
        <v>6.8843517574722402</v>
      </c>
      <c r="N941" s="2">
        <f t="shared" si="146"/>
        <v>3.4421758787361201</v>
      </c>
      <c r="O941" s="2">
        <f t="shared" si="147"/>
        <v>12.63278547496156</v>
      </c>
      <c r="P941" s="2">
        <v>72.550606000000002</v>
      </c>
      <c r="Q941" s="2">
        <v>23.035926</v>
      </c>
    </row>
    <row r="942" spans="1:17" x14ac:dyDescent="0.25">
      <c r="A942" s="2">
        <v>1090</v>
      </c>
      <c r="B942" s="2" t="s">
        <v>114</v>
      </c>
      <c r="C942" s="2">
        <v>17</v>
      </c>
      <c r="D942" s="2">
        <f t="shared" si="140"/>
        <v>43.18</v>
      </c>
      <c r="E942" s="2">
        <f t="shared" si="141"/>
        <v>13.744620885416081</v>
      </c>
      <c r="F942" s="2">
        <f t="shared" si="142"/>
        <v>5.4112680651244416</v>
      </c>
      <c r="G942" s="2">
        <v>11.3154</v>
      </c>
      <c r="H942" s="2">
        <f t="shared" si="143"/>
        <v>37.124016936000004</v>
      </c>
      <c r="I942" s="2">
        <f>INDEX('Wood Density Lookup'!$B$2:$B$152,MATCH(B942,'Wood Density Lookup'!$A$2:$A$152,0))</f>
        <v>0.55000000000000004</v>
      </c>
      <c r="J942" s="2">
        <f t="shared" si="144"/>
        <v>66.776867133635179</v>
      </c>
      <c r="K942" s="2">
        <f t="shared" si="148"/>
        <v>18.69752279741785</v>
      </c>
      <c r="L942" s="2">
        <f t="shared" si="149"/>
        <v>85.474389931053025</v>
      </c>
      <c r="M942" s="2">
        <f t="shared" si="145"/>
        <v>61.96893270001344</v>
      </c>
      <c r="N942" s="2">
        <f t="shared" si="146"/>
        <v>30.98446635000672</v>
      </c>
      <c r="O942" s="2">
        <f t="shared" si="147"/>
        <v>113.71299150452467</v>
      </c>
      <c r="P942" s="2">
        <v>72.550607999999997</v>
      </c>
      <c r="Q942" s="2">
        <v>23.036619999999999</v>
      </c>
    </row>
    <row r="943" spans="1:17" x14ac:dyDescent="0.25">
      <c r="A943" s="2">
        <v>1091</v>
      </c>
      <c r="B943" s="2" t="s">
        <v>15</v>
      </c>
      <c r="C943" s="2">
        <v>21</v>
      </c>
      <c r="D943" s="2">
        <f t="shared" si="140"/>
        <v>53.34</v>
      </c>
      <c r="E943" s="2">
        <f t="shared" si="141"/>
        <v>16.978649329043396</v>
      </c>
      <c r="F943" s="2">
        <f t="shared" si="142"/>
        <v>6.6845076098596046</v>
      </c>
      <c r="G943" s="2">
        <v>6.0843600000000002</v>
      </c>
      <c r="H943" s="2">
        <f t="shared" si="143"/>
        <v>19.961811662399999</v>
      </c>
      <c r="I943" s="2">
        <f>INDEX('Wood Density Lookup'!$B$2:$B$152,MATCH(B943,'Wood Density Lookup'!$A$2:$A$152,0))</f>
        <v>0.75</v>
      </c>
      <c r="J943" s="2">
        <f t="shared" si="144"/>
        <v>74.514283330592349</v>
      </c>
      <c r="K943" s="2">
        <f t="shared" si="148"/>
        <v>20.863999332565861</v>
      </c>
      <c r="L943" s="2">
        <f t="shared" si="149"/>
        <v>95.378282663158217</v>
      </c>
      <c r="M943" s="2">
        <f t="shared" si="145"/>
        <v>69.149254930789709</v>
      </c>
      <c r="N943" s="2">
        <f t="shared" si="146"/>
        <v>34.574627465394855</v>
      </c>
      <c r="O943" s="2">
        <f t="shared" si="147"/>
        <v>126.88888279799912</v>
      </c>
      <c r="P943" s="2">
        <v>72.550610000000006</v>
      </c>
      <c r="Q943" s="2">
        <v>23.038526999999998</v>
      </c>
    </row>
    <row r="944" spans="1:17" x14ac:dyDescent="0.25">
      <c r="A944" s="2">
        <v>1092</v>
      </c>
      <c r="B944" s="2" t="s">
        <v>134</v>
      </c>
      <c r="C944" s="2">
        <v>26</v>
      </c>
      <c r="D944" s="2">
        <f t="shared" si="140"/>
        <v>66.040000000000006</v>
      </c>
      <c r="E944" s="2">
        <f t="shared" si="141"/>
        <v>21.02118488357754</v>
      </c>
      <c r="F944" s="2">
        <f t="shared" si="142"/>
        <v>8.2760570407785572</v>
      </c>
      <c r="G944" s="2">
        <v>7.4925090000000001</v>
      </c>
      <c r="H944" s="2">
        <f t="shared" si="143"/>
        <v>24.581723227560001</v>
      </c>
      <c r="I944" s="2">
        <f>INDEX('Wood Density Lookup'!$B$2:$B$152,MATCH(B944,'Wood Density Lookup'!$A$2:$A$152,0))</f>
        <v>0.65</v>
      </c>
      <c r="J944" s="2">
        <f t="shared" si="144"/>
        <v>120.47073433799221</v>
      </c>
      <c r="K944" s="2">
        <f t="shared" si="148"/>
        <v>33.731805614637821</v>
      </c>
      <c r="L944" s="2">
        <f t="shared" si="149"/>
        <v>154.20253995263005</v>
      </c>
      <c r="M944" s="2">
        <f t="shared" si="145"/>
        <v>111.79684146565678</v>
      </c>
      <c r="N944" s="2">
        <f t="shared" si="146"/>
        <v>55.898420732828392</v>
      </c>
      <c r="O944" s="2">
        <f t="shared" si="147"/>
        <v>205.1472040894802</v>
      </c>
      <c r="P944" s="2">
        <v>72.550612999999998</v>
      </c>
      <c r="Q944" s="2">
        <v>23.038373</v>
      </c>
    </row>
    <row r="945" spans="1:17" x14ac:dyDescent="0.25">
      <c r="A945" s="2">
        <v>1093</v>
      </c>
      <c r="B945" s="2" t="s">
        <v>107</v>
      </c>
      <c r="C945" s="2">
        <v>32</v>
      </c>
      <c r="D945" s="2">
        <f t="shared" si="140"/>
        <v>81.28</v>
      </c>
      <c r="E945" s="2">
        <f t="shared" si="141"/>
        <v>25.872227549018508</v>
      </c>
      <c r="F945" s="2">
        <f t="shared" si="142"/>
        <v>10.185916357881302</v>
      </c>
      <c r="G945" s="2">
        <v>7.1957180000000003</v>
      </c>
      <c r="H945" s="2">
        <f t="shared" si="143"/>
        <v>23.607999443120001</v>
      </c>
      <c r="I945" s="2">
        <f>INDEX('Wood Density Lookup'!$B$2:$B$152,MATCH(B945,'Wood Density Lookup'!$A$2:$A$152,0))</f>
        <v>0.65</v>
      </c>
      <c r="J945" s="2">
        <f t="shared" si="144"/>
        <v>173.68986479837685</v>
      </c>
      <c r="K945" s="2">
        <f t="shared" si="148"/>
        <v>48.633162143545519</v>
      </c>
      <c r="L945" s="2">
        <f t="shared" si="149"/>
        <v>222.32302694192236</v>
      </c>
      <c r="M945" s="2">
        <f t="shared" si="145"/>
        <v>161.18419453289371</v>
      </c>
      <c r="N945" s="2">
        <f t="shared" si="146"/>
        <v>80.592097266446856</v>
      </c>
      <c r="O945" s="2">
        <f t="shared" si="147"/>
        <v>295.77299696785997</v>
      </c>
      <c r="P945" s="2">
        <v>72.550616000000005</v>
      </c>
      <c r="Q945" s="2">
        <v>23.037678</v>
      </c>
    </row>
    <row r="946" spans="1:17" x14ac:dyDescent="0.25">
      <c r="A946" s="2">
        <v>1094</v>
      </c>
      <c r="B946" s="2" t="s">
        <v>15</v>
      </c>
      <c r="C946" s="2">
        <v>56</v>
      </c>
      <c r="D946" s="2">
        <f t="shared" si="140"/>
        <v>142.24</v>
      </c>
      <c r="E946" s="2">
        <f t="shared" si="141"/>
        <v>45.276398210782389</v>
      </c>
      <c r="F946" s="2">
        <f t="shared" si="142"/>
        <v>17.82535362629228</v>
      </c>
      <c r="G946" s="2">
        <v>8.7242899999999999</v>
      </c>
      <c r="H946" s="2">
        <f t="shared" si="143"/>
        <v>28.6229996036</v>
      </c>
      <c r="I946" s="2">
        <f>INDEX('Wood Density Lookup'!$B$2:$B$152,MATCH(B946,'Wood Density Lookup'!$A$2:$A$152,0))</f>
        <v>0.75</v>
      </c>
      <c r="J946" s="2">
        <f t="shared" si="144"/>
        <v>718.60348727201233</v>
      </c>
      <c r="K946" s="2">
        <f t="shared" si="148"/>
        <v>201.20897643616348</v>
      </c>
      <c r="L946" s="2">
        <f t="shared" si="149"/>
        <v>919.81246370817576</v>
      </c>
      <c r="M946" s="2">
        <f t="shared" si="145"/>
        <v>666.86403618842735</v>
      </c>
      <c r="N946" s="2">
        <f t="shared" si="146"/>
        <v>333.43201809421367</v>
      </c>
      <c r="O946" s="2">
        <f t="shared" si="147"/>
        <v>1223.6955064057643</v>
      </c>
      <c r="P946" s="2">
        <v>72.550617000000003</v>
      </c>
      <c r="Q946" s="2">
        <v>23.038684</v>
      </c>
    </row>
    <row r="947" spans="1:17" x14ac:dyDescent="0.25">
      <c r="A947" s="2">
        <v>1095</v>
      </c>
      <c r="B947" s="2" t="s">
        <v>107</v>
      </c>
      <c r="C947" s="2">
        <v>33</v>
      </c>
      <c r="D947" s="2">
        <f t="shared" si="140"/>
        <v>83.820000000000007</v>
      </c>
      <c r="E947" s="2">
        <f t="shared" si="141"/>
        <v>26.680734659925339</v>
      </c>
      <c r="F947" s="2">
        <f t="shared" si="142"/>
        <v>10.504226244065093</v>
      </c>
      <c r="G947" s="2">
        <v>9.6019509999999997</v>
      </c>
      <c r="H947" s="2">
        <f t="shared" si="143"/>
        <v>31.502464918839998</v>
      </c>
      <c r="I947" s="2">
        <f>INDEX('Wood Density Lookup'!$B$2:$B$152,MATCH(B947,'Wood Density Lookup'!$A$2:$A$152,0))</f>
        <v>0.65</v>
      </c>
      <c r="J947" s="2">
        <f t="shared" si="144"/>
        <v>244.42151520162844</v>
      </c>
      <c r="K947" s="2">
        <f t="shared" si="148"/>
        <v>68.438024256455975</v>
      </c>
      <c r="L947" s="2">
        <f t="shared" si="149"/>
        <v>312.85953945808444</v>
      </c>
      <c r="M947" s="2">
        <f t="shared" si="145"/>
        <v>226.82316610711121</v>
      </c>
      <c r="N947" s="2">
        <f t="shared" si="146"/>
        <v>113.4115830535556</v>
      </c>
      <c r="O947" s="2">
        <f t="shared" si="147"/>
        <v>416.22050980654905</v>
      </c>
      <c r="P947" s="2">
        <v>72.550618</v>
      </c>
      <c r="Q947" s="2">
        <v>23.037513000000001</v>
      </c>
    </row>
    <row r="948" spans="1:17" x14ac:dyDescent="0.25">
      <c r="A948" s="2">
        <v>1096</v>
      </c>
      <c r="B948" s="2" t="s">
        <v>48</v>
      </c>
      <c r="C948" s="2">
        <v>9</v>
      </c>
      <c r="D948" s="2">
        <f t="shared" si="140"/>
        <v>22.86</v>
      </c>
      <c r="E948" s="2">
        <f t="shared" si="141"/>
        <v>7.2765639981614552</v>
      </c>
      <c r="F948" s="2">
        <f t="shared" si="142"/>
        <v>2.8647889756541161</v>
      </c>
      <c r="G948" s="2">
        <v>1.542578</v>
      </c>
      <c r="H948" s="2">
        <f t="shared" si="143"/>
        <v>5.0609516055199997</v>
      </c>
      <c r="I948" s="2">
        <f>INDEX('Wood Density Lookup'!$B$2:$B$152,MATCH(B948,'Wood Density Lookup'!$A$2:$A$152,0))</f>
        <v>0.5</v>
      </c>
      <c r="J948" s="2">
        <f t="shared" si="144"/>
        <v>2.5143123712866906</v>
      </c>
      <c r="K948" s="2">
        <f t="shared" si="148"/>
        <v>0.70400746396027347</v>
      </c>
      <c r="L948" s="2">
        <f t="shared" si="149"/>
        <v>3.2183198352469642</v>
      </c>
      <c r="M948" s="2">
        <f t="shared" si="145"/>
        <v>2.3332818805540492</v>
      </c>
      <c r="N948" s="2">
        <f t="shared" si="146"/>
        <v>1.1666409402770246</v>
      </c>
      <c r="O948" s="2">
        <f t="shared" si="147"/>
        <v>4.28157225081668</v>
      </c>
      <c r="P948" s="2">
        <v>72.550623000000002</v>
      </c>
      <c r="Q948" s="2">
        <v>23.037997000000001</v>
      </c>
    </row>
    <row r="949" spans="1:17" x14ac:dyDescent="0.25">
      <c r="A949" s="2">
        <v>1097</v>
      </c>
      <c r="B949" s="2" t="s">
        <v>134</v>
      </c>
      <c r="C949" s="2">
        <v>25</v>
      </c>
      <c r="D949" s="2">
        <f t="shared" si="140"/>
        <v>63.5</v>
      </c>
      <c r="E949" s="2">
        <f t="shared" si="141"/>
        <v>20.212677772670709</v>
      </c>
      <c r="F949" s="2">
        <f t="shared" si="142"/>
        <v>7.9577471545947667</v>
      </c>
      <c r="G949" s="2">
        <v>8.1307740000000006</v>
      </c>
      <c r="H949" s="2">
        <f t="shared" si="143"/>
        <v>26.675768570160002</v>
      </c>
      <c r="I949" s="2">
        <f>INDEX('Wood Density Lookup'!$B$2:$B$152,MATCH(B949,'Wood Density Lookup'!$A$2:$A$152,0))</f>
        <v>0.65</v>
      </c>
      <c r="J949" s="2">
        <f t="shared" si="144"/>
        <v>120.86066652270932</v>
      </c>
      <c r="K949" s="2">
        <f t="shared" si="148"/>
        <v>33.840986626358614</v>
      </c>
      <c r="L949" s="2">
        <f t="shared" si="149"/>
        <v>154.70165314906794</v>
      </c>
      <c r="M949" s="2">
        <f t="shared" si="145"/>
        <v>112.15869853307426</v>
      </c>
      <c r="N949" s="2">
        <f t="shared" si="146"/>
        <v>56.079349266537129</v>
      </c>
      <c r="O949" s="2">
        <f t="shared" si="147"/>
        <v>205.81121180819125</v>
      </c>
      <c r="P949" s="2">
        <v>72.550624999999997</v>
      </c>
      <c r="Q949" s="2">
        <v>23.038488999999998</v>
      </c>
    </row>
    <row r="950" spans="1:17" x14ac:dyDescent="0.25">
      <c r="A950" s="2">
        <v>1098</v>
      </c>
      <c r="B950" s="2" t="s">
        <v>3</v>
      </c>
      <c r="C950" s="2">
        <v>54</v>
      </c>
      <c r="D950" s="2">
        <f t="shared" si="140"/>
        <v>137.16</v>
      </c>
      <c r="E950" s="2">
        <f t="shared" si="141"/>
        <v>43.659383988968727</v>
      </c>
      <c r="F950" s="2">
        <f t="shared" si="142"/>
        <v>17.188733853924695</v>
      </c>
      <c r="G950" s="2">
        <v>9.6765360000000005</v>
      </c>
      <c r="H950" s="2">
        <f t="shared" si="143"/>
        <v>31.747166370240002</v>
      </c>
      <c r="I950" s="2">
        <f>INDEX('Wood Density Lookup'!$B$2:$B$152,MATCH(B950,'Wood Density Lookup'!$A$2:$A$152,0))</f>
        <v>0.62</v>
      </c>
      <c r="J950" s="2">
        <f t="shared" si="144"/>
        <v>615.0118366309573</v>
      </c>
      <c r="K950" s="2">
        <f t="shared" si="148"/>
        <v>172.20331425666805</v>
      </c>
      <c r="L950" s="2">
        <f t="shared" si="149"/>
        <v>787.21515088762533</v>
      </c>
      <c r="M950" s="2">
        <f t="shared" si="145"/>
        <v>570.73098439352839</v>
      </c>
      <c r="N950" s="2">
        <f t="shared" si="146"/>
        <v>285.36549219676419</v>
      </c>
      <c r="O950" s="2">
        <f t="shared" si="147"/>
        <v>1047.2913563621246</v>
      </c>
      <c r="P950" s="2">
        <v>72.550625999999994</v>
      </c>
      <c r="Q950" s="2">
        <v>23.038450000000001</v>
      </c>
    </row>
    <row r="951" spans="1:17" x14ac:dyDescent="0.25">
      <c r="A951" s="2">
        <v>1099</v>
      </c>
      <c r="B951" s="2" t="s">
        <v>150</v>
      </c>
      <c r="C951" s="2">
        <v>4</v>
      </c>
      <c r="D951" s="2">
        <f t="shared" si="140"/>
        <v>10.16</v>
      </c>
      <c r="E951" s="2">
        <f t="shared" si="141"/>
        <v>3.2340284436273135</v>
      </c>
      <c r="F951" s="2">
        <f t="shared" si="142"/>
        <v>1.2732395447351628</v>
      </c>
      <c r="G951" s="2">
        <v>2.5857779999999999</v>
      </c>
      <c r="H951" s="2">
        <f t="shared" si="143"/>
        <v>8.4835238935199992</v>
      </c>
      <c r="I951" s="2">
        <f>INDEX('Wood Density Lookup'!$B$2:$B$152,MATCH(B951,'Wood Density Lookup'!$A$2:$A$152,0))</f>
        <v>0.65</v>
      </c>
      <c r="J951" s="2">
        <f t="shared" si="144"/>
        <v>1.1044028359588411</v>
      </c>
      <c r="K951" s="2">
        <f t="shared" si="148"/>
        <v>0.30923279406847554</v>
      </c>
      <c r="L951" s="2">
        <f t="shared" si="149"/>
        <v>1.4136356300273167</v>
      </c>
      <c r="M951" s="2">
        <f t="shared" si="145"/>
        <v>1.0248858317698046</v>
      </c>
      <c r="N951" s="2">
        <f t="shared" si="146"/>
        <v>0.51244291588490232</v>
      </c>
      <c r="O951" s="2">
        <f t="shared" si="147"/>
        <v>1.8806655012975915</v>
      </c>
      <c r="P951" s="2">
        <v>72.550629000000001</v>
      </c>
      <c r="Q951" s="2">
        <v>23.03783</v>
      </c>
    </row>
    <row r="952" spans="1:17" x14ac:dyDescent="0.25">
      <c r="A952" s="2">
        <v>1100</v>
      </c>
      <c r="B952" s="2" t="s">
        <v>62</v>
      </c>
      <c r="C952" s="2">
        <v>4</v>
      </c>
      <c r="D952" s="2">
        <f t="shared" si="140"/>
        <v>10.16</v>
      </c>
      <c r="E952" s="2">
        <f t="shared" si="141"/>
        <v>3.2340284436273135</v>
      </c>
      <c r="F952" s="2">
        <f t="shared" si="142"/>
        <v>1.2732395447351628</v>
      </c>
      <c r="G952" s="2">
        <v>3.6041349999999999</v>
      </c>
      <c r="H952" s="2">
        <f t="shared" si="143"/>
        <v>11.8245902734</v>
      </c>
      <c r="I952" s="2">
        <f>INDEX('Wood Density Lookup'!$B$2:$B$152,MATCH(B952,'Wood Density Lookup'!$A$2:$A$152,0))</f>
        <v>0.47</v>
      </c>
      <c r="J952" s="2">
        <f t="shared" si="144"/>
        <v>1.1128595697466086</v>
      </c>
      <c r="K952" s="2">
        <f t="shared" si="148"/>
        <v>0.31160067952905046</v>
      </c>
      <c r="L952" s="2">
        <f t="shared" si="149"/>
        <v>1.4244602492756591</v>
      </c>
      <c r="M952" s="2">
        <f t="shared" si="145"/>
        <v>1.0327336807248528</v>
      </c>
      <c r="N952" s="2">
        <f t="shared" si="146"/>
        <v>0.51636684036242642</v>
      </c>
      <c r="O952" s="2">
        <f t="shared" si="147"/>
        <v>1.895066304130105</v>
      </c>
      <c r="P952" s="2">
        <v>72.550635</v>
      </c>
      <c r="Q952" s="2">
        <v>23.036106</v>
      </c>
    </row>
    <row r="953" spans="1:17" x14ac:dyDescent="0.25">
      <c r="A953" s="2">
        <v>1101</v>
      </c>
      <c r="B953" s="2" t="s">
        <v>15</v>
      </c>
      <c r="C953" s="2">
        <v>98</v>
      </c>
      <c r="D953" s="2">
        <f t="shared" si="140"/>
        <v>248.92000000000002</v>
      </c>
      <c r="E953" s="2">
        <f t="shared" si="141"/>
        <v>79.233696868869188</v>
      </c>
      <c r="F953" s="2">
        <f t="shared" si="142"/>
        <v>31.194368846011486</v>
      </c>
      <c r="G953" s="2">
        <v>14.581329999999999</v>
      </c>
      <c r="H953" s="2">
        <f t="shared" si="143"/>
        <v>47.839010717199997</v>
      </c>
      <c r="I953" s="2">
        <f>INDEX('Wood Density Lookup'!$B$2:$B$152,MATCH(B953,'Wood Density Lookup'!$A$2:$A$152,0))</f>
        <v>0.75</v>
      </c>
      <c r="J953" s="2">
        <f t="shared" si="144"/>
        <v>3536.8205716238026</v>
      </c>
      <c r="K953" s="2">
        <f t="shared" si="148"/>
        <v>990.30976005466482</v>
      </c>
      <c r="L953" s="2">
        <f t="shared" si="149"/>
        <v>4527.130331678467</v>
      </c>
      <c r="M953" s="2">
        <f t="shared" si="145"/>
        <v>3282.1694904668884</v>
      </c>
      <c r="N953" s="2">
        <f t="shared" si="146"/>
        <v>1641.0847452334442</v>
      </c>
      <c r="O953" s="2">
        <f t="shared" si="147"/>
        <v>6022.7810150067398</v>
      </c>
      <c r="P953" s="2">
        <v>72.550638000000006</v>
      </c>
      <c r="Q953" s="2">
        <v>23.036369000000001</v>
      </c>
    </row>
    <row r="954" spans="1:17" x14ac:dyDescent="0.25">
      <c r="A954" s="2">
        <v>1102</v>
      </c>
      <c r="B954" s="2" t="s">
        <v>15</v>
      </c>
      <c r="C954" s="2">
        <v>26</v>
      </c>
      <c r="D954" s="2">
        <f t="shared" si="140"/>
        <v>66.040000000000006</v>
      </c>
      <c r="E954" s="2">
        <f t="shared" si="141"/>
        <v>21.02118488357754</v>
      </c>
      <c r="F954" s="2">
        <f t="shared" si="142"/>
        <v>8.2760570407785572</v>
      </c>
      <c r="G954" s="2">
        <v>7.0702129999999999</v>
      </c>
      <c r="H954" s="2">
        <f t="shared" si="143"/>
        <v>23.196237618919998</v>
      </c>
      <c r="I954" s="2">
        <f>INDEX('Wood Density Lookup'!$B$2:$B$152,MATCH(B954,'Wood Density Lookup'!$A$2:$A$152,0))</f>
        <v>0.75</v>
      </c>
      <c r="J954" s="2">
        <f t="shared" si="144"/>
        <v>130.90246165551957</v>
      </c>
      <c r="K954" s="2">
        <f t="shared" si="148"/>
        <v>36.652689263545483</v>
      </c>
      <c r="L954" s="2">
        <f t="shared" si="149"/>
        <v>167.55515091906506</v>
      </c>
      <c r="M954" s="2">
        <f t="shared" si="145"/>
        <v>121.47748441632216</v>
      </c>
      <c r="N954" s="2">
        <f t="shared" si="146"/>
        <v>60.738742208161078</v>
      </c>
      <c r="O954" s="2">
        <f t="shared" si="147"/>
        <v>222.91118390395116</v>
      </c>
      <c r="P954" s="2">
        <v>72.550641999999996</v>
      </c>
      <c r="Q954" s="2">
        <v>23.038153000000001</v>
      </c>
    </row>
    <row r="955" spans="1:17" x14ac:dyDescent="0.25">
      <c r="A955" s="2">
        <v>1103</v>
      </c>
      <c r="B955" s="2" t="s">
        <v>34</v>
      </c>
      <c r="C955" s="2">
        <v>17</v>
      </c>
      <c r="D955" s="2">
        <f t="shared" si="140"/>
        <v>43.18</v>
      </c>
      <c r="E955" s="2">
        <f t="shared" si="141"/>
        <v>13.744620885416081</v>
      </c>
      <c r="F955" s="2">
        <f t="shared" si="142"/>
        <v>5.4112680651244416</v>
      </c>
      <c r="G955" s="2">
        <v>7.5045080000000004</v>
      </c>
      <c r="H955" s="2">
        <f t="shared" si="143"/>
        <v>24.621090026720001</v>
      </c>
      <c r="I955" s="2">
        <f>INDEX('Wood Density Lookup'!$B$2:$B$152,MATCH(B955,'Wood Density Lookup'!$A$2:$A$152,0))</f>
        <v>0.6</v>
      </c>
      <c r="J955" s="2">
        <f t="shared" si="144"/>
        <v>48.690062720102802</v>
      </c>
      <c r="K955" s="2">
        <f t="shared" si="148"/>
        <v>13.633217561628786</v>
      </c>
      <c r="L955" s="2">
        <f t="shared" si="149"/>
        <v>62.323280281731584</v>
      </c>
      <c r="M955" s="2">
        <f t="shared" si="145"/>
        <v>45.184378204255395</v>
      </c>
      <c r="N955" s="2">
        <f t="shared" si="146"/>
        <v>22.592189102127698</v>
      </c>
      <c r="O955" s="2">
        <f t="shared" si="147"/>
        <v>82.913334004808647</v>
      </c>
      <c r="P955" s="2">
        <v>72.550652999999997</v>
      </c>
      <c r="Q955" s="2">
        <v>23.037514999999999</v>
      </c>
    </row>
    <row r="956" spans="1:17" x14ac:dyDescent="0.25">
      <c r="A956" s="2">
        <v>1104</v>
      </c>
      <c r="B956" s="2" t="s">
        <v>3</v>
      </c>
      <c r="C956" s="2">
        <v>23</v>
      </c>
      <c r="D956" s="2">
        <f t="shared" si="140"/>
        <v>58.42</v>
      </c>
      <c r="E956" s="2">
        <f t="shared" si="141"/>
        <v>18.595663550857051</v>
      </c>
      <c r="F956" s="2">
        <f t="shared" si="142"/>
        <v>7.3211273822271856</v>
      </c>
      <c r="G956" s="2">
        <v>6.1832710000000004</v>
      </c>
      <c r="H956" s="2">
        <f t="shared" si="143"/>
        <v>20.286322827640003</v>
      </c>
      <c r="I956" s="2">
        <f>INDEX('Wood Density Lookup'!$B$2:$B$152,MATCH(B956,'Wood Density Lookup'!$A$2:$A$152,0))</f>
        <v>0.62</v>
      </c>
      <c r="J956" s="2">
        <f t="shared" si="144"/>
        <v>75.07753322117631</v>
      </c>
      <c r="K956" s="2">
        <f t="shared" si="148"/>
        <v>21.02170930192937</v>
      </c>
      <c r="L956" s="2">
        <f t="shared" si="149"/>
        <v>96.099242523105687</v>
      </c>
      <c r="M956" s="2">
        <f t="shared" si="145"/>
        <v>69.671950829251614</v>
      </c>
      <c r="N956" s="2">
        <f t="shared" si="146"/>
        <v>34.835975414625807</v>
      </c>
      <c r="O956" s="2">
        <f t="shared" si="147"/>
        <v>127.84802977167671</v>
      </c>
      <c r="P956" s="2">
        <v>72.550659999999993</v>
      </c>
      <c r="Q956" s="2">
        <v>23.038754999999998</v>
      </c>
    </row>
    <row r="957" spans="1:17" x14ac:dyDescent="0.25">
      <c r="A957" s="2">
        <v>1105</v>
      </c>
      <c r="B957" s="2" t="s">
        <v>150</v>
      </c>
      <c r="C957" s="2">
        <v>4</v>
      </c>
      <c r="D957" s="2">
        <f t="shared" si="140"/>
        <v>10.16</v>
      </c>
      <c r="E957" s="2">
        <f t="shared" si="141"/>
        <v>3.2340284436273135</v>
      </c>
      <c r="F957" s="2">
        <f t="shared" si="142"/>
        <v>1.2732395447351628</v>
      </c>
      <c r="G957" s="2">
        <v>2.5276610000000002</v>
      </c>
      <c r="H957" s="2">
        <f t="shared" si="143"/>
        <v>8.2928513152400001</v>
      </c>
      <c r="I957" s="2">
        <f>INDEX('Wood Density Lookup'!$B$2:$B$152,MATCH(B957,'Wood Density Lookup'!$A$2:$A$152,0))</f>
        <v>0.65</v>
      </c>
      <c r="J957" s="2">
        <f t="shared" si="144"/>
        <v>1.0801698289402353</v>
      </c>
      <c r="K957" s="2">
        <f t="shared" si="148"/>
        <v>0.3024475521032659</v>
      </c>
      <c r="L957" s="2">
        <f t="shared" si="149"/>
        <v>1.3826173810435012</v>
      </c>
      <c r="M957" s="2">
        <f t="shared" si="145"/>
        <v>1.0023976012565383</v>
      </c>
      <c r="N957" s="2">
        <f t="shared" si="146"/>
        <v>0.50119880062826916</v>
      </c>
      <c r="O957" s="2">
        <f t="shared" si="147"/>
        <v>1.8393995983057478</v>
      </c>
      <c r="P957" s="2">
        <v>72.550664999999995</v>
      </c>
      <c r="Q957" s="2">
        <v>23.037989</v>
      </c>
    </row>
    <row r="958" spans="1:17" x14ac:dyDescent="0.25">
      <c r="A958" s="2">
        <v>1106</v>
      </c>
      <c r="B958" s="2" t="s">
        <v>135</v>
      </c>
      <c r="C958" s="2">
        <v>4</v>
      </c>
      <c r="D958" s="2">
        <f t="shared" si="140"/>
        <v>10.16</v>
      </c>
      <c r="E958" s="2">
        <f t="shared" si="141"/>
        <v>3.2340284436273135</v>
      </c>
      <c r="F958" s="2">
        <f t="shared" si="142"/>
        <v>1.2732395447351628</v>
      </c>
      <c r="G958" s="2">
        <v>1.623151</v>
      </c>
      <c r="H958" s="2">
        <f t="shared" si="143"/>
        <v>5.3252987268399998</v>
      </c>
      <c r="I958" s="2">
        <f>INDEX('Wood Density Lookup'!$B$2:$B$152,MATCH(B958,'Wood Density Lookup'!$A$2:$A$152,0))</f>
        <v>0.8</v>
      </c>
      <c r="J958" s="2">
        <f t="shared" si="144"/>
        <v>0.85854125208469478</v>
      </c>
      <c r="K958" s="2">
        <f t="shared" si="148"/>
        <v>0.24039155058371456</v>
      </c>
      <c r="L958" s="2">
        <f t="shared" si="149"/>
        <v>1.0989328026684093</v>
      </c>
      <c r="M958" s="2">
        <f t="shared" si="145"/>
        <v>0.79672628193459671</v>
      </c>
      <c r="N958" s="2">
        <f t="shared" si="146"/>
        <v>0.39836314096729836</v>
      </c>
      <c r="O958" s="2">
        <f t="shared" si="147"/>
        <v>1.4619927273499849</v>
      </c>
      <c r="P958" s="2">
        <v>72.550667000000004</v>
      </c>
      <c r="Q958" s="2">
        <v>23.035937000000001</v>
      </c>
    </row>
    <row r="959" spans="1:17" x14ac:dyDescent="0.25">
      <c r="A959" s="2">
        <v>1107</v>
      </c>
      <c r="B959" s="2" t="s">
        <v>92</v>
      </c>
      <c r="C959" s="2">
        <v>59</v>
      </c>
      <c r="D959" s="2">
        <f t="shared" si="140"/>
        <v>149.86000000000001</v>
      </c>
      <c r="E959" s="2">
        <f t="shared" si="141"/>
        <v>47.701919543502875</v>
      </c>
      <c r="F959" s="2">
        <f t="shared" si="142"/>
        <v>18.780283284843652</v>
      </c>
      <c r="G959" s="2">
        <v>8.7959119999999995</v>
      </c>
      <c r="H959" s="2">
        <f t="shared" si="143"/>
        <v>28.857979926079999</v>
      </c>
      <c r="I959" s="2">
        <f>INDEX('Wood Density Lookup'!$B$2:$B$152,MATCH(B959,'Wood Density Lookup'!$A$2:$A$152,0))</f>
        <v>0.85</v>
      </c>
      <c r="J959" s="2">
        <f t="shared" si="144"/>
        <v>906.25008543025785</v>
      </c>
      <c r="K959" s="2">
        <f t="shared" si="148"/>
        <v>253.75002392047222</v>
      </c>
      <c r="L959" s="2">
        <f t="shared" si="149"/>
        <v>1160.0001093507301</v>
      </c>
      <c r="M959" s="2">
        <f t="shared" si="145"/>
        <v>841.00007927927925</v>
      </c>
      <c r="N959" s="2">
        <f t="shared" si="146"/>
        <v>420.50003963963962</v>
      </c>
      <c r="O959" s="2">
        <f t="shared" si="147"/>
        <v>1543.2351454774773</v>
      </c>
      <c r="P959" s="2">
        <v>72.550668999999999</v>
      </c>
      <c r="Q959" s="2">
        <v>23.035212999999999</v>
      </c>
    </row>
    <row r="960" spans="1:17" x14ac:dyDescent="0.25">
      <c r="A960" s="2">
        <v>1108</v>
      </c>
      <c r="B960" s="2" t="s">
        <v>134</v>
      </c>
      <c r="C960" s="2">
        <v>56</v>
      </c>
      <c r="D960" s="2">
        <f t="shared" si="140"/>
        <v>142.24</v>
      </c>
      <c r="E960" s="2">
        <f t="shared" si="141"/>
        <v>45.276398210782389</v>
      </c>
      <c r="F960" s="2">
        <f t="shared" si="142"/>
        <v>17.82535362629228</v>
      </c>
      <c r="G960" s="2">
        <v>8.3251580000000001</v>
      </c>
      <c r="H960" s="2">
        <f t="shared" si="143"/>
        <v>27.313511372720001</v>
      </c>
      <c r="I960" s="2">
        <f>INDEX('Wood Density Lookup'!$B$2:$B$152,MATCH(B960,'Wood Density Lookup'!$A$2:$A$152,0))</f>
        <v>0.65</v>
      </c>
      <c r="J960" s="2">
        <f t="shared" si="144"/>
        <v>597.01254536535964</v>
      </c>
      <c r="K960" s="2">
        <f t="shared" si="148"/>
        <v>167.16351270230072</v>
      </c>
      <c r="L960" s="2">
        <f t="shared" si="149"/>
        <v>764.17605806766039</v>
      </c>
      <c r="M960" s="2">
        <f t="shared" si="145"/>
        <v>554.02764209905376</v>
      </c>
      <c r="N960" s="2">
        <f t="shared" si="146"/>
        <v>277.01382104952688</v>
      </c>
      <c r="O960" s="2">
        <f t="shared" si="147"/>
        <v>1016.6407232517637</v>
      </c>
      <c r="P960" s="2">
        <v>72.550674000000001</v>
      </c>
      <c r="Q960" s="2">
        <v>23.038350000000001</v>
      </c>
    </row>
    <row r="961" spans="1:17" x14ac:dyDescent="0.25">
      <c r="A961" s="2">
        <v>1109</v>
      </c>
      <c r="B961" s="2" t="s">
        <v>11</v>
      </c>
      <c r="C961" s="2">
        <v>11</v>
      </c>
      <c r="D961" s="2">
        <f t="shared" ref="D961:D1024" si="150">C961*2.54</f>
        <v>27.94</v>
      </c>
      <c r="E961" s="2">
        <f t="shared" ref="E961:E1024" si="151">D961/PI()</f>
        <v>8.8935782199751117</v>
      </c>
      <c r="F961" s="2">
        <f t="shared" ref="F961:F1024" si="152">C961/PI()</f>
        <v>3.5014087480216975</v>
      </c>
      <c r="G961" s="2">
        <v>3.5400070000000001</v>
      </c>
      <c r="H961" s="2">
        <f t="shared" ref="H961:H1024" si="153">G961*3.28084</f>
        <v>11.61419656588</v>
      </c>
      <c r="I961" s="2">
        <f>INDEX('Wood Density Lookup'!$B$2:$B$152,MATCH(B961,'Wood Density Lookup'!$A$2:$A$152,0))</f>
        <v>0.45</v>
      </c>
      <c r="J961" s="2">
        <f t="shared" ref="J961:J1024" si="154">0.0673*POWER(I961*E961^2*G961,0.976)</f>
        <v>7.5505029979862179</v>
      </c>
      <c r="K961" s="2">
        <f t="shared" si="148"/>
        <v>2.1141408394361414</v>
      </c>
      <c r="L961" s="2">
        <f t="shared" si="149"/>
        <v>9.6646438374223589</v>
      </c>
      <c r="M961" s="2">
        <f t="shared" ref="M961:M1024" si="155">0.725*L961</f>
        <v>7.0068667821312101</v>
      </c>
      <c r="N961" s="2">
        <f t="shared" ref="N961:N1024" si="156">0.5*M961</f>
        <v>3.503433391065605</v>
      </c>
      <c r="O961" s="2">
        <f t="shared" ref="O961:O1024" si="157">3.67*N961</f>
        <v>12.85760054521077</v>
      </c>
      <c r="P961" s="2">
        <v>72.550678000000005</v>
      </c>
      <c r="Q961" s="2">
        <v>23.036110999999998</v>
      </c>
    </row>
    <row r="962" spans="1:17" x14ac:dyDescent="0.25">
      <c r="A962" s="2">
        <v>1110</v>
      </c>
      <c r="B962" s="2" t="s">
        <v>15</v>
      </c>
      <c r="C962" s="2">
        <v>30</v>
      </c>
      <c r="D962" s="2">
        <f t="shared" si="150"/>
        <v>76.2</v>
      </c>
      <c r="E962" s="2">
        <f t="shared" si="151"/>
        <v>24.255213327204849</v>
      </c>
      <c r="F962" s="2">
        <f t="shared" si="152"/>
        <v>9.5492965855137211</v>
      </c>
      <c r="G962" s="2">
        <v>6.0807399999999996</v>
      </c>
      <c r="H962" s="2">
        <f t="shared" si="153"/>
        <v>19.949935021599998</v>
      </c>
      <c r="I962" s="2">
        <f>INDEX('Wood Density Lookup'!$B$2:$B$152,MATCH(B962,'Wood Density Lookup'!$A$2:$A$152,0))</f>
        <v>0.75</v>
      </c>
      <c r="J962" s="2">
        <f t="shared" si="154"/>
        <v>149.40182056583626</v>
      </c>
      <c r="K962" s="2">
        <f t="shared" si="148"/>
        <v>41.832509758434156</v>
      </c>
      <c r="L962" s="2">
        <f t="shared" si="149"/>
        <v>191.23433032427042</v>
      </c>
      <c r="M962" s="2">
        <f t="shared" si="155"/>
        <v>138.64488948509606</v>
      </c>
      <c r="N962" s="2">
        <f t="shared" si="156"/>
        <v>69.322444742548029</v>
      </c>
      <c r="O962" s="2">
        <f t="shared" si="157"/>
        <v>254.41337220515126</v>
      </c>
      <c r="P962" s="2">
        <v>72.55068</v>
      </c>
      <c r="Q962" s="2">
        <v>23.037818000000001</v>
      </c>
    </row>
    <row r="963" spans="1:17" x14ac:dyDescent="0.25">
      <c r="A963" s="2">
        <v>1111</v>
      </c>
      <c r="B963" s="2" t="s">
        <v>15</v>
      </c>
      <c r="C963" s="2">
        <v>94</v>
      </c>
      <c r="D963" s="2">
        <f t="shared" si="150"/>
        <v>238.76</v>
      </c>
      <c r="E963" s="2">
        <f t="shared" si="151"/>
        <v>75.999668425241865</v>
      </c>
      <c r="F963" s="2">
        <f t="shared" si="152"/>
        <v>29.921129301276324</v>
      </c>
      <c r="G963" s="2">
        <v>14.412578</v>
      </c>
      <c r="H963" s="2">
        <f t="shared" si="153"/>
        <v>47.285362405519997</v>
      </c>
      <c r="I963" s="2">
        <f>INDEX('Wood Density Lookup'!$B$2:$B$152,MATCH(B963,'Wood Density Lookup'!$A$2:$A$152,0))</f>
        <v>0.75</v>
      </c>
      <c r="J963" s="2">
        <f t="shared" si="154"/>
        <v>3223.6743335200513</v>
      </c>
      <c r="K963" s="2">
        <f t="shared" ref="K963:K1026" si="158">0.28*J963</f>
        <v>902.62881338561442</v>
      </c>
      <c r="L963" s="2">
        <f t="shared" ref="L963:L1026" si="159">J963+K963</f>
        <v>4126.3031469056659</v>
      </c>
      <c r="M963" s="2">
        <f t="shared" si="155"/>
        <v>2991.5697815066078</v>
      </c>
      <c r="N963" s="2">
        <f t="shared" si="156"/>
        <v>1495.7848907533039</v>
      </c>
      <c r="O963" s="2">
        <f t="shared" si="157"/>
        <v>5489.5305490646251</v>
      </c>
      <c r="P963" s="2">
        <v>72.55068</v>
      </c>
      <c r="Q963" s="2">
        <v>23.036632000000001</v>
      </c>
    </row>
    <row r="964" spans="1:17" x14ac:dyDescent="0.25">
      <c r="A964" s="2">
        <v>1112</v>
      </c>
      <c r="B964" s="2" t="s">
        <v>107</v>
      </c>
      <c r="C964" s="2">
        <v>34</v>
      </c>
      <c r="D964" s="2">
        <f t="shared" si="150"/>
        <v>86.36</v>
      </c>
      <c r="E964" s="2">
        <f t="shared" si="151"/>
        <v>27.489241770832162</v>
      </c>
      <c r="F964" s="2">
        <f t="shared" si="152"/>
        <v>10.822536130248883</v>
      </c>
      <c r="G964" s="2">
        <v>7.9675640000000003</v>
      </c>
      <c r="H964" s="2">
        <f t="shared" si="153"/>
        <v>26.140302673760001</v>
      </c>
      <c r="I964" s="2">
        <f>INDEX('Wood Density Lookup'!$B$2:$B$152,MATCH(B964,'Wood Density Lookup'!$A$2:$A$152,0))</f>
        <v>0.65</v>
      </c>
      <c r="J964" s="2">
        <f t="shared" si="154"/>
        <v>215.95236119111357</v>
      </c>
      <c r="K964" s="2">
        <f t="shared" si="158"/>
        <v>60.466661133511806</v>
      </c>
      <c r="L964" s="2">
        <f t="shared" si="159"/>
        <v>276.41902232462536</v>
      </c>
      <c r="M964" s="2">
        <f t="shared" si="155"/>
        <v>200.40379118535338</v>
      </c>
      <c r="N964" s="2">
        <f t="shared" si="156"/>
        <v>100.20189559267669</v>
      </c>
      <c r="O964" s="2">
        <f t="shared" si="157"/>
        <v>367.74095682512348</v>
      </c>
      <c r="P964" s="2">
        <v>72.550680999999997</v>
      </c>
      <c r="Q964" s="2">
        <v>23.038146999999999</v>
      </c>
    </row>
    <row r="965" spans="1:17" x14ac:dyDescent="0.25">
      <c r="A965" s="2">
        <v>1113</v>
      </c>
      <c r="B965" s="2" t="s">
        <v>3</v>
      </c>
      <c r="C965" s="2">
        <v>22</v>
      </c>
      <c r="D965" s="2">
        <f t="shared" si="150"/>
        <v>55.88</v>
      </c>
      <c r="E965" s="2">
        <f t="shared" si="151"/>
        <v>17.787156439950223</v>
      </c>
      <c r="F965" s="2">
        <f t="shared" si="152"/>
        <v>7.0028174960433951</v>
      </c>
      <c r="G965" s="2">
        <v>4.6653739999999999</v>
      </c>
      <c r="H965" s="2">
        <f t="shared" si="153"/>
        <v>15.306345634159999</v>
      </c>
      <c r="I965" s="2">
        <f>INDEX('Wood Density Lookup'!$B$2:$B$152,MATCH(B965,'Wood Density Lookup'!$A$2:$A$152,0))</f>
        <v>0.62</v>
      </c>
      <c r="J965" s="2">
        <f t="shared" si="154"/>
        <v>52.291425246681882</v>
      </c>
      <c r="K965" s="2">
        <f t="shared" si="158"/>
        <v>14.641599069070928</v>
      </c>
      <c r="L965" s="2">
        <f t="shared" si="159"/>
        <v>66.933024315752817</v>
      </c>
      <c r="M965" s="2">
        <f t="shared" si="155"/>
        <v>48.52644262892079</v>
      </c>
      <c r="N965" s="2">
        <f t="shared" si="156"/>
        <v>24.263221314460395</v>
      </c>
      <c r="O965" s="2">
        <f t="shared" si="157"/>
        <v>89.046022224069645</v>
      </c>
      <c r="P965" s="2">
        <v>72.550683000000006</v>
      </c>
      <c r="Q965" s="2">
        <v>23.036180999999999</v>
      </c>
    </row>
    <row r="966" spans="1:17" x14ac:dyDescent="0.25">
      <c r="A966" s="2">
        <v>1114</v>
      </c>
      <c r="B966" s="2" t="s">
        <v>107</v>
      </c>
      <c r="C966" s="2">
        <v>35</v>
      </c>
      <c r="D966" s="2">
        <f t="shared" si="150"/>
        <v>88.9</v>
      </c>
      <c r="E966" s="2">
        <f t="shared" si="151"/>
        <v>28.297748881738993</v>
      </c>
      <c r="F966" s="2">
        <f t="shared" si="152"/>
        <v>11.140846016432674</v>
      </c>
      <c r="G966" s="2">
        <v>10.91</v>
      </c>
      <c r="H966" s="2">
        <f t="shared" si="153"/>
        <v>35.7939644</v>
      </c>
      <c r="I966" s="2">
        <f>INDEX('Wood Density Lookup'!$B$2:$B$152,MATCH(B966,'Wood Density Lookup'!$A$2:$A$152,0))</f>
        <v>0.65</v>
      </c>
      <c r="J966" s="2">
        <f t="shared" si="154"/>
        <v>310.5668826483037</v>
      </c>
      <c r="K966" s="2">
        <f t="shared" si="158"/>
        <v>86.958727141525046</v>
      </c>
      <c r="L966" s="2">
        <f t="shared" si="159"/>
        <v>397.52560978982876</v>
      </c>
      <c r="M966" s="2">
        <f t="shared" si="155"/>
        <v>288.20606709762586</v>
      </c>
      <c r="N966" s="2">
        <f t="shared" si="156"/>
        <v>144.10303354881293</v>
      </c>
      <c r="O966" s="2">
        <f t="shared" si="157"/>
        <v>528.85813312414348</v>
      </c>
      <c r="P966" s="2">
        <v>72.550685999999999</v>
      </c>
      <c r="Q966" s="2">
        <v>23.037682</v>
      </c>
    </row>
    <row r="967" spans="1:17" x14ac:dyDescent="0.25">
      <c r="A967" s="2">
        <v>1115</v>
      </c>
      <c r="B967" s="2" t="s">
        <v>3</v>
      </c>
      <c r="C967" s="2">
        <v>41</v>
      </c>
      <c r="D967" s="2">
        <f t="shared" si="150"/>
        <v>104.14</v>
      </c>
      <c r="E967" s="2">
        <f t="shared" si="151"/>
        <v>33.148791547179961</v>
      </c>
      <c r="F967" s="2">
        <f t="shared" si="152"/>
        <v>13.050705333535419</v>
      </c>
      <c r="G967" s="2">
        <v>10.120142</v>
      </c>
      <c r="H967" s="2">
        <f t="shared" si="153"/>
        <v>33.202566679279997</v>
      </c>
      <c r="I967" s="2">
        <f>INDEX('Wood Density Lookup'!$B$2:$B$152,MATCH(B967,'Wood Density Lookup'!$A$2:$A$152,0))</f>
        <v>0.62</v>
      </c>
      <c r="J967" s="2">
        <f t="shared" si="154"/>
        <v>375.32235492225675</v>
      </c>
      <c r="K967" s="2">
        <f t="shared" si="158"/>
        <v>105.09025937823191</v>
      </c>
      <c r="L967" s="2">
        <f t="shared" si="159"/>
        <v>480.41261430048866</v>
      </c>
      <c r="M967" s="2">
        <f t="shared" si="155"/>
        <v>348.29914536785424</v>
      </c>
      <c r="N967" s="2">
        <f t="shared" si="156"/>
        <v>174.14957268392712</v>
      </c>
      <c r="O967" s="2">
        <f t="shared" si="157"/>
        <v>639.1289317500125</v>
      </c>
      <c r="P967" s="2">
        <v>72.550686999999996</v>
      </c>
      <c r="Q967" s="2">
        <v>23.038450999999998</v>
      </c>
    </row>
    <row r="968" spans="1:17" x14ac:dyDescent="0.25">
      <c r="A968" s="2">
        <v>1116</v>
      </c>
      <c r="B968" s="2" t="s">
        <v>134</v>
      </c>
      <c r="C968" s="2">
        <v>73</v>
      </c>
      <c r="D968" s="2">
        <f t="shared" si="150"/>
        <v>185.42000000000002</v>
      </c>
      <c r="E968" s="2">
        <f t="shared" si="151"/>
        <v>59.021019096198472</v>
      </c>
      <c r="F968" s="2">
        <f t="shared" si="152"/>
        <v>23.236621691416719</v>
      </c>
      <c r="G968" s="2">
        <v>8.1977729999999998</v>
      </c>
      <c r="H968" s="2">
        <f t="shared" si="153"/>
        <v>26.895581569319997</v>
      </c>
      <c r="I968" s="2">
        <f>INDEX('Wood Density Lookup'!$B$2:$B$152,MATCH(B968,'Wood Density Lookup'!$A$2:$A$152,0))</f>
        <v>0.65</v>
      </c>
      <c r="J968" s="2">
        <f t="shared" si="154"/>
        <v>986.71282625998765</v>
      </c>
      <c r="K968" s="2">
        <f t="shared" si="158"/>
        <v>276.27959135279656</v>
      </c>
      <c r="L968" s="2">
        <f t="shared" si="159"/>
        <v>1262.9924176127843</v>
      </c>
      <c r="M968" s="2">
        <f t="shared" si="155"/>
        <v>915.66950276926855</v>
      </c>
      <c r="N968" s="2">
        <f t="shared" si="156"/>
        <v>457.83475138463427</v>
      </c>
      <c r="O968" s="2">
        <f t="shared" si="157"/>
        <v>1680.2535375816078</v>
      </c>
      <c r="P968" s="2">
        <v>72.550701000000004</v>
      </c>
      <c r="Q968" s="2">
        <v>23.038356</v>
      </c>
    </row>
    <row r="969" spans="1:17" x14ac:dyDescent="0.25">
      <c r="A969" s="2">
        <v>1117</v>
      </c>
      <c r="B969" s="2" t="s">
        <v>15</v>
      </c>
      <c r="C969" s="2">
        <v>8</v>
      </c>
      <c r="D969" s="2">
        <f t="shared" si="150"/>
        <v>20.32</v>
      </c>
      <c r="E969" s="2">
        <f t="shared" si="151"/>
        <v>6.4680568872546269</v>
      </c>
      <c r="F969" s="2">
        <f t="shared" si="152"/>
        <v>2.5464790894703255</v>
      </c>
      <c r="G969" s="2">
        <v>3.8247420000000001</v>
      </c>
      <c r="H969" s="2">
        <f t="shared" si="153"/>
        <v>12.54836654328</v>
      </c>
      <c r="I969" s="2">
        <f>INDEX('Wood Density Lookup'!$B$2:$B$152,MATCH(B969,'Wood Density Lookup'!$A$2:$A$152,0))</f>
        <v>0.75</v>
      </c>
      <c r="J969" s="2">
        <f t="shared" si="154"/>
        <v>7.1998768592562561</v>
      </c>
      <c r="K969" s="2">
        <f t="shared" si="158"/>
        <v>2.0159655205917519</v>
      </c>
      <c r="L969" s="2">
        <f t="shared" si="159"/>
        <v>9.2158423798480076</v>
      </c>
      <c r="M969" s="2">
        <f t="shared" si="155"/>
        <v>6.6814857253898055</v>
      </c>
      <c r="N969" s="2">
        <f t="shared" si="156"/>
        <v>3.3407428626949027</v>
      </c>
      <c r="O969" s="2">
        <f t="shared" si="157"/>
        <v>12.260526306090293</v>
      </c>
      <c r="P969" s="2">
        <v>72.550708</v>
      </c>
      <c r="Q969" s="2">
        <v>23.036109</v>
      </c>
    </row>
    <row r="970" spans="1:17" x14ac:dyDescent="0.25">
      <c r="A970" s="2">
        <v>1118</v>
      </c>
      <c r="B970" s="2" t="s">
        <v>82</v>
      </c>
      <c r="C970" s="2">
        <v>8</v>
      </c>
      <c r="D970" s="2">
        <f t="shared" si="150"/>
        <v>20.32</v>
      </c>
      <c r="E970" s="2">
        <f t="shared" si="151"/>
        <v>6.4680568872546269</v>
      </c>
      <c r="F970" s="2">
        <f t="shared" si="152"/>
        <v>2.5464790894703255</v>
      </c>
      <c r="G970" s="2">
        <v>5.1091540000000002</v>
      </c>
      <c r="H970" s="2">
        <f t="shared" si="153"/>
        <v>16.762316809360001</v>
      </c>
      <c r="I970" s="2">
        <f>INDEX('Wood Density Lookup'!$B$2:$B$152,MATCH(B970,'Wood Density Lookup'!$A$2:$A$152,0))</f>
        <v>0.7</v>
      </c>
      <c r="J970" s="2">
        <f t="shared" si="154"/>
        <v>8.9291452313167383</v>
      </c>
      <c r="K970" s="2">
        <f t="shared" si="158"/>
        <v>2.5001606647686869</v>
      </c>
      <c r="L970" s="2">
        <f t="shared" si="159"/>
        <v>11.429305896085426</v>
      </c>
      <c r="M970" s="2">
        <f t="shared" si="155"/>
        <v>8.286246774661933</v>
      </c>
      <c r="N970" s="2">
        <f t="shared" si="156"/>
        <v>4.1431233873309665</v>
      </c>
      <c r="O970" s="2">
        <f t="shared" si="157"/>
        <v>15.205262831504648</v>
      </c>
      <c r="P970" s="2">
        <v>72.550711000000007</v>
      </c>
      <c r="Q970" s="2">
        <v>23.038596999999999</v>
      </c>
    </row>
    <row r="971" spans="1:17" x14ac:dyDescent="0.25">
      <c r="A971" s="2">
        <v>1119</v>
      </c>
      <c r="B971" s="2" t="s">
        <v>15</v>
      </c>
      <c r="C971" s="2">
        <v>22</v>
      </c>
      <c r="D971" s="2">
        <f t="shared" si="150"/>
        <v>55.88</v>
      </c>
      <c r="E971" s="2">
        <f t="shared" si="151"/>
        <v>17.787156439950223</v>
      </c>
      <c r="F971" s="2">
        <f t="shared" si="152"/>
        <v>7.0028174960433951</v>
      </c>
      <c r="G971" s="2">
        <v>6.0739549999999998</v>
      </c>
      <c r="H971" s="2">
        <f t="shared" si="153"/>
        <v>19.9276745222</v>
      </c>
      <c r="I971" s="2">
        <f>INDEX('Wood Density Lookup'!$B$2:$B$152,MATCH(B971,'Wood Density Lookup'!$A$2:$A$152,0))</f>
        <v>0.75</v>
      </c>
      <c r="J971" s="2">
        <f t="shared" si="154"/>
        <v>81.461245505395553</v>
      </c>
      <c r="K971" s="2">
        <f t="shared" si="158"/>
        <v>22.809148741510757</v>
      </c>
      <c r="L971" s="2">
        <f t="shared" si="159"/>
        <v>104.27039424690631</v>
      </c>
      <c r="M971" s="2">
        <f t="shared" si="155"/>
        <v>75.596035829007064</v>
      </c>
      <c r="N971" s="2">
        <f t="shared" si="156"/>
        <v>37.798017914503532</v>
      </c>
      <c r="O971" s="2">
        <f t="shared" si="157"/>
        <v>138.71872574622796</v>
      </c>
      <c r="P971" s="2">
        <v>72.550713999999999</v>
      </c>
      <c r="Q971" s="2">
        <v>23.03809</v>
      </c>
    </row>
    <row r="972" spans="1:17" x14ac:dyDescent="0.25">
      <c r="A972" s="2">
        <v>1120</v>
      </c>
      <c r="B972" s="2" t="s">
        <v>15</v>
      </c>
      <c r="C972" s="2">
        <v>29</v>
      </c>
      <c r="D972" s="2">
        <f t="shared" si="150"/>
        <v>73.66</v>
      </c>
      <c r="E972" s="2">
        <f t="shared" si="151"/>
        <v>23.446706216298022</v>
      </c>
      <c r="F972" s="2">
        <f t="shared" si="152"/>
        <v>9.2309866993299305</v>
      </c>
      <c r="G972" s="2">
        <v>9.4786669999999997</v>
      </c>
      <c r="H972" s="2">
        <f t="shared" si="153"/>
        <v>31.09798984028</v>
      </c>
      <c r="I972" s="2">
        <f>INDEX('Wood Density Lookup'!$B$2:$B$152,MATCH(B972,'Wood Density Lookup'!$A$2:$A$152,0))</f>
        <v>0.75</v>
      </c>
      <c r="J972" s="2">
        <f t="shared" si="154"/>
        <v>215.66513633292749</v>
      </c>
      <c r="K972" s="2">
        <f t="shared" si="158"/>
        <v>60.386238173219702</v>
      </c>
      <c r="L972" s="2">
        <f t="shared" si="159"/>
        <v>276.05137450614717</v>
      </c>
      <c r="M972" s="2">
        <f t="shared" si="155"/>
        <v>200.13724651695668</v>
      </c>
      <c r="N972" s="2">
        <f t="shared" si="156"/>
        <v>100.06862325847834</v>
      </c>
      <c r="O972" s="2">
        <f t="shared" si="157"/>
        <v>367.25184735861552</v>
      </c>
      <c r="P972" s="2">
        <v>72.550719000000001</v>
      </c>
      <c r="Q972" s="2">
        <v>23.037903</v>
      </c>
    </row>
    <row r="973" spans="1:17" x14ac:dyDescent="0.25">
      <c r="A973" s="2">
        <v>1121</v>
      </c>
      <c r="B973" s="2" t="s">
        <v>82</v>
      </c>
      <c r="C973" s="2">
        <v>12</v>
      </c>
      <c r="D973" s="2">
        <f t="shared" si="150"/>
        <v>30.48</v>
      </c>
      <c r="E973" s="2">
        <f t="shared" si="151"/>
        <v>9.7020853308819408</v>
      </c>
      <c r="F973" s="2">
        <f t="shared" si="152"/>
        <v>3.8197186342054881</v>
      </c>
      <c r="G973" s="2">
        <v>10.368418</v>
      </c>
      <c r="H973" s="2">
        <f t="shared" si="153"/>
        <v>34.017120511119998</v>
      </c>
      <c r="I973" s="2">
        <f>INDEX('Wood Density Lookup'!$B$2:$B$152,MATCH(B973,'Wood Density Lookup'!$A$2:$A$152,0))</f>
        <v>0.7</v>
      </c>
      <c r="J973" s="2">
        <f t="shared" si="154"/>
        <v>39.312150731013119</v>
      </c>
      <c r="K973" s="2">
        <f t="shared" si="158"/>
        <v>11.007402204683675</v>
      </c>
      <c r="L973" s="2">
        <f t="shared" si="159"/>
        <v>50.319552935696791</v>
      </c>
      <c r="M973" s="2">
        <f t="shared" si="155"/>
        <v>36.481675878380173</v>
      </c>
      <c r="N973" s="2">
        <f t="shared" si="156"/>
        <v>18.240837939190087</v>
      </c>
      <c r="O973" s="2">
        <f t="shared" si="157"/>
        <v>66.943875236827623</v>
      </c>
      <c r="P973" s="2">
        <v>72.550719000000001</v>
      </c>
      <c r="Q973" s="2">
        <v>23.038540999999999</v>
      </c>
    </row>
    <row r="974" spans="1:17" x14ac:dyDescent="0.25">
      <c r="A974" s="2">
        <v>1122</v>
      </c>
      <c r="B974" s="2" t="s">
        <v>117</v>
      </c>
      <c r="C974" s="2">
        <v>24</v>
      </c>
      <c r="D974" s="2">
        <f t="shared" si="150"/>
        <v>60.96</v>
      </c>
      <c r="E974" s="2">
        <f t="shared" si="151"/>
        <v>19.404170661763882</v>
      </c>
      <c r="F974" s="2">
        <f t="shared" si="152"/>
        <v>7.6394372684109761</v>
      </c>
      <c r="G974" s="2">
        <v>7.0444300000000002</v>
      </c>
      <c r="H974" s="2">
        <f t="shared" si="153"/>
        <v>23.111647721200001</v>
      </c>
      <c r="I974" s="2">
        <f>INDEX('Wood Density Lookup'!$B$2:$B$152,MATCH(B974,'Wood Density Lookup'!$A$2:$A$152,0))</f>
        <v>0.75</v>
      </c>
      <c r="J974" s="2">
        <f t="shared" si="154"/>
        <v>111.56902088914045</v>
      </c>
      <c r="K974" s="2">
        <f t="shared" si="158"/>
        <v>31.239325848959329</v>
      </c>
      <c r="L974" s="2">
        <f t="shared" si="159"/>
        <v>142.80834673809977</v>
      </c>
      <c r="M974" s="2">
        <f t="shared" si="155"/>
        <v>103.53605138512233</v>
      </c>
      <c r="N974" s="2">
        <f t="shared" si="156"/>
        <v>51.768025692561167</v>
      </c>
      <c r="O974" s="2">
        <f t="shared" si="157"/>
        <v>189.98865429169948</v>
      </c>
      <c r="P974" s="2">
        <v>72.550724000000002</v>
      </c>
      <c r="Q974" s="2">
        <v>23.037752000000001</v>
      </c>
    </row>
    <row r="975" spans="1:17" x14ac:dyDescent="0.25">
      <c r="A975" s="2">
        <v>1123</v>
      </c>
      <c r="B975" s="2" t="s">
        <v>82</v>
      </c>
      <c r="C975" s="2">
        <v>3</v>
      </c>
      <c r="D975" s="2">
        <f t="shared" si="150"/>
        <v>7.62</v>
      </c>
      <c r="E975" s="2">
        <f t="shared" si="151"/>
        <v>2.4255213327204852</v>
      </c>
      <c r="F975" s="2">
        <f t="shared" si="152"/>
        <v>0.95492965855137202</v>
      </c>
      <c r="G975" s="2">
        <v>4.3003629999999999</v>
      </c>
      <c r="H975" s="2">
        <f t="shared" si="153"/>
        <v>14.108802944919999</v>
      </c>
      <c r="I975" s="2">
        <f>INDEX('Wood Density Lookup'!$B$2:$B$152,MATCH(B975,'Wood Density Lookup'!$A$2:$A$152,0))</f>
        <v>0.7</v>
      </c>
      <c r="J975" s="2">
        <f t="shared" si="154"/>
        <v>1.1124264272842901</v>
      </c>
      <c r="K975" s="2">
        <f t="shared" si="158"/>
        <v>0.31147939963960125</v>
      </c>
      <c r="L975" s="2">
        <f t="shared" si="159"/>
        <v>1.4239058269238913</v>
      </c>
      <c r="M975" s="2">
        <f t="shared" si="155"/>
        <v>1.0323317245198211</v>
      </c>
      <c r="N975" s="2">
        <f t="shared" si="156"/>
        <v>0.51616586225991057</v>
      </c>
      <c r="O975" s="2">
        <f t="shared" si="157"/>
        <v>1.8943287144938719</v>
      </c>
      <c r="P975" s="2">
        <v>72.550725</v>
      </c>
      <c r="Q975" s="2">
        <v>23.038250000000001</v>
      </c>
    </row>
    <row r="976" spans="1:17" x14ac:dyDescent="0.25">
      <c r="A976" s="2">
        <v>1124</v>
      </c>
      <c r="B976" s="2" t="s">
        <v>24</v>
      </c>
      <c r="C976" s="2">
        <v>36</v>
      </c>
      <c r="D976" s="2">
        <f t="shared" si="150"/>
        <v>91.44</v>
      </c>
      <c r="E976" s="2">
        <f t="shared" si="151"/>
        <v>29.106255992645821</v>
      </c>
      <c r="F976" s="2">
        <f t="shared" si="152"/>
        <v>11.459155902616464</v>
      </c>
      <c r="G976" s="2">
        <v>9.545966</v>
      </c>
      <c r="H976" s="2">
        <f t="shared" si="153"/>
        <v>31.318787091440001</v>
      </c>
      <c r="I976" s="2">
        <f>INDEX('Wood Density Lookup'!$B$2:$B$152,MATCH(B976,'Wood Density Lookup'!$A$2:$A$152,0))</f>
        <v>0.55000000000000004</v>
      </c>
      <c r="J976" s="2">
        <f t="shared" si="154"/>
        <v>244.68908673427768</v>
      </c>
      <c r="K976" s="2">
        <f t="shared" si="158"/>
        <v>68.512944285597754</v>
      </c>
      <c r="L976" s="2">
        <f t="shared" si="159"/>
        <v>313.20203101987545</v>
      </c>
      <c r="M976" s="2">
        <f t="shared" si="155"/>
        <v>227.0714724894097</v>
      </c>
      <c r="N976" s="2">
        <f t="shared" si="156"/>
        <v>113.53573624470485</v>
      </c>
      <c r="O976" s="2">
        <f t="shared" si="157"/>
        <v>416.67615201806677</v>
      </c>
      <c r="P976" s="2">
        <v>72.550725999999997</v>
      </c>
      <c r="Q976" s="2">
        <v>23.036197999999999</v>
      </c>
    </row>
    <row r="977" spans="1:17" x14ac:dyDescent="0.25">
      <c r="A977" s="2">
        <v>1125</v>
      </c>
      <c r="B977" s="2" t="s">
        <v>15</v>
      </c>
      <c r="C977" s="2">
        <v>5</v>
      </c>
      <c r="D977" s="2">
        <f t="shared" si="150"/>
        <v>12.7</v>
      </c>
      <c r="E977" s="2">
        <f t="shared" si="151"/>
        <v>4.0425355545341413</v>
      </c>
      <c r="F977" s="2">
        <f t="shared" si="152"/>
        <v>1.5915494309189535</v>
      </c>
      <c r="G977" s="2">
        <v>9.84</v>
      </c>
      <c r="H977" s="2">
        <f t="shared" si="153"/>
        <v>32.2834656</v>
      </c>
      <c r="I977" s="2">
        <f>INDEX('Wood Density Lookup'!$B$2:$B$152,MATCH(B977,'Wood Density Lookup'!$A$2:$A$152,0))</f>
        <v>0.75</v>
      </c>
      <c r="J977" s="2">
        <f t="shared" si="154"/>
        <v>7.2347975887701228</v>
      </c>
      <c r="K977" s="2">
        <f t="shared" si="158"/>
        <v>2.0257433248556347</v>
      </c>
      <c r="L977" s="2">
        <f t="shared" si="159"/>
        <v>9.260540913625757</v>
      </c>
      <c r="M977" s="2">
        <f t="shared" si="155"/>
        <v>6.7138921623786736</v>
      </c>
      <c r="N977" s="2">
        <f t="shared" si="156"/>
        <v>3.3569460811893368</v>
      </c>
      <c r="O977" s="2">
        <f t="shared" si="157"/>
        <v>12.319992117964865</v>
      </c>
      <c r="P977" s="2">
        <v>72.550725999999997</v>
      </c>
      <c r="Q977" s="2">
        <v>23.037666999999999</v>
      </c>
    </row>
    <row r="978" spans="1:17" x14ac:dyDescent="0.25">
      <c r="A978" s="2">
        <v>1126</v>
      </c>
      <c r="B978" s="2" t="s">
        <v>82</v>
      </c>
      <c r="C978" s="2">
        <v>2</v>
      </c>
      <c r="D978" s="2">
        <f t="shared" si="150"/>
        <v>5.08</v>
      </c>
      <c r="E978" s="2">
        <f t="shared" si="151"/>
        <v>1.6170142218136567</v>
      </c>
      <c r="F978" s="2">
        <f t="shared" si="152"/>
        <v>0.63661977236758138</v>
      </c>
      <c r="G978" s="2">
        <v>6.5553889999999999</v>
      </c>
      <c r="H978" s="2">
        <f t="shared" si="153"/>
        <v>21.507182446759998</v>
      </c>
      <c r="I978" s="2">
        <f>INDEX('Wood Density Lookup'!$B$2:$B$152,MATCH(B978,'Wood Density Lookup'!$A$2:$A$152,0))</f>
        <v>0.7</v>
      </c>
      <c r="J978" s="2">
        <f t="shared" si="154"/>
        <v>0.76074703952863654</v>
      </c>
      <c r="K978" s="2">
        <f t="shared" si="158"/>
        <v>0.21300917106801825</v>
      </c>
      <c r="L978" s="2">
        <f t="shared" si="159"/>
        <v>0.97375621059665485</v>
      </c>
      <c r="M978" s="2">
        <f t="shared" si="155"/>
        <v>0.70597325268257471</v>
      </c>
      <c r="N978" s="2">
        <f t="shared" si="156"/>
        <v>0.35298662634128736</v>
      </c>
      <c r="O978" s="2">
        <f t="shared" si="157"/>
        <v>1.2954609186725246</v>
      </c>
      <c r="P978" s="2">
        <v>72.550725999999997</v>
      </c>
      <c r="Q978" s="2">
        <v>23.038259</v>
      </c>
    </row>
    <row r="979" spans="1:17" x14ac:dyDescent="0.25">
      <c r="A979" s="2">
        <v>1127</v>
      </c>
      <c r="B979" s="2" t="s">
        <v>82</v>
      </c>
      <c r="C979" s="2">
        <v>2</v>
      </c>
      <c r="D979" s="2">
        <f t="shared" si="150"/>
        <v>5.08</v>
      </c>
      <c r="E979" s="2">
        <f t="shared" si="151"/>
        <v>1.6170142218136567</v>
      </c>
      <c r="F979" s="2">
        <f t="shared" si="152"/>
        <v>0.63661977236758138</v>
      </c>
      <c r="G979" s="2">
        <v>2.4164400000000001</v>
      </c>
      <c r="H979" s="2">
        <f t="shared" si="153"/>
        <v>7.9279530096000004</v>
      </c>
      <c r="I979" s="2">
        <f>INDEX('Wood Density Lookup'!$B$2:$B$152,MATCH(B979,'Wood Density Lookup'!$A$2:$A$152,0))</f>
        <v>0.7</v>
      </c>
      <c r="J979" s="2">
        <f t="shared" si="154"/>
        <v>0.28722349195349134</v>
      </c>
      <c r="K979" s="2">
        <f t="shared" si="158"/>
        <v>8.0422577746977586E-2</v>
      </c>
      <c r="L979" s="2">
        <f t="shared" si="159"/>
        <v>0.36764606970046892</v>
      </c>
      <c r="M979" s="2">
        <f t="shared" si="155"/>
        <v>0.26654340053283998</v>
      </c>
      <c r="N979" s="2">
        <f t="shared" si="156"/>
        <v>0.13327170026641999</v>
      </c>
      <c r="O979" s="2">
        <f t="shared" si="157"/>
        <v>0.48910713997776134</v>
      </c>
      <c r="P979" s="2">
        <v>72.550725999999997</v>
      </c>
      <c r="Q979" s="2">
        <v>23.038219999999999</v>
      </c>
    </row>
    <row r="980" spans="1:17" x14ac:dyDescent="0.25">
      <c r="A980" s="2">
        <v>1128</v>
      </c>
      <c r="B980" s="2" t="s">
        <v>82</v>
      </c>
      <c r="C980" s="2">
        <v>2</v>
      </c>
      <c r="D980" s="2">
        <f t="shared" si="150"/>
        <v>5.08</v>
      </c>
      <c r="E980" s="2">
        <f t="shared" si="151"/>
        <v>1.6170142218136567</v>
      </c>
      <c r="F980" s="2">
        <f t="shared" si="152"/>
        <v>0.63661977236758138</v>
      </c>
      <c r="G980" s="2">
        <v>5.0927720000000001</v>
      </c>
      <c r="H980" s="2">
        <f t="shared" si="153"/>
        <v>16.708570088480002</v>
      </c>
      <c r="I980" s="2">
        <f>INDEX('Wood Density Lookup'!$B$2:$B$152,MATCH(B980,'Wood Density Lookup'!$A$2:$A$152,0))</f>
        <v>0.7</v>
      </c>
      <c r="J980" s="2">
        <f t="shared" si="154"/>
        <v>0.59460355043369262</v>
      </c>
      <c r="K980" s="2">
        <f t="shared" si="158"/>
        <v>0.16648899412143395</v>
      </c>
      <c r="L980" s="2">
        <f t="shared" si="159"/>
        <v>0.76109254455512654</v>
      </c>
      <c r="M980" s="2">
        <f t="shared" si="155"/>
        <v>0.55179209480246671</v>
      </c>
      <c r="N980" s="2">
        <f t="shared" si="156"/>
        <v>0.27589604740123336</v>
      </c>
      <c r="O980" s="2">
        <f t="shared" si="157"/>
        <v>1.0125384939625264</v>
      </c>
      <c r="P980" s="2">
        <v>72.550725999999997</v>
      </c>
      <c r="Q980" s="2">
        <v>23.038155</v>
      </c>
    </row>
    <row r="981" spans="1:17" x14ac:dyDescent="0.25">
      <c r="A981" s="2">
        <v>1129</v>
      </c>
      <c r="B981" s="2" t="s">
        <v>82</v>
      </c>
      <c r="C981" s="2">
        <v>8</v>
      </c>
      <c r="D981" s="2">
        <f t="shared" si="150"/>
        <v>20.32</v>
      </c>
      <c r="E981" s="2">
        <f t="shared" si="151"/>
        <v>6.4680568872546269</v>
      </c>
      <c r="F981" s="2">
        <f t="shared" si="152"/>
        <v>2.5464790894703255</v>
      </c>
      <c r="G981" s="2">
        <v>7.8222209999999999</v>
      </c>
      <c r="H981" s="2">
        <f t="shared" si="153"/>
        <v>25.663455545639998</v>
      </c>
      <c r="I981" s="2">
        <f>INDEX('Wood Density Lookup'!$B$2:$B$152,MATCH(B981,'Wood Density Lookup'!$A$2:$A$152,0))</f>
        <v>0.7</v>
      </c>
      <c r="J981" s="2">
        <f t="shared" si="154"/>
        <v>13.531670969174165</v>
      </c>
      <c r="K981" s="2">
        <f t="shared" si="158"/>
        <v>3.7888678713687667</v>
      </c>
      <c r="L981" s="2">
        <f t="shared" si="159"/>
        <v>17.32053884054293</v>
      </c>
      <c r="M981" s="2">
        <f t="shared" si="155"/>
        <v>12.557390659393624</v>
      </c>
      <c r="N981" s="2">
        <f t="shared" si="156"/>
        <v>6.278695329696812</v>
      </c>
      <c r="O981" s="2">
        <f t="shared" si="157"/>
        <v>23.0428118599873</v>
      </c>
      <c r="P981" s="2">
        <v>72.550726999999995</v>
      </c>
      <c r="Q981" s="2">
        <v>23.038208000000001</v>
      </c>
    </row>
    <row r="982" spans="1:17" x14ac:dyDescent="0.25">
      <c r="A982" s="2">
        <v>1130</v>
      </c>
      <c r="B982" s="2" t="s">
        <v>82</v>
      </c>
      <c r="C982" s="2">
        <v>2</v>
      </c>
      <c r="D982" s="2">
        <f t="shared" si="150"/>
        <v>5.08</v>
      </c>
      <c r="E982" s="2">
        <f t="shared" si="151"/>
        <v>1.6170142218136567</v>
      </c>
      <c r="F982" s="2">
        <f t="shared" si="152"/>
        <v>0.63661977236758138</v>
      </c>
      <c r="G982" s="2">
        <v>3.0185499999999998</v>
      </c>
      <c r="H982" s="2">
        <f t="shared" si="153"/>
        <v>9.9033795819999995</v>
      </c>
      <c r="I982" s="2">
        <f>INDEX('Wood Density Lookup'!$B$2:$B$152,MATCH(B982,'Wood Density Lookup'!$A$2:$A$152,0))</f>
        <v>0.7</v>
      </c>
      <c r="J982" s="2">
        <f t="shared" si="154"/>
        <v>0.35688096058720026</v>
      </c>
      <c r="K982" s="2">
        <f t="shared" si="158"/>
        <v>9.9926668964416085E-2</v>
      </c>
      <c r="L982" s="2">
        <f t="shared" si="159"/>
        <v>0.45680762955161636</v>
      </c>
      <c r="M982" s="2">
        <f t="shared" si="155"/>
        <v>0.33118553142492185</v>
      </c>
      <c r="N982" s="2">
        <f t="shared" si="156"/>
        <v>0.16559276571246093</v>
      </c>
      <c r="O982" s="2">
        <f t="shared" si="157"/>
        <v>0.60772545016473156</v>
      </c>
      <c r="P982" s="2">
        <v>72.550726999999995</v>
      </c>
      <c r="Q982" s="2">
        <v>23.038270000000001</v>
      </c>
    </row>
    <row r="983" spans="1:17" x14ac:dyDescent="0.25">
      <c r="A983" s="2">
        <v>1131</v>
      </c>
      <c r="B983" s="2" t="s">
        <v>82</v>
      </c>
      <c r="C983" s="2">
        <v>3</v>
      </c>
      <c r="D983" s="2">
        <f t="shared" si="150"/>
        <v>7.62</v>
      </c>
      <c r="E983" s="2">
        <f t="shared" si="151"/>
        <v>2.4255213327204852</v>
      </c>
      <c r="F983" s="2">
        <f t="shared" si="152"/>
        <v>0.95492965855137202</v>
      </c>
      <c r="G983" s="2">
        <v>12.359256</v>
      </c>
      <c r="H983" s="2">
        <f t="shared" si="153"/>
        <v>40.548741455040002</v>
      </c>
      <c r="I983" s="2">
        <f>INDEX('Wood Density Lookup'!$B$2:$B$152,MATCH(B983,'Wood Density Lookup'!$A$2:$A$152,0))</f>
        <v>0.7</v>
      </c>
      <c r="J983" s="2">
        <f t="shared" si="154"/>
        <v>3.1171292895160017</v>
      </c>
      <c r="K983" s="2">
        <f t="shared" si="158"/>
        <v>0.87279620106448053</v>
      </c>
      <c r="L983" s="2">
        <f t="shared" si="159"/>
        <v>3.9899254905804824</v>
      </c>
      <c r="M983" s="2">
        <f t="shared" si="155"/>
        <v>2.8926959806708497</v>
      </c>
      <c r="N983" s="2">
        <f t="shared" si="156"/>
        <v>1.4463479903354248</v>
      </c>
      <c r="O983" s="2">
        <f t="shared" si="157"/>
        <v>5.3080971245310087</v>
      </c>
      <c r="P983" s="2">
        <v>72.550726999999995</v>
      </c>
      <c r="Q983" s="2">
        <v>23.038239000000001</v>
      </c>
    </row>
    <row r="984" spans="1:17" x14ac:dyDescent="0.25">
      <c r="A984" s="2">
        <v>1132</v>
      </c>
      <c r="B984" s="2" t="s">
        <v>82</v>
      </c>
      <c r="C984" s="2">
        <v>16</v>
      </c>
      <c r="D984" s="2">
        <f t="shared" si="150"/>
        <v>40.64</v>
      </c>
      <c r="E984" s="2">
        <f t="shared" si="151"/>
        <v>12.936113774509254</v>
      </c>
      <c r="F984" s="2">
        <f t="shared" si="152"/>
        <v>5.0929581789406511</v>
      </c>
      <c r="G984" s="2">
        <v>4.6162330000000003</v>
      </c>
      <c r="H984" s="2">
        <f t="shared" si="153"/>
        <v>15.145121875720001</v>
      </c>
      <c r="I984" s="2">
        <f>INDEX('Wood Density Lookup'!$B$2:$B$152,MATCH(B984,'Wood Density Lookup'!$A$2:$A$152,0))</f>
        <v>0.7</v>
      </c>
      <c r="J984" s="2">
        <f t="shared" si="154"/>
        <v>31.290797840563418</v>
      </c>
      <c r="K984" s="2">
        <f t="shared" si="158"/>
        <v>8.7614233953577578</v>
      </c>
      <c r="L984" s="2">
        <f t="shared" si="159"/>
        <v>40.052221235921174</v>
      </c>
      <c r="M984" s="2">
        <f t="shared" si="155"/>
        <v>29.037860396042849</v>
      </c>
      <c r="N984" s="2">
        <f t="shared" si="156"/>
        <v>14.518930198021424</v>
      </c>
      <c r="O984" s="2">
        <f t="shared" si="157"/>
        <v>53.284473826738626</v>
      </c>
      <c r="P984" s="2">
        <v>72.550728000000007</v>
      </c>
      <c r="Q984" s="2">
        <v>23.037787000000002</v>
      </c>
    </row>
    <row r="985" spans="1:17" x14ac:dyDescent="0.25">
      <c r="A985" s="2">
        <v>1133</v>
      </c>
      <c r="B985" s="2" t="s">
        <v>82</v>
      </c>
      <c r="C985" s="2">
        <v>2</v>
      </c>
      <c r="D985" s="2">
        <f t="shared" si="150"/>
        <v>5.08</v>
      </c>
      <c r="E985" s="2">
        <f t="shared" si="151"/>
        <v>1.6170142218136567</v>
      </c>
      <c r="F985" s="2">
        <f t="shared" si="152"/>
        <v>0.63661977236758138</v>
      </c>
      <c r="G985" s="2">
        <v>7.4335940000000003</v>
      </c>
      <c r="H985" s="2">
        <f t="shared" si="153"/>
        <v>24.38843253896</v>
      </c>
      <c r="I985" s="2">
        <f>INDEX('Wood Density Lookup'!$B$2:$B$152,MATCH(B985,'Wood Density Lookup'!$A$2:$A$152,0))</f>
        <v>0.7</v>
      </c>
      <c r="J985" s="2">
        <f t="shared" si="154"/>
        <v>0.86006293457278415</v>
      </c>
      <c r="K985" s="2">
        <f t="shared" si="158"/>
        <v>0.2408176216803796</v>
      </c>
      <c r="L985" s="2">
        <f t="shared" si="159"/>
        <v>1.1008805562531638</v>
      </c>
      <c r="M985" s="2">
        <f t="shared" si="155"/>
        <v>0.7981384032835438</v>
      </c>
      <c r="N985" s="2">
        <f t="shared" si="156"/>
        <v>0.3990692016417719</v>
      </c>
      <c r="O985" s="2">
        <f t="shared" si="157"/>
        <v>1.4645839700253029</v>
      </c>
      <c r="P985" s="2">
        <v>72.550728000000007</v>
      </c>
      <c r="Q985" s="2">
        <v>23.038179</v>
      </c>
    </row>
    <row r="986" spans="1:17" x14ac:dyDescent="0.25">
      <c r="A986" s="2">
        <v>1134</v>
      </c>
      <c r="B986" s="2" t="s">
        <v>82</v>
      </c>
      <c r="C986" s="2">
        <v>33</v>
      </c>
      <c r="D986" s="2">
        <f t="shared" si="150"/>
        <v>83.820000000000007</v>
      </c>
      <c r="E986" s="2">
        <f t="shared" si="151"/>
        <v>26.680734659925339</v>
      </c>
      <c r="F986" s="2">
        <f t="shared" si="152"/>
        <v>10.504226244065093</v>
      </c>
      <c r="G986" s="2">
        <v>6.2602169999999999</v>
      </c>
      <c r="H986" s="2">
        <f t="shared" si="153"/>
        <v>20.538770342279999</v>
      </c>
      <c r="I986" s="2">
        <f>INDEX('Wood Density Lookup'!$B$2:$B$152,MATCH(B986,'Wood Density Lookup'!$A$2:$A$152,0))</f>
        <v>0.7</v>
      </c>
      <c r="J986" s="2">
        <f t="shared" si="154"/>
        <v>173.07728243590404</v>
      </c>
      <c r="K986" s="2">
        <f t="shared" si="158"/>
        <v>48.461639082053132</v>
      </c>
      <c r="L986" s="2">
        <f t="shared" si="159"/>
        <v>221.53892151795716</v>
      </c>
      <c r="M986" s="2">
        <f t="shared" si="155"/>
        <v>160.61571810051893</v>
      </c>
      <c r="N986" s="2">
        <f t="shared" si="156"/>
        <v>80.307859050259466</v>
      </c>
      <c r="O986" s="2">
        <f t="shared" si="157"/>
        <v>294.72984271445222</v>
      </c>
      <c r="P986" s="2">
        <v>72.550730999999999</v>
      </c>
      <c r="Q986" s="2">
        <v>23.038170999999998</v>
      </c>
    </row>
    <row r="987" spans="1:17" x14ac:dyDescent="0.25">
      <c r="A987" s="2">
        <v>1135</v>
      </c>
      <c r="B987" s="2" t="s">
        <v>82</v>
      </c>
      <c r="C987" s="2">
        <v>5</v>
      </c>
      <c r="D987" s="2">
        <f t="shared" si="150"/>
        <v>12.7</v>
      </c>
      <c r="E987" s="2">
        <f t="shared" si="151"/>
        <v>4.0425355545341413</v>
      </c>
      <c r="F987" s="2">
        <f t="shared" si="152"/>
        <v>1.5915494309189535</v>
      </c>
      <c r="G987" s="2">
        <v>4.2893189999999999</v>
      </c>
      <c r="H987" s="2">
        <f t="shared" si="153"/>
        <v>14.07256934796</v>
      </c>
      <c r="I987" s="2">
        <f>INDEX('Wood Density Lookup'!$B$2:$B$152,MATCH(B987,'Wood Density Lookup'!$A$2:$A$152,0))</f>
        <v>0.7</v>
      </c>
      <c r="J987" s="2">
        <f t="shared" si="154"/>
        <v>3.007669342550928</v>
      </c>
      <c r="K987" s="2">
        <f t="shared" si="158"/>
        <v>0.8421474159142599</v>
      </c>
      <c r="L987" s="2">
        <f t="shared" si="159"/>
        <v>3.8498167584651881</v>
      </c>
      <c r="M987" s="2">
        <f t="shared" si="155"/>
        <v>2.7911171498872611</v>
      </c>
      <c r="N987" s="2">
        <f t="shared" si="156"/>
        <v>1.3955585749436306</v>
      </c>
      <c r="O987" s="2">
        <f t="shared" si="157"/>
        <v>5.1216999700431245</v>
      </c>
      <c r="P987" s="2">
        <v>72.550730999999999</v>
      </c>
      <c r="Q987" s="2">
        <v>23.037376999999999</v>
      </c>
    </row>
    <row r="988" spans="1:17" x14ac:dyDescent="0.25">
      <c r="A988" s="2">
        <v>1136</v>
      </c>
      <c r="B988" s="2" t="s">
        <v>135</v>
      </c>
      <c r="C988" s="2">
        <v>9</v>
      </c>
      <c r="D988" s="2">
        <f t="shared" si="150"/>
        <v>22.86</v>
      </c>
      <c r="E988" s="2">
        <f t="shared" si="151"/>
        <v>7.2765639981614552</v>
      </c>
      <c r="F988" s="2">
        <f t="shared" si="152"/>
        <v>2.8647889756541161</v>
      </c>
      <c r="G988" s="2">
        <v>6.5608430000000002</v>
      </c>
      <c r="H988" s="2">
        <f t="shared" si="153"/>
        <v>21.52507614812</v>
      </c>
      <c r="I988" s="2">
        <f>INDEX('Wood Density Lookup'!$B$2:$B$152,MATCH(B988,'Wood Density Lookup'!$A$2:$A$152,0))</f>
        <v>0.8</v>
      </c>
      <c r="J988" s="2">
        <f t="shared" si="154"/>
        <v>16.340440017384754</v>
      </c>
      <c r="K988" s="2">
        <f t="shared" si="158"/>
        <v>4.5753232048677317</v>
      </c>
      <c r="L988" s="2">
        <f t="shared" si="159"/>
        <v>20.915763222252487</v>
      </c>
      <c r="M988" s="2">
        <f t="shared" si="155"/>
        <v>15.163928336133052</v>
      </c>
      <c r="N988" s="2">
        <f t="shared" si="156"/>
        <v>7.5819641680665262</v>
      </c>
      <c r="O988" s="2">
        <f t="shared" si="157"/>
        <v>27.82580849680415</v>
      </c>
      <c r="P988" s="2">
        <v>72.550734000000006</v>
      </c>
      <c r="Q988" s="2">
        <v>23.037291</v>
      </c>
    </row>
    <row r="989" spans="1:17" x14ac:dyDescent="0.25">
      <c r="A989" s="2">
        <v>1137</v>
      </c>
      <c r="B989" s="2" t="s">
        <v>82</v>
      </c>
      <c r="C989" s="2">
        <v>2</v>
      </c>
      <c r="D989" s="2">
        <f t="shared" si="150"/>
        <v>5.08</v>
      </c>
      <c r="E989" s="2">
        <f t="shared" si="151"/>
        <v>1.6170142218136567</v>
      </c>
      <c r="F989" s="2">
        <f t="shared" si="152"/>
        <v>0.63661977236758138</v>
      </c>
      <c r="G989" s="2">
        <v>12.378114</v>
      </c>
      <c r="H989" s="2">
        <f t="shared" si="153"/>
        <v>40.61061153576</v>
      </c>
      <c r="I989" s="2">
        <f>INDEX('Wood Density Lookup'!$B$2:$B$152,MATCH(B989,'Wood Density Lookup'!$A$2:$A$152,0))</f>
        <v>0.7</v>
      </c>
      <c r="J989" s="2">
        <f t="shared" si="154"/>
        <v>1.4147214450273882</v>
      </c>
      <c r="K989" s="2">
        <f t="shared" si="158"/>
        <v>0.39612200460766872</v>
      </c>
      <c r="L989" s="2">
        <f t="shared" si="159"/>
        <v>1.8108434496350569</v>
      </c>
      <c r="M989" s="2">
        <f t="shared" si="155"/>
        <v>1.3128615009854163</v>
      </c>
      <c r="N989" s="2">
        <f t="shared" si="156"/>
        <v>0.65643075049270816</v>
      </c>
      <c r="O989" s="2">
        <f t="shared" si="157"/>
        <v>2.4091008543082388</v>
      </c>
      <c r="P989" s="2">
        <v>72.550734000000006</v>
      </c>
      <c r="Q989" s="2">
        <v>23.038228</v>
      </c>
    </row>
    <row r="990" spans="1:17" x14ac:dyDescent="0.25">
      <c r="A990" s="2">
        <v>1138</v>
      </c>
      <c r="B990" s="2" t="s">
        <v>15</v>
      </c>
      <c r="C990" s="2">
        <v>8</v>
      </c>
      <c r="D990" s="2">
        <f t="shared" si="150"/>
        <v>20.32</v>
      </c>
      <c r="E990" s="2">
        <f t="shared" si="151"/>
        <v>6.4680568872546269</v>
      </c>
      <c r="F990" s="2">
        <f t="shared" si="152"/>
        <v>2.5464790894703255</v>
      </c>
      <c r="G990" s="2">
        <v>2.8070309999999998</v>
      </c>
      <c r="H990" s="2">
        <f t="shared" si="153"/>
        <v>9.2094195860399992</v>
      </c>
      <c r="I990" s="2">
        <f>INDEX('Wood Density Lookup'!$B$2:$B$152,MATCH(B990,'Wood Density Lookup'!$A$2:$A$152,0))</f>
        <v>0.75</v>
      </c>
      <c r="J990" s="2">
        <f t="shared" si="154"/>
        <v>5.3234680403891721</v>
      </c>
      <c r="K990" s="2">
        <f t="shared" si="158"/>
        <v>1.4905710513089683</v>
      </c>
      <c r="L990" s="2">
        <f t="shared" si="159"/>
        <v>6.8140390916981399</v>
      </c>
      <c r="M990" s="2">
        <f t="shared" si="155"/>
        <v>4.9401783414811513</v>
      </c>
      <c r="N990" s="2">
        <f t="shared" si="156"/>
        <v>2.4700891707405757</v>
      </c>
      <c r="O990" s="2">
        <f t="shared" si="157"/>
        <v>9.0652272566179128</v>
      </c>
      <c r="P990" s="2">
        <v>72.550735000000003</v>
      </c>
      <c r="Q990" s="2">
        <v>23.037624000000001</v>
      </c>
    </row>
    <row r="991" spans="1:17" x14ac:dyDescent="0.25">
      <c r="A991" s="2">
        <v>1139</v>
      </c>
      <c r="B991" s="2" t="s">
        <v>82</v>
      </c>
      <c r="C991" s="2">
        <v>2</v>
      </c>
      <c r="D991" s="2">
        <f t="shared" si="150"/>
        <v>5.08</v>
      </c>
      <c r="E991" s="2">
        <f t="shared" si="151"/>
        <v>1.6170142218136567</v>
      </c>
      <c r="F991" s="2">
        <f t="shared" si="152"/>
        <v>0.63661977236758138</v>
      </c>
      <c r="G991" s="2">
        <v>6.0104709999999999</v>
      </c>
      <c r="H991" s="2">
        <f t="shared" si="153"/>
        <v>19.719393675639999</v>
      </c>
      <c r="I991" s="2">
        <f>INDEX('Wood Density Lookup'!$B$2:$B$152,MATCH(B991,'Wood Density Lookup'!$A$2:$A$152,0))</f>
        <v>0.7</v>
      </c>
      <c r="J991" s="2">
        <f t="shared" si="154"/>
        <v>0.6989640965656464</v>
      </c>
      <c r="K991" s="2">
        <f t="shared" si="158"/>
        <v>0.19570994703838102</v>
      </c>
      <c r="L991" s="2">
        <f t="shared" si="159"/>
        <v>0.89467404360402747</v>
      </c>
      <c r="M991" s="2">
        <f t="shared" si="155"/>
        <v>0.64863868161291993</v>
      </c>
      <c r="N991" s="2">
        <f t="shared" si="156"/>
        <v>0.32431934080645997</v>
      </c>
      <c r="O991" s="2">
        <f t="shared" si="157"/>
        <v>1.1902519807597081</v>
      </c>
      <c r="P991" s="2">
        <v>72.550735000000003</v>
      </c>
      <c r="Q991" s="2">
        <v>23.038159</v>
      </c>
    </row>
    <row r="992" spans="1:17" x14ac:dyDescent="0.25">
      <c r="A992" s="2">
        <v>1140</v>
      </c>
      <c r="B992" s="2" t="s">
        <v>82</v>
      </c>
      <c r="C992" s="2">
        <v>3</v>
      </c>
      <c r="D992" s="2">
        <f t="shared" si="150"/>
        <v>7.62</v>
      </c>
      <c r="E992" s="2">
        <f t="shared" si="151"/>
        <v>2.4255213327204852</v>
      </c>
      <c r="F992" s="2">
        <f t="shared" si="152"/>
        <v>0.95492965855137202</v>
      </c>
      <c r="G992" s="2">
        <v>7.4215869999999997</v>
      </c>
      <c r="H992" s="2">
        <f t="shared" si="153"/>
        <v>24.349039493079999</v>
      </c>
      <c r="I992" s="2">
        <f>INDEX('Wood Density Lookup'!$B$2:$B$152,MATCH(B992,'Wood Density Lookup'!$A$2:$A$152,0))</f>
        <v>0.7</v>
      </c>
      <c r="J992" s="2">
        <f t="shared" si="154"/>
        <v>1.8948514303541446</v>
      </c>
      <c r="K992" s="2">
        <f t="shared" si="158"/>
        <v>0.53055840049916059</v>
      </c>
      <c r="L992" s="2">
        <f t="shared" si="159"/>
        <v>2.4254098308533054</v>
      </c>
      <c r="M992" s="2">
        <f t="shared" si="155"/>
        <v>1.7584221273686464</v>
      </c>
      <c r="N992" s="2">
        <f t="shared" si="156"/>
        <v>0.87921106368432322</v>
      </c>
      <c r="O992" s="2">
        <f t="shared" si="157"/>
        <v>3.2267046037214664</v>
      </c>
      <c r="P992" s="2">
        <v>72.550736000000001</v>
      </c>
      <c r="Q992" s="2">
        <v>23.038198000000001</v>
      </c>
    </row>
    <row r="993" spans="1:17" x14ac:dyDescent="0.25">
      <c r="A993" s="2">
        <v>1141</v>
      </c>
      <c r="B993" s="2" t="s">
        <v>82</v>
      </c>
      <c r="C993" s="2">
        <v>20</v>
      </c>
      <c r="D993" s="2">
        <f t="shared" si="150"/>
        <v>50.8</v>
      </c>
      <c r="E993" s="2">
        <f t="shared" si="151"/>
        <v>16.170142218136565</v>
      </c>
      <c r="F993" s="2">
        <f t="shared" si="152"/>
        <v>6.366197723675814</v>
      </c>
      <c r="G993" s="2">
        <v>10.771174999999999</v>
      </c>
      <c r="H993" s="2">
        <f t="shared" si="153"/>
        <v>35.338501786999998</v>
      </c>
      <c r="I993" s="2">
        <f>INDEX('Wood Density Lookup'!$B$2:$B$152,MATCH(B993,'Wood Density Lookup'!$A$2:$A$152,0))</f>
        <v>0.7</v>
      </c>
      <c r="J993" s="2">
        <f t="shared" si="154"/>
        <v>110.59332978294866</v>
      </c>
      <c r="K993" s="2">
        <f t="shared" si="158"/>
        <v>30.966132339225627</v>
      </c>
      <c r="L993" s="2">
        <f t="shared" si="159"/>
        <v>141.5594621221743</v>
      </c>
      <c r="M993" s="2">
        <f t="shared" si="155"/>
        <v>102.63061003857636</v>
      </c>
      <c r="N993" s="2">
        <f t="shared" si="156"/>
        <v>51.315305019288182</v>
      </c>
      <c r="O993" s="2">
        <f t="shared" si="157"/>
        <v>188.32716942078761</v>
      </c>
      <c r="P993" s="2">
        <v>72.550736999999998</v>
      </c>
      <c r="Q993" s="2">
        <v>23.037908999999999</v>
      </c>
    </row>
    <row r="994" spans="1:17" x14ac:dyDescent="0.25">
      <c r="A994" s="2">
        <v>1142</v>
      </c>
      <c r="B994" s="2" t="s">
        <v>9</v>
      </c>
      <c r="C994" s="2">
        <v>3</v>
      </c>
      <c r="D994" s="2">
        <f t="shared" si="150"/>
        <v>7.62</v>
      </c>
      <c r="E994" s="2">
        <f t="shared" si="151"/>
        <v>2.4255213327204852</v>
      </c>
      <c r="F994" s="2">
        <f t="shared" si="152"/>
        <v>0.95492965855137202</v>
      </c>
      <c r="G994" s="2">
        <v>1.3142290000000001</v>
      </c>
      <c r="H994" s="2">
        <f t="shared" si="153"/>
        <v>4.3117750723600006</v>
      </c>
      <c r="I994" s="2">
        <f>INDEX('Wood Density Lookup'!$B$2:$B$152,MATCH(B994,'Wood Density Lookup'!$A$2:$A$152,0))</f>
        <v>0.42</v>
      </c>
      <c r="J994" s="2">
        <f t="shared" si="154"/>
        <v>0.21245593381408812</v>
      </c>
      <c r="K994" s="2">
        <f t="shared" si="158"/>
        <v>5.948766146794468E-2</v>
      </c>
      <c r="L994" s="2">
        <f t="shared" si="159"/>
        <v>0.27194359528203282</v>
      </c>
      <c r="M994" s="2">
        <f t="shared" si="155"/>
        <v>0.1971591065794738</v>
      </c>
      <c r="N994" s="2">
        <f t="shared" si="156"/>
        <v>9.8579553289736901E-2</v>
      </c>
      <c r="O994" s="2">
        <f t="shared" si="157"/>
        <v>0.36178696057333443</v>
      </c>
      <c r="P994" s="2">
        <v>72.550736999999998</v>
      </c>
      <c r="Q994" s="2">
        <v>23.038065</v>
      </c>
    </row>
    <row r="995" spans="1:17" x14ac:dyDescent="0.25">
      <c r="A995" s="2">
        <v>1143</v>
      </c>
      <c r="B995" s="2" t="s">
        <v>15</v>
      </c>
      <c r="C995" s="2">
        <v>24</v>
      </c>
      <c r="D995" s="2">
        <f t="shared" si="150"/>
        <v>60.96</v>
      </c>
      <c r="E995" s="2">
        <f t="shared" si="151"/>
        <v>19.404170661763882</v>
      </c>
      <c r="F995" s="2">
        <f t="shared" si="152"/>
        <v>7.6394372684109761</v>
      </c>
      <c r="G995" s="2">
        <v>6.61</v>
      </c>
      <c r="H995" s="2">
        <f t="shared" si="153"/>
        <v>21.686352400000001</v>
      </c>
      <c r="I995" s="2">
        <f>INDEX('Wood Density Lookup'!$B$2:$B$152,MATCH(B995,'Wood Density Lookup'!$A$2:$A$152,0))</f>
        <v>0.75</v>
      </c>
      <c r="J995" s="2">
        <f t="shared" si="154"/>
        <v>104.84861280290424</v>
      </c>
      <c r="K995" s="2">
        <f t="shared" si="158"/>
        <v>29.357611584813192</v>
      </c>
      <c r="L995" s="2">
        <f t="shared" si="159"/>
        <v>134.20622438771744</v>
      </c>
      <c r="M995" s="2">
        <f t="shared" si="155"/>
        <v>97.299512681095138</v>
      </c>
      <c r="N995" s="2">
        <f t="shared" si="156"/>
        <v>48.649756340547569</v>
      </c>
      <c r="O995" s="2">
        <f t="shared" si="157"/>
        <v>178.54460576980958</v>
      </c>
      <c r="P995" s="2">
        <v>72.550737999999996</v>
      </c>
      <c r="Q995" s="2">
        <v>23.037112</v>
      </c>
    </row>
    <row r="996" spans="1:17" x14ac:dyDescent="0.25">
      <c r="A996" s="2">
        <v>1144</v>
      </c>
      <c r="B996" s="2" t="s">
        <v>8</v>
      </c>
      <c r="C996" s="2">
        <v>12</v>
      </c>
      <c r="D996" s="2">
        <f t="shared" si="150"/>
        <v>30.48</v>
      </c>
      <c r="E996" s="2">
        <f t="shared" si="151"/>
        <v>9.7020853308819408</v>
      </c>
      <c r="F996" s="2">
        <f t="shared" si="152"/>
        <v>3.8197186342054881</v>
      </c>
      <c r="G996" s="2">
        <v>3.674226</v>
      </c>
      <c r="H996" s="2">
        <f t="shared" si="153"/>
        <v>12.05454762984</v>
      </c>
      <c r="I996" s="2">
        <f>INDEX('Wood Density Lookup'!$B$2:$B$152,MATCH(B996,'Wood Density Lookup'!$A$2:$A$152,0))</f>
        <v>0.75</v>
      </c>
      <c r="J996" s="2">
        <f t="shared" si="154"/>
        <v>15.276976064502694</v>
      </c>
      <c r="K996" s="2">
        <f t="shared" si="158"/>
        <v>4.2775532980607549</v>
      </c>
      <c r="L996" s="2">
        <f t="shared" si="159"/>
        <v>19.55452936256345</v>
      </c>
      <c r="M996" s="2">
        <f t="shared" si="155"/>
        <v>14.1770337878585</v>
      </c>
      <c r="N996" s="2">
        <f t="shared" si="156"/>
        <v>7.08851689392925</v>
      </c>
      <c r="O996" s="2">
        <f t="shared" si="157"/>
        <v>26.014857000720347</v>
      </c>
      <c r="P996" s="2">
        <v>72.550737999999996</v>
      </c>
      <c r="Q996" s="2">
        <v>23.036750000000001</v>
      </c>
    </row>
    <row r="997" spans="1:17" x14ac:dyDescent="0.25">
      <c r="A997" s="2">
        <v>1145</v>
      </c>
      <c r="B997" s="2" t="s">
        <v>107</v>
      </c>
      <c r="C997" s="2">
        <v>4</v>
      </c>
      <c r="D997" s="2">
        <f t="shared" si="150"/>
        <v>10.16</v>
      </c>
      <c r="E997" s="2">
        <f t="shared" si="151"/>
        <v>3.2340284436273135</v>
      </c>
      <c r="F997" s="2">
        <f t="shared" si="152"/>
        <v>1.2732395447351628</v>
      </c>
      <c r="G997" s="2">
        <v>6.351629</v>
      </c>
      <c r="H997" s="2">
        <f t="shared" si="153"/>
        <v>20.838678488359999</v>
      </c>
      <c r="I997" s="2">
        <f>INDEX('Wood Density Lookup'!$B$2:$B$152,MATCH(B997,'Wood Density Lookup'!$A$2:$A$152,0))</f>
        <v>0.65</v>
      </c>
      <c r="J997" s="2">
        <f t="shared" si="154"/>
        <v>2.6549377745261986</v>
      </c>
      <c r="K997" s="2">
        <f t="shared" si="158"/>
        <v>0.74338257686733566</v>
      </c>
      <c r="L997" s="2">
        <f t="shared" si="159"/>
        <v>3.3983203513935343</v>
      </c>
      <c r="M997" s="2">
        <f t="shared" si="155"/>
        <v>2.4637822547603121</v>
      </c>
      <c r="N997" s="2">
        <f t="shared" si="156"/>
        <v>1.231891127380156</v>
      </c>
      <c r="O997" s="2">
        <f t="shared" si="157"/>
        <v>4.5210404374851727</v>
      </c>
      <c r="P997" s="2">
        <v>72.550738999999993</v>
      </c>
      <c r="Q997" s="2">
        <v>23.038685999999998</v>
      </c>
    </row>
    <row r="998" spans="1:17" x14ac:dyDescent="0.25">
      <c r="A998" s="2">
        <v>1146</v>
      </c>
      <c r="B998" s="2" t="s">
        <v>15</v>
      </c>
      <c r="C998" s="2">
        <v>6</v>
      </c>
      <c r="D998" s="2">
        <f t="shared" si="150"/>
        <v>15.24</v>
      </c>
      <c r="E998" s="2">
        <f t="shared" si="151"/>
        <v>4.8510426654409704</v>
      </c>
      <c r="F998" s="2">
        <f t="shared" si="152"/>
        <v>1.909859317102744</v>
      </c>
      <c r="G998" s="2">
        <v>7.833596</v>
      </c>
      <c r="H998" s="2">
        <f t="shared" si="153"/>
        <v>25.700775100640001</v>
      </c>
      <c r="I998" s="2">
        <f>INDEX('Wood Density Lookup'!$B$2:$B$152,MATCH(B998,'Wood Density Lookup'!$A$2:$A$152,0))</f>
        <v>0.75</v>
      </c>
      <c r="J998" s="2">
        <f t="shared" si="154"/>
        <v>8.2666787962069748</v>
      </c>
      <c r="K998" s="2">
        <f t="shared" si="158"/>
        <v>2.3146700629379531</v>
      </c>
      <c r="L998" s="2">
        <f t="shared" si="159"/>
        <v>10.581348859144928</v>
      </c>
      <c r="M998" s="2">
        <f t="shared" si="155"/>
        <v>7.6714779228800722</v>
      </c>
      <c r="N998" s="2">
        <f t="shared" si="156"/>
        <v>3.8357389614400361</v>
      </c>
      <c r="O998" s="2">
        <f t="shared" si="157"/>
        <v>14.077161988484931</v>
      </c>
      <c r="P998" s="2">
        <v>72.550738999999993</v>
      </c>
      <c r="Q998" s="2">
        <v>23.036854999999999</v>
      </c>
    </row>
    <row r="999" spans="1:17" x14ac:dyDescent="0.25">
      <c r="A999" s="2">
        <v>1147</v>
      </c>
      <c r="B999" s="2" t="s">
        <v>82</v>
      </c>
      <c r="C999" s="2">
        <v>8</v>
      </c>
      <c r="D999" s="2">
        <f t="shared" si="150"/>
        <v>20.32</v>
      </c>
      <c r="E999" s="2">
        <f t="shared" si="151"/>
        <v>6.4680568872546269</v>
      </c>
      <c r="F999" s="2">
        <f t="shared" si="152"/>
        <v>2.5464790894703255</v>
      </c>
      <c r="G999" s="2">
        <v>5.5894320000000004</v>
      </c>
      <c r="H999" s="2">
        <f t="shared" si="153"/>
        <v>18.338032082880002</v>
      </c>
      <c r="I999" s="2">
        <f>INDEX('Wood Density Lookup'!$B$2:$B$152,MATCH(B999,'Wood Density Lookup'!$A$2:$A$152,0))</f>
        <v>0.7</v>
      </c>
      <c r="J999" s="2">
        <f t="shared" si="154"/>
        <v>9.7474748195201091</v>
      </c>
      <c r="K999" s="2">
        <f t="shared" si="158"/>
        <v>2.7292929494656306</v>
      </c>
      <c r="L999" s="2">
        <f t="shared" si="159"/>
        <v>12.47676776898574</v>
      </c>
      <c r="M999" s="2">
        <f t="shared" si="155"/>
        <v>9.0456566325146603</v>
      </c>
      <c r="N999" s="2">
        <f t="shared" si="156"/>
        <v>4.5228283162573302</v>
      </c>
      <c r="O999" s="2">
        <f t="shared" si="157"/>
        <v>16.598779920664402</v>
      </c>
      <c r="P999" s="2">
        <v>72.550738999999993</v>
      </c>
      <c r="Q999" s="2">
        <v>23.038567</v>
      </c>
    </row>
    <row r="1000" spans="1:17" x14ac:dyDescent="0.25">
      <c r="A1000" s="2">
        <v>1148</v>
      </c>
      <c r="B1000" s="2" t="s">
        <v>82</v>
      </c>
      <c r="C1000" s="2">
        <v>13</v>
      </c>
      <c r="D1000" s="2">
        <f t="shared" si="150"/>
        <v>33.020000000000003</v>
      </c>
      <c r="E1000" s="2">
        <f t="shared" si="151"/>
        <v>10.51059244178877</v>
      </c>
      <c r="F1000" s="2">
        <f t="shared" si="152"/>
        <v>4.1380285203892786</v>
      </c>
      <c r="G1000" s="2">
        <v>10.546265</v>
      </c>
      <c r="H1000" s="2">
        <f t="shared" si="153"/>
        <v>34.600608062600003</v>
      </c>
      <c r="I1000" s="2">
        <f>INDEX('Wood Density Lookup'!$B$2:$B$152,MATCH(B1000,'Wood Density Lookup'!$A$2:$A$152,0))</f>
        <v>0.7</v>
      </c>
      <c r="J1000" s="2">
        <f t="shared" si="154"/>
        <v>46.72952320606678</v>
      </c>
      <c r="K1000" s="2">
        <f t="shared" si="158"/>
        <v>13.0842664976987</v>
      </c>
      <c r="L1000" s="2">
        <f t="shared" si="159"/>
        <v>59.81378970376548</v>
      </c>
      <c r="M1000" s="2">
        <f t="shared" si="155"/>
        <v>43.364997535229975</v>
      </c>
      <c r="N1000" s="2">
        <f t="shared" si="156"/>
        <v>21.682498767614987</v>
      </c>
      <c r="O1000" s="2">
        <f t="shared" si="157"/>
        <v>79.574770477146998</v>
      </c>
      <c r="P1000" s="2">
        <v>72.550740000000005</v>
      </c>
      <c r="Q1000" s="2">
        <v>23.038492000000002</v>
      </c>
    </row>
    <row r="1001" spans="1:17" x14ac:dyDescent="0.25">
      <c r="A1001" s="2">
        <v>1149</v>
      </c>
      <c r="B1001" s="2" t="s">
        <v>82</v>
      </c>
      <c r="C1001" s="2">
        <v>43</v>
      </c>
      <c r="D1001" s="2">
        <f t="shared" si="150"/>
        <v>109.22</v>
      </c>
      <c r="E1001" s="2">
        <f t="shared" si="151"/>
        <v>34.765805768993616</v>
      </c>
      <c r="F1001" s="2">
        <f t="shared" si="152"/>
        <v>13.687325105903</v>
      </c>
      <c r="G1001" s="2">
        <v>10.62</v>
      </c>
      <c r="H1001" s="2">
        <f t="shared" si="153"/>
        <v>34.842520799999996</v>
      </c>
      <c r="I1001" s="2">
        <f>INDEX('Wood Density Lookup'!$B$2:$B$152,MATCH(B1001,'Wood Density Lookup'!$A$2:$A$152,0))</f>
        <v>0.7</v>
      </c>
      <c r="J1001" s="2">
        <f t="shared" si="154"/>
        <v>486.02383535870752</v>
      </c>
      <c r="K1001" s="2">
        <f t="shared" si="158"/>
        <v>136.08667390043811</v>
      </c>
      <c r="L1001" s="2">
        <f t="shared" si="159"/>
        <v>622.1105092591456</v>
      </c>
      <c r="M1001" s="2">
        <f t="shared" si="155"/>
        <v>451.03011921288055</v>
      </c>
      <c r="N1001" s="2">
        <f t="shared" si="156"/>
        <v>225.51505960644027</v>
      </c>
      <c r="O1001" s="2">
        <f t="shared" si="157"/>
        <v>827.64026875563582</v>
      </c>
      <c r="P1001" s="2">
        <v>72.550741000000002</v>
      </c>
      <c r="Q1001" s="2">
        <v>23.037676999999999</v>
      </c>
    </row>
    <row r="1002" spans="1:17" x14ac:dyDescent="0.25">
      <c r="A1002" s="2">
        <v>1150</v>
      </c>
      <c r="B1002" s="2" t="s">
        <v>82</v>
      </c>
      <c r="C1002" s="2">
        <v>3</v>
      </c>
      <c r="D1002" s="2">
        <f t="shared" si="150"/>
        <v>7.62</v>
      </c>
      <c r="E1002" s="2">
        <f t="shared" si="151"/>
        <v>2.4255213327204852</v>
      </c>
      <c r="F1002" s="2">
        <f t="shared" si="152"/>
        <v>0.95492965855137202</v>
      </c>
      <c r="G1002" s="2">
        <v>2.3511880000000001</v>
      </c>
      <c r="H1002" s="2">
        <f t="shared" si="153"/>
        <v>7.7138716379200005</v>
      </c>
      <c r="I1002" s="2">
        <f>INDEX('Wood Density Lookup'!$B$2:$B$152,MATCH(B1002,'Wood Density Lookup'!$A$2:$A$152,0))</f>
        <v>0.7</v>
      </c>
      <c r="J1002" s="2">
        <f t="shared" si="154"/>
        <v>0.61708752067936046</v>
      </c>
      <c r="K1002" s="2">
        <f t="shared" si="158"/>
        <v>0.17278450579022095</v>
      </c>
      <c r="L1002" s="2">
        <f t="shared" si="159"/>
        <v>0.78987202646958143</v>
      </c>
      <c r="M1002" s="2">
        <f t="shared" si="155"/>
        <v>0.57265721919044654</v>
      </c>
      <c r="N1002" s="2">
        <f t="shared" si="156"/>
        <v>0.28632860959522327</v>
      </c>
      <c r="O1002" s="2">
        <f t="shared" si="157"/>
        <v>1.0508259972144693</v>
      </c>
      <c r="P1002" s="2">
        <v>72.550741000000002</v>
      </c>
      <c r="Q1002" s="2">
        <v>23.038004000000001</v>
      </c>
    </row>
    <row r="1003" spans="1:17" x14ac:dyDescent="0.25">
      <c r="A1003" s="2">
        <v>1151</v>
      </c>
      <c r="B1003" s="2" t="s">
        <v>82</v>
      </c>
      <c r="C1003" s="2">
        <v>21</v>
      </c>
      <c r="D1003" s="2">
        <f t="shared" si="150"/>
        <v>53.34</v>
      </c>
      <c r="E1003" s="2">
        <f t="shared" si="151"/>
        <v>16.978649329043396</v>
      </c>
      <c r="F1003" s="2">
        <f t="shared" si="152"/>
        <v>6.6845076098596046</v>
      </c>
      <c r="G1003" s="2">
        <v>5.63</v>
      </c>
      <c r="H1003" s="2">
        <f t="shared" si="153"/>
        <v>18.4711292</v>
      </c>
      <c r="I1003" s="2">
        <f>INDEX('Wood Density Lookup'!$B$2:$B$152,MATCH(B1003,'Wood Density Lookup'!$A$2:$A$152,0))</f>
        <v>0.7</v>
      </c>
      <c r="J1003" s="2">
        <f t="shared" si="154"/>
        <v>64.579974815335149</v>
      </c>
      <c r="K1003" s="2">
        <f t="shared" si="158"/>
        <v>18.082392948293844</v>
      </c>
      <c r="L1003" s="2">
        <f t="shared" si="159"/>
        <v>82.662367763628993</v>
      </c>
      <c r="M1003" s="2">
        <f t="shared" si="155"/>
        <v>59.930216628631015</v>
      </c>
      <c r="N1003" s="2">
        <f t="shared" si="156"/>
        <v>29.965108314315508</v>
      </c>
      <c r="O1003" s="2">
        <f t="shared" si="157"/>
        <v>109.97194751353791</v>
      </c>
      <c r="P1003" s="2">
        <v>72.550742</v>
      </c>
      <c r="Q1003" s="2">
        <v>23.037827</v>
      </c>
    </row>
    <row r="1004" spans="1:17" x14ac:dyDescent="0.25">
      <c r="A1004" s="2">
        <v>1152</v>
      </c>
      <c r="B1004" s="2" t="s">
        <v>82</v>
      </c>
      <c r="C1004" s="2">
        <v>14</v>
      </c>
      <c r="D1004" s="2">
        <f t="shared" si="150"/>
        <v>35.56</v>
      </c>
      <c r="E1004" s="2">
        <f t="shared" si="151"/>
        <v>11.319099552695597</v>
      </c>
      <c r="F1004" s="2">
        <f t="shared" si="152"/>
        <v>4.45633840657307</v>
      </c>
      <c r="G1004" s="2">
        <v>6.6058630000000003</v>
      </c>
      <c r="H1004" s="2">
        <f t="shared" si="153"/>
        <v>21.672779564919999</v>
      </c>
      <c r="I1004" s="2">
        <f>INDEX('Wood Density Lookup'!$B$2:$B$152,MATCH(B1004,'Wood Density Lookup'!$A$2:$A$152,0))</f>
        <v>0.7</v>
      </c>
      <c r="J1004" s="2">
        <f t="shared" si="154"/>
        <v>34.207614815385625</v>
      </c>
      <c r="K1004" s="2">
        <f t="shared" si="158"/>
        <v>9.5781321483079758</v>
      </c>
      <c r="L1004" s="2">
        <f t="shared" si="159"/>
        <v>43.785746963693597</v>
      </c>
      <c r="M1004" s="2">
        <f t="shared" si="155"/>
        <v>31.744666548677856</v>
      </c>
      <c r="N1004" s="2">
        <f t="shared" si="156"/>
        <v>15.872333274338928</v>
      </c>
      <c r="O1004" s="2">
        <f t="shared" si="157"/>
        <v>58.251463116823864</v>
      </c>
      <c r="P1004" s="2">
        <v>72.550743999999995</v>
      </c>
      <c r="Q1004" s="2">
        <v>23.037022</v>
      </c>
    </row>
    <row r="1005" spans="1:17" x14ac:dyDescent="0.25">
      <c r="A1005" s="2">
        <v>1153</v>
      </c>
      <c r="B1005" s="2" t="s">
        <v>82</v>
      </c>
      <c r="C1005" s="2">
        <v>27</v>
      </c>
      <c r="D1005" s="2">
        <f t="shared" si="150"/>
        <v>68.58</v>
      </c>
      <c r="E1005" s="2">
        <f t="shared" si="151"/>
        <v>21.829691994484364</v>
      </c>
      <c r="F1005" s="2">
        <f t="shared" si="152"/>
        <v>8.5943669269623477</v>
      </c>
      <c r="G1005" s="2">
        <v>10.54</v>
      </c>
      <c r="H1005" s="2">
        <f t="shared" si="153"/>
        <v>34.580053599999999</v>
      </c>
      <c r="I1005" s="2">
        <f>INDEX('Wood Density Lookup'!$B$2:$B$152,MATCH(B1005,'Wood Density Lookup'!$A$2:$A$152,0))</f>
        <v>0.7</v>
      </c>
      <c r="J1005" s="2">
        <f t="shared" si="154"/>
        <v>194.51097844185247</v>
      </c>
      <c r="K1005" s="2">
        <f t="shared" si="158"/>
        <v>54.463073963718699</v>
      </c>
      <c r="L1005" s="2">
        <f t="shared" si="159"/>
        <v>248.97405240557117</v>
      </c>
      <c r="M1005" s="2">
        <f t="shared" si="155"/>
        <v>180.5061879940391</v>
      </c>
      <c r="N1005" s="2">
        <f t="shared" si="156"/>
        <v>90.253093997019548</v>
      </c>
      <c r="O1005" s="2">
        <f t="shared" si="157"/>
        <v>331.22885496906173</v>
      </c>
      <c r="P1005" s="2">
        <v>72.550743999999995</v>
      </c>
      <c r="Q1005" s="2">
        <v>23.037597999999999</v>
      </c>
    </row>
    <row r="1006" spans="1:17" x14ac:dyDescent="0.25">
      <c r="A1006" s="2">
        <v>1154</v>
      </c>
      <c r="B1006" s="2" t="s">
        <v>82</v>
      </c>
      <c r="C1006" s="2">
        <v>2</v>
      </c>
      <c r="D1006" s="2">
        <f t="shared" si="150"/>
        <v>5.08</v>
      </c>
      <c r="E1006" s="2">
        <f t="shared" si="151"/>
        <v>1.6170142218136567</v>
      </c>
      <c r="F1006" s="2">
        <f t="shared" si="152"/>
        <v>0.63661977236758138</v>
      </c>
      <c r="G1006" s="2">
        <v>2.8165230000000001</v>
      </c>
      <c r="H1006" s="2">
        <f t="shared" si="153"/>
        <v>9.2405613193200011</v>
      </c>
      <c r="I1006" s="2">
        <f>INDEX('Wood Density Lookup'!$B$2:$B$152,MATCH(B1006,'Wood Density Lookup'!$A$2:$A$152,0))</f>
        <v>0.7</v>
      </c>
      <c r="J1006" s="2">
        <f t="shared" si="154"/>
        <v>0.33354954225255257</v>
      </c>
      <c r="K1006" s="2">
        <f t="shared" si="158"/>
        <v>9.3393871830714723E-2</v>
      </c>
      <c r="L1006" s="2">
        <f t="shared" si="159"/>
        <v>0.4269434140832673</v>
      </c>
      <c r="M1006" s="2">
        <f t="shared" si="155"/>
        <v>0.30953397521036879</v>
      </c>
      <c r="N1006" s="2">
        <f t="shared" si="156"/>
        <v>0.1547669876051844</v>
      </c>
      <c r="O1006" s="2">
        <f t="shared" si="157"/>
        <v>0.56799484451102678</v>
      </c>
      <c r="P1006" s="2">
        <v>72.550743999999995</v>
      </c>
      <c r="Q1006" s="2">
        <v>23.037333</v>
      </c>
    </row>
    <row r="1007" spans="1:17" x14ac:dyDescent="0.25">
      <c r="A1007" s="2">
        <v>1155</v>
      </c>
      <c r="B1007" s="2" t="s">
        <v>82</v>
      </c>
      <c r="C1007" s="2">
        <v>5</v>
      </c>
      <c r="D1007" s="2">
        <f t="shared" si="150"/>
        <v>12.7</v>
      </c>
      <c r="E1007" s="2">
        <f t="shared" si="151"/>
        <v>4.0425355545341413</v>
      </c>
      <c r="F1007" s="2">
        <f t="shared" si="152"/>
        <v>1.5915494309189535</v>
      </c>
      <c r="G1007" s="2">
        <v>7.987419</v>
      </c>
      <c r="H1007" s="2">
        <f t="shared" si="153"/>
        <v>26.205443751960001</v>
      </c>
      <c r="I1007" s="2">
        <f>INDEX('Wood Density Lookup'!$B$2:$B$152,MATCH(B1007,'Wood Density Lookup'!$A$2:$A$152,0))</f>
        <v>0.7</v>
      </c>
      <c r="J1007" s="2">
        <f t="shared" si="154"/>
        <v>5.5178231242818523</v>
      </c>
      <c r="K1007" s="2">
        <f t="shared" si="158"/>
        <v>1.5449904747989187</v>
      </c>
      <c r="L1007" s="2">
        <f t="shared" si="159"/>
        <v>7.062813599080771</v>
      </c>
      <c r="M1007" s="2">
        <f t="shared" si="155"/>
        <v>5.1205398593335589</v>
      </c>
      <c r="N1007" s="2">
        <f t="shared" si="156"/>
        <v>2.5602699296667795</v>
      </c>
      <c r="O1007" s="2">
        <f t="shared" si="157"/>
        <v>9.3961906418770802</v>
      </c>
      <c r="P1007" s="2">
        <v>72.550743999999995</v>
      </c>
      <c r="Q1007" s="2">
        <v>23.037462999999999</v>
      </c>
    </row>
    <row r="1008" spans="1:17" x14ac:dyDescent="0.25">
      <c r="A1008" s="2">
        <v>1156</v>
      </c>
      <c r="B1008" s="2" t="s">
        <v>82</v>
      </c>
      <c r="C1008" s="2">
        <v>21</v>
      </c>
      <c r="D1008" s="2">
        <f t="shared" si="150"/>
        <v>53.34</v>
      </c>
      <c r="E1008" s="2">
        <f t="shared" si="151"/>
        <v>16.978649329043396</v>
      </c>
      <c r="F1008" s="2">
        <f t="shared" si="152"/>
        <v>6.6845076098596046</v>
      </c>
      <c r="G1008" s="2">
        <v>8.6394710000000003</v>
      </c>
      <c r="H1008" s="2">
        <f t="shared" si="153"/>
        <v>28.34472203564</v>
      </c>
      <c r="I1008" s="2">
        <f>INDEX('Wood Density Lookup'!$B$2:$B$152,MATCH(B1008,'Wood Density Lookup'!$A$2:$A$152,0))</f>
        <v>0.7</v>
      </c>
      <c r="J1008" s="2">
        <f t="shared" si="154"/>
        <v>98.087380720943898</v>
      </c>
      <c r="K1008" s="2">
        <f t="shared" si="158"/>
        <v>27.464466601864295</v>
      </c>
      <c r="L1008" s="2">
        <f t="shared" si="159"/>
        <v>125.55184732280819</v>
      </c>
      <c r="M1008" s="2">
        <f t="shared" si="155"/>
        <v>91.025089309035934</v>
      </c>
      <c r="N1008" s="2">
        <f t="shared" si="156"/>
        <v>45.512544654517967</v>
      </c>
      <c r="O1008" s="2">
        <f t="shared" si="157"/>
        <v>167.03103888208094</v>
      </c>
      <c r="P1008" s="2">
        <v>72.550747000000001</v>
      </c>
      <c r="Q1008" s="2">
        <v>23.036975000000002</v>
      </c>
    </row>
    <row r="1009" spans="1:17" x14ac:dyDescent="0.25">
      <c r="A1009" s="2">
        <v>1157</v>
      </c>
      <c r="B1009" s="2" t="s">
        <v>82</v>
      </c>
      <c r="C1009" s="2">
        <v>9</v>
      </c>
      <c r="D1009" s="2">
        <f t="shared" si="150"/>
        <v>22.86</v>
      </c>
      <c r="E1009" s="2">
        <f t="shared" si="151"/>
        <v>7.2765639981614552</v>
      </c>
      <c r="F1009" s="2">
        <f t="shared" si="152"/>
        <v>2.8647889756541161</v>
      </c>
      <c r="G1009" s="2">
        <v>6.1922879999999996</v>
      </c>
      <c r="H1009" s="2">
        <f t="shared" si="153"/>
        <v>20.315906161919997</v>
      </c>
      <c r="I1009" s="2">
        <f>INDEX('Wood Density Lookup'!$B$2:$B$152,MATCH(B1009,'Wood Density Lookup'!$A$2:$A$152,0))</f>
        <v>0.7</v>
      </c>
      <c r="J1009" s="2">
        <f t="shared" si="154"/>
        <v>13.556816338470954</v>
      </c>
      <c r="K1009" s="2">
        <f t="shared" si="158"/>
        <v>3.7959085747718673</v>
      </c>
      <c r="L1009" s="2">
        <f t="shared" si="159"/>
        <v>17.35272491324282</v>
      </c>
      <c r="M1009" s="2">
        <f t="shared" si="155"/>
        <v>12.580725562101044</v>
      </c>
      <c r="N1009" s="2">
        <f t="shared" si="156"/>
        <v>6.290362781050522</v>
      </c>
      <c r="O1009" s="2">
        <f t="shared" si="157"/>
        <v>23.085631406455416</v>
      </c>
      <c r="P1009" s="2">
        <v>72.550748999999996</v>
      </c>
      <c r="Q1009" s="2">
        <v>23.038563</v>
      </c>
    </row>
    <row r="1010" spans="1:17" x14ac:dyDescent="0.25">
      <c r="A1010" s="2">
        <v>1158</v>
      </c>
      <c r="B1010" s="2" t="s">
        <v>82</v>
      </c>
      <c r="C1010" s="2">
        <v>17</v>
      </c>
      <c r="D1010" s="2">
        <f t="shared" si="150"/>
        <v>43.18</v>
      </c>
      <c r="E1010" s="2">
        <f t="shared" si="151"/>
        <v>13.744620885416081</v>
      </c>
      <c r="F1010" s="2">
        <f t="shared" si="152"/>
        <v>5.4112680651244416</v>
      </c>
      <c r="G1010" s="2">
        <v>9.3092790000000001</v>
      </c>
      <c r="H1010" s="2">
        <f t="shared" si="153"/>
        <v>30.542254914360001</v>
      </c>
      <c r="I1010" s="2">
        <f>INDEX('Wood Density Lookup'!$B$2:$B$152,MATCH(B1010,'Wood Density Lookup'!$A$2:$A$152,0))</f>
        <v>0.7</v>
      </c>
      <c r="J1010" s="2">
        <f t="shared" si="154"/>
        <v>69.84381774401642</v>
      </c>
      <c r="K1010" s="2">
        <f t="shared" si="158"/>
        <v>19.556268968324598</v>
      </c>
      <c r="L1010" s="2">
        <f t="shared" si="159"/>
        <v>89.400086712341022</v>
      </c>
      <c r="M1010" s="2">
        <f t="shared" si="155"/>
        <v>64.815062866447235</v>
      </c>
      <c r="N1010" s="2">
        <f t="shared" si="156"/>
        <v>32.407531433223618</v>
      </c>
      <c r="O1010" s="2">
        <f t="shared" si="157"/>
        <v>118.93564035993067</v>
      </c>
      <c r="P1010" s="2">
        <v>72.550748999999996</v>
      </c>
      <c r="Q1010" s="2">
        <v>23.037437000000001</v>
      </c>
    </row>
    <row r="1011" spans="1:17" x14ac:dyDescent="0.25">
      <c r="A1011" s="2">
        <v>1159</v>
      </c>
      <c r="B1011" s="2" t="s">
        <v>37</v>
      </c>
      <c r="C1011" s="2">
        <v>198</v>
      </c>
      <c r="D1011" s="2">
        <f t="shared" si="150"/>
        <v>502.92</v>
      </c>
      <c r="E1011" s="2">
        <f t="shared" si="151"/>
        <v>160.08440795955201</v>
      </c>
      <c r="F1011" s="2">
        <f t="shared" si="152"/>
        <v>63.025357464390552</v>
      </c>
      <c r="G1011" s="2">
        <v>4.7944750000000003</v>
      </c>
      <c r="H1011" s="2">
        <f t="shared" si="153"/>
        <v>15.729905359</v>
      </c>
      <c r="I1011" s="2">
        <f>INDEX('Wood Density Lookup'!$B$2:$B$152,MATCH(B1011,'Wood Density Lookup'!$A$2:$A$152,0))</f>
        <v>0.27</v>
      </c>
      <c r="J1011" s="2">
        <f t="shared" si="154"/>
        <v>1739.0764969713694</v>
      </c>
      <c r="K1011" s="2">
        <f t="shared" si="158"/>
        <v>486.94141915198344</v>
      </c>
      <c r="L1011" s="2">
        <f t="shared" si="159"/>
        <v>2226.0179161233527</v>
      </c>
      <c r="M1011" s="2">
        <f t="shared" si="155"/>
        <v>1613.8629891894307</v>
      </c>
      <c r="N1011" s="2">
        <f t="shared" si="156"/>
        <v>806.93149459471533</v>
      </c>
      <c r="O1011" s="2">
        <f t="shared" si="157"/>
        <v>2961.4385851626052</v>
      </c>
      <c r="P1011" s="2">
        <v>72.550749999999994</v>
      </c>
      <c r="Q1011" s="2">
        <v>23.035036999999999</v>
      </c>
    </row>
    <row r="1012" spans="1:17" x14ac:dyDescent="0.25">
      <c r="A1012" s="2">
        <v>1160</v>
      </c>
      <c r="B1012" s="2" t="s">
        <v>82</v>
      </c>
      <c r="C1012" s="2">
        <v>24</v>
      </c>
      <c r="D1012" s="2">
        <f t="shared" si="150"/>
        <v>60.96</v>
      </c>
      <c r="E1012" s="2">
        <f t="shared" si="151"/>
        <v>19.404170661763882</v>
      </c>
      <c r="F1012" s="2">
        <f t="shared" si="152"/>
        <v>7.6394372684109761</v>
      </c>
      <c r="G1012" s="2">
        <v>10.172629000000001</v>
      </c>
      <c r="H1012" s="2">
        <f t="shared" si="153"/>
        <v>33.374768128360003</v>
      </c>
      <c r="I1012" s="2">
        <f>INDEX('Wood Density Lookup'!$B$2:$B$152,MATCH(B1012,'Wood Density Lookup'!$A$2:$A$152,0))</f>
        <v>0.7</v>
      </c>
      <c r="J1012" s="2">
        <f t="shared" si="154"/>
        <v>149.29895480871431</v>
      </c>
      <c r="K1012" s="2">
        <f t="shared" si="158"/>
        <v>41.803707346440014</v>
      </c>
      <c r="L1012" s="2">
        <f t="shared" si="159"/>
        <v>191.10266215515432</v>
      </c>
      <c r="M1012" s="2">
        <f t="shared" si="155"/>
        <v>138.54943006248689</v>
      </c>
      <c r="N1012" s="2">
        <f t="shared" si="156"/>
        <v>69.274715031243446</v>
      </c>
      <c r="O1012" s="2">
        <f t="shared" si="157"/>
        <v>254.23820416466344</v>
      </c>
      <c r="P1012" s="2">
        <v>72.550751000000005</v>
      </c>
      <c r="Q1012" s="2">
        <v>23.03829</v>
      </c>
    </row>
    <row r="1013" spans="1:17" x14ac:dyDescent="0.25">
      <c r="A1013" s="2">
        <v>1161</v>
      </c>
      <c r="B1013" s="2" t="s">
        <v>93</v>
      </c>
      <c r="C1013" s="2">
        <v>2</v>
      </c>
      <c r="D1013" s="2">
        <f t="shared" si="150"/>
        <v>5.08</v>
      </c>
      <c r="E1013" s="2">
        <f t="shared" si="151"/>
        <v>1.6170142218136567</v>
      </c>
      <c r="F1013" s="2">
        <f t="shared" si="152"/>
        <v>0.63661977236758138</v>
      </c>
      <c r="G1013" s="2">
        <v>7.3051219999999999</v>
      </c>
      <c r="H1013" s="2">
        <f t="shared" si="153"/>
        <v>23.96693646248</v>
      </c>
      <c r="I1013" s="2">
        <f>INDEX('Wood Density Lookup'!$B$2:$B$152,MATCH(B1013,'Wood Density Lookup'!$A$2:$A$152,0))</f>
        <v>0.9</v>
      </c>
      <c r="J1013" s="2">
        <f t="shared" si="154"/>
        <v>1.0806015403480143</v>
      </c>
      <c r="K1013" s="2">
        <f t="shared" si="158"/>
        <v>0.30256843129744404</v>
      </c>
      <c r="L1013" s="2">
        <f t="shared" si="159"/>
        <v>1.3831699716454584</v>
      </c>
      <c r="M1013" s="2">
        <f t="shared" si="155"/>
        <v>1.0027982294429574</v>
      </c>
      <c r="N1013" s="2">
        <f t="shared" si="156"/>
        <v>0.50139911472147869</v>
      </c>
      <c r="O1013" s="2">
        <f t="shared" si="157"/>
        <v>1.8401347510278268</v>
      </c>
      <c r="P1013" s="2">
        <v>72.550752000000003</v>
      </c>
      <c r="Q1013" s="2">
        <v>23.038654999999999</v>
      </c>
    </row>
    <row r="1014" spans="1:17" x14ac:dyDescent="0.25">
      <c r="A1014" s="2">
        <v>1162</v>
      </c>
      <c r="B1014" s="2" t="s">
        <v>82</v>
      </c>
      <c r="C1014" s="2">
        <v>23</v>
      </c>
      <c r="D1014" s="2">
        <f t="shared" si="150"/>
        <v>58.42</v>
      </c>
      <c r="E1014" s="2">
        <f t="shared" si="151"/>
        <v>18.595663550857051</v>
      </c>
      <c r="F1014" s="2">
        <f t="shared" si="152"/>
        <v>7.3211273822271856</v>
      </c>
      <c r="G1014" s="2">
        <v>5.1937439999999997</v>
      </c>
      <c r="H1014" s="2">
        <f t="shared" si="153"/>
        <v>17.039843064959999</v>
      </c>
      <c r="I1014" s="2">
        <f>INDEX('Wood Density Lookup'!$B$2:$B$152,MATCH(B1014,'Wood Density Lookup'!$A$2:$A$152,0))</f>
        <v>0.7</v>
      </c>
      <c r="J1014" s="2">
        <f t="shared" si="154"/>
        <v>71.290450150928777</v>
      </c>
      <c r="K1014" s="2">
        <f t="shared" si="158"/>
        <v>19.961326042260058</v>
      </c>
      <c r="L1014" s="2">
        <f t="shared" si="159"/>
        <v>91.251776193188832</v>
      </c>
      <c r="M1014" s="2">
        <f t="shared" si="155"/>
        <v>66.157537740061898</v>
      </c>
      <c r="N1014" s="2">
        <f t="shared" si="156"/>
        <v>33.078768870030949</v>
      </c>
      <c r="O1014" s="2">
        <f t="shared" si="157"/>
        <v>121.39908175301358</v>
      </c>
      <c r="P1014" s="2">
        <v>72.550753</v>
      </c>
      <c r="Q1014" s="2">
        <v>23.038615</v>
      </c>
    </row>
    <row r="1015" spans="1:17" x14ac:dyDescent="0.25">
      <c r="A1015" s="2">
        <v>1163</v>
      </c>
      <c r="B1015" s="2" t="s">
        <v>117</v>
      </c>
      <c r="C1015" s="2">
        <v>28</v>
      </c>
      <c r="D1015" s="2">
        <f t="shared" si="150"/>
        <v>71.12</v>
      </c>
      <c r="E1015" s="2">
        <f t="shared" si="151"/>
        <v>22.638199105391195</v>
      </c>
      <c r="F1015" s="2">
        <f t="shared" si="152"/>
        <v>8.91267681314614</v>
      </c>
      <c r="G1015" s="2">
        <v>10.249599</v>
      </c>
      <c r="H1015" s="2">
        <f t="shared" si="153"/>
        <v>33.627294383159999</v>
      </c>
      <c r="I1015" s="2">
        <f>INDEX('Wood Density Lookup'!$B$2:$B$152,MATCH(B1015,'Wood Density Lookup'!$A$2:$A$152,0))</f>
        <v>0.75</v>
      </c>
      <c r="J1015" s="2">
        <f t="shared" si="154"/>
        <v>217.3582392981007</v>
      </c>
      <c r="K1015" s="2">
        <f t="shared" si="158"/>
        <v>60.860307003468201</v>
      </c>
      <c r="L1015" s="2">
        <f t="shared" si="159"/>
        <v>278.21854630156889</v>
      </c>
      <c r="M1015" s="2">
        <f t="shared" si="155"/>
        <v>201.70844606863744</v>
      </c>
      <c r="N1015" s="2">
        <f t="shared" si="156"/>
        <v>100.85422303431872</v>
      </c>
      <c r="O1015" s="2">
        <f t="shared" si="157"/>
        <v>370.13499853594971</v>
      </c>
      <c r="P1015" s="2">
        <v>72.550753999999998</v>
      </c>
      <c r="Q1015" s="2">
        <v>23.037527999999998</v>
      </c>
    </row>
    <row r="1016" spans="1:17" x14ac:dyDescent="0.25">
      <c r="A1016" s="2">
        <v>1164</v>
      </c>
      <c r="B1016" s="2" t="s">
        <v>82</v>
      </c>
      <c r="C1016" s="2">
        <v>22</v>
      </c>
      <c r="D1016" s="2">
        <f t="shared" si="150"/>
        <v>55.88</v>
      </c>
      <c r="E1016" s="2">
        <f t="shared" si="151"/>
        <v>17.787156439950223</v>
      </c>
      <c r="F1016" s="2">
        <f t="shared" si="152"/>
        <v>7.0028174960433951</v>
      </c>
      <c r="G1016" s="2">
        <v>12.254681</v>
      </c>
      <c r="H1016" s="2">
        <f t="shared" si="153"/>
        <v>40.205647612039996</v>
      </c>
      <c r="I1016" s="2">
        <f>INDEX('Wood Density Lookup'!$B$2:$B$152,MATCH(B1016,'Wood Density Lookup'!$A$2:$A$152,0))</f>
        <v>0.7</v>
      </c>
      <c r="J1016" s="2">
        <f t="shared" si="154"/>
        <v>151.08503516689692</v>
      </c>
      <c r="K1016" s="2">
        <f t="shared" si="158"/>
        <v>42.303809846731141</v>
      </c>
      <c r="L1016" s="2">
        <f t="shared" si="159"/>
        <v>193.38884501362804</v>
      </c>
      <c r="M1016" s="2">
        <f t="shared" si="155"/>
        <v>140.20691263488033</v>
      </c>
      <c r="N1016" s="2">
        <f t="shared" si="156"/>
        <v>70.103456317440163</v>
      </c>
      <c r="O1016" s="2">
        <f t="shared" si="157"/>
        <v>257.27968468500541</v>
      </c>
      <c r="P1016" s="2">
        <v>72.550753999999998</v>
      </c>
      <c r="Q1016" s="2">
        <v>23.038242</v>
      </c>
    </row>
    <row r="1017" spans="1:17" x14ac:dyDescent="0.25">
      <c r="A1017" s="2">
        <v>1165</v>
      </c>
      <c r="B1017" s="2" t="s">
        <v>82</v>
      </c>
      <c r="C1017" s="2">
        <v>4</v>
      </c>
      <c r="D1017" s="2">
        <f t="shared" si="150"/>
        <v>10.16</v>
      </c>
      <c r="E1017" s="2">
        <f t="shared" si="151"/>
        <v>3.2340284436273135</v>
      </c>
      <c r="F1017" s="2">
        <f t="shared" si="152"/>
        <v>1.2732395447351628</v>
      </c>
      <c r="G1017" s="2">
        <v>4.972003</v>
      </c>
      <c r="H1017" s="2">
        <f t="shared" si="153"/>
        <v>16.31234632252</v>
      </c>
      <c r="I1017" s="2">
        <f>INDEX('Wood Density Lookup'!$B$2:$B$152,MATCH(B1017,'Wood Density Lookup'!$A$2:$A$152,0))</f>
        <v>0.7</v>
      </c>
      <c r="J1017" s="2">
        <f t="shared" si="154"/>
        <v>2.2473222237101735</v>
      </c>
      <c r="K1017" s="2">
        <f t="shared" si="158"/>
        <v>0.62925022263884867</v>
      </c>
      <c r="L1017" s="2">
        <f t="shared" si="159"/>
        <v>2.8765724463490221</v>
      </c>
      <c r="M1017" s="2">
        <f t="shared" si="155"/>
        <v>2.0855150236030409</v>
      </c>
      <c r="N1017" s="2">
        <f t="shared" si="156"/>
        <v>1.0427575118015204</v>
      </c>
      <c r="O1017" s="2">
        <f t="shared" si="157"/>
        <v>3.8269200683115798</v>
      </c>
      <c r="P1017" s="2">
        <v>72.550757000000004</v>
      </c>
      <c r="Q1017" s="2">
        <v>23.036749</v>
      </c>
    </row>
    <row r="1018" spans="1:17" x14ac:dyDescent="0.25">
      <c r="A1018" s="2">
        <v>1166</v>
      </c>
      <c r="B1018" s="2" t="s">
        <v>93</v>
      </c>
      <c r="C1018" s="2">
        <v>4</v>
      </c>
      <c r="D1018" s="2">
        <f t="shared" si="150"/>
        <v>10.16</v>
      </c>
      <c r="E1018" s="2">
        <f t="shared" si="151"/>
        <v>3.2340284436273135</v>
      </c>
      <c r="F1018" s="2">
        <f t="shared" si="152"/>
        <v>1.2732395447351628</v>
      </c>
      <c r="G1018" s="2">
        <v>2.1322329999999998</v>
      </c>
      <c r="H1018" s="2">
        <f t="shared" si="153"/>
        <v>6.9955153157199996</v>
      </c>
      <c r="I1018" s="2">
        <f>INDEX('Wood Density Lookup'!$B$2:$B$152,MATCH(B1018,'Wood Density Lookup'!$A$2:$A$152,0))</f>
        <v>0.9</v>
      </c>
      <c r="J1018" s="2">
        <f t="shared" si="154"/>
        <v>1.2569510020481116</v>
      </c>
      <c r="K1018" s="2">
        <f t="shared" si="158"/>
        <v>0.35194628057347127</v>
      </c>
      <c r="L1018" s="2">
        <f t="shared" si="159"/>
        <v>1.6088972826215828</v>
      </c>
      <c r="M1018" s="2">
        <f t="shared" si="155"/>
        <v>1.1664505299006476</v>
      </c>
      <c r="N1018" s="2">
        <f t="shared" si="156"/>
        <v>0.58322526495032379</v>
      </c>
      <c r="O1018" s="2">
        <f t="shared" si="157"/>
        <v>2.1404367223676881</v>
      </c>
      <c r="P1018" s="2">
        <v>72.550758999999999</v>
      </c>
      <c r="Q1018" s="2">
        <v>23.036840999999999</v>
      </c>
    </row>
    <row r="1019" spans="1:17" x14ac:dyDescent="0.25">
      <c r="A1019" s="2">
        <v>1167</v>
      </c>
      <c r="B1019" s="2" t="s">
        <v>82</v>
      </c>
      <c r="C1019" s="2">
        <v>8</v>
      </c>
      <c r="D1019" s="2">
        <f t="shared" si="150"/>
        <v>20.32</v>
      </c>
      <c r="E1019" s="2">
        <f t="shared" si="151"/>
        <v>6.4680568872546269</v>
      </c>
      <c r="F1019" s="2">
        <f t="shared" si="152"/>
        <v>2.5464790894703255</v>
      </c>
      <c r="G1019" s="2">
        <v>7.2876649999999996</v>
      </c>
      <c r="H1019" s="2">
        <f t="shared" si="153"/>
        <v>23.909662838599999</v>
      </c>
      <c r="I1019" s="2">
        <f>INDEX('Wood Density Lookup'!$B$2:$B$152,MATCH(B1019,'Wood Density Lookup'!$A$2:$A$152,0))</f>
        <v>0.7</v>
      </c>
      <c r="J1019" s="2">
        <f t="shared" si="154"/>
        <v>12.628377284063147</v>
      </c>
      <c r="K1019" s="2">
        <f t="shared" si="158"/>
        <v>3.5359456395376814</v>
      </c>
      <c r="L1019" s="2">
        <f t="shared" si="159"/>
        <v>16.164322923600828</v>
      </c>
      <c r="M1019" s="2">
        <f t="shared" si="155"/>
        <v>11.719134119610599</v>
      </c>
      <c r="N1019" s="2">
        <f t="shared" si="156"/>
        <v>5.8595670598052996</v>
      </c>
      <c r="O1019" s="2">
        <f t="shared" si="157"/>
        <v>21.504611109485449</v>
      </c>
      <c r="P1019" s="2">
        <v>72.550759999999997</v>
      </c>
      <c r="Q1019" s="2">
        <v>23.036804</v>
      </c>
    </row>
    <row r="1020" spans="1:17" x14ac:dyDescent="0.25">
      <c r="A1020" s="2">
        <v>1168</v>
      </c>
      <c r="B1020" s="2" t="s">
        <v>82</v>
      </c>
      <c r="C1020" s="2">
        <v>14</v>
      </c>
      <c r="D1020" s="2">
        <f t="shared" si="150"/>
        <v>35.56</v>
      </c>
      <c r="E1020" s="2">
        <f t="shared" si="151"/>
        <v>11.319099552695597</v>
      </c>
      <c r="F1020" s="2">
        <f t="shared" si="152"/>
        <v>4.45633840657307</v>
      </c>
      <c r="G1020" s="2">
        <v>7.1487189999999998</v>
      </c>
      <c r="H1020" s="2">
        <f t="shared" si="153"/>
        <v>23.453803243959999</v>
      </c>
      <c r="I1020" s="2">
        <f>INDEX('Wood Density Lookup'!$B$2:$B$152,MATCH(B1020,'Wood Density Lookup'!$A$2:$A$152,0))</f>
        <v>0.7</v>
      </c>
      <c r="J1020" s="2">
        <f t="shared" si="154"/>
        <v>36.948625666336476</v>
      </c>
      <c r="K1020" s="2">
        <f t="shared" si="158"/>
        <v>10.345615186574214</v>
      </c>
      <c r="L1020" s="2">
        <f t="shared" si="159"/>
        <v>47.29424085291069</v>
      </c>
      <c r="M1020" s="2">
        <f t="shared" si="155"/>
        <v>34.288324618360249</v>
      </c>
      <c r="N1020" s="2">
        <f t="shared" si="156"/>
        <v>17.144162309180125</v>
      </c>
      <c r="O1020" s="2">
        <f t="shared" si="157"/>
        <v>62.919075674691058</v>
      </c>
      <c r="P1020" s="2">
        <v>72.550759999999997</v>
      </c>
      <c r="Q1020" s="2">
        <v>23.038589000000002</v>
      </c>
    </row>
    <row r="1021" spans="1:17" x14ac:dyDescent="0.25">
      <c r="A1021" s="2">
        <v>1169</v>
      </c>
      <c r="B1021" s="2" t="s">
        <v>93</v>
      </c>
      <c r="C1021" s="2">
        <v>2</v>
      </c>
      <c r="D1021" s="2">
        <f t="shared" si="150"/>
        <v>5.08</v>
      </c>
      <c r="E1021" s="2">
        <f t="shared" si="151"/>
        <v>1.6170142218136567</v>
      </c>
      <c r="F1021" s="2">
        <f t="shared" si="152"/>
        <v>0.63661977236758138</v>
      </c>
      <c r="G1021" s="2">
        <v>6.1298539999999999</v>
      </c>
      <c r="H1021" s="2">
        <f t="shared" si="153"/>
        <v>20.11107019736</v>
      </c>
      <c r="I1021" s="2">
        <f>INDEX('Wood Density Lookup'!$B$2:$B$152,MATCH(B1021,'Wood Density Lookup'!$A$2:$A$152,0))</f>
        <v>0.9</v>
      </c>
      <c r="J1021" s="2">
        <f t="shared" si="154"/>
        <v>0.91057662147367924</v>
      </c>
      <c r="K1021" s="2">
        <f t="shared" si="158"/>
        <v>0.25496145401263021</v>
      </c>
      <c r="L1021" s="2">
        <f t="shared" si="159"/>
        <v>1.1655380754863094</v>
      </c>
      <c r="M1021" s="2">
        <f t="shared" si="155"/>
        <v>0.84501510472757424</v>
      </c>
      <c r="N1021" s="2">
        <f t="shared" si="156"/>
        <v>0.42250755236378712</v>
      </c>
      <c r="O1021" s="2">
        <f t="shared" si="157"/>
        <v>1.5506027171750987</v>
      </c>
      <c r="P1021" s="2">
        <v>72.550763000000003</v>
      </c>
      <c r="Q1021" s="2">
        <v>23.036885999999999</v>
      </c>
    </row>
    <row r="1022" spans="1:17" x14ac:dyDescent="0.25">
      <c r="A1022" s="2">
        <v>1170</v>
      </c>
      <c r="B1022" s="2" t="s">
        <v>82</v>
      </c>
      <c r="C1022" s="2">
        <v>16</v>
      </c>
      <c r="D1022" s="2">
        <f t="shared" si="150"/>
        <v>40.64</v>
      </c>
      <c r="E1022" s="2">
        <f t="shared" si="151"/>
        <v>12.936113774509254</v>
      </c>
      <c r="F1022" s="2">
        <f t="shared" si="152"/>
        <v>5.0929581789406511</v>
      </c>
      <c r="G1022" s="2">
        <v>10.106714999999999</v>
      </c>
      <c r="H1022" s="2">
        <f t="shared" si="153"/>
        <v>33.158514840599999</v>
      </c>
      <c r="I1022" s="2">
        <f>INDEX('Wood Density Lookup'!$B$2:$B$152,MATCH(B1022,'Wood Density Lookup'!$A$2:$A$152,0))</f>
        <v>0.7</v>
      </c>
      <c r="J1022" s="2">
        <f t="shared" si="154"/>
        <v>67.231252091036197</v>
      </c>
      <c r="K1022" s="2">
        <f t="shared" si="158"/>
        <v>18.824750585490136</v>
      </c>
      <c r="L1022" s="2">
        <f t="shared" si="159"/>
        <v>86.056002676526333</v>
      </c>
      <c r="M1022" s="2">
        <f t="shared" si="155"/>
        <v>62.390601940481588</v>
      </c>
      <c r="N1022" s="2">
        <f t="shared" si="156"/>
        <v>31.195300970240794</v>
      </c>
      <c r="O1022" s="2">
        <f t="shared" si="157"/>
        <v>114.48675456078371</v>
      </c>
      <c r="P1022" s="2">
        <v>72.550764000000001</v>
      </c>
      <c r="Q1022" s="2">
        <v>23.038433000000001</v>
      </c>
    </row>
    <row r="1023" spans="1:17" x14ac:dyDescent="0.25">
      <c r="A1023" s="2">
        <v>1171</v>
      </c>
      <c r="B1023" s="2" t="s">
        <v>82</v>
      </c>
      <c r="C1023" s="2">
        <v>10</v>
      </c>
      <c r="D1023" s="2">
        <f t="shared" si="150"/>
        <v>25.4</v>
      </c>
      <c r="E1023" s="2">
        <f t="shared" si="151"/>
        <v>8.0850711090682825</v>
      </c>
      <c r="F1023" s="2">
        <f t="shared" si="152"/>
        <v>3.183098861837907</v>
      </c>
      <c r="G1023" s="2">
        <v>10.129894999999999</v>
      </c>
      <c r="H1023" s="2">
        <f t="shared" si="153"/>
        <v>33.234564711799997</v>
      </c>
      <c r="I1023" s="2">
        <f>INDEX('Wood Density Lookup'!$B$2:$B$152,MATCH(B1023,'Wood Density Lookup'!$A$2:$A$152,0))</f>
        <v>0.7</v>
      </c>
      <c r="J1023" s="2">
        <f t="shared" si="154"/>
        <v>26.92154870395483</v>
      </c>
      <c r="K1023" s="2">
        <f t="shared" si="158"/>
        <v>7.5380336371073531</v>
      </c>
      <c r="L1023" s="2">
        <f t="shared" si="159"/>
        <v>34.45958234106218</v>
      </c>
      <c r="M1023" s="2">
        <f t="shared" si="155"/>
        <v>24.98319719727008</v>
      </c>
      <c r="N1023" s="2">
        <f t="shared" si="156"/>
        <v>12.49159859863504</v>
      </c>
      <c r="O1023" s="2">
        <f t="shared" si="157"/>
        <v>45.844166856990597</v>
      </c>
      <c r="P1023" s="2">
        <v>72.550764000000001</v>
      </c>
      <c r="Q1023" s="2">
        <v>23.038535</v>
      </c>
    </row>
    <row r="1024" spans="1:17" x14ac:dyDescent="0.25">
      <c r="A1024" s="2">
        <v>1172</v>
      </c>
      <c r="B1024" s="2" t="s">
        <v>134</v>
      </c>
      <c r="C1024" s="2">
        <v>97</v>
      </c>
      <c r="D1024" s="2">
        <f t="shared" si="150"/>
        <v>246.38</v>
      </c>
      <c r="E1024" s="2">
        <f t="shared" si="151"/>
        <v>78.425189757962343</v>
      </c>
      <c r="F1024" s="2">
        <f t="shared" si="152"/>
        <v>30.876058959827695</v>
      </c>
      <c r="G1024" s="2">
        <v>5.2011019999999997</v>
      </c>
      <c r="H1024" s="2">
        <f t="shared" si="153"/>
        <v>17.063983485679998</v>
      </c>
      <c r="I1024" s="2">
        <f>INDEX('Wood Density Lookup'!$B$2:$B$152,MATCH(B1024,'Wood Density Lookup'!$A$2:$A$152,0))</f>
        <v>0.65</v>
      </c>
      <c r="J1024" s="2">
        <f t="shared" si="154"/>
        <v>1102.3128520196169</v>
      </c>
      <c r="K1024" s="2">
        <f t="shared" si="158"/>
        <v>308.64759856549279</v>
      </c>
      <c r="L1024" s="2">
        <f t="shared" si="159"/>
        <v>1410.9604505851098</v>
      </c>
      <c r="M1024" s="2">
        <f t="shared" si="155"/>
        <v>1022.9463266742046</v>
      </c>
      <c r="N1024" s="2">
        <f t="shared" si="156"/>
        <v>511.47316333710228</v>
      </c>
      <c r="O1024" s="2">
        <f t="shared" si="157"/>
        <v>1877.1065094471653</v>
      </c>
      <c r="P1024" s="2">
        <v>72.550766999999993</v>
      </c>
      <c r="Q1024" s="2">
        <v>23.035309999999999</v>
      </c>
    </row>
    <row r="1025" spans="1:17" x14ac:dyDescent="0.25">
      <c r="A1025" s="2">
        <v>1173</v>
      </c>
      <c r="B1025" s="2" t="s">
        <v>143</v>
      </c>
      <c r="C1025" s="2">
        <v>24</v>
      </c>
      <c r="D1025" s="2">
        <f t="shared" ref="D1025:D1088" si="160">C1025*2.54</f>
        <v>60.96</v>
      </c>
      <c r="E1025" s="2">
        <f t="shared" ref="E1025:E1088" si="161">D1025/PI()</f>
        <v>19.404170661763882</v>
      </c>
      <c r="F1025" s="2">
        <f t="shared" ref="F1025:F1088" si="162">C1025/PI()</f>
        <v>7.6394372684109761</v>
      </c>
      <c r="G1025" s="2">
        <v>5.6736969999999998</v>
      </c>
      <c r="H1025" s="2">
        <f t="shared" ref="H1025:H1088" si="163">G1025*3.28084</f>
        <v>18.61449206548</v>
      </c>
      <c r="I1025" s="2">
        <f>INDEX('Wood Density Lookup'!$B$2:$B$152,MATCH(B1025,'Wood Density Lookup'!$A$2:$A$152,0))</f>
        <v>0.75</v>
      </c>
      <c r="J1025" s="2">
        <f t="shared" ref="J1025:J1088" si="164">0.0673*POWER(I1025*E1025^2*G1025,0.976)</f>
        <v>90.327380531504303</v>
      </c>
      <c r="K1025" s="2">
        <f t="shared" si="158"/>
        <v>25.291666548821208</v>
      </c>
      <c r="L1025" s="2">
        <f t="shared" si="159"/>
        <v>115.61904708032552</v>
      </c>
      <c r="M1025" s="2">
        <f t="shared" ref="M1025:M1088" si="165">0.725*L1025</f>
        <v>83.823809133235997</v>
      </c>
      <c r="N1025" s="2">
        <f t="shared" ref="N1025:N1088" si="166">0.5*M1025</f>
        <v>41.911904566617999</v>
      </c>
      <c r="O1025" s="2">
        <f t="shared" ref="O1025:O1088" si="167">3.67*N1025</f>
        <v>153.81668975948804</v>
      </c>
      <c r="P1025" s="2">
        <v>72.550766999999993</v>
      </c>
      <c r="Q1025" s="2">
        <v>23.037296000000001</v>
      </c>
    </row>
    <row r="1026" spans="1:17" x14ac:dyDescent="0.25">
      <c r="A1026" s="2">
        <v>1174</v>
      </c>
      <c r="B1026" s="2" t="s">
        <v>43</v>
      </c>
      <c r="C1026" s="2">
        <v>38</v>
      </c>
      <c r="D1026" s="2">
        <f t="shared" si="160"/>
        <v>96.52</v>
      </c>
      <c r="E1026" s="2">
        <f t="shared" si="161"/>
        <v>30.723270214459475</v>
      </c>
      <c r="F1026" s="2">
        <f t="shared" si="162"/>
        <v>12.095775674984045</v>
      </c>
      <c r="G1026" s="2">
        <v>10.237415</v>
      </c>
      <c r="H1026" s="2">
        <f t="shared" si="163"/>
        <v>33.587320628600004</v>
      </c>
      <c r="I1026" s="2">
        <f>INDEX('Wood Density Lookup'!$B$2:$B$152,MATCH(B1026,'Wood Density Lookup'!$A$2:$A$152,0))</f>
        <v>0.6</v>
      </c>
      <c r="J1026" s="2">
        <f t="shared" si="164"/>
        <v>316.93694691961741</v>
      </c>
      <c r="K1026" s="2">
        <f t="shared" si="158"/>
        <v>88.74234513749289</v>
      </c>
      <c r="L1026" s="2">
        <f t="shared" si="159"/>
        <v>405.67929205711027</v>
      </c>
      <c r="M1026" s="2">
        <f t="shared" si="165"/>
        <v>294.11748674140495</v>
      </c>
      <c r="N1026" s="2">
        <f t="shared" si="166"/>
        <v>147.05874337070247</v>
      </c>
      <c r="O1026" s="2">
        <f t="shared" si="167"/>
        <v>539.70558817047811</v>
      </c>
      <c r="P1026" s="2">
        <v>72.550773000000007</v>
      </c>
      <c r="Q1026" s="2">
        <v>23.036622999999999</v>
      </c>
    </row>
    <row r="1027" spans="1:17" x14ac:dyDescent="0.25">
      <c r="A1027" s="2">
        <v>1175</v>
      </c>
      <c r="B1027" s="2" t="s">
        <v>82</v>
      </c>
      <c r="C1027" s="2">
        <v>15</v>
      </c>
      <c r="D1027" s="2">
        <f t="shared" si="160"/>
        <v>38.1</v>
      </c>
      <c r="E1027" s="2">
        <f t="shared" si="161"/>
        <v>12.127606663602425</v>
      </c>
      <c r="F1027" s="2">
        <f t="shared" si="162"/>
        <v>4.7746482927568605</v>
      </c>
      <c r="G1027" s="2">
        <v>12.137402</v>
      </c>
      <c r="H1027" s="2">
        <f t="shared" si="163"/>
        <v>39.820873977680002</v>
      </c>
      <c r="I1027" s="2">
        <f>INDEX('Wood Density Lookup'!$B$2:$B$152,MATCH(B1027,'Wood Density Lookup'!$A$2:$A$152,0))</f>
        <v>0.7</v>
      </c>
      <c r="J1027" s="2">
        <f t="shared" si="164"/>
        <v>70.870658974658369</v>
      </c>
      <c r="K1027" s="2">
        <f t="shared" ref="K1027:K1090" si="168">0.28*J1027</f>
        <v>19.843784512904346</v>
      </c>
      <c r="L1027" s="2">
        <f t="shared" ref="L1027:L1090" si="169">J1027+K1027</f>
        <v>90.714443487562718</v>
      </c>
      <c r="M1027" s="2">
        <f t="shared" si="165"/>
        <v>65.767971528482974</v>
      </c>
      <c r="N1027" s="2">
        <f t="shared" si="166"/>
        <v>32.883985764241487</v>
      </c>
      <c r="O1027" s="2">
        <f t="shared" si="167"/>
        <v>120.68422775476625</v>
      </c>
      <c r="P1027" s="2">
        <v>72.550775999999999</v>
      </c>
      <c r="Q1027" s="2">
        <v>23.036666</v>
      </c>
    </row>
    <row r="1028" spans="1:17" x14ac:dyDescent="0.25">
      <c r="A1028" s="2">
        <v>1176</v>
      </c>
      <c r="B1028" s="2" t="s">
        <v>82</v>
      </c>
      <c r="C1028" s="2">
        <v>13</v>
      </c>
      <c r="D1028" s="2">
        <f t="shared" si="160"/>
        <v>33.020000000000003</v>
      </c>
      <c r="E1028" s="2">
        <f t="shared" si="161"/>
        <v>10.51059244178877</v>
      </c>
      <c r="F1028" s="2">
        <f t="shared" si="162"/>
        <v>4.1380285203892786</v>
      </c>
      <c r="G1028" s="2">
        <v>11.153420000000001</v>
      </c>
      <c r="H1028" s="2">
        <f t="shared" si="163"/>
        <v>36.592586472800001</v>
      </c>
      <c r="I1028" s="2">
        <f>INDEX('Wood Density Lookup'!$B$2:$B$152,MATCH(B1028,'Wood Density Lookup'!$A$2:$A$152,0))</f>
        <v>0.7</v>
      </c>
      <c r="J1028" s="2">
        <f t="shared" si="164"/>
        <v>49.353425519149667</v>
      </c>
      <c r="K1028" s="2">
        <f t="shared" si="168"/>
        <v>13.818959145361909</v>
      </c>
      <c r="L1028" s="2">
        <f t="shared" si="169"/>
        <v>63.172384664511576</v>
      </c>
      <c r="M1028" s="2">
        <f t="shared" si="165"/>
        <v>45.79997888177089</v>
      </c>
      <c r="N1028" s="2">
        <f t="shared" si="166"/>
        <v>22.899989440885445</v>
      </c>
      <c r="O1028" s="2">
        <f t="shared" si="167"/>
        <v>84.042961248049579</v>
      </c>
      <c r="P1028" s="2">
        <v>72.550779000000006</v>
      </c>
      <c r="Q1028" s="2">
        <v>23.036325000000001</v>
      </c>
    </row>
    <row r="1029" spans="1:17" x14ac:dyDescent="0.25">
      <c r="A1029" s="2">
        <v>1177</v>
      </c>
      <c r="B1029" s="2" t="s">
        <v>72</v>
      </c>
      <c r="C1029" s="2">
        <v>37</v>
      </c>
      <c r="D1029" s="2">
        <f t="shared" si="160"/>
        <v>93.98</v>
      </c>
      <c r="E1029" s="2">
        <f t="shared" si="161"/>
        <v>29.914763103552648</v>
      </c>
      <c r="F1029" s="2">
        <f t="shared" si="162"/>
        <v>11.777465788800255</v>
      </c>
      <c r="G1029" s="2">
        <v>10.709379</v>
      </c>
      <c r="H1029" s="2">
        <f t="shared" si="163"/>
        <v>35.135758998360004</v>
      </c>
      <c r="I1029" s="2">
        <f>INDEX('Wood Density Lookup'!$B$2:$B$152,MATCH(B1029,'Wood Density Lookup'!$A$2:$A$152,0))</f>
        <v>0.65</v>
      </c>
      <c r="J1029" s="2">
        <f t="shared" si="164"/>
        <v>339.93593318044486</v>
      </c>
      <c r="K1029" s="2">
        <f t="shared" si="168"/>
        <v>95.182061290524572</v>
      </c>
      <c r="L1029" s="2">
        <f t="shared" si="169"/>
        <v>435.11799447096945</v>
      </c>
      <c r="M1029" s="2">
        <f t="shared" si="165"/>
        <v>315.46054599145282</v>
      </c>
      <c r="N1029" s="2">
        <f t="shared" si="166"/>
        <v>157.73027299572641</v>
      </c>
      <c r="O1029" s="2">
        <f t="shared" si="167"/>
        <v>578.87010189431589</v>
      </c>
      <c r="P1029" s="2">
        <v>72.550783999999993</v>
      </c>
      <c r="Q1029" s="2">
        <v>23.036211000000002</v>
      </c>
    </row>
    <row r="1030" spans="1:17" x14ac:dyDescent="0.25">
      <c r="A1030" s="2">
        <v>1178</v>
      </c>
      <c r="B1030" s="2" t="s">
        <v>82</v>
      </c>
      <c r="C1030" s="2">
        <v>22</v>
      </c>
      <c r="D1030" s="2">
        <f t="shared" si="160"/>
        <v>55.88</v>
      </c>
      <c r="E1030" s="2">
        <f t="shared" si="161"/>
        <v>17.787156439950223</v>
      </c>
      <c r="F1030" s="2">
        <f t="shared" si="162"/>
        <v>7.0028174960433951</v>
      </c>
      <c r="G1030" s="2">
        <v>6.6928409999999996</v>
      </c>
      <c r="H1030" s="2">
        <f t="shared" si="163"/>
        <v>21.95814046644</v>
      </c>
      <c r="I1030" s="2">
        <f>INDEX('Wood Density Lookup'!$B$2:$B$152,MATCH(B1030,'Wood Density Lookup'!$A$2:$A$152,0))</f>
        <v>0.7</v>
      </c>
      <c r="J1030" s="2">
        <f t="shared" si="164"/>
        <v>83.721026219626395</v>
      </c>
      <c r="K1030" s="2">
        <f t="shared" si="168"/>
        <v>23.441887341495391</v>
      </c>
      <c r="L1030" s="2">
        <f t="shared" si="169"/>
        <v>107.16291356112178</v>
      </c>
      <c r="M1030" s="2">
        <f t="shared" si="165"/>
        <v>77.693112331813296</v>
      </c>
      <c r="N1030" s="2">
        <f t="shared" si="166"/>
        <v>38.846556165906648</v>
      </c>
      <c r="O1030" s="2">
        <f t="shared" si="167"/>
        <v>142.56686112887741</v>
      </c>
      <c r="P1030" s="2">
        <v>72.550785000000005</v>
      </c>
      <c r="Q1030" s="2">
        <v>23.036301999999999</v>
      </c>
    </row>
    <row r="1031" spans="1:17" x14ac:dyDescent="0.25">
      <c r="A1031" s="2">
        <v>1179</v>
      </c>
      <c r="B1031" s="2" t="s">
        <v>139</v>
      </c>
      <c r="C1031" s="2">
        <v>18</v>
      </c>
      <c r="D1031" s="2">
        <f t="shared" si="160"/>
        <v>45.72</v>
      </c>
      <c r="E1031" s="2">
        <f t="shared" si="161"/>
        <v>14.55312799632291</v>
      </c>
      <c r="F1031" s="2">
        <f t="shared" si="162"/>
        <v>5.7295779513082321</v>
      </c>
      <c r="G1031" s="2">
        <v>6.8247549999999997</v>
      </c>
      <c r="H1031" s="2">
        <f t="shared" si="163"/>
        <v>22.390929194199998</v>
      </c>
      <c r="I1031" s="2">
        <f>INDEX('Wood Density Lookup'!$B$2:$B$152,MATCH(B1031,'Wood Density Lookup'!$A$2:$A$152,0))</f>
        <v>0.9</v>
      </c>
      <c r="J1031" s="2">
        <f t="shared" si="164"/>
        <v>73.70815196243835</v>
      </c>
      <c r="K1031" s="2">
        <f t="shared" si="168"/>
        <v>20.638282549482739</v>
      </c>
      <c r="L1031" s="2">
        <f t="shared" si="169"/>
        <v>94.346434511921089</v>
      </c>
      <c r="M1031" s="2">
        <f t="shared" si="165"/>
        <v>68.401165021142788</v>
      </c>
      <c r="N1031" s="2">
        <f t="shared" si="166"/>
        <v>34.200582510571394</v>
      </c>
      <c r="O1031" s="2">
        <f t="shared" si="167"/>
        <v>125.51613781379702</v>
      </c>
      <c r="P1031" s="2">
        <v>72.550793999999996</v>
      </c>
      <c r="Q1031" s="2">
        <v>23.035844999999998</v>
      </c>
    </row>
    <row r="1032" spans="1:17" x14ac:dyDescent="0.25">
      <c r="A1032" s="2">
        <v>1180</v>
      </c>
      <c r="B1032" s="2" t="s">
        <v>82</v>
      </c>
      <c r="C1032" s="2">
        <v>22</v>
      </c>
      <c r="D1032" s="2">
        <f t="shared" si="160"/>
        <v>55.88</v>
      </c>
      <c r="E1032" s="2">
        <f t="shared" si="161"/>
        <v>17.787156439950223</v>
      </c>
      <c r="F1032" s="2">
        <f t="shared" si="162"/>
        <v>7.0028174960433951</v>
      </c>
      <c r="G1032" s="2">
        <v>9.5557370000000006</v>
      </c>
      <c r="H1032" s="2">
        <f t="shared" si="163"/>
        <v>31.350844179080003</v>
      </c>
      <c r="I1032" s="2">
        <f>INDEX('Wood Density Lookup'!$B$2:$B$152,MATCH(B1032,'Wood Density Lookup'!$A$2:$A$152,0))</f>
        <v>0.7</v>
      </c>
      <c r="J1032" s="2">
        <f t="shared" si="164"/>
        <v>118.51587720729006</v>
      </c>
      <c r="K1032" s="2">
        <f t="shared" si="168"/>
        <v>33.184445618041217</v>
      </c>
      <c r="L1032" s="2">
        <f t="shared" si="169"/>
        <v>151.70032282533128</v>
      </c>
      <c r="M1032" s="2">
        <f t="shared" si="165"/>
        <v>109.98273404836517</v>
      </c>
      <c r="N1032" s="2">
        <f t="shared" si="166"/>
        <v>54.991367024182587</v>
      </c>
      <c r="O1032" s="2">
        <f t="shared" si="167"/>
        <v>201.81831697875009</v>
      </c>
      <c r="P1032" s="2">
        <v>72.550799999999995</v>
      </c>
      <c r="Q1032" s="2">
        <v>23.036636999999999</v>
      </c>
    </row>
    <row r="1033" spans="1:17" x14ac:dyDescent="0.25">
      <c r="A1033" s="2">
        <v>1181</v>
      </c>
      <c r="B1033" s="2" t="s">
        <v>82</v>
      </c>
      <c r="C1033" s="2">
        <v>16</v>
      </c>
      <c r="D1033" s="2">
        <f t="shared" si="160"/>
        <v>40.64</v>
      </c>
      <c r="E1033" s="2">
        <f t="shared" si="161"/>
        <v>12.936113774509254</v>
      </c>
      <c r="F1033" s="2">
        <f t="shared" si="162"/>
        <v>5.0929581789406511</v>
      </c>
      <c r="G1033" s="2">
        <v>9.1201749999999997</v>
      </c>
      <c r="H1033" s="2">
        <f t="shared" si="163"/>
        <v>29.921834946999997</v>
      </c>
      <c r="I1033" s="2">
        <f>INDEX('Wood Density Lookup'!$B$2:$B$152,MATCH(B1033,'Wood Density Lookup'!$A$2:$A$152,0))</f>
        <v>0.7</v>
      </c>
      <c r="J1033" s="2">
        <f t="shared" si="164"/>
        <v>60.818389606202686</v>
      </c>
      <c r="K1033" s="2">
        <f t="shared" si="168"/>
        <v>17.029149089736755</v>
      </c>
      <c r="L1033" s="2">
        <f t="shared" si="169"/>
        <v>77.847538695939448</v>
      </c>
      <c r="M1033" s="2">
        <f t="shared" si="165"/>
        <v>56.439465554556101</v>
      </c>
      <c r="N1033" s="2">
        <f t="shared" si="166"/>
        <v>28.21973277727805</v>
      </c>
      <c r="O1033" s="2">
        <f t="shared" si="167"/>
        <v>103.56641929261045</v>
      </c>
      <c r="P1033" s="2">
        <v>72.550802000000004</v>
      </c>
      <c r="Q1033" s="2">
        <v>23.036667999999999</v>
      </c>
    </row>
    <row r="1034" spans="1:17" x14ac:dyDescent="0.25">
      <c r="A1034" s="2">
        <v>1182</v>
      </c>
      <c r="B1034" s="2" t="s">
        <v>15</v>
      </c>
      <c r="C1034" s="2">
        <v>49</v>
      </c>
      <c r="D1034" s="2">
        <f t="shared" si="160"/>
        <v>124.46000000000001</v>
      </c>
      <c r="E1034" s="2">
        <f t="shared" si="161"/>
        <v>39.616848434434594</v>
      </c>
      <c r="F1034" s="2">
        <f t="shared" si="162"/>
        <v>15.597184423005743</v>
      </c>
      <c r="G1034" s="2">
        <v>13.61721</v>
      </c>
      <c r="H1034" s="2">
        <f t="shared" si="163"/>
        <v>44.675887256400003</v>
      </c>
      <c r="I1034" s="2">
        <f>INDEX('Wood Density Lookup'!$B$2:$B$152,MATCH(B1034,'Wood Density Lookup'!$A$2:$A$152,0))</f>
        <v>0.75</v>
      </c>
      <c r="J1034" s="2">
        <f t="shared" si="164"/>
        <v>855.07948828466317</v>
      </c>
      <c r="K1034" s="2">
        <f t="shared" si="168"/>
        <v>239.4222567197057</v>
      </c>
      <c r="L1034" s="2">
        <f t="shared" si="169"/>
        <v>1094.5017450043688</v>
      </c>
      <c r="M1034" s="2">
        <f t="shared" si="165"/>
        <v>793.51376512816739</v>
      </c>
      <c r="N1034" s="2">
        <f t="shared" si="166"/>
        <v>396.7568825640837</v>
      </c>
      <c r="O1034" s="2">
        <f t="shared" si="167"/>
        <v>1456.0977590101872</v>
      </c>
      <c r="P1034" s="2">
        <v>72.550804999999997</v>
      </c>
      <c r="Q1034" s="2">
        <v>23.035758999999999</v>
      </c>
    </row>
    <row r="1035" spans="1:17" x14ac:dyDescent="0.25">
      <c r="A1035" s="2">
        <v>1183</v>
      </c>
      <c r="B1035" s="2" t="s">
        <v>82</v>
      </c>
      <c r="C1035" s="2">
        <v>17</v>
      </c>
      <c r="D1035" s="2">
        <f t="shared" si="160"/>
        <v>43.18</v>
      </c>
      <c r="E1035" s="2">
        <f t="shared" si="161"/>
        <v>13.744620885416081</v>
      </c>
      <c r="F1035" s="2">
        <f t="shared" si="162"/>
        <v>5.4112680651244416</v>
      </c>
      <c r="G1035" s="2">
        <v>8.2689039999999991</v>
      </c>
      <c r="H1035" s="2">
        <f t="shared" si="163"/>
        <v>27.128950999359997</v>
      </c>
      <c r="I1035" s="2">
        <f>INDEX('Wood Density Lookup'!$B$2:$B$152,MATCH(B1035,'Wood Density Lookup'!$A$2:$A$152,0))</f>
        <v>0.7</v>
      </c>
      <c r="J1035" s="2">
        <f t="shared" si="164"/>
        <v>62.215000400732535</v>
      </c>
      <c r="K1035" s="2">
        <f t="shared" si="168"/>
        <v>17.420200112205112</v>
      </c>
      <c r="L1035" s="2">
        <f t="shared" si="169"/>
        <v>79.635200512937644</v>
      </c>
      <c r="M1035" s="2">
        <f t="shared" si="165"/>
        <v>57.735520371879787</v>
      </c>
      <c r="N1035" s="2">
        <f t="shared" si="166"/>
        <v>28.867760185939893</v>
      </c>
      <c r="O1035" s="2">
        <f t="shared" si="167"/>
        <v>105.94467988239941</v>
      </c>
      <c r="P1035" s="2">
        <v>72.550807000000006</v>
      </c>
      <c r="Q1035" s="2">
        <v>23.036308999999999</v>
      </c>
    </row>
    <row r="1036" spans="1:17" x14ac:dyDescent="0.25">
      <c r="A1036" s="2">
        <v>1184</v>
      </c>
      <c r="B1036" s="2" t="s">
        <v>9</v>
      </c>
      <c r="C1036" s="2">
        <v>38</v>
      </c>
      <c r="D1036" s="2">
        <f t="shared" si="160"/>
        <v>96.52</v>
      </c>
      <c r="E1036" s="2">
        <f t="shared" si="161"/>
        <v>30.723270214459475</v>
      </c>
      <c r="F1036" s="2">
        <f t="shared" si="162"/>
        <v>12.095775674984045</v>
      </c>
      <c r="G1036" s="2">
        <v>13.073375</v>
      </c>
      <c r="H1036" s="2">
        <f t="shared" si="163"/>
        <v>42.891651635000002</v>
      </c>
      <c r="I1036" s="2">
        <f>INDEX('Wood Density Lookup'!$B$2:$B$152,MATCH(B1036,'Wood Density Lookup'!$A$2:$A$152,0))</f>
        <v>0.42</v>
      </c>
      <c r="J1036" s="2">
        <f t="shared" si="164"/>
        <v>284.07775626427571</v>
      </c>
      <c r="K1036" s="2">
        <f t="shared" si="168"/>
        <v>79.54177175399721</v>
      </c>
      <c r="L1036" s="2">
        <f t="shared" si="169"/>
        <v>363.61952801827294</v>
      </c>
      <c r="M1036" s="2">
        <f t="shared" si="165"/>
        <v>263.6241578132479</v>
      </c>
      <c r="N1036" s="2">
        <f t="shared" si="166"/>
        <v>131.81207890662395</v>
      </c>
      <c r="O1036" s="2">
        <f t="shared" si="167"/>
        <v>483.75032958730992</v>
      </c>
      <c r="P1036" s="2">
        <v>72.550809000000001</v>
      </c>
      <c r="Q1036" s="2">
        <v>23.036375</v>
      </c>
    </row>
    <row r="1037" spans="1:17" x14ac:dyDescent="0.25">
      <c r="A1037" s="2">
        <v>1185</v>
      </c>
      <c r="B1037" s="2" t="s">
        <v>140</v>
      </c>
      <c r="C1037" s="2">
        <v>23</v>
      </c>
      <c r="D1037" s="2">
        <f t="shared" si="160"/>
        <v>58.42</v>
      </c>
      <c r="E1037" s="2">
        <f t="shared" si="161"/>
        <v>18.595663550857051</v>
      </c>
      <c r="F1037" s="2">
        <f t="shared" si="162"/>
        <v>7.3211273822271856</v>
      </c>
      <c r="G1037" s="2">
        <v>3.7456939999999999</v>
      </c>
      <c r="H1037" s="2">
        <f t="shared" si="163"/>
        <v>12.289022702959999</v>
      </c>
      <c r="I1037" s="2">
        <f>INDEX('Wood Density Lookup'!$B$2:$B$152,MATCH(B1037,'Wood Density Lookup'!$A$2:$A$152,0))</f>
        <v>0.6</v>
      </c>
      <c r="J1037" s="2">
        <f t="shared" si="164"/>
        <v>44.58099980818362</v>
      </c>
      <c r="K1037" s="2">
        <f t="shared" si="168"/>
        <v>12.482679946291414</v>
      </c>
      <c r="L1037" s="2">
        <f t="shared" si="169"/>
        <v>57.063679754475032</v>
      </c>
      <c r="M1037" s="2">
        <f t="shared" si="165"/>
        <v>41.371167821994398</v>
      </c>
      <c r="N1037" s="2">
        <f t="shared" si="166"/>
        <v>20.685583910997199</v>
      </c>
      <c r="O1037" s="2">
        <f t="shared" si="167"/>
        <v>75.916092953359723</v>
      </c>
      <c r="P1037" s="2">
        <v>72.550815999999998</v>
      </c>
      <c r="Q1037" s="2">
        <v>23.036421000000001</v>
      </c>
    </row>
    <row r="1038" spans="1:17" x14ac:dyDescent="0.25">
      <c r="A1038" s="2">
        <v>1186</v>
      </c>
      <c r="B1038" s="2" t="s">
        <v>124</v>
      </c>
      <c r="C1038" s="2">
        <v>9</v>
      </c>
      <c r="D1038" s="2">
        <f t="shared" si="160"/>
        <v>22.86</v>
      </c>
      <c r="E1038" s="2">
        <f t="shared" si="161"/>
        <v>7.2765639981614552</v>
      </c>
      <c r="F1038" s="2">
        <f t="shared" si="162"/>
        <v>2.8647889756541161</v>
      </c>
      <c r="G1038" s="2">
        <v>2.6189770000000001</v>
      </c>
      <c r="H1038" s="2">
        <f t="shared" si="163"/>
        <v>8.592444500680001</v>
      </c>
      <c r="I1038" s="2">
        <f>INDEX('Wood Density Lookup'!$B$2:$B$152,MATCH(B1038,'Wood Density Lookup'!$A$2:$A$152,0))</f>
        <v>0.55000000000000004</v>
      </c>
      <c r="J1038" s="2">
        <f t="shared" si="164"/>
        <v>4.6257889564265433</v>
      </c>
      <c r="K1038" s="2">
        <f t="shared" si="168"/>
        <v>1.2952209077994323</v>
      </c>
      <c r="L1038" s="2">
        <f t="shared" si="169"/>
        <v>5.9210098642259759</v>
      </c>
      <c r="M1038" s="2">
        <f t="shared" si="165"/>
        <v>4.2927321515638326</v>
      </c>
      <c r="N1038" s="2">
        <f t="shared" si="166"/>
        <v>2.1463660757819163</v>
      </c>
      <c r="O1038" s="2">
        <f t="shared" si="167"/>
        <v>7.877163498119633</v>
      </c>
      <c r="P1038" s="2">
        <v>72.550819000000004</v>
      </c>
      <c r="Q1038" s="2">
        <v>23.037272999999999</v>
      </c>
    </row>
    <row r="1039" spans="1:17" x14ac:dyDescent="0.25">
      <c r="A1039" s="2">
        <v>1187</v>
      </c>
      <c r="B1039" s="2" t="s">
        <v>82</v>
      </c>
      <c r="C1039" s="2">
        <v>12</v>
      </c>
      <c r="D1039" s="2">
        <f t="shared" si="160"/>
        <v>30.48</v>
      </c>
      <c r="E1039" s="2">
        <f t="shared" si="161"/>
        <v>9.7020853308819408</v>
      </c>
      <c r="F1039" s="2">
        <f t="shared" si="162"/>
        <v>3.8197186342054881</v>
      </c>
      <c r="G1039" s="2">
        <v>10.174759</v>
      </c>
      <c r="H1039" s="2">
        <f t="shared" si="163"/>
        <v>33.381756317559997</v>
      </c>
      <c r="I1039" s="2">
        <f>INDEX('Wood Density Lookup'!$B$2:$B$152,MATCH(B1039,'Wood Density Lookup'!$A$2:$A$152,0))</f>
        <v>0.7</v>
      </c>
      <c r="J1039" s="2">
        <f t="shared" si="164"/>
        <v>38.59534781250931</v>
      </c>
      <c r="K1039" s="2">
        <f t="shared" si="168"/>
        <v>10.806697387502608</v>
      </c>
      <c r="L1039" s="2">
        <f t="shared" si="169"/>
        <v>49.402045200011919</v>
      </c>
      <c r="M1039" s="2">
        <f t="shared" si="165"/>
        <v>35.816482770008641</v>
      </c>
      <c r="N1039" s="2">
        <f t="shared" si="166"/>
        <v>17.90824138500432</v>
      </c>
      <c r="O1039" s="2">
        <f t="shared" si="167"/>
        <v>65.723245882965855</v>
      </c>
      <c r="P1039" s="2">
        <v>72.550821999999997</v>
      </c>
      <c r="Q1039" s="2">
        <v>23.038706000000001</v>
      </c>
    </row>
    <row r="1040" spans="1:17" x14ac:dyDescent="0.25">
      <c r="A1040" s="2">
        <v>1188</v>
      </c>
      <c r="B1040" s="2" t="s">
        <v>82</v>
      </c>
      <c r="C1040" s="2">
        <v>19</v>
      </c>
      <c r="D1040" s="2">
        <f t="shared" si="160"/>
        <v>48.26</v>
      </c>
      <c r="E1040" s="2">
        <f t="shared" si="161"/>
        <v>15.361635107229738</v>
      </c>
      <c r="F1040" s="2">
        <f t="shared" si="162"/>
        <v>6.0478878374920226</v>
      </c>
      <c r="G1040" s="2">
        <v>13.094060000000001</v>
      </c>
      <c r="H1040" s="2">
        <f t="shared" si="163"/>
        <v>42.959515810399999</v>
      </c>
      <c r="I1040" s="2">
        <f>INDEX('Wood Density Lookup'!$B$2:$B$152,MATCH(B1040,'Wood Density Lookup'!$A$2:$A$152,0))</f>
        <v>0.7</v>
      </c>
      <c r="J1040" s="2">
        <f t="shared" si="164"/>
        <v>121.06571923861951</v>
      </c>
      <c r="K1040" s="2">
        <f t="shared" si="168"/>
        <v>33.898401386813468</v>
      </c>
      <c r="L1040" s="2">
        <f t="shared" si="169"/>
        <v>154.96412062543297</v>
      </c>
      <c r="M1040" s="2">
        <f t="shared" si="165"/>
        <v>112.34898745343889</v>
      </c>
      <c r="N1040" s="2">
        <f t="shared" si="166"/>
        <v>56.174493726719447</v>
      </c>
      <c r="O1040" s="2">
        <f t="shared" si="167"/>
        <v>206.16039197706036</v>
      </c>
      <c r="P1040" s="2">
        <v>72.550824000000006</v>
      </c>
      <c r="Q1040" s="2">
        <v>23.036650000000002</v>
      </c>
    </row>
    <row r="1041" spans="1:17" x14ac:dyDescent="0.25">
      <c r="A1041" s="2">
        <v>1189</v>
      </c>
      <c r="B1041" s="2" t="s">
        <v>59</v>
      </c>
      <c r="C1041" s="2">
        <v>18</v>
      </c>
      <c r="D1041" s="2">
        <f t="shared" si="160"/>
        <v>45.72</v>
      </c>
      <c r="E1041" s="2">
        <f t="shared" si="161"/>
        <v>14.55312799632291</v>
      </c>
      <c r="F1041" s="2">
        <f t="shared" si="162"/>
        <v>5.7295779513082321</v>
      </c>
      <c r="G1041" s="2">
        <v>6.519952</v>
      </c>
      <c r="H1041" s="2">
        <f t="shared" si="163"/>
        <v>21.390919319679998</v>
      </c>
      <c r="I1041" s="2">
        <f>INDEX('Wood Density Lookup'!$B$2:$B$152,MATCH(B1041,'Wood Density Lookup'!$A$2:$A$152,0))</f>
        <v>0.45</v>
      </c>
      <c r="J1041" s="2">
        <f t="shared" si="164"/>
        <v>35.838003196821546</v>
      </c>
      <c r="K1041" s="2">
        <f t="shared" si="168"/>
        <v>10.034640895110034</v>
      </c>
      <c r="L1041" s="2">
        <f t="shared" si="169"/>
        <v>45.872644091931576</v>
      </c>
      <c r="M1041" s="2">
        <f t="shared" si="165"/>
        <v>33.25766696665039</v>
      </c>
      <c r="N1041" s="2">
        <f t="shared" si="166"/>
        <v>16.628833483325195</v>
      </c>
      <c r="O1041" s="2">
        <f t="shared" si="167"/>
        <v>61.027818883803462</v>
      </c>
      <c r="P1041" s="2">
        <v>72.550826000000001</v>
      </c>
      <c r="Q1041" s="2">
        <v>23.035577</v>
      </c>
    </row>
    <row r="1042" spans="1:17" x14ac:dyDescent="0.25">
      <c r="A1042" s="2">
        <v>1190</v>
      </c>
      <c r="B1042" s="2" t="s">
        <v>82</v>
      </c>
      <c r="C1042" s="2">
        <v>10</v>
      </c>
      <c r="D1042" s="2">
        <f t="shared" si="160"/>
        <v>25.4</v>
      </c>
      <c r="E1042" s="2">
        <f t="shared" si="161"/>
        <v>8.0850711090682825</v>
      </c>
      <c r="F1042" s="2">
        <f t="shared" si="162"/>
        <v>3.183098861837907</v>
      </c>
      <c r="G1042" s="2">
        <v>6.4858419999999999</v>
      </c>
      <c r="H1042" s="2">
        <f t="shared" si="163"/>
        <v>21.279009867279999</v>
      </c>
      <c r="I1042" s="2">
        <f>INDEX('Wood Density Lookup'!$B$2:$B$152,MATCH(B1042,'Wood Density Lookup'!$A$2:$A$152,0))</f>
        <v>0.7</v>
      </c>
      <c r="J1042" s="2">
        <f t="shared" si="164"/>
        <v>17.422432339179704</v>
      </c>
      <c r="K1042" s="2">
        <f t="shared" si="168"/>
        <v>4.8782810549703175</v>
      </c>
      <c r="L1042" s="2">
        <f t="shared" si="169"/>
        <v>22.300713394150023</v>
      </c>
      <c r="M1042" s="2">
        <f t="shared" si="165"/>
        <v>16.168017210758766</v>
      </c>
      <c r="N1042" s="2">
        <f t="shared" si="166"/>
        <v>8.0840086053793829</v>
      </c>
      <c r="O1042" s="2">
        <f t="shared" si="167"/>
        <v>29.668311581742334</v>
      </c>
      <c r="P1042" s="2">
        <v>72.550826999999998</v>
      </c>
      <c r="Q1042" s="2">
        <v>23.037474</v>
      </c>
    </row>
    <row r="1043" spans="1:17" x14ac:dyDescent="0.25">
      <c r="A1043" s="2">
        <v>1191</v>
      </c>
      <c r="B1043" s="2" t="s">
        <v>59</v>
      </c>
      <c r="C1043" s="2">
        <v>4</v>
      </c>
      <c r="D1043" s="2">
        <f t="shared" si="160"/>
        <v>10.16</v>
      </c>
      <c r="E1043" s="2">
        <f t="shared" si="161"/>
        <v>3.2340284436273135</v>
      </c>
      <c r="F1043" s="2">
        <f t="shared" si="162"/>
        <v>1.2732395447351628</v>
      </c>
      <c r="G1043" s="2">
        <v>7.3189190000000002</v>
      </c>
      <c r="H1043" s="2">
        <f t="shared" si="163"/>
        <v>24.012202211960002</v>
      </c>
      <c r="I1043" s="2">
        <f>INDEX('Wood Density Lookup'!$B$2:$B$152,MATCH(B1043,'Wood Density Lookup'!$A$2:$A$152,0))</f>
        <v>0.45</v>
      </c>
      <c r="J1043" s="2">
        <f t="shared" si="164"/>
        <v>2.1294657447193166</v>
      </c>
      <c r="K1043" s="2">
        <f t="shared" si="168"/>
        <v>0.59625040852140876</v>
      </c>
      <c r="L1043" s="2">
        <f t="shared" si="169"/>
        <v>2.7257161532407252</v>
      </c>
      <c r="M1043" s="2">
        <f t="shared" si="165"/>
        <v>1.9761442110995258</v>
      </c>
      <c r="N1043" s="2">
        <f t="shared" si="166"/>
        <v>0.98807210554976288</v>
      </c>
      <c r="O1043" s="2">
        <f t="shared" si="167"/>
        <v>3.6262246273676295</v>
      </c>
      <c r="P1043" s="2">
        <v>72.550828999999993</v>
      </c>
      <c r="Q1043" s="2">
        <v>23.035546</v>
      </c>
    </row>
    <row r="1044" spans="1:17" x14ac:dyDescent="0.25">
      <c r="A1044" s="2">
        <v>1192</v>
      </c>
      <c r="B1044" s="2" t="s">
        <v>95</v>
      </c>
      <c r="C1044" s="2">
        <v>14</v>
      </c>
      <c r="D1044" s="2">
        <f t="shared" si="160"/>
        <v>35.56</v>
      </c>
      <c r="E1044" s="2">
        <f t="shared" si="161"/>
        <v>11.319099552695597</v>
      </c>
      <c r="F1044" s="2">
        <f t="shared" si="162"/>
        <v>4.45633840657307</v>
      </c>
      <c r="G1044" s="2">
        <v>2.1217410000000001</v>
      </c>
      <c r="H1044" s="2">
        <f t="shared" si="163"/>
        <v>6.96109274244</v>
      </c>
      <c r="I1044" s="2">
        <f>INDEX('Wood Density Lookup'!$B$2:$B$152,MATCH(B1044,'Wood Density Lookup'!$A$2:$A$152,0))</f>
        <v>0.3</v>
      </c>
      <c r="J1044" s="2">
        <f t="shared" si="164"/>
        <v>4.938305457975428</v>
      </c>
      <c r="K1044" s="2">
        <f t="shared" si="168"/>
        <v>1.3827255282331199</v>
      </c>
      <c r="L1044" s="2">
        <f t="shared" si="169"/>
        <v>6.3210309862085481</v>
      </c>
      <c r="M1044" s="2">
        <f t="shared" si="165"/>
        <v>4.582747465001197</v>
      </c>
      <c r="N1044" s="2">
        <f t="shared" si="166"/>
        <v>2.2913737325005985</v>
      </c>
      <c r="O1044" s="2">
        <f t="shared" si="167"/>
        <v>8.4093415982771962</v>
      </c>
      <c r="P1044" s="2">
        <v>72.550830000000005</v>
      </c>
      <c r="Q1044" s="2">
        <v>23.038758999999999</v>
      </c>
    </row>
    <row r="1045" spans="1:17" x14ac:dyDescent="0.25">
      <c r="A1045" s="2">
        <v>1193</v>
      </c>
      <c r="B1045" s="2" t="s">
        <v>82</v>
      </c>
      <c r="C1045" s="2">
        <v>34</v>
      </c>
      <c r="D1045" s="2">
        <f t="shared" si="160"/>
        <v>86.36</v>
      </c>
      <c r="E1045" s="2">
        <f t="shared" si="161"/>
        <v>27.489241770832162</v>
      </c>
      <c r="F1045" s="2">
        <f t="shared" si="162"/>
        <v>10.822536130248883</v>
      </c>
      <c r="G1045" s="2">
        <v>6.3997210000000004</v>
      </c>
      <c r="H1045" s="2">
        <f t="shared" si="163"/>
        <v>20.996460645640003</v>
      </c>
      <c r="I1045" s="2">
        <f>INDEX('Wood Density Lookup'!$B$2:$B$152,MATCH(B1045,'Wood Density Lookup'!$A$2:$A$152,0))</f>
        <v>0.7</v>
      </c>
      <c r="J1045" s="2">
        <f t="shared" si="164"/>
        <v>187.45180935410957</v>
      </c>
      <c r="K1045" s="2">
        <f t="shared" si="168"/>
        <v>52.486506619150688</v>
      </c>
      <c r="L1045" s="2">
        <f t="shared" si="169"/>
        <v>239.93831597326027</v>
      </c>
      <c r="M1045" s="2">
        <f t="shared" si="165"/>
        <v>173.95527908061371</v>
      </c>
      <c r="N1045" s="2">
        <f t="shared" si="166"/>
        <v>86.977639540306853</v>
      </c>
      <c r="O1045" s="2">
        <f t="shared" si="167"/>
        <v>319.20793711292612</v>
      </c>
      <c r="P1045" s="2">
        <v>72.550832</v>
      </c>
      <c r="Q1045" s="2">
        <v>23.038609000000001</v>
      </c>
    </row>
    <row r="1046" spans="1:17" x14ac:dyDescent="0.25">
      <c r="A1046" s="2">
        <v>1194</v>
      </c>
      <c r="B1046" s="2" t="s">
        <v>128</v>
      </c>
      <c r="C1046" s="2">
        <v>33</v>
      </c>
      <c r="D1046" s="2">
        <f t="shared" si="160"/>
        <v>83.820000000000007</v>
      </c>
      <c r="E1046" s="2">
        <f t="shared" si="161"/>
        <v>26.680734659925339</v>
      </c>
      <c r="F1046" s="2">
        <f t="shared" si="162"/>
        <v>10.504226244065093</v>
      </c>
      <c r="G1046" s="2">
        <v>6.3739160000000004</v>
      </c>
      <c r="H1046" s="2">
        <f t="shared" si="163"/>
        <v>20.911798569440002</v>
      </c>
      <c r="I1046" s="2">
        <f>INDEX('Wood Density Lookup'!$B$2:$B$152,MATCH(B1046,'Wood Density Lookup'!$A$2:$A$152,0))</f>
        <v>0.75</v>
      </c>
      <c r="J1046" s="2">
        <f t="shared" si="164"/>
        <v>188.41414979766813</v>
      </c>
      <c r="K1046" s="2">
        <f t="shared" si="168"/>
        <v>52.755961943347081</v>
      </c>
      <c r="L1046" s="2">
        <f t="shared" si="169"/>
        <v>241.17011174101521</v>
      </c>
      <c r="M1046" s="2">
        <f t="shared" si="165"/>
        <v>174.84833101223603</v>
      </c>
      <c r="N1046" s="2">
        <f t="shared" si="166"/>
        <v>87.424165506118015</v>
      </c>
      <c r="O1046" s="2">
        <f t="shared" si="167"/>
        <v>320.84668740745309</v>
      </c>
      <c r="P1046" s="2">
        <v>72.550833999999995</v>
      </c>
      <c r="Q1046" s="2">
        <v>23.036766</v>
      </c>
    </row>
    <row r="1047" spans="1:17" x14ac:dyDescent="0.25">
      <c r="A1047" s="2">
        <v>1195</v>
      </c>
      <c r="B1047" s="2" t="s">
        <v>82</v>
      </c>
      <c r="C1047" s="2">
        <v>5</v>
      </c>
      <c r="D1047" s="2">
        <f t="shared" si="160"/>
        <v>12.7</v>
      </c>
      <c r="E1047" s="2">
        <f t="shared" si="161"/>
        <v>4.0425355545341413</v>
      </c>
      <c r="F1047" s="2">
        <f t="shared" si="162"/>
        <v>1.5915494309189535</v>
      </c>
      <c r="G1047" s="2">
        <v>4.4624540000000001</v>
      </c>
      <c r="H1047" s="2">
        <f t="shared" si="163"/>
        <v>14.64059758136</v>
      </c>
      <c r="I1047" s="2">
        <f>INDEX('Wood Density Lookup'!$B$2:$B$152,MATCH(B1047,'Wood Density Lookup'!$A$2:$A$152,0))</f>
        <v>0.7</v>
      </c>
      <c r="J1047" s="2">
        <f t="shared" si="164"/>
        <v>3.1261012879324594</v>
      </c>
      <c r="K1047" s="2">
        <f t="shared" si="168"/>
        <v>0.87530836062108874</v>
      </c>
      <c r="L1047" s="2">
        <f t="shared" si="169"/>
        <v>4.0014096485535484</v>
      </c>
      <c r="M1047" s="2">
        <f t="shared" si="165"/>
        <v>2.9010219952013223</v>
      </c>
      <c r="N1047" s="2">
        <f t="shared" si="166"/>
        <v>1.4505109976006612</v>
      </c>
      <c r="O1047" s="2">
        <f t="shared" si="167"/>
        <v>5.3233753611944268</v>
      </c>
      <c r="P1047" s="2">
        <v>72.550835000000006</v>
      </c>
      <c r="Q1047" s="2">
        <v>23.036446000000002</v>
      </c>
    </row>
    <row r="1048" spans="1:17" x14ac:dyDescent="0.25">
      <c r="A1048" s="2">
        <v>1196</v>
      </c>
      <c r="B1048" s="2" t="s">
        <v>31</v>
      </c>
      <c r="C1048" s="2">
        <v>11</v>
      </c>
      <c r="D1048" s="2">
        <f t="shared" si="160"/>
        <v>27.94</v>
      </c>
      <c r="E1048" s="2">
        <f t="shared" si="161"/>
        <v>8.8935782199751117</v>
      </c>
      <c r="F1048" s="2">
        <f t="shared" si="162"/>
        <v>3.5014087480216975</v>
      </c>
      <c r="G1048" s="2">
        <v>2.1983769999999998</v>
      </c>
      <c r="H1048" s="2">
        <f t="shared" si="163"/>
        <v>7.2125231966799994</v>
      </c>
      <c r="I1048" s="2">
        <f>INDEX('Wood Density Lookup'!$B$2:$B$152,MATCH(B1048,'Wood Density Lookup'!$A$2:$A$152,0))</f>
        <v>0.78</v>
      </c>
      <c r="J1048" s="2">
        <f t="shared" si="164"/>
        <v>8.1131312308880048</v>
      </c>
      <c r="K1048" s="2">
        <f t="shared" si="168"/>
        <v>2.2716767446486417</v>
      </c>
      <c r="L1048" s="2">
        <f t="shared" si="169"/>
        <v>10.384807975536646</v>
      </c>
      <c r="M1048" s="2">
        <f t="shared" si="165"/>
        <v>7.5289857822640682</v>
      </c>
      <c r="N1048" s="2">
        <f t="shared" si="166"/>
        <v>3.7644928911320341</v>
      </c>
      <c r="O1048" s="2">
        <f t="shared" si="167"/>
        <v>13.815688910454565</v>
      </c>
      <c r="P1048" s="2">
        <v>72.550836000000004</v>
      </c>
      <c r="Q1048" s="2">
        <v>23.036411000000001</v>
      </c>
    </row>
    <row r="1049" spans="1:17" x14ac:dyDescent="0.25">
      <c r="A1049" s="2">
        <v>1197</v>
      </c>
      <c r="B1049" s="2" t="s">
        <v>82</v>
      </c>
      <c r="C1049" s="2">
        <v>23</v>
      </c>
      <c r="D1049" s="2">
        <f t="shared" si="160"/>
        <v>58.42</v>
      </c>
      <c r="E1049" s="2">
        <f t="shared" si="161"/>
        <v>18.595663550857051</v>
      </c>
      <c r="F1049" s="2">
        <f t="shared" si="162"/>
        <v>7.3211273822271856</v>
      </c>
      <c r="G1049" s="2">
        <v>7.3982279999999996</v>
      </c>
      <c r="H1049" s="2">
        <f t="shared" si="163"/>
        <v>24.272402351519997</v>
      </c>
      <c r="I1049" s="2">
        <f>INDEX('Wood Density Lookup'!$B$2:$B$152,MATCH(B1049,'Wood Density Lookup'!$A$2:$A$152,0))</f>
        <v>0.7</v>
      </c>
      <c r="J1049" s="2">
        <f t="shared" si="164"/>
        <v>100.69107947606726</v>
      </c>
      <c r="K1049" s="2">
        <f t="shared" si="168"/>
        <v>28.193502253298835</v>
      </c>
      <c r="L1049" s="2">
        <f t="shared" si="169"/>
        <v>128.88458172936609</v>
      </c>
      <c r="M1049" s="2">
        <f t="shared" si="165"/>
        <v>93.441321753790419</v>
      </c>
      <c r="N1049" s="2">
        <f t="shared" si="166"/>
        <v>46.720660876895209</v>
      </c>
      <c r="O1049" s="2">
        <f t="shared" si="167"/>
        <v>171.46482541820541</v>
      </c>
      <c r="P1049" s="2">
        <v>72.550837000000001</v>
      </c>
      <c r="Q1049" s="2">
        <v>23.036619999999999</v>
      </c>
    </row>
    <row r="1050" spans="1:17" x14ac:dyDescent="0.25">
      <c r="A1050" s="2">
        <v>1198</v>
      </c>
      <c r="B1050" s="2" t="s">
        <v>15</v>
      </c>
      <c r="C1050" s="2">
        <v>4</v>
      </c>
      <c r="D1050" s="2">
        <f t="shared" si="160"/>
        <v>10.16</v>
      </c>
      <c r="E1050" s="2">
        <f t="shared" si="161"/>
        <v>3.2340284436273135</v>
      </c>
      <c r="F1050" s="2">
        <f t="shared" si="162"/>
        <v>1.2732395447351628</v>
      </c>
      <c r="G1050" s="2">
        <v>10.265245</v>
      </c>
      <c r="H1050" s="2">
        <f t="shared" si="163"/>
        <v>33.678626405800003</v>
      </c>
      <c r="I1050" s="2">
        <f>INDEX('Wood Density Lookup'!$B$2:$B$152,MATCH(B1050,'Wood Density Lookup'!$A$2:$A$152,0))</f>
        <v>0.75</v>
      </c>
      <c r="J1050" s="2">
        <f t="shared" si="164"/>
        <v>4.877432627617349</v>
      </c>
      <c r="K1050" s="2">
        <f t="shared" si="168"/>
        <v>1.3656811357328578</v>
      </c>
      <c r="L1050" s="2">
        <f t="shared" si="169"/>
        <v>6.2431137633502072</v>
      </c>
      <c r="M1050" s="2">
        <f t="shared" si="165"/>
        <v>4.5262574784289002</v>
      </c>
      <c r="N1050" s="2">
        <f t="shared" si="166"/>
        <v>2.2631287392144501</v>
      </c>
      <c r="O1050" s="2">
        <f t="shared" si="167"/>
        <v>8.3056824729170327</v>
      </c>
      <c r="P1050" s="2">
        <v>72.550837000000001</v>
      </c>
      <c r="Q1050" s="2">
        <v>23.036667999999999</v>
      </c>
    </row>
    <row r="1051" spans="1:17" x14ac:dyDescent="0.25">
      <c r="A1051" s="2">
        <v>1199</v>
      </c>
      <c r="B1051" s="2" t="s">
        <v>82</v>
      </c>
      <c r="C1051" s="2">
        <v>30</v>
      </c>
      <c r="D1051" s="2">
        <f t="shared" si="160"/>
        <v>76.2</v>
      </c>
      <c r="E1051" s="2">
        <f t="shared" si="161"/>
        <v>24.255213327204849</v>
      </c>
      <c r="F1051" s="2">
        <f t="shared" si="162"/>
        <v>9.5492965855137211</v>
      </c>
      <c r="G1051" s="2">
        <v>10.041449999999999</v>
      </c>
      <c r="H1051" s="2">
        <f t="shared" si="163"/>
        <v>32.944390817999995</v>
      </c>
      <c r="I1051" s="2">
        <f>INDEX('Wood Density Lookup'!$B$2:$B$152,MATCH(B1051,'Wood Density Lookup'!$A$2:$A$152,0))</f>
        <v>0.7</v>
      </c>
      <c r="J1051" s="2">
        <f t="shared" si="164"/>
        <v>227.88913481874241</v>
      </c>
      <c r="K1051" s="2">
        <f t="shared" si="168"/>
        <v>63.808957749247881</v>
      </c>
      <c r="L1051" s="2">
        <f t="shared" si="169"/>
        <v>291.69809256799027</v>
      </c>
      <c r="M1051" s="2">
        <f t="shared" si="165"/>
        <v>211.48111711179294</v>
      </c>
      <c r="N1051" s="2">
        <f t="shared" si="166"/>
        <v>105.74055855589647</v>
      </c>
      <c r="O1051" s="2">
        <f t="shared" si="167"/>
        <v>388.06784990014006</v>
      </c>
      <c r="P1051" s="2">
        <v>72.550839999999994</v>
      </c>
      <c r="Q1051" s="2">
        <v>23.038681</v>
      </c>
    </row>
    <row r="1052" spans="1:17" x14ac:dyDescent="0.25">
      <c r="A1052" s="2">
        <v>1200</v>
      </c>
      <c r="B1052" s="2" t="s">
        <v>9</v>
      </c>
      <c r="C1052" s="2">
        <v>20</v>
      </c>
      <c r="D1052" s="2">
        <f t="shared" si="160"/>
        <v>50.8</v>
      </c>
      <c r="E1052" s="2">
        <f t="shared" si="161"/>
        <v>16.170142218136565</v>
      </c>
      <c r="F1052" s="2">
        <f t="shared" si="162"/>
        <v>6.366197723675814</v>
      </c>
      <c r="G1052" s="2">
        <v>7.1899439999999997</v>
      </c>
      <c r="H1052" s="2">
        <f t="shared" si="163"/>
        <v>23.58905587296</v>
      </c>
      <c r="I1052" s="2">
        <f>INDEX('Wood Density Lookup'!$B$2:$B$152,MATCH(B1052,'Wood Density Lookup'!$A$2:$A$152,0))</f>
        <v>0.42</v>
      </c>
      <c r="J1052" s="2">
        <f t="shared" si="164"/>
        <v>45.277233412105559</v>
      </c>
      <c r="K1052" s="2">
        <f t="shared" si="168"/>
        <v>12.677625355389559</v>
      </c>
      <c r="L1052" s="2">
        <f t="shared" si="169"/>
        <v>57.954858767495118</v>
      </c>
      <c r="M1052" s="2">
        <f t="shared" si="165"/>
        <v>42.017272606433956</v>
      </c>
      <c r="N1052" s="2">
        <f t="shared" si="166"/>
        <v>21.008636303216978</v>
      </c>
      <c r="O1052" s="2">
        <f t="shared" si="167"/>
        <v>77.101695232806307</v>
      </c>
      <c r="P1052" s="2">
        <v>72.550839999999994</v>
      </c>
      <c r="Q1052" s="2">
        <v>23.037026999999998</v>
      </c>
    </row>
    <row r="1053" spans="1:17" x14ac:dyDescent="0.25">
      <c r="A1053" s="2">
        <v>1201</v>
      </c>
      <c r="B1053" s="2" t="s">
        <v>9</v>
      </c>
      <c r="C1053" s="2">
        <v>12</v>
      </c>
      <c r="D1053" s="2">
        <f t="shared" si="160"/>
        <v>30.48</v>
      </c>
      <c r="E1053" s="2">
        <f t="shared" si="161"/>
        <v>9.7020853308819408</v>
      </c>
      <c r="F1053" s="2">
        <f t="shared" si="162"/>
        <v>3.8197186342054881</v>
      </c>
      <c r="G1053" s="2">
        <v>8.1085239999999992</v>
      </c>
      <c r="H1053" s="2">
        <f t="shared" si="163"/>
        <v>26.602769880159997</v>
      </c>
      <c r="I1053" s="2">
        <f>INDEX('Wood Density Lookup'!$B$2:$B$152,MATCH(B1053,'Wood Density Lookup'!$A$2:$A$152,0))</f>
        <v>0.42</v>
      </c>
      <c r="J1053" s="2">
        <f t="shared" si="164"/>
        <v>18.784266036966535</v>
      </c>
      <c r="K1053" s="2">
        <f t="shared" si="168"/>
        <v>5.2595944903506302</v>
      </c>
      <c r="L1053" s="2">
        <f t="shared" si="169"/>
        <v>24.043860527317165</v>
      </c>
      <c r="M1053" s="2">
        <f t="shared" si="165"/>
        <v>17.431798882304943</v>
      </c>
      <c r="N1053" s="2">
        <f t="shared" si="166"/>
        <v>8.7158994411524713</v>
      </c>
      <c r="O1053" s="2">
        <f t="shared" si="167"/>
        <v>31.987350949029569</v>
      </c>
      <c r="P1053" s="2">
        <v>72.550841000000005</v>
      </c>
      <c r="Q1053" s="2">
        <v>23.036318999999999</v>
      </c>
    </row>
    <row r="1054" spans="1:17" x14ac:dyDescent="0.25">
      <c r="A1054" s="2">
        <v>1202</v>
      </c>
      <c r="B1054" s="2" t="s">
        <v>9</v>
      </c>
      <c r="C1054" s="2">
        <v>20</v>
      </c>
      <c r="D1054" s="2">
        <f t="shared" si="160"/>
        <v>50.8</v>
      </c>
      <c r="E1054" s="2">
        <f t="shared" si="161"/>
        <v>16.170142218136565</v>
      </c>
      <c r="F1054" s="2">
        <f t="shared" si="162"/>
        <v>6.366197723675814</v>
      </c>
      <c r="G1054" s="2">
        <v>8.2526849999999996</v>
      </c>
      <c r="H1054" s="2">
        <f t="shared" si="163"/>
        <v>27.0757390554</v>
      </c>
      <c r="I1054" s="2">
        <f>INDEX('Wood Density Lookup'!$B$2:$B$152,MATCH(B1054,'Wood Density Lookup'!$A$2:$A$152,0))</f>
        <v>0.42</v>
      </c>
      <c r="J1054" s="2">
        <f t="shared" si="164"/>
        <v>51.797973457398484</v>
      </c>
      <c r="K1054" s="2">
        <f t="shared" si="168"/>
        <v>14.503432568071577</v>
      </c>
      <c r="L1054" s="2">
        <f t="shared" si="169"/>
        <v>66.301406025470058</v>
      </c>
      <c r="M1054" s="2">
        <f t="shared" si="165"/>
        <v>48.068519368465793</v>
      </c>
      <c r="N1054" s="2">
        <f t="shared" si="166"/>
        <v>24.034259684232897</v>
      </c>
      <c r="O1054" s="2">
        <f t="shared" si="167"/>
        <v>88.205733041134735</v>
      </c>
      <c r="P1054" s="2">
        <v>72.550842000000003</v>
      </c>
      <c r="Q1054" s="2">
        <v>23.037018</v>
      </c>
    </row>
    <row r="1055" spans="1:17" x14ac:dyDescent="0.25">
      <c r="A1055" s="2">
        <v>1203</v>
      </c>
      <c r="B1055" s="2" t="s">
        <v>82</v>
      </c>
      <c r="C1055" s="2">
        <v>50</v>
      </c>
      <c r="D1055" s="2">
        <f t="shared" si="160"/>
        <v>127</v>
      </c>
      <c r="E1055" s="2">
        <f t="shared" si="161"/>
        <v>40.425355545341418</v>
      </c>
      <c r="F1055" s="2">
        <f t="shared" si="162"/>
        <v>15.915494309189533</v>
      </c>
      <c r="G1055" s="2">
        <v>8.1408500000000004</v>
      </c>
      <c r="H1055" s="2">
        <f t="shared" si="163"/>
        <v>26.708826314</v>
      </c>
      <c r="I1055" s="2">
        <f>INDEX('Wood Density Lookup'!$B$2:$B$152,MATCH(B1055,'Wood Density Lookup'!$A$2:$A$152,0))</f>
        <v>0.7</v>
      </c>
      <c r="J1055" s="2">
        <f t="shared" si="164"/>
        <v>503.30673471562915</v>
      </c>
      <c r="K1055" s="2">
        <f t="shared" si="168"/>
        <v>140.92588572037619</v>
      </c>
      <c r="L1055" s="2">
        <f t="shared" si="169"/>
        <v>644.23262043600539</v>
      </c>
      <c r="M1055" s="2">
        <f t="shared" si="165"/>
        <v>467.06864981610391</v>
      </c>
      <c r="N1055" s="2">
        <f t="shared" si="166"/>
        <v>233.53432490805196</v>
      </c>
      <c r="O1055" s="2">
        <f t="shared" si="167"/>
        <v>857.07097241255065</v>
      </c>
      <c r="P1055" s="2">
        <v>72.550844999999995</v>
      </c>
      <c r="Q1055" s="2">
        <v>23.035309999999999</v>
      </c>
    </row>
    <row r="1056" spans="1:17" x14ac:dyDescent="0.25">
      <c r="A1056" s="2">
        <v>1204</v>
      </c>
      <c r="B1056" s="2" t="s">
        <v>9</v>
      </c>
      <c r="C1056" s="2">
        <v>30</v>
      </c>
      <c r="D1056" s="2">
        <f t="shared" si="160"/>
        <v>76.2</v>
      </c>
      <c r="E1056" s="2">
        <f t="shared" si="161"/>
        <v>24.255213327204849</v>
      </c>
      <c r="F1056" s="2">
        <f t="shared" si="162"/>
        <v>9.5492965855137211</v>
      </c>
      <c r="G1056" s="2">
        <v>6.2345829999999998</v>
      </c>
      <c r="H1056" s="2">
        <f t="shared" si="163"/>
        <v>20.454669289719998</v>
      </c>
      <c r="I1056" s="2">
        <f>INDEX('Wood Density Lookup'!$B$2:$B$152,MATCH(B1056,'Wood Density Lookup'!$A$2:$A$152,0))</f>
        <v>0.42</v>
      </c>
      <c r="J1056" s="2">
        <f t="shared" si="164"/>
        <v>86.931656915906458</v>
      </c>
      <c r="K1056" s="2">
        <f t="shared" si="168"/>
        <v>24.340863936453811</v>
      </c>
      <c r="L1056" s="2">
        <f t="shared" si="169"/>
        <v>111.27252085236027</v>
      </c>
      <c r="M1056" s="2">
        <f t="shared" si="165"/>
        <v>80.672577617961196</v>
      </c>
      <c r="N1056" s="2">
        <f t="shared" si="166"/>
        <v>40.336288808980598</v>
      </c>
      <c r="O1056" s="2">
        <f t="shared" si="167"/>
        <v>148.03417992895879</v>
      </c>
      <c r="P1056" s="2">
        <v>72.550847000000005</v>
      </c>
      <c r="Q1056" s="2">
        <v>23.036940999999999</v>
      </c>
    </row>
    <row r="1057" spans="1:17" x14ac:dyDescent="0.25">
      <c r="A1057" s="2">
        <v>1205</v>
      </c>
      <c r="B1057" s="2" t="s">
        <v>15</v>
      </c>
      <c r="C1057" s="2">
        <v>68</v>
      </c>
      <c r="D1057" s="2">
        <f t="shared" si="160"/>
        <v>172.72</v>
      </c>
      <c r="E1057" s="2">
        <f t="shared" si="161"/>
        <v>54.978483541664325</v>
      </c>
      <c r="F1057" s="2">
        <f t="shared" si="162"/>
        <v>21.645072260497766</v>
      </c>
      <c r="G1057" s="2">
        <v>8.2690529999999995</v>
      </c>
      <c r="H1057" s="2">
        <f t="shared" si="163"/>
        <v>27.129439844519997</v>
      </c>
      <c r="I1057" s="2">
        <f>INDEX('Wood Density Lookup'!$B$2:$B$152,MATCH(B1057,'Wood Density Lookup'!$A$2:$A$152,0))</f>
        <v>0.75</v>
      </c>
      <c r="J1057" s="2">
        <f t="shared" si="164"/>
        <v>996.24913001132984</v>
      </c>
      <c r="K1057" s="2">
        <f t="shared" si="168"/>
        <v>278.94975640317239</v>
      </c>
      <c r="L1057" s="2">
        <f t="shared" si="169"/>
        <v>1275.1988864145023</v>
      </c>
      <c r="M1057" s="2">
        <f t="shared" si="165"/>
        <v>924.51919265051413</v>
      </c>
      <c r="N1057" s="2">
        <f t="shared" si="166"/>
        <v>462.25959632525706</v>
      </c>
      <c r="O1057" s="2">
        <f t="shared" si="167"/>
        <v>1696.4927185136935</v>
      </c>
      <c r="P1057" s="2">
        <v>72.550850999999994</v>
      </c>
      <c r="Q1057" s="2">
        <v>23.035032000000001</v>
      </c>
    </row>
    <row r="1058" spans="1:17" x14ac:dyDescent="0.25">
      <c r="A1058" s="2">
        <v>1206</v>
      </c>
      <c r="B1058" s="2" t="s">
        <v>72</v>
      </c>
      <c r="C1058" s="2">
        <v>28</v>
      </c>
      <c r="D1058" s="2">
        <f t="shared" si="160"/>
        <v>71.12</v>
      </c>
      <c r="E1058" s="2">
        <f t="shared" si="161"/>
        <v>22.638199105391195</v>
      </c>
      <c r="F1058" s="2">
        <f t="shared" si="162"/>
        <v>8.91267681314614</v>
      </c>
      <c r="G1058" s="2">
        <v>8.2690529999999995</v>
      </c>
      <c r="H1058" s="2">
        <f t="shared" si="163"/>
        <v>27.129439844519997</v>
      </c>
      <c r="I1058" s="2">
        <f>INDEX('Wood Density Lookup'!$B$2:$B$152,MATCH(B1058,'Wood Density Lookup'!$A$2:$A$152,0))</f>
        <v>0.65</v>
      </c>
      <c r="J1058" s="2">
        <f t="shared" si="164"/>
        <v>153.28747757671221</v>
      </c>
      <c r="K1058" s="2">
        <f t="shared" si="168"/>
        <v>42.920493721479424</v>
      </c>
      <c r="L1058" s="2">
        <f t="shared" si="169"/>
        <v>196.20797129819164</v>
      </c>
      <c r="M1058" s="2">
        <f t="shared" si="165"/>
        <v>142.25077919118894</v>
      </c>
      <c r="N1058" s="2">
        <f t="shared" si="166"/>
        <v>71.12538959559447</v>
      </c>
      <c r="O1058" s="2">
        <f t="shared" si="167"/>
        <v>261.03017981583167</v>
      </c>
      <c r="P1058" s="2">
        <v>72.550850999999994</v>
      </c>
      <c r="Q1058" s="2">
        <v>23.035032000000001</v>
      </c>
    </row>
    <row r="1059" spans="1:17" x14ac:dyDescent="0.25">
      <c r="A1059" s="2">
        <v>1207</v>
      </c>
      <c r="B1059" s="2" t="s">
        <v>9</v>
      </c>
      <c r="C1059" s="2">
        <v>22</v>
      </c>
      <c r="D1059" s="2">
        <f t="shared" si="160"/>
        <v>55.88</v>
      </c>
      <c r="E1059" s="2">
        <f t="shared" si="161"/>
        <v>17.787156439950223</v>
      </c>
      <c r="F1059" s="2">
        <f t="shared" si="162"/>
        <v>7.0028174960433951</v>
      </c>
      <c r="G1059" s="2">
        <v>7.2520749999999996</v>
      </c>
      <c r="H1059" s="2">
        <f t="shared" si="163"/>
        <v>23.792897742999997</v>
      </c>
      <c r="I1059" s="2">
        <f>INDEX('Wood Density Lookup'!$B$2:$B$152,MATCH(B1059,'Wood Density Lookup'!$A$2:$A$152,0))</f>
        <v>0.42</v>
      </c>
      <c r="J1059" s="2">
        <f t="shared" si="164"/>
        <v>54.995290435230523</v>
      </c>
      <c r="K1059" s="2">
        <f t="shared" si="168"/>
        <v>15.398681321864547</v>
      </c>
      <c r="L1059" s="2">
        <f t="shared" si="169"/>
        <v>70.393971757095073</v>
      </c>
      <c r="M1059" s="2">
        <f t="shared" si="165"/>
        <v>51.035629523893924</v>
      </c>
      <c r="N1059" s="2">
        <f t="shared" si="166"/>
        <v>25.517814761946962</v>
      </c>
      <c r="O1059" s="2">
        <f t="shared" si="167"/>
        <v>93.650380176345351</v>
      </c>
      <c r="P1059" s="2">
        <v>72.550850999999994</v>
      </c>
      <c r="Q1059" s="2">
        <v>23.036988999999998</v>
      </c>
    </row>
    <row r="1060" spans="1:17" x14ac:dyDescent="0.25">
      <c r="A1060" s="2">
        <v>1208</v>
      </c>
      <c r="B1060" s="2" t="s">
        <v>82</v>
      </c>
      <c r="C1060" s="2">
        <v>9</v>
      </c>
      <c r="D1060" s="2">
        <f t="shared" si="160"/>
        <v>22.86</v>
      </c>
      <c r="E1060" s="2">
        <f t="shared" si="161"/>
        <v>7.2765639981614552</v>
      </c>
      <c r="F1060" s="2">
        <f t="shared" si="162"/>
        <v>2.8647889756541161</v>
      </c>
      <c r="G1060" s="2">
        <v>3.2206899999999998</v>
      </c>
      <c r="H1060" s="2">
        <f t="shared" si="163"/>
        <v>10.5665685796</v>
      </c>
      <c r="I1060" s="2">
        <f>INDEX('Wood Density Lookup'!$B$2:$B$152,MATCH(B1060,'Wood Density Lookup'!$A$2:$A$152,0))</f>
        <v>0.7</v>
      </c>
      <c r="J1060" s="2">
        <f t="shared" si="164"/>
        <v>7.162574359142698</v>
      </c>
      <c r="K1060" s="2">
        <f t="shared" si="168"/>
        <v>2.0055208205599557</v>
      </c>
      <c r="L1060" s="2">
        <f t="shared" si="169"/>
        <v>9.1680951797026538</v>
      </c>
      <c r="M1060" s="2">
        <f t="shared" si="165"/>
        <v>6.6468690052844241</v>
      </c>
      <c r="N1060" s="2">
        <f t="shared" si="166"/>
        <v>3.3234345026422121</v>
      </c>
      <c r="O1060" s="2">
        <f t="shared" si="167"/>
        <v>12.197004624696918</v>
      </c>
      <c r="P1060" s="2">
        <v>72.550854000000001</v>
      </c>
      <c r="Q1060" s="2">
        <v>23.038451999999999</v>
      </c>
    </row>
    <row r="1061" spans="1:17" x14ac:dyDescent="0.25">
      <c r="A1061" s="2">
        <v>1209</v>
      </c>
      <c r="B1061" s="2" t="s">
        <v>9</v>
      </c>
      <c r="C1061" s="2">
        <v>42</v>
      </c>
      <c r="D1061" s="2">
        <f t="shared" si="160"/>
        <v>106.68</v>
      </c>
      <c r="E1061" s="2">
        <f t="shared" si="161"/>
        <v>33.957298658086792</v>
      </c>
      <c r="F1061" s="2">
        <f t="shared" si="162"/>
        <v>13.369015219719209</v>
      </c>
      <c r="G1061" s="2">
        <v>8.1609359999999995</v>
      </c>
      <c r="H1061" s="2">
        <f t="shared" si="163"/>
        <v>26.774725266239997</v>
      </c>
      <c r="I1061" s="2">
        <f>INDEX('Wood Density Lookup'!$B$2:$B$152,MATCH(B1061,'Wood Density Lookup'!$A$2:$A$152,0))</f>
        <v>0.42</v>
      </c>
      <c r="J1061" s="2">
        <f t="shared" si="164"/>
        <v>218.04496498357949</v>
      </c>
      <c r="K1061" s="2">
        <f t="shared" si="168"/>
        <v>61.05259019540226</v>
      </c>
      <c r="L1061" s="2">
        <f t="shared" si="169"/>
        <v>279.09755517898174</v>
      </c>
      <c r="M1061" s="2">
        <f t="shared" si="165"/>
        <v>202.34572750476175</v>
      </c>
      <c r="N1061" s="2">
        <f t="shared" si="166"/>
        <v>101.17286375238088</v>
      </c>
      <c r="O1061" s="2">
        <f t="shared" si="167"/>
        <v>371.30440997123782</v>
      </c>
      <c r="P1061" s="2">
        <v>72.550854000000001</v>
      </c>
      <c r="Q1061" s="2">
        <v>23.036363999999999</v>
      </c>
    </row>
    <row r="1062" spans="1:17" x14ac:dyDescent="0.25">
      <c r="A1062" s="2">
        <v>1210</v>
      </c>
      <c r="B1062" s="2" t="s">
        <v>82</v>
      </c>
      <c r="C1062" s="2">
        <v>19</v>
      </c>
      <c r="D1062" s="2">
        <f t="shared" si="160"/>
        <v>48.26</v>
      </c>
      <c r="E1062" s="2">
        <f t="shared" si="161"/>
        <v>15.361635107229738</v>
      </c>
      <c r="F1062" s="2">
        <f t="shared" si="162"/>
        <v>6.0478878374920226</v>
      </c>
      <c r="G1062" s="2">
        <v>10.717594999999999</v>
      </c>
      <c r="H1062" s="2">
        <f t="shared" si="163"/>
        <v>35.162714379800001</v>
      </c>
      <c r="I1062" s="2">
        <f>INDEX('Wood Density Lookup'!$B$2:$B$152,MATCH(B1062,'Wood Density Lookup'!$A$2:$A$152,0))</f>
        <v>0.7</v>
      </c>
      <c r="J1062" s="2">
        <f t="shared" si="164"/>
        <v>99.570720388152623</v>
      </c>
      <c r="K1062" s="2">
        <f t="shared" si="168"/>
        <v>27.879801708682738</v>
      </c>
      <c r="L1062" s="2">
        <f t="shared" si="169"/>
        <v>127.45052209683536</v>
      </c>
      <c r="M1062" s="2">
        <f t="shared" si="165"/>
        <v>92.401628520205634</v>
      </c>
      <c r="N1062" s="2">
        <f t="shared" si="166"/>
        <v>46.200814260102817</v>
      </c>
      <c r="O1062" s="2">
        <f t="shared" si="167"/>
        <v>169.55698833457734</v>
      </c>
      <c r="P1062" s="2">
        <v>72.550858000000005</v>
      </c>
      <c r="Q1062" s="2">
        <v>23.036512999999999</v>
      </c>
    </row>
    <row r="1063" spans="1:17" x14ac:dyDescent="0.25">
      <c r="A1063" s="2">
        <v>1211</v>
      </c>
      <c r="B1063" s="2" t="s">
        <v>128</v>
      </c>
      <c r="C1063" s="2">
        <v>13</v>
      </c>
      <c r="D1063" s="2">
        <f t="shared" si="160"/>
        <v>33.020000000000003</v>
      </c>
      <c r="E1063" s="2">
        <f t="shared" si="161"/>
        <v>10.51059244178877</v>
      </c>
      <c r="F1063" s="2">
        <f t="shared" si="162"/>
        <v>4.1380285203892786</v>
      </c>
      <c r="G1063" s="2">
        <v>8.3853380000000008</v>
      </c>
      <c r="H1063" s="2">
        <f t="shared" si="163"/>
        <v>27.510952323920002</v>
      </c>
      <c r="I1063" s="2">
        <f>INDEX('Wood Density Lookup'!$B$2:$B$152,MATCH(B1063,'Wood Density Lookup'!$A$2:$A$152,0))</f>
        <v>0.75</v>
      </c>
      <c r="J1063" s="2">
        <f t="shared" si="164"/>
        <v>39.962000749978131</v>
      </c>
      <c r="K1063" s="2">
        <f t="shared" si="168"/>
        <v>11.189360209993877</v>
      </c>
      <c r="L1063" s="2">
        <f t="shared" si="169"/>
        <v>51.15136095997201</v>
      </c>
      <c r="M1063" s="2">
        <f t="shared" si="165"/>
        <v>37.084736695979707</v>
      </c>
      <c r="N1063" s="2">
        <f t="shared" si="166"/>
        <v>18.542368347989854</v>
      </c>
      <c r="O1063" s="2">
        <f t="shared" si="167"/>
        <v>68.050491837122763</v>
      </c>
      <c r="P1063" s="2">
        <v>72.550859000000003</v>
      </c>
      <c r="Q1063" s="2">
        <v>23.036745</v>
      </c>
    </row>
    <row r="1064" spans="1:17" x14ac:dyDescent="0.25">
      <c r="A1064" s="2">
        <v>1212</v>
      </c>
      <c r="B1064" s="2" t="s">
        <v>82</v>
      </c>
      <c r="C1064" s="2">
        <v>15</v>
      </c>
      <c r="D1064" s="2">
        <f t="shared" si="160"/>
        <v>38.1</v>
      </c>
      <c r="E1064" s="2">
        <f t="shared" si="161"/>
        <v>12.127606663602425</v>
      </c>
      <c r="F1064" s="2">
        <f t="shared" si="162"/>
        <v>4.7746482927568605</v>
      </c>
      <c r="G1064" s="2">
        <v>6.1210599999999999</v>
      </c>
      <c r="H1064" s="2">
        <f t="shared" si="163"/>
        <v>20.082218490399999</v>
      </c>
      <c r="I1064" s="2">
        <f>INDEX('Wood Density Lookup'!$B$2:$B$152,MATCH(B1064,'Wood Density Lookup'!$A$2:$A$152,0))</f>
        <v>0.7</v>
      </c>
      <c r="J1064" s="2">
        <f t="shared" si="164"/>
        <v>36.333107983421556</v>
      </c>
      <c r="K1064" s="2">
        <f t="shared" si="168"/>
        <v>10.173270235358036</v>
      </c>
      <c r="L1064" s="2">
        <f t="shared" si="169"/>
        <v>46.506378218779588</v>
      </c>
      <c r="M1064" s="2">
        <f t="shared" si="165"/>
        <v>33.717124208615203</v>
      </c>
      <c r="N1064" s="2">
        <f t="shared" si="166"/>
        <v>16.858562104307602</v>
      </c>
      <c r="O1064" s="2">
        <f t="shared" si="167"/>
        <v>61.870922922808894</v>
      </c>
      <c r="P1064" s="2">
        <v>72.550860999999998</v>
      </c>
      <c r="Q1064" s="2">
        <v>23.037656999999999</v>
      </c>
    </row>
    <row r="1065" spans="1:17" x14ac:dyDescent="0.25">
      <c r="A1065" s="2">
        <v>1213</v>
      </c>
      <c r="B1065" s="2" t="s">
        <v>148</v>
      </c>
      <c r="C1065" s="2">
        <v>3</v>
      </c>
      <c r="D1065" s="2">
        <f t="shared" si="160"/>
        <v>7.62</v>
      </c>
      <c r="E1065" s="2">
        <f t="shared" si="161"/>
        <v>2.4255213327204852</v>
      </c>
      <c r="F1065" s="2">
        <f t="shared" si="162"/>
        <v>0.95492965855137202</v>
      </c>
      <c r="G1065" s="2">
        <v>13.614905</v>
      </c>
      <c r="H1065" s="2">
        <f t="shared" si="163"/>
        <v>44.6683249202</v>
      </c>
      <c r="I1065" s="2">
        <f>INDEX('Wood Density Lookup'!$B$2:$B$152,MATCH(B1065,'Wood Density Lookup'!$A$2:$A$152,0))</f>
        <v>0.5</v>
      </c>
      <c r="J1065" s="2">
        <f t="shared" si="164"/>
        <v>2.4668776233248191</v>
      </c>
      <c r="K1065" s="2">
        <f t="shared" si="168"/>
        <v>0.69072573453094943</v>
      </c>
      <c r="L1065" s="2">
        <f t="shared" si="169"/>
        <v>3.1576033578557685</v>
      </c>
      <c r="M1065" s="2">
        <f t="shared" si="165"/>
        <v>2.289262434445432</v>
      </c>
      <c r="N1065" s="2">
        <f t="shared" si="166"/>
        <v>1.144631217222716</v>
      </c>
      <c r="O1065" s="2">
        <f t="shared" si="167"/>
        <v>4.2007965672073677</v>
      </c>
      <c r="P1065" s="2">
        <v>72.550860999999998</v>
      </c>
      <c r="Q1065" s="2">
        <v>23.035554000000001</v>
      </c>
    </row>
    <row r="1066" spans="1:17" x14ac:dyDescent="0.25">
      <c r="A1066" s="2">
        <v>1214</v>
      </c>
      <c r="B1066" s="2" t="s">
        <v>72</v>
      </c>
      <c r="C1066" s="2">
        <v>4</v>
      </c>
      <c r="D1066" s="2">
        <f t="shared" si="160"/>
        <v>10.16</v>
      </c>
      <c r="E1066" s="2">
        <f t="shared" si="161"/>
        <v>3.2340284436273135</v>
      </c>
      <c r="F1066" s="2">
        <f t="shared" si="162"/>
        <v>1.2732395447351628</v>
      </c>
      <c r="G1066" s="2">
        <v>6.5390579999999998</v>
      </c>
      <c r="H1066" s="2">
        <f t="shared" si="163"/>
        <v>21.453603048719998</v>
      </c>
      <c r="I1066" s="2">
        <f>INDEX('Wood Density Lookup'!$B$2:$B$152,MATCH(B1066,'Wood Density Lookup'!$A$2:$A$152,0))</f>
        <v>0.65</v>
      </c>
      <c r="J1066" s="2">
        <f t="shared" si="164"/>
        <v>2.7313747585816381</v>
      </c>
      <c r="K1066" s="2">
        <f t="shared" si="168"/>
        <v>0.76478493240285872</v>
      </c>
      <c r="L1066" s="2">
        <f t="shared" si="169"/>
        <v>3.4961596909844967</v>
      </c>
      <c r="M1066" s="2">
        <f t="shared" si="165"/>
        <v>2.5347157759637602</v>
      </c>
      <c r="N1066" s="2">
        <f t="shared" si="166"/>
        <v>1.2673578879818801</v>
      </c>
      <c r="O1066" s="2">
        <f t="shared" si="167"/>
        <v>4.6512034488934999</v>
      </c>
      <c r="P1066" s="2">
        <v>72.550860999999998</v>
      </c>
      <c r="Q1066" s="2">
        <v>23.037648000000001</v>
      </c>
    </row>
    <row r="1067" spans="1:17" x14ac:dyDescent="0.25">
      <c r="A1067" s="2">
        <v>1215</v>
      </c>
      <c r="B1067" s="2" t="s">
        <v>15</v>
      </c>
      <c r="C1067" s="2">
        <v>29</v>
      </c>
      <c r="D1067" s="2">
        <f t="shared" si="160"/>
        <v>73.66</v>
      </c>
      <c r="E1067" s="2">
        <f t="shared" si="161"/>
        <v>23.446706216298022</v>
      </c>
      <c r="F1067" s="2">
        <f t="shared" si="162"/>
        <v>9.2309866993299305</v>
      </c>
      <c r="G1067" s="2">
        <v>10.900715</v>
      </c>
      <c r="H1067" s="2">
        <f t="shared" si="163"/>
        <v>35.763501800599997</v>
      </c>
      <c r="I1067" s="2">
        <f>INDEX('Wood Density Lookup'!$B$2:$B$152,MATCH(B1067,'Wood Density Lookup'!$A$2:$A$152,0))</f>
        <v>0.75</v>
      </c>
      <c r="J1067" s="2">
        <f t="shared" si="164"/>
        <v>247.18987507115503</v>
      </c>
      <c r="K1067" s="2">
        <f t="shared" si="168"/>
        <v>69.213165019923409</v>
      </c>
      <c r="L1067" s="2">
        <f t="shared" si="169"/>
        <v>316.40304009107842</v>
      </c>
      <c r="M1067" s="2">
        <f t="shared" si="165"/>
        <v>229.39220406603184</v>
      </c>
      <c r="N1067" s="2">
        <f t="shared" si="166"/>
        <v>114.69610203301592</v>
      </c>
      <c r="O1067" s="2">
        <f t="shared" si="167"/>
        <v>420.93469446116842</v>
      </c>
      <c r="P1067" s="2">
        <v>72.550864000000004</v>
      </c>
      <c r="Q1067" s="2">
        <v>23.036662</v>
      </c>
    </row>
    <row r="1068" spans="1:17" x14ac:dyDescent="0.25">
      <c r="A1068" s="2">
        <v>1216</v>
      </c>
      <c r="B1068" s="2" t="s">
        <v>9</v>
      </c>
      <c r="C1068" s="2">
        <v>17</v>
      </c>
      <c r="D1068" s="2">
        <f t="shared" si="160"/>
        <v>43.18</v>
      </c>
      <c r="E1068" s="2">
        <f t="shared" si="161"/>
        <v>13.744620885416081</v>
      </c>
      <c r="F1068" s="2">
        <f t="shared" si="162"/>
        <v>5.4112680651244416</v>
      </c>
      <c r="G1068" s="2">
        <v>8.0758729999999996</v>
      </c>
      <c r="H1068" s="2">
        <f t="shared" si="163"/>
        <v>26.495647173319998</v>
      </c>
      <c r="I1068" s="2">
        <f>INDEX('Wood Density Lookup'!$B$2:$B$152,MATCH(B1068,'Wood Density Lookup'!$A$2:$A$152,0))</f>
        <v>0.42</v>
      </c>
      <c r="J1068" s="2">
        <f t="shared" si="164"/>
        <v>36.928227500118801</v>
      </c>
      <c r="K1068" s="2">
        <f t="shared" si="168"/>
        <v>10.339903700033265</v>
      </c>
      <c r="L1068" s="2">
        <f t="shared" si="169"/>
        <v>47.268131200152069</v>
      </c>
      <c r="M1068" s="2">
        <f t="shared" si="165"/>
        <v>34.269395120110246</v>
      </c>
      <c r="N1068" s="2">
        <f t="shared" si="166"/>
        <v>17.134697560055123</v>
      </c>
      <c r="O1068" s="2">
        <f t="shared" si="167"/>
        <v>62.884340045402304</v>
      </c>
      <c r="P1068" s="2">
        <v>72.550864000000004</v>
      </c>
      <c r="Q1068" s="2">
        <v>23.03687</v>
      </c>
    </row>
    <row r="1069" spans="1:17" x14ac:dyDescent="0.25">
      <c r="A1069" s="2">
        <v>1217</v>
      </c>
      <c r="B1069" s="2" t="s">
        <v>9</v>
      </c>
      <c r="C1069" s="2">
        <v>30</v>
      </c>
      <c r="D1069" s="2">
        <f t="shared" si="160"/>
        <v>76.2</v>
      </c>
      <c r="E1069" s="2">
        <f t="shared" si="161"/>
        <v>24.255213327204849</v>
      </c>
      <c r="F1069" s="2">
        <f t="shared" si="162"/>
        <v>9.5492965855137211</v>
      </c>
      <c r="G1069" s="2">
        <v>7.2728140000000003</v>
      </c>
      <c r="H1069" s="2">
        <f t="shared" si="163"/>
        <v>23.860939083760002</v>
      </c>
      <c r="I1069" s="2">
        <f>INDEX('Wood Density Lookup'!$B$2:$B$152,MATCH(B1069,'Wood Density Lookup'!$A$2:$A$152,0))</f>
        <v>0.42</v>
      </c>
      <c r="J1069" s="2">
        <f t="shared" si="164"/>
        <v>101.03399956065756</v>
      </c>
      <c r="K1069" s="2">
        <f t="shared" si="168"/>
        <v>28.289519876984119</v>
      </c>
      <c r="L1069" s="2">
        <f t="shared" si="169"/>
        <v>129.32351943764169</v>
      </c>
      <c r="M1069" s="2">
        <f t="shared" si="165"/>
        <v>93.759551592290222</v>
      </c>
      <c r="N1069" s="2">
        <f t="shared" si="166"/>
        <v>46.879775796145111</v>
      </c>
      <c r="O1069" s="2">
        <f t="shared" si="167"/>
        <v>172.04877717185255</v>
      </c>
      <c r="P1069" s="2">
        <v>72.550865999999999</v>
      </c>
      <c r="Q1069" s="2">
        <v>23.037026000000001</v>
      </c>
    </row>
    <row r="1070" spans="1:17" x14ac:dyDescent="0.25">
      <c r="A1070" s="2">
        <v>1218</v>
      </c>
      <c r="B1070" s="2" t="s">
        <v>82</v>
      </c>
      <c r="C1070" s="2">
        <v>3</v>
      </c>
      <c r="D1070" s="2">
        <f t="shared" si="160"/>
        <v>7.62</v>
      </c>
      <c r="E1070" s="2">
        <f t="shared" si="161"/>
        <v>2.4255213327204852</v>
      </c>
      <c r="F1070" s="2">
        <f t="shared" si="162"/>
        <v>0.95492965855137202</v>
      </c>
      <c r="G1070" s="2">
        <v>4.618004</v>
      </c>
      <c r="H1070" s="2">
        <f t="shared" si="163"/>
        <v>15.15093224336</v>
      </c>
      <c r="I1070" s="2">
        <f>INDEX('Wood Density Lookup'!$B$2:$B$152,MATCH(B1070,'Wood Density Lookup'!$A$2:$A$152,0))</f>
        <v>0.7</v>
      </c>
      <c r="J1070" s="2">
        <f t="shared" si="164"/>
        <v>1.1925530439788392</v>
      </c>
      <c r="K1070" s="2">
        <f t="shared" si="168"/>
        <v>0.33391485231407503</v>
      </c>
      <c r="L1070" s="2">
        <f t="shared" si="169"/>
        <v>1.5264678962929144</v>
      </c>
      <c r="M1070" s="2">
        <f t="shared" si="165"/>
        <v>1.1066892248123628</v>
      </c>
      <c r="N1070" s="2">
        <f t="shared" si="166"/>
        <v>0.55334461240618138</v>
      </c>
      <c r="O1070" s="2">
        <f t="shared" si="167"/>
        <v>2.0307747275306856</v>
      </c>
      <c r="P1070" s="2">
        <v>72.550866999999997</v>
      </c>
      <c r="Q1070" s="2">
        <v>23.035585000000001</v>
      </c>
    </row>
    <row r="1071" spans="1:17" x14ac:dyDescent="0.25">
      <c r="A1071" s="2">
        <v>1219</v>
      </c>
      <c r="B1071" s="2" t="s">
        <v>114</v>
      </c>
      <c r="C1071" s="2">
        <v>9</v>
      </c>
      <c r="D1071" s="2">
        <f t="shared" si="160"/>
        <v>22.86</v>
      </c>
      <c r="E1071" s="2">
        <f t="shared" si="161"/>
        <v>7.2765639981614552</v>
      </c>
      <c r="F1071" s="2">
        <f t="shared" si="162"/>
        <v>2.8647889756541161</v>
      </c>
      <c r="G1071" s="2">
        <v>12.856878999999999</v>
      </c>
      <c r="H1071" s="2">
        <f t="shared" si="163"/>
        <v>42.18136289836</v>
      </c>
      <c r="I1071" s="2">
        <f>INDEX('Wood Density Lookup'!$B$2:$B$152,MATCH(B1071,'Wood Density Lookup'!$A$2:$A$152,0))</f>
        <v>0.55000000000000004</v>
      </c>
      <c r="J1071" s="2">
        <f t="shared" si="164"/>
        <v>21.85775703875596</v>
      </c>
      <c r="K1071" s="2">
        <f t="shared" si="168"/>
        <v>6.1201719708516693</v>
      </c>
      <c r="L1071" s="2">
        <f t="shared" si="169"/>
        <v>27.977929009607628</v>
      </c>
      <c r="M1071" s="2">
        <f t="shared" si="165"/>
        <v>20.28399853196553</v>
      </c>
      <c r="N1071" s="2">
        <f t="shared" si="166"/>
        <v>10.141999265982765</v>
      </c>
      <c r="O1071" s="2">
        <f t="shared" si="167"/>
        <v>37.221137306156749</v>
      </c>
      <c r="P1071" s="2">
        <v>72.550866999999997</v>
      </c>
      <c r="Q1071" s="2">
        <v>23.035487</v>
      </c>
    </row>
    <row r="1072" spans="1:17" x14ac:dyDescent="0.25">
      <c r="A1072" s="2">
        <v>1220</v>
      </c>
      <c r="B1072" s="2" t="s">
        <v>15</v>
      </c>
      <c r="C1072" s="2">
        <v>4</v>
      </c>
      <c r="D1072" s="2">
        <f t="shared" si="160"/>
        <v>10.16</v>
      </c>
      <c r="E1072" s="2">
        <f t="shared" si="161"/>
        <v>3.2340284436273135</v>
      </c>
      <c r="F1072" s="2">
        <f t="shared" si="162"/>
        <v>1.2732395447351628</v>
      </c>
      <c r="G1072" s="2">
        <v>4.4120160000000004</v>
      </c>
      <c r="H1072" s="2">
        <f t="shared" si="163"/>
        <v>14.475118573440001</v>
      </c>
      <c r="I1072" s="2">
        <f>INDEX('Wood Density Lookup'!$B$2:$B$152,MATCH(B1072,'Wood Density Lookup'!$A$2:$A$152,0))</f>
        <v>0.75</v>
      </c>
      <c r="J1072" s="2">
        <f t="shared" si="164"/>
        <v>2.1392454282743598</v>
      </c>
      <c r="K1072" s="2">
        <f t="shared" si="168"/>
        <v>0.59898871991682079</v>
      </c>
      <c r="L1072" s="2">
        <f t="shared" si="169"/>
        <v>2.7382341481911805</v>
      </c>
      <c r="M1072" s="2">
        <f t="shared" si="165"/>
        <v>1.9852197574386059</v>
      </c>
      <c r="N1072" s="2">
        <f t="shared" si="166"/>
        <v>0.99260987871930295</v>
      </c>
      <c r="O1072" s="2">
        <f t="shared" si="167"/>
        <v>3.6428782548998417</v>
      </c>
      <c r="P1072" s="2">
        <v>72.550869000000006</v>
      </c>
      <c r="Q1072" s="2">
        <v>23.035461000000002</v>
      </c>
    </row>
    <row r="1073" spans="1:17" x14ac:dyDescent="0.25">
      <c r="A1073" s="2">
        <v>1221</v>
      </c>
      <c r="B1073" s="2" t="s">
        <v>9</v>
      </c>
      <c r="C1073" s="2">
        <v>10</v>
      </c>
      <c r="D1073" s="2">
        <f t="shared" si="160"/>
        <v>25.4</v>
      </c>
      <c r="E1073" s="2">
        <f t="shared" si="161"/>
        <v>8.0850711090682825</v>
      </c>
      <c r="F1073" s="2">
        <f t="shared" si="162"/>
        <v>3.183098861837907</v>
      </c>
      <c r="G1073" s="2">
        <v>6.1444919999999996</v>
      </c>
      <c r="H1073" s="2">
        <f t="shared" si="163"/>
        <v>20.159095133279997</v>
      </c>
      <c r="I1073" s="2">
        <f>INDEX('Wood Density Lookup'!$B$2:$B$152,MATCH(B1073,'Wood Density Lookup'!$A$2:$A$152,0))</f>
        <v>0.42</v>
      </c>
      <c r="J1073" s="2">
        <f t="shared" si="164"/>
        <v>10.038470672173206</v>
      </c>
      <c r="K1073" s="2">
        <f t="shared" si="168"/>
        <v>2.8107717882084979</v>
      </c>
      <c r="L1073" s="2">
        <f t="shared" si="169"/>
        <v>12.849242460381705</v>
      </c>
      <c r="M1073" s="2">
        <f t="shared" si="165"/>
        <v>9.3157007837767356</v>
      </c>
      <c r="N1073" s="2">
        <f t="shared" si="166"/>
        <v>4.6578503918883678</v>
      </c>
      <c r="O1073" s="2">
        <f t="shared" si="167"/>
        <v>17.094310938230308</v>
      </c>
      <c r="P1073" s="2">
        <v>72.550870000000003</v>
      </c>
      <c r="Q1073" s="2">
        <v>23.036881999999999</v>
      </c>
    </row>
    <row r="1074" spans="1:17" x14ac:dyDescent="0.25">
      <c r="A1074" s="2">
        <v>1222</v>
      </c>
      <c r="B1074" s="2" t="s">
        <v>72</v>
      </c>
      <c r="C1074" s="2">
        <v>5</v>
      </c>
      <c r="D1074" s="2">
        <f t="shared" si="160"/>
        <v>12.7</v>
      </c>
      <c r="E1074" s="2">
        <f t="shared" si="161"/>
        <v>4.0425355545341413</v>
      </c>
      <c r="F1074" s="2">
        <f t="shared" si="162"/>
        <v>1.5915494309189535</v>
      </c>
      <c r="G1074" s="2">
        <v>6.1114730000000002</v>
      </c>
      <c r="H1074" s="2">
        <f t="shared" si="163"/>
        <v>20.050765077320001</v>
      </c>
      <c r="I1074" s="2">
        <f>INDEX('Wood Density Lookup'!$B$2:$B$152,MATCH(B1074,'Wood Density Lookup'!$A$2:$A$152,0))</f>
        <v>0.65</v>
      </c>
      <c r="J1074" s="2">
        <f t="shared" si="164"/>
        <v>3.9526213122546219</v>
      </c>
      <c r="K1074" s="2">
        <f t="shared" si="168"/>
        <v>1.1067339674312942</v>
      </c>
      <c r="L1074" s="2">
        <f t="shared" si="169"/>
        <v>5.0593552796859163</v>
      </c>
      <c r="M1074" s="2">
        <f t="shared" si="165"/>
        <v>3.6680325777722893</v>
      </c>
      <c r="N1074" s="2">
        <f t="shared" si="166"/>
        <v>1.8340162888861447</v>
      </c>
      <c r="O1074" s="2">
        <f t="shared" si="167"/>
        <v>6.7308397802121505</v>
      </c>
      <c r="P1074" s="2">
        <v>72.550871999999998</v>
      </c>
      <c r="Q1074" s="2">
        <v>23.037648000000001</v>
      </c>
    </row>
    <row r="1075" spans="1:17" x14ac:dyDescent="0.25">
      <c r="A1075" s="2">
        <v>1223</v>
      </c>
      <c r="B1075" s="2" t="s">
        <v>15</v>
      </c>
      <c r="C1075" s="2">
        <v>68</v>
      </c>
      <c r="D1075" s="2">
        <f t="shared" si="160"/>
        <v>172.72</v>
      </c>
      <c r="E1075" s="2">
        <f t="shared" si="161"/>
        <v>54.978483541664325</v>
      </c>
      <c r="F1075" s="2">
        <f t="shared" si="162"/>
        <v>21.645072260497766</v>
      </c>
      <c r="G1075" s="2">
        <v>12.588812000000001</v>
      </c>
      <c r="H1075" s="2">
        <f t="shared" si="163"/>
        <v>41.301877962079999</v>
      </c>
      <c r="I1075" s="2">
        <f>INDEX('Wood Density Lookup'!$B$2:$B$152,MATCH(B1075,'Wood Density Lookup'!$A$2:$A$152,0))</f>
        <v>0.75</v>
      </c>
      <c r="J1075" s="2">
        <f t="shared" si="164"/>
        <v>1501.4685235411871</v>
      </c>
      <c r="K1075" s="2">
        <f t="shared" si="168"/>
        <v>420.41118659153244</v>
      </c>
      <c r="L1075" s="2">
        <f t="shared" si="169"/>
        <v>1921.8797101327195</v>
      </c>
      <c r="M1075" s="2">
        <f t="shared" si="165"/>
        <v>1393.3627898462216</v>
      </c>
      <c r="N1075" s="2">
        <f t="shared" si="166"/>
        <v>696.68139492311082</v>
      </c>
      <c r="O1075" s="2">
        <f t="shared" si="167"/>
        <v>2556.8207193678168</v>
      </c>
      <c r="P1075" s="2">
        <v>72.550872999999996</v>
      </c>
      <c r="Q1075" s="2">
        <v>23.035969000000001</v>
      </c>
    </row>
    <row r="1076" spans="1:17" x14ac:dyDescent="0.25">
      <c r="A1076" s="2">
        <v>1224</v>
      </c>
      <c r="B1076" s="2" t="s">
        <v>9</v>
      </c>
      <c r="C1076" s="2">
        <v>20</v>
      </c>
      <c r="D1076" s="2">
        <f t="shared" si="160"/>
        <v>50.8</v>
      </c>
      <c r="E1076" s="2">
        <f t="shared" si="161"/>
        <v>16.170142218136565</v>
      </c>
      <c r="F1076" s="2">
        <f t="shared" si="162"/>
        <v>6.366197723675814</v>
      </c>
      <c r="G1076" s="2">
        <v>6.111478</v>
      </c>
      <c r="H1076" s="2">
        <f t="shared" si="163"/>
        <v>20.050781481520001</v>
      </c>
      <c r="I1076" s="2">
        <f>INDEX('Wood Density Lookup'!$B$2:$B$152,MATCH(B1076,'Wood Density Lookup'!$A$2:$A$152,0))</f>
        <v>0.42</v>
      </c>
      <c r="J1076" s="2">
        <f t="shared" si="164"/>
        <v>38.636211002639179</v>
      </c>
      <c r="K1076" s="2">
        <f t="shared" si="168"/>
        <v>10.818139080738971</v>
      </c>
      <c r="L1076" s="2">
        <f t="shared" si="169"/>
        <v>49.454350083378152</v>
      </c>
      <c r="M1076" s="2">
        <f t="shared" si="165"/>
        <v>35.854403810449156</v>
      </c>
      <c r="N1076" s="2">
        <f t="shared" si="166"/>
        <v>17.927201905224578</v>
      </c>
      <c r="O1076" s="2">
        <f t="shared" si="167"/>
        <v>65.792830992174203</v>
      </c>
      <c r="P1076" s="2">
        <v>72.550873999999993</v>
      </c>
      <c r="Q1076" s="2">
        <v>23.036918</v>
      </c>
    </row>
    <row r="1077" spans="1:17" x14ac:dyDescent="0.25">
      <c r="A1077" s="2">
        <v>1225</v>
      </c>
      <c r="B1077" s="2" t="s">
        <v>9</v>
      </c>
      <c r="C1077" s="2">
        <v>18</v>
      </c>
      <c r="D1077" s="2">
        <f t="shared" si="160"/>
        <v>45.72</v>
      </c>
      <c r="E1077" s="2">
        <f t="shared" si="161"/>
        <v>14.55312799632291</v>
      </c>
      <c r="F1077" s="2">
        <f t="shared" si="162"/>
        <v>5.7295779513082321</v>
      </c>
      <c r="G1077" s="2">
        <v>7.0845820000000002</v>
      </c>
      <c r="H1077" s="2">
        <f t="shared" si="163"/>
        <v>23.243380008879999</v>
      </c>
      <c r="I1077" s="2">
        <f>INDEX('Wood Density Lookup'!$B$2:$B$152,MATCH(B1077,'Wood Density Lookup'!$A$2:$A$152,0))</f>
        <v>0.42</v>
      </c>
      <c r="J1077" s="2">
        <f t="shared" si="164"/>
        <v>36.333217175463567</v>
      </c>
      <c r="K1077" s="2">
        <f t="shared" si="168"/>
        <v>10.173300809129799</v>
      </c>
      <c r="L1077" s="2">
        <f t="shared" si="169"/>
        <v>46.506517984593366</v>
      </c>
      <c r="M1077" s="2">
        <f t="shared" si="165"/>
        <v>33.717225538830192</v>
      </c>
      <c r="N1077" s="2">
        <f t="shared" si="166"/>
        <v>16.858612769415096</v>
      </c>
      <c r="O1077" s="2">
        <f t="shared" si="167"/>
        <v>61.871108863753399</v>
      </c>
      <c r="P1077" s="2">
        <v>72.550873999999993</v>
      </c>
      <c r="Q1077" s="2">
        <v>23.036850999999999</v>
      </c>
    </row>
    <row r="1078" spans="1:17" x14ac:dyDescent="0.25">
      <c r="A1078" s="2">
        <v>1226</v>
      </c>
      <c r="B1078" s="2" t="s">
        <v>15</v>
      </c>
      <c r="C1078" s="2">
        <v>101</v>
      </c>
      <c r="D1078" s="2">
        <f t="shared" si="160"/>
        <v>256.54000000000002</v>
      </c>
      <c r="E1078" s="2">
        <f t="shared" si="161"/>
        <v>81.659218201589667</v>
      </c>
      <c r="F1078" s="2">
        <f t="shared" si="162"/>
        <v>32.149298504562857</v>
      </c>
      <c r="G1078" s="2">
        <v>15.195638000000001</v>
      </c>
      <c r="H1078" s="2">
        <f t="shared" si="163"/>
        <v>49.854456975920002</v>
      </c>
      <c r="I1078" s="2">
        <f>INDEX('Wood Density Lookup'!$B$2:$B$152,MATCH(B1078,'Wood Density Lookup'!$A$2:$A$152,0))</f>
        <v>0.75</v>
      </c>
      <c r="J1078" s="2">
        <f t="shared" si="164"/>
        <v>3905.4108339396462</v>
      </c>
      <c r="K1078" s="2">
        <f t="shared" si="168"/>
        <v>1093.515033503101</v>
      </c>
      <c r="L1078" s="2">
        <f t="shared" si="169"/>
        <v>4998.9258674427474</v>
      </c>
      <c r="M1078" s="2">
        <f t="shared" si="165"/>
        <v>3624.2212538959916</v>
      </c>
      <c r="N1078" s="2">
        <f t="shared" si="166"/>
        <v>1812.1106269479958</v>
      </c>
      <c r="O1078" s="2">
        <f t="shared" si="167"/>
        <v>6650.4460008991446</v>
      </c>
      <c r="P1078" s="2">
        <v>72.550875000000005</v>
      </c>
      <c r="Q1078" s="2">
        <v>23.035167000000001</v>
      </c>
    </row>
    <row r="1079" spans="1:17" x14ac:dyDescent="0.25">
      <c r="A1079" s="2">
        <v>1227</v>
      </c>
      <c r="B1079" s="2" t="s">
        <v>15</v>
      </c>
      <c r="C1079" s="2">
        <v>109</v>
      </c>
      <c r="D1079" s="2">
        <f t="shared" si="160"/>
        <v>276.86</v>
      </c>
      <c r="E1079" s="2">
        <f t="shared" si="161"/>
        <v>88.1272750888443</v>
      </c>
      <c r="F1079" s="2">
        <f t="shared" si="162"/>
        <v>34.695777594033181</v>
      </c>
      <c r="G1079" s="2">
        <v>15.195638000000001</v>
      </c>
      <c r="H1079" s="2">
        <f t="shared" si="163"/>
        <v>49.854456975920002</v>
      </c>
      <c r="I1079" s="2">
        <f>INDEX('Wood Density Lookup'!$B$2:$B$152,MATCH(B1079,'Wood Density Lookup'!$A$2:$A$152,0))</f>
        <v>0.75</v>
      </c>
      <c r="J1079" s="2">
        <f t="shared" si="164"/>
        <v>4531.9794201621971</v>
      </c>
      <c r="K1079" s="2">
        <f t="shared" si="168"/>
        <v>1268.9542376454153</v>
      </c>
      <c r="L1079" s="2">
        <f t="shared" si="169"/>
        <v>5800.9336578076127</v>
      </c>
      <c r="M1079" s="2">
        <f t="shared" si="165"/>
        <v>4205.6769019105195</v>
      </c>
      <c r="N1079" s="2">
        <f t="shared" si="166"/>
        <v>2102.8384509552598</v>
      </c>
      <c r="O1079" s="2">
        <f t="shared" si="167"/>
        <v>7717.4171150058028</v>
      </c>
      <c r="P1079" s="2">
        <v>72.550875000000005</v>
      </c>
      <c r="Q1079" s="2">
        <v>23.035167000000001</v>
      </c>
    </row>
    <row r="1080" spans="1:17" x14ac:dyDescent="0.25">
      <c r="A1080" s="2">
        <v>1228</v>
      </c>
      <c r="B1080" s="2" t="s">
        <v>72</v>
      </c>
      <c r="C1080" s="2">
        <v>11</v>
      </c>
      <c r="D1080" s="2">
        <f t="shared" si="160"/>
        <v>27.94</v>
      </c>
      <c r="E1080" s="2">
        <f t="shared" si="161"/>
        <v>8.8935782199751117</v>
      </c>
      <c r="F1080" s="2">
        <f t="shared" si="162"/>
        <v>3.5014087480216975</v>
      </c>
      <c r="G1080" s="2">
        <v>5.4456429999999996</v>
      </c>
      <c r="H1080" s="2">
        <f t="shared" si="163"/>
        <v>17.866283380119999</v>
      </c>
      <c r="I1080" s="2">
        <f>INDEX('Wood Density Lookup'!$B$2:$B$152,MATCH(B1080,'Wood Density Lookup'!$A$2:$A$152,0))</f>
        <v>0.65</v>
      </c>
      <c r="J1080" s="2">
        <f t="shared" si="164"/>
        <v>16.458864580088594</v>
      </c>
      <c r="K1080" s="2">
        <f t="shared" si="168"/>
        <v>4.6084820824248069</v>
      </c>
      <c r="L1080" s="2">
        <f t="shared" si="169"/>
        <v>21.067346662513401</v>
      </c>
      <c r="M1080" s="2">
        <f t="shared" si="165"/>
        <v>15.273826330322215</v>
      </c>
      <c r="N1080" s="2">
        <f t="shared" si="166"/>
        <v>7.6369131651611077</v>
      </c>
      <c r="O1080" s="2">
        <f t="shared" si="167"/>
        <v>28.027471316141266</v>
      </c>
      <c r="P1080" s="2">
        <v>72.550876000000002</v>
      </c>
      <c r="Q1080" s="2">
        <v>23.035664000000001</v>
      </c>
    </row>
    <row r="1081" spans="1:17" x14ac:dyDescent="0.25">
      <c r="A1081" s="2">
        <v>1229</v>
      </c>
      <c r="B1081" s="2" t="s">
        <v>107</v>
      </c>
      <c r="C1081" s="2">
        <v>38</v>
      </c>
      <c r="D1081" s="2">
        <f t="shared" si="160"/>
        <v>96.52</v>
      </c>
      <c r="E1081" s="2">
        <f t="shared" si="161"/>
        <v>30.723270214459475</v>
      </c>
      <c r="F1081" s="2">
        <f t="shared" si="162"/>
        <v>12.095775674984045</v>
      </c>
      <c r="G1081" s="2">
        <v>14.628216999999999</v>
      </c>
      <c r="H1081" s="2">
        <f t="shared" si="163"/>
        <v>47.992839462279996</v>
      </c>
      <c r="I1081" s="2">
        <f>INDEX('Wood Density Lookup'!$B$2:$B$152,MATCH(B1081,'Wood Density Lookup'!$A$2:$A$152,0))</f>
        <v>0.65</v>
      </c>
      <c r="J1081" s="2">
        <f t="shared" si="164"/>
        <v>485.49162777878911</v>
      </c>
      <c r="K1081" s="2">
        <f t="shared" si="168"/>
        <v>135.93765577806096</v>
      </c>
      <c r="L1081" s="2">
        <f t="shared" si="169"/>
        <v>621.42928355685012</v>
      </c>
      <c r="M1081" s="2">
        <f t="shared" si="165"/>
        <v>450.5362305787163</v>
      </c>
      <c r="N1081" s="2">
        <f t="shared" si="166"/>
        <v>225.26811528935815</v>
      </c>
      <c r="O1081" s="2">
        <f t="shared" si="167"/>
        <v>826.73398311194444</v>
      </c>
      <c r="P1081" s="2">
        <v>72.550877999999997</v>
      </c>
      <c r="Q1081" s="2">
        <v>23.035533000000001</v>
      </c>
    </row>
    <row r="1082" spans="1:17" x14ac:dyDescent="0.25">
      <c r="A1082" s="2">
        <v>1230</v>
      </c>
      <c r="B1082" s="2" t="s">
        <v>9</v>
      </c>
      <c r="C1082" s="2">
        <v>20</v>
      </c>
      <c r="D1082" s="2">
        <f t="shared" si="160"/>
        <v>50.8</v>
      </c>
      <c r="E1082" s="2">
        <f t="shared" si="161"/>
        <v>16.170142218136565</v>
      </c>
      <c r="F1082" s="2">
        <f t="shared" si="162"/>
        <v>6.366197723675814</v>
      </c>
      <c r="G1082" s="2">
        <v>8.0533719999999995</v>
      </c>
      <c r="H1082" s="2">
        <f t="shared" si="163"/>
        <v>26.421824992479998</v>
      </c>
      <c r="I1082" s="2">
        <f>INDEX('Wood Density Lookup'!$B$2:$B$152,MATCH(B1082,'Wood Density Lookup'!$A$2:$A$152,0))</f>
        <v>0.42</v>
      </c>
      <c r="J1082" s="2">
        <f t="shared" si="164"/>
        <v>50.576652411376791</v>
      </c>
      <c r="K1082" s="2">
        <f t="shared" si="168"/>
        <v>14.161462675185502</v>
      </c>
      <c r="L1082" s="2">
        <f t="shared" si="169"/>
        <v>64.738115086562289</v>
      </c>
      <c r="M1082" s="2">
        <f t="shared" si="165"/>
        <v>46.935133437757656</v>
      </c>
      <c r="N1082" s="2">
        <f t="shared" si="166"/>
        <v>23.467566718878828</v>
      </c>
      <c r="O1082" s="2">
        <f t="shared" si="167"/>
        <v>86.125969858285302</v>
      </c>
      <c r="P1082" s="2">
        <v>72.550877999999997</v>
      </c>
      <c r="Q1082" s="2">
        <v>23.036861999999999</v>
      </c>
    </row>
    <row r="1083" spans="1:17" x14ac:dyDescent="0.25">
      <c r="A1083" s="2">
        <v>1231</v>
      </c>
      <c r="B1083" s="2" t="s">
        <v>72</v>
      </c>
      <c r="C1083" s="2">
        <v>3</v>
      </c>
      <c r="D1083" s="2">
        <f t="shared" si="160"/>
        <v>7.62</v>
      </c>
      <c r="E1083" s="2">
        <f t="shared" si="161"/>
        <v>2.4255213327204852</v>
      </c>
      <c r="F1083" s="2">
        <f t="shared" si="162"/>
        <v>0.95492965855137202</v>
      </c>
      <c r="G1083" s="2">
        <v>7.0271439999999998</v>
      </c>
      <c r="H1083" s="2">
        <f t="shared" si="163"/>
        <v>23.05493512096</v>
      </c>
      <c r="I1083" s="2">
        <f>INDEX('Wood Density Lookup'!$B$2:$B$152,MATCH(B1083,'Wood Density Lookup'!$A$2:$A$152,0))</f>
        <v>0.65</v>
      </c>
      <c r="J1083" s="2">
        <f t="shared" si="164"/>
        <v>1.6711453065582309</v>
      </c>
      <c r="K1083" s="2">
        <f t="shared" si="168"/>
        <v>0.4679206858363047</v>
      </c>
      <c r="L1083" s="2">
        <f t="shared" si="169"/>
        <v>2.1390659923945354</v>
      </c>
      <c r="M1083" s="2">
        <f t="shared" si="165"/>
        <v>1.5508228444860381</v>
      </c>
      <c r="N1083" s="2">
        <f t="shared" si="166"/>
        <v>0.77541142224301907</v>
      </c>
      <c r="O1083" s="2">
        <f t="shared" si="167"/>
        <v>2.8457599196318801</v>
      </c>
      <c r="P1083" s="2">
        <v>72.550882000000001</v>
      </c>
      <c r="Q1083" s="2">
        <v>23.037652999999999</v>
      </c>
    </row>
    <row r="1084" spans="1:17" x14ac:dyDescent="0.25">
      <c r="A1084" s="2">
        <v>1232</v>
      </c>
      <c r="B1084" s="2" t="s">
        <v>9</v>
      </c>
      <c r="C1084" s="2">
        <v>63</v>
      </c>
      <c r="D1084" s="2">
        <f t="shared" si="160"/>
        <v>160.02000000000001</v>
      </c>
      <c r="E1084" s="2">
        <f t="shared" si="161"/>
        <v>50.935947987130191</v>
      </c>
      <c r="F1084" s="2">
        <f t="shared" si="162"/>
        <v>20.053522829578814</v>
      </c>
      <c r="G1084" s="2">
        <v>15.448816000000001</v>
      </c>
      <c r="H1084" s="2">
        <f t="shared" si="163"/>
        <v>50.685093485439999</v>
      </c>
      <c r="I1084" s="2">
        <f>INDEX('Wood Density Lookup'!$B$2:$B$152,MATCH(B1084,'Wood Density Lookup'!$A$2:$A$152,0))</f>
        <v>0.42</v>
      </c>
      <c r="J1084" s="2">
        <f t="shared" si="164"/>
        <v>896.97368756917751</v>
      </c>
      <c r="K1084" s="2">
        <f t="shared" si="168"/>
        <v>251.15263251936972</v>
      </c>
      <c r="L1084" s="2">
        <f t="shared" si="169"/>
        <v>1148.1263200885473</v>
      </c>
      <c r="M1084" s="2">
        <f t="shared" si="165"/>
        <v>832.39158206419677</v>
      </c>
      <c r="N1084" s="2">
        <f t="shared" si="166"/>
        <v>416.19579103209838</v>
      </c>
      <c r="O1084" s="2">
        <f t="shared" si="167"/>
        <v>1527.438553087801</v>
      </c>
      <c r="P1084" s="2">
        <v>72.550882999999999</v>
      </c>
      <c r="Q1084" s="2">
        <v>23.038318</v>
      </c>
    </row>
    <row r="1085" spans="1:17" x14ac:dyDescent="0.25">
      <c r="A1085" s="2">
        <v>1233</v>
      </c>
      <c r="B1085" s="2" t="s">
        <v>15</v>
      </c>
      <c r="C1085" s="2">
        <v>108</v>
      </c>
      <c r="D1085" s="2">
        <f t="shared" si="160"/>
        <v>274.32</v>
      </c>
      <c r="E1085" s="2">
        <f t="shared" si="161"/>
        <v>87.318767977937455</v>
      </c>
      <c r="F1085" s="2">
        <f t="shared" si="162"/>
        <v>34.377467707849391</v>
      </c>
      <c r="G1085" s="2">
        <v>13.025703999999999</v>
      </c>
      <c r="H1085" s="2">
        <f t="shared" si="163"/>
        <v>42.735250711359996</v>
      </c>
      <c r="I1085" s="2">
        <f>INDEX('Wood Density Lookup'!$B$2:$B$152,MATCH(B1085,'Wood Density Lookup'!$A$2:$A$152,0))</f>
        <v>0.75</v>
      </c>
      <c r="J1085" s="2">
        <f t="shared" si="164"/>
        <v>3829.6833561110211</v>
      </c>
      <c r="K1085" s="2">
        <f t="shared" si="168"/>
        <v>1072.311339711086</v>
      </c>
      <c r="L1085" s="2">
        <f t="shared" si="169"/>
        <v>4901.9946958221071</v>
      </c>
      <c r="M1085" s="2">
        <f t="shared" si="165"/>
        <v>3553.9461544710275</v>
      </c>
      <c r="N1085" s="2">
        <f t="shared" si="166"/>
        <v>1776.9730772355138</v>
      </c>
      <c r="O1085" s="2">
        <f t="shared" si="167"/>
        <v>6521.4911934543352</v>
      </c>
      <c r="P1085" s="2">
        <v>72.550886000000006</v>
      </c>
      <c r="Q1085" s="2">
        <v>23.035807999999999</v>
      </c>
    </row>
    <row r="1086" spans="1:17" x14ac:dyDescent="0.25">
      <c r="A1086" s="2">
        <v>1234</v>
      </c>
      <c r="B1086" s="2" t="s">
        <v>31</v>
      </c>
      <c r="C1086" s="2">
        <v>52</v>
      </c>
      <c r="D1086" s="2">
        <f t="shared" si="160"/>
        <v>132.08000000000001</v>
      </c>
      <c r="E1086" s="2">
        <f t="shared" si="161"/>
        <v>42.04236976715508</v>
      </c>
      <c r="F1086" s="2">
        <f t="shared" si="162"/>
        <v>16.552114081557114</v>
      </c>
      <c r="G1086" s="2">
        <v>9.7955850000000009</v>
      </c>
      <c r="H1086" s="2">
        <f t="shared" si="163"/>
        <v>32.137747091400001</v>
      </c>
      <c r="I1086" s="2">
        <f>INDEX('Wood Density Lookup'!$B$2:$B$152,MATCH(B1086,'Wood Density Lookup'!$A$2:$A$152,0))</f>
        <v>0.78</v>
      </c>
      <c r="J1086" s="2">
        <f t="shared" si="164"/>
        <v>723.40654718064081</v>
      </c>
      <c r="K1086" s="2">
        <f t="shared" si="168"/>
        <v>202.55383321057946</v>
      </c>
      <c r="L1086" s="2">
        <f t="shared" si="169"/>
        <v>925.96038039122027</v>
      </c>
      <c r="M1086" s="2">
        <f t="shared" si="165"/>
        <v>671.32127578363463</v>
      </c>
      <c r="N1086" s="2">
        <f t="shared" si="166"/>
        <v>335.66063789181732</v>
      </c>
      <c r="O1086" s="2">
        <f t="shared" si="167"/>
        <v>1231.8745410629695</v>
      </c>
      <c r="P1086" s="2">
        <v>72.550887000000003</v>
      </c>
      <c r="Q1086" s="2">
        <v>23.034935999999998</v>
      </c>
    </row>
    <row r="1087" spans="1:17" x14ac:dyDescent="0.25">
      <c r="A1087" s="2">
        <v>1235</v>
      </c>
      <c r="B1087" s="2" t="s">
        <v>82</v>
      </c>
      <c r="C1087" s="2">
        <v>26</v>
      </c>
      <c r="D1087" s="2">
        <f t="shared" si="160"/>
        <v>66.040000000000006</v>
      </c>
      <c r="E1087" s="2">
        <f t="shared" si="161"/>
        <v>21.02118488357754</v>
      </c>
      <c r="F1087" s="2">
        <f t="shared" si="162"/>
        <v>8.2760570407785572</v>
      </c>
      <c r="G1087" s="2">
        <v>11.294487999999999</v>
      </c>
      <c r="H1087" s="2">
        <f t="shared" si="163"/>
        <v>37.055408009920001</v>
      </c>
      <c r="I1087" s="2">
        <f>INDEX('Wood Density Lookup'!$B$2:$B$152,MATCH(B1087,'Wood Density Lookup'!$A$2:$A$152,0))</f>
        <v>0.7</v>
      </c>
      <c r="J1087" s="2">
        <f t="shared" si="164"/>
        <v>193.3104541058774</v>
      </c>
      <c r="K1087" s="2">
        <f t="shared" si="168"/>
        <v>54.126927149645674</v>
      </c>
      <c r="L1087" s="2">
        <f t="shared" si="169"/>
        <v>247.43738125552306</v>
      </c>
      <c r="M1087" s="2">
        <f t="shared" si="165"/>
        <v>179.39210141025421</v>
      </c>
      <c r="N1087" s="2">
        <f t="shared" si="166"/>
        <v>89.696050705127107</v>
      </c>
      <c r="O1087" s="2">
        <f t="shared" si="167"/>
        <v>329.18450608781649</v>
      </c>
      <c r="P1087" s="2">
        <v>72.550887000000003</v>
      </c>
      <c r="Q1087" s="2">
        <v>23.038695000000001</v>
      </c>
    </row>
    <row r="1088" spans="1:17" x14ac:dyDescent="0.25">
      <c r="A1088" s="2">
        <v>1236</v>
      </c>
      <c r="B1088" s="2" t="s">
        <v>31</v>
      </c>
      <c r="C1088" s="2">
        <v>43</v>
      </c>
      <c r="D1088" s="2">
        <f t="shared" si="160"/>
        <v>109.22</v>
      </c>
      <c r="E1088" s="2">
        <f t="shared" si="161"/>
        <v>34.765805768993616</v>
      </c>
      <c r="F1088" s="2">
        <f t="shared" si="162"/>
        <v>13.687325105903</v>
      </c>
      <c r="G1088" s="2">
        <v>9.7955850000000009</v>
      </c>
      <c r="H1088" s="2">
        <f t="shared" si="163"/>
        <v>32.137747091400001</v>
      </c>
      <c r="I1088" s="2">
        <f>INDEX('Wood Density Lookup'!$B$2:$B$152,MATCH(B1088,'Wood Density Lookup'!$A$2:$A$152,0))</f>
        <v>0.78</v>
      </c>
      <c r="J1088" s="2">
        <f t="shared" si="164"/>
        <v>499.19972052413902</v>
      </c>
      <c r="K1088" s="2">
        <f t="shared" si="168"/>
        <v>139.77592174675894</v>
      </c>
      <c r="L1088" s="2">
        <f t="shared" si="169"/>
        <v>638.97564227089799</v>
      </c>
      <c r="M1088" s="2">
        <f t="shared" si="165"/>
        <v>463.25734064640102</v>
      </c>
      <c r="N1088" s="2">
        <f t="shared" si="166"/>
        <v>231.62867032320051</v>
      </c>
      <c r="O1088" s="2">
        <f t="shared" si="167"/>
        <v>850.07722008614587</v>
      </c>
      <c r="P1088" s="2">
        <v>72.550887000000003</v>
      </c>
      <c r="Q1088" s="2">
        <v>23.034935999999998</v>
      </c>
    </row>
    <row r="1089" spans="1:17" x14ac:dyDescent="0.25">
      <c r="A1089" s="2">
        <v>1237</v>
      </c>
      <c r="B1089" s="2" t="s">
        <v>14</v>
      </c>
      <c r="C1089" s="2">
        <v>76</v>
      </c>
      <c r="D1089" s="2">
        <f t="shared" ref="D1089:D1152" si="170">C1089*2.54</f>
        <v>193.04</v>
      </c>
      <c r="E1089" s="2">
        <f t="shared" ref="E1089:E1152" si="171">D1089/PI()</f>
        <v>61.446540428918951</v>
      </c>
      <c r="F1089" s="2">
        <f t="shared" ref="F1089:F1152" si="172">C1089/PI()</f>
        <v>24.191551349968091</v>
      </c>
      <c r="G1089" s="2">
        <v>10.637409999999999</v>
      </c>
      <c r="H1089" s="2">
        <f t="shared" ref="H1089:H1152" si="173">G1089*3.28084</f>
        <v>34.899640224399995</v>
      </c>
      <c r="I1089" s="2">
        <f>INDEX('Wood Density Lookup'!$B$2:$B$152,MATCH(B1089,'Wood Density Lookup'!$A$2:$A$152,0))</f>
        <v>0.6</v>
      </c>
      <c r="J1089" s="2">
        <f t="shared" ref="J1089:J1152" si="174">0.0673*POWER(I1089*E1089^2*G1089,0.976)</f>
        <v>1273.0032639500923</v>
      </c>
      <c r="K1089" s="2">
        <f t="shared" si="168"/>
        <v>356.44091390602591</v>
      </c>
      <c r="L1089" s="2">
        <f t="shared" si="169"/>
        <v>1629.4441778561181</v>
      </c>
      <c r="M1089" s="2">
        <f t="shared" ref="M1089:M1152" si="175">0.725*L1089</f>
        <v>1181.3470289456857</v>
      </c>
      <c r="N1089" s="2">
        <f t="shared" ref="N1089:N1152" si="176">0.5*M1089</f>
        <v>590.67351447284284</v>
      </c>
      <c r="O1089" s="2">
        <f t="shared" ref="O1089:O1152" si="177">3.67*N1089</f>
        <v>2167.7717981153332</v>
      </c>
      <c r="P1089" s="2">
        <v>72.550888</v>
      </c>
      <c r="Q1089" s="2">
        <v>23.03471</v>
      </c>
    </row>
    <row r="1090" spans="1:17" x14ac:dyDescent="0.25">
      <c r="A1090" s="2">
        <v>1238</v>
      </c>
      <c r="B1090" s="2" t="s">
        <v>79</v>
      </c>
      <c r="C1090" s="2">
        <v>48</v>
      </c>
      <c r="D1090" s="2">
        <f t="shared" si="170"/>
        <v>121.92</v>
      </c>
      <c r="E1090" s="2">
        <f t="shared" si="171"/>
        <v>38.808341323527763</v>
      </c>
      <c r="F1090" s="2">
        <f t="shared" si="172"/>
        <v>15.278874536821952</v>
      </c>
      <c r="G1090" s="2">
        <v>9.6374099999999991</v>
      </c>
      <c r="H1090" s="2">
        <f t="shared" si="173"/>
        <v>31.618800224399997</v>
      </c>
      <c r="I1090" s="2">
        <f>INDEX('Wood Density Lookup'!$B$2:$B$152,MATCH(B1090,'Wood Density Lookup'!$A$2:$A$152,0))</f>
        <v>0.45</v>
      </c>
      <c r="J1090" s="2">
        <f t="shared" si="174"/>
        <v>356.02256410549376</v>
      </c>
      <c r="K1090" s="2">
        <f t="shared" si="168"/>
        <v>99.686317949538264</v>
      </c>
      <c r="L1090" s="2">
        <f t="shared" si="169"/>
        <v>455.70888205503201</v>
      </c>
      <c r="M1090" s="2">
        <f t="shared" si="175"/>
        <v>330.38893948989818</v>
      </c>
      <c r="N1090" s="2">
        <f t="shared" si="176"/>
        <v>165.19446974494909</v>
      </c>
      <c r="O1090" s="2">
        <f t="shared" si="177"/>
        <v>606.26370396396317</v>
      </c>
      <c r="P1090" s="2">
        <v>72.550888</v>
      </c>
      <c r="Q1090" s="2">
        <v>23.03471</v>
      </c>
    </row>
    <row r="1091" spans="1:17" x14ac:dyDescent="0.25">
      <c r="A1091" s="2">
        <v>1239</v>
      </c>
      <c r="B1091" s="2" t="s">
        <v>72</v>
      </c>
      <c r="C1091" s="2">
        <v>6</v>
      </c>
      <c r="D1091" s="2">
        <f t="shared" si="170"/>
        <v>15.24</v>
      </c>
      <c r="E1091" s="2">
        <f t="shared" si="171"/>
        <v>4.8510426654409704</v>
      </c>
      <c r="F1091" s="2">
        <f t="shared" si="172"/>
        <v>1.909859317102744</v>
      </c>
      <c r="G1091" s="2">
        <v>6.0411429999999999</v>
      </c>
      <c r="H1091" s="2">
        <f t="shared" si="173"/>
        <v>19.820023600119999</v>
      </c>
      <c r="I1091" s="2">
        <f>INDEX('Wood Density Lookup'!$B$2:$B$152,MATCH(B1091,'Wood Density Lookup'!$A$2:$A$152,0))</f>
        <v>0.65</v>
      </c>
      <c r="J1091" s="2">
        <f t="shared" si="174"/>
        <v>5.5788008918357717</v>
      </c>
      <c r="K1091" s="2">
        <f t="shared" ref="K1091:K1154" si="178">0.28*J1091</f>
        <v>1.5620642497140163</v>
      </c>
      <c r="L1091" s="2">
        <f t="shared" ref="L1091:L1154" si="179">J1091+K1091</f>
        <v>7.1408651415497877</v>
      </c>
      <c r="M1091" s="2">
        <f t="shared" si="175"/>
        <v>5.177127227623596</v>
      </c>
      <c r="N1091" s="2">
        <f t="shared" si="176"/>
        <v>2.588563613811798</v>
      </c>
      <c r="O1091" s="2">
        <f t="shared" si="177"/>
        <v>9.5000284626892988</v>
      </c>
      <c r="P1091" s="2">
        <v>72.550888999999998</v>
      </c>
      <c r="Q1091" s="2">
        <v>23.037652000000001</v>
      </c>
    </row>
    <row r="1092" spans="1:17" x14ac:dyDescent="0.25">
      <c r="A1092" s="2">
        <v>1240</v>
      </c>
      <c r="B1092" s="2" t="s">
        <v>82</v>
      </c>
      <c r="C1092" s="2">
        <v>31</v>
      </c>
      <c r="D1092" s="2">
        <f t="shared" si="170"/>
        <v>78.739999999999995</v>
      </c>
      <c r="E1092" s="2">
        <f t="shared" si="171"/>
        <v>25.063720438111677</v>
      </c>
      <c r="F1092" s="2">
        <f t="shared" si="172"/>
        <v>9.8676064716975116</v>
      </c>
      <c r="G1092" s="2">
        <v>5.0074300000000003</v>
      </c>
      <c r="H1092" s="2">
        <f t="shared" si="173"/>
        <v>16.428576641199999</v>
      </c>
      <c r="I1092" s="2">
        <f>INDEX('Wood Density Lookup'!$B$2:$B$152,MATCH(B1092,'Wood Density Lookup'!$A$2:$A$152,0))</f>
        <v>0.7</v>
      </c>
      <c r="J1092" s="2">
        <f t="shared" si="174"/>
        <v>123.19462803480212</v>
      </c>
      <c r="K1092" s="2">
        <f t="shared" si="178"/>
        <v>34.494495849744595</v>
      </c>
      <c r="L1092" s="2">
        <f t="shared" si="179"/>
        <v>157.68912388454672</v>
      </c>
      <c r="M1092" s="2">
        <f t="shared" si="175"/>
        <v>114.32461481629636</v>
      </c>
      <c r="N1092" s="2">
        <f t="shared" si="176"/>
        <v>57.16230740814818</v>
      </c>
      <c r="O1092" s="2">
        <f t="shared" si="177"/>
        <v>209.78566818790381</v>
      </c>
      <c r="P1092" s="2">
        <v>72.550890999999993</v>
      </c>
      <c r="Q1092" s="2">
        <v>23.036087999999999</v>
      </c>
    </row>
    <row r="1093" spans="1:17" x14ac:dyDescent="0.25">
      <c r="A1093" s="2">
        <v>1241</v>
      </c>
      <c r="B1093" s="2" t="s">
        <v>114</v>
      </c>
      <c r="C1093" s="2">
        <v>56</v>
      </c>
      <c r="D1093" s="2">
        <f t="shared" si="170"/>
        <v>142.24</v>
      </c>
      <c r="E1093" s="2">
        <f t="shared" si="171"/>
        <v>45.276398210782389</v>
      </c>
      <c r="F1093" s="2">
        <f t="shared" si="172"/>
        <v>17.82535362629228</v>
      </c>
      <c r="G1093" s="2">
        <v>16.653600000000001</v>
      </c>
      <c r="H1093" s="2">
        <f t="shared" si="173"/>
        <v>54.637797024000001</v>
      </c>
      <c r="I1093" s="2">
        <f>INDEX('Wood Density Lookup'!$B$2:$B$152,MATCH(B1093,'Wood Density Lookup'!$A$2:$A$152,0))</f>
        <v>0.55000000000000004</v>
      </c>
      <c r="J1093" s="2">
        <f t="shared" si="174"/>
        <v>997.84451710300186</v>
      </c>
      <c r="K1093" s="2">
        <f t="shared" si="178"/>
        <v>279.39646478884055</v>
      </c>
      <c r="L1093" s="2">
        <f t="shared" si="179"/>
        <v>1277.2409818918425</v>
      </c>
      <c r="M1093" s="2">
        <f t="shared" si="175"/>
        <v>925.99971187158576</v>
      </c>
      <c r="N1093" s="2">
        <f t="shared" si="176"/>
        <v>462.99985593579288</v>
      </c>
      <c r="O1093" s="2">
        <f t="shared" si="177"/>
        <v>1699.2094712843598</v>
      </c>
      <c r="P1093" s="2">
        <v>72.550890999999993</v>
      </c>
      <c r="Q1093" s="2">
        <v>23.03575</v>
      </c>
    </row>
    <row r="1094" spans="1:17" x14ac:dyDescent="0.25">
      <c r="A1094" s="2">
        <v>1242</v>
      </c>
      <c r="B1094" s="2" t="s">
        <v>82</v>
      </c>
      <c r="C1094" s="2">
        <v>17</v>
      </c>
      <c r="D1094" s="2">
        <f t="shared" si="170"/>
        <v>43.18</v>
      </c>
      <c r="E1094" s="2">
        <f t="shared" si="171"/>
        <v>13.744620885416081</v>
      </c>
      <c r="F1094" s="2">
        <f t="shared" si="172"/>
        <v>5.4112680651244416</v>
      </c>
      <c r="G1094" s="2">
        <v>6.0074300000000003</v>
      </c>
      <c r="H1094" s="2">
        <f t="shared" si="173"/>
        <v>19.709416641200001</v>
      </c>
      <c r="I1094" s="2">
        <f>INDEX('Wood Density Lookup'!$B$2:$B$152,MATCH(B1094,'Wood Density Lookup'!$A$2:$A$152,0))</f>
        <v>0.7</v>
      </c>
      <c r="J1094" s="2">
        <f t="shared" si="174"/>
        <v>45.547663019431695</v>
      </c>
      <c r="K1094" s="2">
        <f t="shared" si="178"/>
        <v>12.753345645440875</v>
      </c>
      <c r="L1094" s="2">
        <f t="shared" si="179"/>
        <v>58.301008664872569</v>
      </c>
      <c r="M1094" s="2">
        <f t="shared" si="175"/>
        <v>42.268231282032609</v>
      </c>
      <c r="N1094" s="2">
        <f t="shared" si="176"/>
        <v>21.134115641016304</v>
      </c>
      <c r="O1094" s="2">
        <f t="shared" si="177"/>
        <v>77.562204402529829</v>
      </c>
      <c r="P1094" s="2">
        <v>72.550890999999993</v>
      </c>
      <c r="Q1094" s="2">
        <v>23.036087999999999</v>
      </c>
    </row>
    <row r="1095" spans="1:17" x14ac:dyDescent="0.25">
      <c r="A1095" s="2">
        <v>1243</v>
      </c>
      <c r="B1095" s="2" t="s">
        <v>62</v>
      </c>
      <c r="C1095" s="2">
        <v>1</v>
      </c>
      <c r="D1095" s="2">
        <f t="shared" si="170"/>
        <v>2.54</v>
      </c>
      <c r="E1095" s="2">
        <f t="shared" si="171"/>
        <v>0.80850711090682836</v>
      </c>
      <c r="F1095" s="2">
        <f t="shared" si="172"/>
        <v>0.31830988618379069</v>
      </c>
      <c r="G1095" s="2">
        <v>3.2492369999999999</v>
      </c>
      <c r="H1095" s="2">
        <f t="shared" si="173"/>
        <v>10.660226719079999</v>
      </c>
      <c r="I1095" s="2">
        <f>INDEX('Wood Density Lookup'!$B$2:$B$152,MATCH(B1095,'Wood Density Lookup'!$A$2:$A$152,0))</f>
        <v>0.47</v>
      </c>
      <c r="J1095" s="2">
        <f t="shared" si="174"/>
        <v>6.718619925089063E-2</v>
      </c>
      <c r="K1095" s="2">
        <f t="shared" si="178"/>
        <v>1.8812135790249377E-2</v>
      </c>
      <c r="L1095" s="2">
        <f t="shared" si="179"/>
        <v>8.5998335041140003E-2</v>
      </c>
      <c r="M1095" s="2">
        <f t="shared" si="175"/>
        <v>6.2348792904826499E-2</v>
      </c>
      <c r="N1095" s="2">
        <f t="shared" si="176"/>
        <v>3.1174396452413249E-2</v>
      </c>
      <c r="O1095" s="2">
        <f t="shared" si="177"/>
        <v>0.11441003498035662</v>
      </c>
      <c r="P1095" s="2">
        <v>72.550893000000002</v>
      </c>
      <c r="Q1095" s="2">
        <v>23.038684</v>
      </c>
    </row>
    <row r="1096" spans="1:17" x14ac:dyDescent="0.25">
      <c r="A1096" s="2">
        <v>1244</v>
      </c>
      <c r="B1096" s="2" t="s">
        <v>9</v>
      </c>
      <c r="C1096" s="2">
        <v>16</v>
      </c>
      <c r="D1096" s="2">
        <f t="shared" si="170"/>
        <v>40.64</v>
      </c>
      <c r="E1096" s="2">
        <f t="shared" si="171"/>
        <v>12.936113774509254</v>
      </c>
      <c r="F1096" s="2">
        <f t="shared" si="172"/>
        <v>5.0929581789406511</v>
      </c>
      <c r="G1096" s="2">
        <v>7.0037240000000001</v>
      </c>
      <c r="H1096" s="2">
        <f t="shared" si="173"/>
        <v>22.978097848160001</v>
      </c>
      <c r="I1096" s="2">
        <f>INDEX('Wood Density Lookup'!$B$2:$B$152,MATCH(B1096,'Wood Density Lookup'!$A$2:$A$152,0))</f>
        <v>0.42</v>
      </c>
      <c r="J1096" s="2">
        <f t="shared" si="174"/>
        <v>28.548846651929114</v>
      </c>
      <c r="K1096" s="2">
        <f t="shared" si="178"/>
        <v>7.9936770625401525</v>
      </c>
      <c r="L1096" s="2">
        <f t="shared" si="179"/>
        <v>36.542523714469269</v>
      </c>
      <c r="M1096" s="2">
        <f t="shared" si="175"/>
        <v>26.493329692990219</v>
      </c>
      <c r="N1096" s="2">
        <f t="shared" si="176"/>
        <v>13.24666484649511</v>
      </c>
      <c r="O1096" s="2">
        <f t="shared" si="177"/>
        <v>48.615259986637049</v>
      </c>
      <c r="P1096" s="2">
        <v>72.550893000000002</v>
      </c>
      <c r="Q1096" s="2">
        <v>23.036850999999999</v>
      </c>
    </row>
    <row r="1097" spans="1:17" x14ac:dyDescent="0.25">
      <c r="A1097" s="2">
        <v>1245</v>
      </c>
      <c r="B1097" s="2" t="s">
        <v>81</v>
      </c>
      <c r="C1097" s="2">
        <v>5</v>
      </c>
      <c r="D1097" s="2">
        <f t="shared" si="170"/>
        <v>12.7</v>
      </c>
      <c r="E1097" s="2">
        <f t="shared" si="171"/>
        <v>4.0425355545341413</v>
      </c>
      <c r="F1097" s="2">
        <f t="shared" si="172"/>
        <v>1.5915494309189535</v>
      </c>
      <c r="G1097" s="2">
        <v>6.5664559999999996</v>
      </c>
      <c r="H1097" s="2">
        <f t="shared" si="173"/>
        <v>21.543491503039998</v>
      </c>
      <c r="I1097" s="2">
        <f>INDEX('Wood Density Lookup'!$B$2:$B$152,MATCH(B1097,'Wood Density Lookup'!$A$2:$A$152,0))</f>
        <v>0.6</v>
      </c>
      <c r="J1097" s="2">
        <f t="shared" si="174"/>
        <v>3.9209751511420516</v>
      </c>
      <c r="K1097" s="2">
        <f t="shared" si="178"/>
        <v>1.0978730423197747</v>
      </c>
      <c r="L1097" s="2">
        <f t="shared" si="179"/>
        <v>5.0188481934618263</v>
      </c>
      <c r="M1097" s="2">
        <f t="shared" si="175"/>
        <v>3.6386649402598241</v>
      </c>
      <c r="N1097" s="2">
        <f t="shared" si="176"/>
        <v>1.8193324701299121</v>
      </c>
      <c r="O1097" s="2">
        <f t="shared" si="177"/>
        <v>6.6769501653767769</v>
      </c>
      <c r="P1097" s="2">
        <v>72.550897000000006</v>
      </c>
      <c r="Q1097" s="2">
        <v>23.035236000000001</v>
      </c>
    </row>
    <row r="1098" spans="1:17" x14ac:dyDescent="0.25">
      <c r="A1098" s="2">
        <v>1246</v>
      </c>
      <c r="B1098" s="2" t="s">
        <v>72</v>
      </c>
      <c r="C1098" s="2">
        <v>6</v>
      </c>
      <c r="D1098" s="2">
        <f t="shared" si="170"/>
        <v>15.24</v>
      </c>
      <c r="E1098" s="2">
        <f t="shared" si="171"/>
        <v>4.8510426654409704</v>
      </c>
      <c r="F1098" s="2">
        <f t="shared" si="172"/>
        <v>1.909859317102744</v>
      </c>
      <c r="G1098" s="2">
        <v>7.0295439999999996</v>
      </c>
      <c r="H1098" s="2">
        <f t="shared" si="173"/>
        <v>23.062809136959999</v>
      </c>
      <c r="I1098" s="2">
        <f>INDEX('Wood Density Lookup'!$B$2:$B$152,MATCH(B1098,'Wood Density Lookup'!$A$2:$A$152,0))</f>
        <v>0.65</v>
      </c>
      <c r="J1098" s="2">
        <f t="shared" si="174"/>
        <v>6.4679924809246918</v>
      </c>
      <c r="K1098" s="2">
        <f t="shared" si="178"/>
        <v>1.8110378946589138</v>
      </c>
      <c r="L1098" s="2">
        <f t="shared" si="179"/>
        <v>8.2790303755836057</v>
      </c>
      <c r="M1098" s="2">
        <f t="shared" si="175"/>
        <v>6.002297022298114</v>
      </c>
      <c r="N1098" s="2">
        <f t="shared" si="176"/>
        <v>3.001148511149057</v>
      </c>
      <c r="O1098" s="2">
        <f t="shared" si="177"/>
        <v>11.014215035917038</v>
      </c>
      <c r="P1098" s="2">
        <v>72.550897000000006</v>
      </c>
      <c r="Q1098" s="2">
        <v>23.037649999999999</v>
      </c>
    </row>
    <row r="1099" spans="1:17" x14ac:dyDescent="0.25">
      <c r="A1099" s="2">
        <v>1247</v>
      </c>
      <c r="B1099" s="2" t="s">
        <v>72</v>
      </c>
      <c r="C1099" s="2">
        <v>18</v>
      </c>
      <c r="D1099" s="2">
        <f t="shared" si="170"/>
        <v>45.72</v>
      </c>
      <c r="E1099" s="2">
        <f t="shared" si="171"/>
        <v>14.55312799632291</v>
      </c>
      <c r="F1099" s="2">
        <f t="shared" si="172"/>
        <v>5.7295779513082321</v>
      </c>
      <c r="G1099" s="2">
        <v>6.5847290000000003</v>
      </c>
      <c r="H1099" s="2">
        <f t="shared" si="173"/>
        <v>21.60344229236</v>
      </c>
      <c r="I1099" s="2">
        <f>INDEX('Wood Density Lookup'!$B$2:$B$152,MATCH(B1099,'Wood Density Lookup'!$A$2:$A$152,0))</f>
        <v>0.65</v>
      </c>
      <c r="J1099" s="2">
        <f t="shared" si="174"/>
        <v>51.808651663718948</v>
      </c>
      <c r="K1099" s="2">
        <f t="shared" si="178"/>
        <v>14.506422465841307</v>
      </c>
      <c r="L1099" s="2">
        <f t="shared" si="179"/>
        <v>66.315074129560259</v>
      </c>
      <c r="M1099" s="2">
        <f t="shared" si="175"/>
        <v>48.078428743931184</v>
      </c>
      <c r="N1099" s="2">
        <f t="shared" si="176"/>
        <v>24.039214371965592</v>
      </c>
      <c r="O1099" s="2">
        <f t="shared" si="177"/>
        <v>88.223916745113726</v>
      </c>
      <c r="P1099" s="2">
        <v>72.550898000000004</v>
      </c>
      <c r="Q1099" s="2">
        <v>23.037445000000002</v>
      </c>
    </row>
    <row r="1100" spans="1:17" x14ac:dyDescent="0.25">
      <c r="A1100" s="2">
        <v>1248</v>
      </c>
      <c r="B1100" s="2" t="s">
        <v>72</v>
      </c>
      <c r="C1100" s="2">
        <v>26</v>
      </c>
      <c r="D1100" s="2">
        <f t="shared" si="170"/>
        <v>66.040000000000006</v>
      </c>
      <c r="E1100" s="2">
        <f t="shared" si="171"/>
        <v>21.02118488357754</v>
      </c>
      <c r="F1100" s="2">
        <f t="shared" si="172"/>
        <v>8.2760570407785572</v>
      </c>
      <c r="G1100" s="2">
        <v>8.3543590000000005</v>
      </c>
      <c r="H1100" s="2">
        <f t="shared" si="173"/>
        <v>27.40931518156</v>
      </c>
      <c r="I1100" s="2">
        <f>INDEX('Wood Density Lookup'!$B$2:$B$152,MATCH(B1100,'Wood Density Lookup'!$A$2:$A$152,0))</f>
        <v>0.65</v>
      </c>
      <c r="J1100" s="2">
        <f t="shared" si="174"/>
        <v>133.97771214291814</v>
      </c>
      <c r="K1100" s="2">
        <f t="shared" si="178"/>
        <v>37.513759400017079</v>
      </c>
      <c r="L1100" s="2">
        <f t="shared" si="179"/>
        <v>171.49147154293522</v>
      </c>
      <c r="M1100" s="2">
        <f t="shared" si="175"/>
        <v>124.33131686862802</v>
      </c>
      <c r="N1100" s="2">
        <f t="shared" si="176"/>
        <v>62.165658434314011</v>
      </c>
      <c r="O1100" s="2">
        <f t="shared" si="177"/>
        <v>228.14796645393241</v>
      </c>
      <c r="P1100" s="2">
        <v>72.550900999999996</v>
      </c>
      <c r="Q1100" s="2">
        <v>23.037353</v>
      </c>
    </row>
    <row r="1101" spans="1:17" x14ac:dyDescent="0.25">
      <c r="A1101" s="2">
        <v>1249</v>
      </c>
      <c r="B1101" s="2" t="s">
        <v>10</v>
      </c>
      <c r="C1101" s="2">
        <v>17</v>
      </c>
      <c r="D1101" s="2">
        <f t="shared" si="170"/>
        <v>43.18</v>
      </c>
      <c r="E1101" s="2">
        <f t="shared" si="171"/>
        <v>13.744620885416081</v>
      </c>
      <c r="F1101" s="2">
        <f t="shared" si="172"/>
        <v>5.4112680651244416</v>
      </c>
      <c r="G1101" s="2">
        <v>10.099394</v>
      </c>
      <c r="H1101" s="2">
        <f t="shared" si="173"/>
        <v>33.134495810959997</v>
      </c>
      <c r="I1101" s="2">
        <f>INDEX('Wood Density Lookup'!$B$2:$B$152,MATCH(B1101,'Wood Density Lookup'!$A$2:$A$152,0))</f>
        <v>0.65</v>
      </c>
      <c r="J1101" s="2">
        <f t="shared" si="174"/>
        <v>70.347049337433731</v>
      </c>
      <c r="K1101" s="2">
        <f t="shared" si="178"/>
        <v>19.697173814481445</v>
      </c>
      <c r="L1101" s="2">
        <f t="shared" si="179"/>
        <v>90.044223151915176</v>
      </c>
      <c r="M1101" s="2">
        <f t="shared" si="175"/>
        <v>65.282061785138495</v>
      </c>
      <c r="N1101" s="2">
        <f t="shared" si="176"/>
        <v>32.641030892569248</v>
      </c>
      <c r="O1101" s="2">
        <f t="shared" si="177"/>
        <v>119.79258337572914</v>
      </c>
      <c r="P1101" s="2">
        <v>72.550900999999996</v>
      </c>
      <c r="Q1101" s="2">
        <v>23.036490000000001</v>
      </c>
    </row>
    <row r="1102" spans="1:17" x14ac:dyDescent="0.25">
      <c r="A1102" s="2">
        <v>1250</v>
      </c>
      <c r="B1102" s="2" t="s">
        <v>124</v>
      </c>
      <c r="C1102" s="2">
        <v>11</v>
      </c>
      <c r="D1102" s="2">
        <f t="shared" si="170"/>
        <v>27.94</v>
      </c>
      <c r="E1102" s="2">
        <f t="shared" si="171"/>
        <v>8.8935782199751117</v>
      </c>
      <c r="F1102" s="2">
        <f t="shared" si="172"/>
        <v>3.5014087480216975</v>
      </c>
      <c r="G1102" s="2">
        <v>7.0444420000000001</v>
      </c>
      <c r="H1102" s="2">
        <f t="shared" si="173"/>
        <v>23.11168709128</v>
      </c>
      <c r="I1102" s="2">
        <f>INDEX('Wood Density Lookup'!$B$2:$B$152,MATCH(B1102,'Wood Density Lookup'!$A$2:$A$152,0))</f>
        <v>0.55000000000000004</v>
      </c>
      <c r="J1102" s="2">
        <f t="shared" si="174"/>
        <v>17.976482377280231</v>
      </c>
      <c r="K1102" s="2">
        <f t="shared" si="178"/>
        <v>5.0334150656384651</v>
      </c>
      <c r="L1102" s="2">
        <f t="shared" si="179"/>
        <v>23.009897442918696</v>
      </c>
      <c r="M1102" s="2">
        <f t="shared" si="175"/>
        <v>16.682175646116054</v>
      </c>
      <c r="N1102" s="2">
        <f t="shared" si="176"/>
        <v>8.341087823058027</v>
      </c>
      <c r="O1102" s="2">
        <f t="shared" si="177"/>
        <v>30.61179231062296</v>
      </c>
      <c r="P1102" s="2">
        <v>72.550903000000005</v>
      </c>
      <c r="Q1102" s="2">
        <v>23.037555000000001</v>
      </c>
    </row>
    <row r="1103" spans="1:17" x14ac:dyDescent="0.25">
      <c r="A1103" s="2">
        <v>1251</v>
      </c>
      <c r="B1103" s="2" t="s">
        <v>128</v>
      </c>
      <c r="C1103" s="2">
        <v>9</v>
      </c>
      <c r="D1103" s="2">
        <f t="shared" si="170"/>
        <v>22.86</v>
      </c>
      <c r="E1103" s="2">
        <f t="shared" si="171"/>
        <v>7.2765639981614552</v>
      </c>
      <c r="F1103" s="2">
        <f t="shared" si="172"/>
        <v>2.8647889756541161</v>
      </c>
      <c r="G1103" s="2">
        <v>9.2066619999999997</v>
      </c>
      <c r="H1103" s="2">
        <f t="shared" si="173"/>
        <v>30.205584956079999</v>
      </c>
      <c r="I1103" s="2">
        <f>INDEX('Wood Density Lookup'!$B$2:$B$152,MATCH(B1103,'Wood Density Lookup'!$A$2:$A$152,0))</f>
        <v>0.75</v>
      </c>
      <c r="J1103" s="2">
        <f t="shared" si="174"/>
        <v>21.355947554998824</v>
      </c>
      <c r="K1103" s="2">
        <f t="shared" si="178"/>
        <v>5.9796653153996715</v>
      </c>
      <c r="L1103" s="2">
        <f t="shared" si="179"/>
        <v>27.335612870398496</v>
      </c>
      <c r="M1103" s="2">
        <f t="shared" si="175"/>
        <v>19.818319331038907</v>
      </c>
      <c r="N1103" s="2">
        <f t="shared" si="176"/>
        <v>9.9091596655194536</v>
      </c>
      <c r="O1103" s="2">
        <f t="shared" si="177"/>
        <v>36.366615972456394</v>
      </c>
      <c r="P1103" s="2">
        <v>72.550903000000005</v>
      </c>
      <c r="Q1103" s="2">
        <v>23.036759</v>
      </c>
    </row>
    <row r="1104" spans="1:17" x14ac:dyDescent="0.25">
      <c r="A1104" s="2">
        <v>1252</v>
      </c>
      <c r="B1104" s="2" t="s">
        <v>139</v>
      </c>
      <c r="C1104" s="2">
        <v>3</v>
      </c>
      <c r="D1104" s="2">
        <f t="shared" si="170"/>
        <v>7.62</v>
      </c>
      <c r="E1104" s="2">
        <f t="shared" si="171"/>
        <v>2.4255213327204852</v>
      </c>
      <c r="F1104" s="2">
        <f t="shared" si="172"/>
        <v>0.95492965855137202</v>
      </c>
      <c r="G1104" s="2">
        <v>17.336431000000001</v>
      </c>
      <c r="H1104" s="2">
        <f t="shared" si="173"/>
        <v>56.878056282040006</v>
      </c>
      <c r="I1104" s="2">
        <f>INDEX('Wood Density Lookup'!$B$2:$B$152,MATCH(B1104,'Wood Density Lookup'!$A$2:$A$152,0))</f>
        <v>0.9</v>
      </c>
      <c r="J1104" s="2">
        <f t="shared" si="174"/>
        <v>5.5426820786875304</v>
      </c>
      <c r="K1104" s="2">
        <f t="shared" si="178"/>
        <v>1.5519509820325086</v>
      </c>
      <c r="L1104" s="2">
        <f t="shared" si="179"/>
        <v>7.0946330607200387</v>
      </c>
      <c r="M1104" s="2">
        <f t="shared" si="175"/>
        <v>5.1436089690220284</v>
      </c>
      <c r="N1104" s="2">
        <f t="shared" si="176"/>
        <v>2.5718044845110142</v>
      </c>
      <c r="O1104" s="2">
        <f t="shared" si="177"/>
        <v>9.4385224581554219</v>
      </c>
      <c r="P1104" s="2">
        <v>72.550903000000005</v>
      </c>
      <c r="Q1104" s="2">
        <v>23.035755000000002</v>
      </c>
    </row>
    <row r="1105" spans="1:17" x14ac:dyDescent="0.25">
      <c r="A1105" s="2">
        <v>1253</v>
      </c>
      <c r="B1105" s="2" t="s">
        <v>62</v>
      </c>
      <c r="C1105" s="2">
        <v>2</v>
      </c>
      <c r="D1105" s="2">
        <f t="shared" si="170"/>
        <v>5.08</v>
      </c>
      <c r="E1105" s="2">
        <f t="shared" si="171"/>
        <v>1.6170142218136567</v>
      </c>
      <c r="F1105" s="2">
        <f t="shared" si="172"/>
        <v>0.63661977236758138</v>
      </c>
      <c r="G1105" s="2">
        <v>2.3053309999999998</v>
      </c>
      <c r="H1105" s="2">
        <f t="shared" si="173"/>
        <v>7.563422158039999</v>
      </c>
      <c r="I1105" s="2">
        <f>INDEX('Wood Density Lookup'!$B$2:$B$152,MATCH(B1105,'Wood Density Lookup'!$A$2:$A$152,0))</f>
        <v>0.47</v>
      </c>
      <c r="J1105" s="2">
        <f t="shared" si="174"/>
        <v>0.18596006092382802</v>
      </c>
      <c r="K1105" s="2">
        <f t="shared" si="178"/>
        <v>5.2068817058671849E-2</v>
      </c>
      <c r="L1105" s="2">
        <f t="shared" si="179"/>
        <v>0.23802887798249989</v>
      </c>
      <c r="M1105" s="2">
        <f t="shared" si="175"/>
        <v>0.17257093653731242</v>
      </c>
      <c r="N1105" s="2">
        <f t="shared" si="176"/>
        <v>8.6285468268656212E-2</v>
      </c>
      <c r="O1105" s="2">
        <f t="shared" si="177"/>
        <v>0.31666766854596828</v>
      </c>
      <c r="P1105" s="2">
        <v>72.550903000000005</v>
      </c>
      <c r="Q1105" s="2">
        <v>23.038695000000001</v>
      </c>
    </row>
    <row r="1106" spans="1:17" x14ac:dyDescent="0.25">
      <c r="A1106" s="2">
        <v>1254</v>
      </c>
      <c r="B1106" s="2" t="s">
        <v>82</v>
      </c>
      <c r="C1106" s="2">
        <v>36</v>
      </c>
      <c r="D1106" s="2">
        <f t="shared" si="170"/>
        <v>91.44</v>
      </c>
      <c r="E1106" s="2">
        <f t="shared" si="171"/>
        <v>29.106255992645821</v>
      </c>
      <c r="F1106" s="2">
        <f t="shared" si="172"/>
        <v>11.459155902616464</v>
      </c>
      <c r="G1106" s="2">
        <v>3.0638619999999999</v>
      </c>
      <c r="H1106" s="2">
        <f t="shared" si="173"/>
        <v>10.052041004079999</v>
      </c>
      <c r="I1106" s="2">
        <f>INDEX('Wood Density Lookup'!$B$2:$B$152,MATCH(B1106,'Wood Density Lookup'!$A$2:$A$152,0))</f>
        <v>0.7</v>
      </c>
      <c r="J1106" s="2">
        <f t="shared" si="174"/>
        <v>102.12470983088018</v>
      </c>
      <c r="K1106" s="2">
        <f t="shared" si="178"/>
        <v>28.594918752646453</v>
      </c>
      <c r="L1106" s="2">
        <f t="shared" si="179"/>
        <v>130.71962858352663</v>
      </c>
      <c r="M1106" s="2">
        <f t="shared" si="175"/>
        <v>94.771730723056805</v>
      </c>
      <c r="N1106" s="2">
        <f t="shared" si="176"/>
        <v>47.385865361528403</v>
      </c>
      <c r="O1106" s="2">
        <f t="shared" si="177"/>
        <v>173.90612587680923</v>
      </c>
      <c r="P1106" s="2">
        <v>72.550904000000003</v>
      </c>
      <c r="Q1106" s="2">
        <v>23.038748999999999</v>
      </c>
    </row>
    <row r="1107" spans="1:17" x14ac:dyDescent="0.25">
      <c r="A1107" s="2">
        <v>1255</v>
      </c>
      <c r="B1107" s="2" t="s">
        <v>82</v>
      </c>
      <c r="C1107" s="2">
        <v>4</v>
      </c>
      <c r="D1107" s="2">
        <f t="shared" si="170"/>
        <v>10.16</v>
      </c>
      <c r="E1107" s="2">
        <f t="shared" si="171"/>
        <v>3.2340284436273135</v>
      </c>
      <c r="F1107" s="2">
        <f t="shared" si="172"/>
        <v>1.2732395447351628</v>
      </c>
      <c r="G1107" s="2">
        <v>1.084214</v>
      </c>
      <c r="H1107" s="2">
        <f t="shared" si="173"/>
        <v>3.5571326597600001</v>
      </c>
      <c r="I1107" s="2">
        <f>INDEX('Wood Density Lookup'!$B$2:$B$152,MATCH(B1107,'Wood Density Lookup'!$A$2:$A$152,0))</f>
        <v>0.7</v>
      </c>
      <c r="J1107" s="2">
        <f t="shared" si="174"/>
        <v>0.50830334569667368</v>
      </c>
      <c r="K1107" s="2">
        <f t="shared" si="178"/>
        <v>0.14232493679506864</v>
      </c>
      <c r="L1107" s="2">
        <f t="shared" si="179"/>
        <v>0.65062828249174232</v>
      </c>
      <c r="M1107" s="2">
        <f t="shared" si="175"/>
        <v>0.47170550480651319</v>
      </c>
      <c r="N1107" s="2">
        <f t="shared" si="176"/>
        <v>0.23585275240325659</v>
      </c>
      <c r="O1107" s="2">
        <f t="shared" si="177"/>
        <v>0.86557960131995171</v>
      </c>
      <c r="P1107" s="2">
        <v>72.550904000000003</v>
      </c>
      <c r="Q1107" s="2">
        <v>23.037479999999999</v>
      </c>
    </row>
    <row r="1108" spans="1:17" x14ac:dyDescent="0.25">
      <c r="A1108" s="2">
        <v>1256</v>
      </c>
      <c r="B1108" s="2" t="s">
        <v>62</v>
      </c>
      <c r="C1108" s="2">
        <v>31</v>
      </c>
      <c r="D1108" s="2">
        <f t="shared" si="170"/>
        <v>78.739999999999995</v>
      </c>
      <c r="E1108" s="2">
        <f t="shared" si="171"/>
        <v>25.063720438111677</v>
      </c>
      <c r="F1108" s="2">
        <f t="shared" si="172"/>
        <v>9.8676064716975116</v>
      </c>
      <c r="G1108" s="2">
        <v>11.215106</v>
      </c>
      <c r="H1108" s="2">
        <f t="shared" si="173"/>
        <v>36.794968369039999</v>
      </c>
      <c r="I1108" s="2">
        <f>INDEX('Wood Density Lookup'!$B$2:$B$152,MATCH(B1108,'Wood Density Lookup'!$A$2:$A$152,0))</f>
        <v>0.47</v>
      </c>
      <c r="J1108" s="2">
        <f t="shared" si="174"/>
        <v>183.45416022459861</v>
      </c>
      <c r="K1108" s="2">
        <f t="shared" si="178"/>
        <v>51.367164862887613</v>
      </c>
      <c r="L1108" s="2">
        <f t="shared" si="179"/>
        <v>234.82132508748623</v>
      </c>
      <c r="M1108" s="2">
        <f t="shared" si="175"/>
        <v>170.2454606884275</v>
      </c>
      <c r="N1108" s="2">
        <f t="shared" si="176"/>
        <v>85.12273034421375</v>
      </c>
      <c r="O1108" s="2">
        <f t="shared" si="177"/>
        <v>312.40042036326446</v>
      </c>
      <c r="P1108" s="2">
        <v>72.550905</v>
      </c>
      <c r="Q1108" s="2">
        <v>23.037610000000001</v>
      </c>
    </row>
    <row r="1109" spans="1:17" x14ac:dyDescent="0.25">
      <c r="A1109" s="2">
        <v>1257</v>
      </c>
      <c r="B1109" s="2" t="s">
        <v>10</v>
      </c>
      <c r="C1109" s="2">
        <v>14</v>
      </c>
      <c r="D1109" s="2">
        <f t="shared" si="170"/>
        <v>35.56</v>
      </c>
      <c r="E1109" s="2">
        <f t="shared" si="171"/>
        <v>11.319099552695597</v>
      </c>
      <c r="F1109" s="2">
        <f t="shared" si="172"/>
        <v>4.45633840657307</v>
      </c>
      <c r="G1109" s="2">
        <v>10.526045999999999</v>
      </c>
      <c r="H1109" s="2">
        <f t="shared" si="173"/>
        <v>34.53427275864</v>
      </c>
      <c r="I1109" s="2">
        <f>INDEX('Wood Density Lookup'!$B$2:$B$152,MATCH(B1109,'Wood Density Lookup'!$A$2:$A$152,0))</f>
        <v>0.65</v>
      </c>
      <c r="J1109" s="2">
        <f t="shared" si="174"/>
        <v>50.14067619853688</v>
      </c>
      <c r="K1109" s="2">
        <f t="shared" si="178"/>
        <v>14.039389335590327</v>
      </c>
      <c r="L1109" s="2">
        <f t="shared" si="179"/>
        <v>64.180065534127209</v>
      </c>
      <c r="M1109" s="2">
        <f t="shared" si="175"/>
        <v>46.530547512242222</v>
      </c>
      <c r="N1109" s="2">
        <f t="shared" si="176"/>
        <v>23.265273756121111</v>
      </c>
      <c r="O1109" s="2">
        <f t="shared" si="177"/>
        <v>85.38355468496448</v>
      </c>
      <c r="P1109" s="2">
        <v>72.550905</v>
      </c>
      <c r="Q1109" s="2">
        <v>23.036517</v>
      </c>
    </row>
    <row r="1110" spans="1:17" x14ac:dyDescent="0.25">
      <c r="A1110" s="2">
        <v>1258</v>
      </c>
      <c r="B1110" s="2" t="s">
        <v>114</v>
      </c>
      <c r="C1110" s="2">
        <v>57</v>
      </c>
      <c r="D1110" s="2">
        <f t="shared" si="170"/>
        <v>144.78</v>
      </c>
      <c r="E1110" s="2">
        <f t="shared" si="171"/>
        <v>46.084905321689213</v>
      </c>
      <c r="F1110" s="2">
        <f t="shared" si="172"/>
        <v>18.143663512476071</v>
      </c>
      <c r="G1110" s="2">
        <v>17.475486</v>
      </c>
      <c r="H1110" s="2">
        <f t="shared" si="173"/>
        <v>57.334273488240001</v>
      </c>
      <c r="I1110" s="2">
        <f>INDEX('Wood Density Lookup'!$B$2:$B$152,MATCH(B1110,'Wood Density Lookup'!$A$2:$A$152,0))</f>
        <v>0.55000000000000004</v>
      </c>
      <c r="J1110" s="2">
        <f t="shared" si="174"/>
        <v>1082.6462874368419</v>
      </c>
      <c r="K1110" s="2">
        <f t="shared" si="178"/>
        <v>303.14096048231579</v>
      </c>
      <c r="L1110" s="2">
        <f t="shared" si="179"/>
        <v>1385.7872479191578</v>
      </c>
      <c r="M1110" s="2">
        <f t="shared" si="175"/>
        <v>1004.6957547413894</v>
      </c>
      <c r="N1110" s="2">
        <f t="shared" si="176"/>
        <v>502.34787737069468</v>
      </c>
      <c r="O1110" s="2">
        <f t="shared" si="177"/>
        <v>1843.6167099504494</v>
      </c>
      <c r="P1110" s="2">
        <v>72.550906999999995</v>
      </c>
      <c r="Q1110" s="2">
        <v>23.035872000000001</v>
      </c>
    </row>
    <row r="1111" spans="1:17" x14ac:dyDescent="0.25">
      <c r="A1111" s="2">
        <v>1259</v>
      </c>
      <c r="B1111" s="2" t="s">
        <v>62</v>
      </c>
      <c r="C1111" s="2">
        <v>1</v>
      </c>
      <c r="D1111" s="2">
        <f t="shared" si="170"/>
        <v>2.54</v>
      </c>
      <c r="E1111" s="2">
        <f t="shared" si="171"/>
        <v>0.80850711090682836</v>
      </c>
      <c r="F1111" s="2">
        <f t="shared" si="172"/>
        <v>0.31830988618379069</v>
      </c>
      <c r="G1111" s="2">
        <v>6.0441159999999998</v>
      </c>
      <c r="H1111" s="2">
        <f t="shared" si="173"/>
        <v>19.829777537439998</v>
      </c>
      <c r="I1111" s="2">
        <f>INDEX('Wood Density Lookup'!$B$2:$B$152,MATCH(B1111,'Wood Density Lookup'!$A$2:$A$152,0))</f>
        <v>0.47</v>
      </c>
      <c r="J1111" s="2">
        <f t="shared" si="174"/>
        <v>0.12312953539622232</v>
      </c>
      <c r="K1111" s="2">
        <f t="shared" si="178"/>
        <v>3.4476269910942249E-2</v>
      </c>
      <c r="L1111" s="2">
        <f t="shared" si="179"/>
        <v>0.15760580530716456</v>
      </c>
      <c r="M1111" s="2">
        <f t="shared" si="175"/>
        <v>0.1142642088476943</v>
      </c>
      <c r="N1111" s="2">
        <f t="shared" si="176"/>
        <v>5.7132104423847148E-2</v>
      </c>
      <c r="O1111" s="2">
        <f t="shared" si="177"/>
        <v>0.20967482323551903</v>
      </c>
      <c r="P1111" s="2">
        <v>72.550906999999995</v>
      </c>
      <c r="Q1111" s="2">
        <v>23.038685000000001</v>
      </c>
    </row>
    <row r="1112" spans="1:17" x14ac:dyDescent="0.25">
      <c r="A1112" s="2">
        <v>1260</v>
      </c>
      <c r="B1112" s="2" t="s">
        <v>31</v>
      </c>
      <c r="C1112" s="2">
        <v>8</v>
      </c>
      <c r="D1112" s="2">
        <f t="shared" si="170"/>
        <v>20.32</v>
      </c>
      <c r="E1112" s="2">
        <f t="shared" si="171"/>
        <v>6.4680568872546269</v>
      </c>
      <c r="F1112" s="2">
        <f t="shared" si="172"/>
        <v>2.5464790894703255</v>
      </c>
      <c r="G1112" s="2">
        <v>17.249835000000001</v>
      </c>
      <c r="H1112" s="2">
        <f t="shared" si="173"/>
        <v>56.593948661400006</v>
      </c>
      <c r="I1112" s="2">
        <f>INDEX('Wood Density Lookup'!$B$2:$B$152,MATCH(B1112,'Wood Density Lookup'!$A$2:$A$152,0))</f>
        <v>0.78</v>
      </c>
      <c r="J1112" s="2">
        <f t="shared" si="174"/>
        <v>32.541084377508426</v>
      </c>
      <c r="K1112" s="2">
        <f t="shared" si="178"/>
        <v>9.1115036257023601</v>
      </c>
      <c r="L1112" s="2">
        <f t="shared" si="179"/>
        <v>41.652588003210788</v>
      </c>
      <c r="M1112" s="2">
        <f t="shared" si="175"/>
        <v>30.198126302327822</v>
      </c>
      <c r="N1112" s="2">
        <f t="shared" si="176"/>
        <v>15.099063151163911</v>
      </c>
      <c r="O1112" s="2">
        <f t="shared" si="177"/>
        <v>55.413561764771551</v>
      </c>
      <c r="P1112" s="2">
        <v>72.550908000000007</v>
      </c>
      <c r="Q1112" s="2">
        <v>23.035768000000001</v>
      </c>
    </row>
    <row r="1113" spans="1:17" x14ac:dyDescent="0.25">
      <c r="A1113" s="2">
        <v>1261</v>
      </c>
      <c r="B1113" s="2" t="s">
        <v>15</v>
      </c>
      <c r="C1113" s="2">
        <v>2</v>
      </c>
      <c r="D1113" s="2">
        <f t="shared" si="170"/>
        <v>5.08</v>
      </c>
      <c r="E1113" s="2">
        <f t="shared" si="171"/>
        <v>1.6170142218136567</v>
      </c>
      <c r="F1113" s="2">
        <f t="shared" si="172"/>
        <v>0.63661977236758138</v>
      </c>
      <c r="G1113" s="2">
        <v>2.038481</v>
      </c>
      <c r="H1113" s="2">
        <f t="shared" si="173"/>
        <v>6.68793000404</v>
      </c>
      <c r="I1113" s="2">
        <f>INDEX('Wood Density Lookup'!$B$2:$B$152,MATCH(B1113,'Wood Density Lookup'!$A$2:$A$152,0))</f>
        <v>0.75</v>
      </c>
      <c r="J1113" s="2">
        <f t="shared" si="174"/>
        <v>0.2602361229031539</v>
      </c>
      <c r="K1113" s="2">
        <f t="shared" si="178"/>
        <v>7.2866114412883098E-2</v>
      </c>
      <c r="L1113" s="2">
        <f t="shared" si="179"/>
        <v>0.333102237316037</v>
      </c>
      <c r="M1113" s="2">
        <f t="shared" si="175"/>
        <v>0.24149912205412682</v>
      </c>
      <c r="N1113" s="2">
        <f t="shared" si="176"/>
        <v>0.12074956102706341</v>
      </c>
      <c r="O1113" s="2">
        <f t="shared" si="177"/>
        <v>0.4431508889693227</v>
      </c>
      <c r="P1113" s="2">
        <v>72.550910999999999</v>
      </c>
      <c r="Q1113" s="2">
        <v>23.035371000000001</v>
      </c>
    </row>
    <row r="1114" spans="1:17" x14ac:dyDescent="0.25">
      <c r="A1114" s="2">
        <v>1262</v>
      </c>
      <c r="B1114" s="2" t="s">
        <v>11</v>
      </c>
      <c r="C1114" s="2">
        <v>7</v>
      </c>
      <c r="D1114" s="2">
        <f t="shared" si="170"/>
        <v>17.78</v>
      </c>
      <c r="E1114" s="2">
        <f t="shared" si="171"/>
        <v>5.6595497763477987</v>
      </c>
      <c r="F1114" s="2">
        <f t="shared" si="172"/>
        <v>2.228169203286535</v>
      </c>
      <c r="G1114" s="2">
        <v>14.977786999999999</v>
      </c>
      <c r="H1114" s="2">
        <f t="shared" si="173"/>
        <v>49.139722701079997</v>
      </c>
      <c r="I1114" s="2">
        <f>INDEX('Wood Density Lookup'!$B$2:$B$152,MATCH(B1114,'Wood Density Lookup'!$A$2:$A$152,0))</f>
        <v>0.45</v>
      </c>
      <c r="J1114" s="2">
        <f t="shared" si="174"/>
        <v>12.770785829305959</v>
      </c>
      <c r="K1114" s="2">
        <f t="shared" si="178"/>
        <v>3.575820032205669</v>
      </c>
      <c r="L1114" s="2">
        <f t="shared" si="179"/>
        <v>16.346605861511627</v>
      </c>
      <c r="M1114" s="2">
        <f t="shared" si="175"/>
        <v>11.851289249595929</v>
      </c>
      <c r="N1114" s="2">
        <f t="shared" si="176"/>
        <v>5.9256446247979646</v>
      </c>
      <c r="O1114" s="2">
        <f t="shared" si="177"/>
        <v>21.747115773008531</v>
      </c>
      <c r="P1114" s="2">
        <v>72.550910999999999</v>
      </c>
      <c r="Q1114" s="2">
        <v>23.035494</v>
      </c>
    </row>
    <row r="1115" spans="1:17" x14ac:dyDescent="0.25">
      <c r="A1115" s="2">
        <v>1263</v>
      </c>
      <c r="B1115" s="2" t="s">
        <v>72</v>
      </c>
      <c r="C1115" s="2">
        <v>11</v>
      </c>
      <c r="D1115" s="2">
        <f t="shared" si="170"/>
        <v>27.94</v>
      </c>
      <c r="E1115" s="2">
        <f t="shared" si="171"/>
        <v>8.8935782199751117</v>
      </c>
      <c r="F1115" s="2">
        <f t="shared" si="172"/>
        <v>3.5014087480216975</v>
      </c>
      <c r="G1115" s="2">
        <v>7.4331120000000004</v>
      </c>
      <c r="H1115" s="2">
        <f t="shared" si="173"/>
        <v>24.38685117408</v>
      </c>
      <c r="I1115" s="2">
        <f>INDEX('Wood Density Lookup'!$B$2:$B$152,MATCH(B1115,'Wood Density Lookup'!$A$2:$A$152,0))</f>
        <v>0.65</v>
      </c>
      <c r="J1115" s="2">
        <f t="shared" si="174"/>
        <v>22.298644590022125</v>
      </c>
      <c r="K1115" s="2">
        <f t="shared" si="178"/>
        <v>6.2436204852061952</v>
      </c>
      <c r="L1115" s="2">
        <f t="shared" si="179"/>
        <v>28.542265075228322</v>
      </c>
      <c r="M1115" s="2">
        <f t="shared" si="175"/>
        <v>20.693142179540533</v>
      </c>
      <c r="N1115" s="2">
        <f t="shared" si="176"/>
        <v>10.346571089770267</v>
      </c>
      <c r="O1115" s="2">
        <f t="shared" si="177"/>
        <v>37.971915899456882</v>
      </c>
      <c r="P1115" s="2">
        <v>72.550910999999999</v>
      </c>
      <c r="Q1115" s="2">
        <v>23.037647</v>
      </c>
    </row>
    <row r="1116" spans="1:17" x14ac:dyDescent="0.25">
      <c r="A1116" s="2">
        <v>1264</v>
      </c>
      <c r="B1116" s="2" t="s">
        <v>139</v>
      </c>
      <c r="C1116" s="2">
        <v>2</v>
      </c>
      <c r="D1116" s="2">
        <f t="shared" si="170"/>
        <v>5.08</v>
      </c>
      <c r="E1116" s="2">
        <f t="shared" si="171"/>
        <v>1.6170142218136567</v>
      </c>
      <c r="F1116" s="2">
        <f t="shared" si="172"/>
        <v>0.63661977236758138</v>
      </c>
      <c r="G1116" s="2">
        <v>12.178748000000001</v>
      </c>
      <c r="H1116" s="2">
        <f t="shared" si="173"/>
        <v>39.956523588320003</v>
      </c>
      <c r="I1116" s="2">
        <f>INDEX('Wood Density Lookup'!$B$2:$B$152,MATCH(B1116,'Wood Density Lookup'!$A$2:$A$152,0))</f>
        <v>0.9</v>
      </c>
      <c r="J1116" s="2">
        <f t="shared" si="174"/>
        <v>1.77956292463976</v>
      </c>
      <c r="K1116" s="2">
        <f t="shared" si="178"/>
        <v>0.49827761889913286</v>
      </c>
      <c r="L1116" s="2">
        <f t="shared" si="179"/>
        <v>2.2778405435388929</v>
      </c>
      <c r="M1116" s="2">
        <f t="shared" si="175"/>
        <v>1.6514343940656973</v>
      </c>
      <c r="N1116" s="2">
        <f t="shared" si="176"/>
        <v>0.82571719703284863</v>
      </c>
      <c r="O1116" s="2">
        <f t="shared" si="177"/>
        <v>3.0303821131105546</v>
      </c>
      <c r="P1116" s="2">
        <v>72.550912999999994</v>
      </c>
      <c r="Q1116" s="2">
        <v>23.035807999999999</v>
      </c>
    </row>
    <row r="1117" spans="1:17" x14ac:dyDescent="0.25">
      <c r="A1117" s="2">
        <v>1265</v>
      </c>
      <c r="B1117" s="2" t="s">
        <v>31</v>
      </c>
      <c r="C1117" s="2">
        <v>5</v>
      </c>
      <c r="D1117" s="2">
        <f t="shared" si="170"/>
        <v>12.7</v>
      </c>
      <c r="E1117" s="2">
        <f t="shared" si="171"/>
        <v>4.0425355545341413</v>
      </c>
      <c r="F1117" s="2">
        <f t="shared" si="172"/>
        <v>1.5915494309189535</v>
      </c>
      <c r="G1117" s="2">
        <v>13.510317000000001</v>
      </c>
      <c r="H1117" s="2">
        <f t="shared" si="173"/>
        <v>44.32518842628</v>
      </c>
      <c r="I1117" s="2">
        <f>INDEX('Wood Density Lookup'!$B$2:$B$152,MATCH(B1117,'Wood Density Lookup'!$A$2:$A$152,0))</f>
        <v>0.78</v>
      </c>
      <c r="J1117" s="2">
        <f t="shared" si="174"/>
        <v>10.242766550574769</v>
      </c>
      <c r="K1117" s="2">
        <f t="shared" si="178"/>
        <v>2.8679746341609356</v>
      </c>
      <c r="L1117" s="2">
        <f t="shared" si="179"/>
        <v>13.110741184735705</v>
      </c>
      <c r="M1117" s="2">
        <f t="shared" si="175"/>
        <v>9.5052873589333853</v>
      </c>
      <c r="N1117" s="2">
        <f t="shared" si="176"/>
        <v>4.7526436794666926</v>
      </c>
      <c r="O1117" s="2">
        <f t="shared" si="177"/>
        <v>17.442202303642762</v>
      </c>
      <c r="P1117" s="2">
        <v>72.550914000000006</v>
      </c>
      <c r="Q1117" s="2">
        <v>23.035174000000001</v>
      </c>
    </row>
    <row r="1118" spans="1:17" x14ac:dyDescent="0.25">
      <c r="A1118" s="2">
        <v>1266</v>
      </c>
      <c r="B1118" s="2" t="s">
        <v>9</v>
      </c>
      <c r="C1118" s="2">
        <v>24</v>
      </c>
      <c r="D1118" s="2">
        <f t="shared" si="170"/>
        <v>60.96</v>
      </c>
      <c r="E1118" s="2">
        <f t="shared" si="171"/>
        <v>19.404170661763882</v>
      </c>
      <c r="F1118" s="2">
        <f t="shared" si="172"/>
        <v>7.6394372684109761</v>
      </c>
      <c r="G1118" s="2">
        <v>7.5661379999999996</v>
      </c>
      <c r="H1118" s="2">
        <f t="shared" si="173"/>
        <v>24.82328819592</v>
      </c>
      <c r="I1118" s="2">
        <f>INDEX('Wood Density Lookup'!$B$2:$B$152,MATCH(B1118,'Wood Density Lookup'!$A$2:$A$152,0))</f>
        <v>0.42</v>
      </c>
      <c r="J1118" s="2">
        <f t="shared" si="174"/>
        <v>67.929568332183933</v>
      </c>
      <c r="K1118" s="2">
        <f t="shared" si="178"/>
        <v>19.020279133011503</v>
      </c>
      <c r="L1118" s="2">
        <f t="shared" si="179"/>
        <v>86.949847465195433</v>
      </c>
      <c r="M1118" s="2">
        <f t="shared" si="175"/>
        <v>63.03863941226669</v>
      </c>
      <c r="N1118" s="2">
        <f t="shared" si="176"/>
        <v>31.519319706133345</v>
      </c>
      <c r="O1118" s="2">
        <f t="shared" si="177"/>
        <v>115.67590332150938</v>
      </c>
      <c r="P1118" s="2">
        <v>72.550916999999998</v>
      </c>
      <c r="Q1118" s="2">
        <v>23.037009999999999</v>
      </c>
    </row>
    <row r="1119" spans="1:17" x14ac:dyDescent="0.25">
      <c r="A1119" s="2">
        <v>1267</v>
      </c>
      <c r="B1119" s="2" t="s">
        <v>9</v>
      </c>
      <c r="C1119" s="2">
        <v>89</v>
      </c>
      <c r="D1119" s="2">
        <f t="shared" si="170"/>
        <v>226.06</v>
      </c>
      <c r="E1119" s="2">
        <f t="shared" si="171"/>
        <v>71.957132870707724</v>
      </c>
      <c r="F1119" s="2">
        <f t="shared" si="172"/>
        <v>28.329579870357371</v>
      </c>
      <c r="G1119" s="2">
        <v>11.112137000000001</v>
      </c>
      <c r="H1119" s="2">
        <f t="shared" si="173"/>
        <v>36.457143555080002</v>
      </c>
      <c r="I1119" s="2">
        <f>INDEX('Wood Density Lookup'!$B$2:$B$152,MATCH(B1119,'Wood Density Lookup'!$A$2:$A$152,0))</f>
        <v>0.42</v>
      </c>
      <c r="J1119" s="2">
        <f t="shared" si="174"/>
        <v>1276.4769384258705</v>
      </c>
      <c r="K1119" s="2">
        <f t="shared" si="178"/>
        <v>357.41354275924374</v>
      </c>
      <c r="L1119" s="2">
        <f t="shared" si="179"/>
        <v>1633.8904811851141</v>
      </c>
      <c r="M1119" s="2">
        <f t="shared" si="175"/>
        <v>1184.5705988592076</v>
      </c>
      <c r="N1119" s="2">
        <f t="shared" si="176"/>
        <v>592.28529942960381</v>
      </c>
      <c r="O1119" s="2">
        <f t="shared" si="177"/>
        <v>2173.6870489066459</v>
      </c>
      <c r="P1119" s="2">
        <v>72.550917999999996</v>
      </c>
      <c r="Q1119" s="2">
        <v>23.036463000000001</v>
      </c>
    </row>
    <row r="1120" spans="1:17" x14ac:dyDescent="0.25">
      <c r="A1120" s="2">
        <v>1268</v>
      </c>
      <c r="B1120" s="2" t="s">
        <v>11</v>
      </c>
      <c r="C1120" s="2">
        <v>6</v>
      </c>
      <c r="D1120" s="2">
        <f t="shared" si="170"/>
        <v>15.24</v>
      </c>
      <c r="E1120" s="2">
        <f t="shared" si="171"/>
        <v>4.8510426654409704</v>
      </c>
      <c r="F1120" s="2">
        <f t="shared" si="172"/>
        <v>1.909859317102744</v>
      </c>
      <c r="G1120" s="2">
        <v>2.1027209999999998</v>
      </c>
      <c r="H1120" s="2">
        <f t="shared" si="173"/>
        <v>6.8986911656399998</v>
      </c>
      <c r="I1120" s="2">
        <f>INDEX('Wood Density Lookup'!$B$2:$B$152,MATCH(B1120,'Wood Density Lookup'!$A$2:$A$152,0))</f>
        <v>0.45</v>
      </c>
      <c r="J1120" s="2">
        <f t="shared" si="174"/>
        <v>1.3910267257619713</v>
      </c>
      <c r="K1120" s="2">
        <f t="shared" si="178"/>
        <v>0.38948748321335197</v>
      </c>
      <c r="L1120" s="2">
        <f t="shared" si="179"/>
        <v>1.7805142089753232</v>
      </c>
      <c r="M1120" s="2">
        <f t="shared" si="175"/>
        <v>1.2908728015071094</v>
      </c>
      <c r="N1120" s="2">
        <f t="shared" si="176"/>
        <v>0.64543640075355468</v>
      </c>
      <c r="O1120" s="2">
        <f t="shared" si="177"/>
        <v>2.3687515907655459</v>
      </c>
      <c r="P1120" s="2">
        <v>72.550918999999993</v>
      </c>
      <c r="Q1120" s="2">
        <v>23.035063000000001</v>
      </c>
    </row>
    <row r="1121" spans="1:17" x14ac:dyDescent="0.25">
      <c r="A1121" s="2">
        <v>1269</v>
      </c>
      <c r="B1121" s="2" t="s">
        <v>62</v>
      </c>
      <c r="C1121" s="2">
        <v>1</v>
      </c>
      <c r="D1121" s="2">
        <f t="shared" si="170"/>
        <v>2.54</v>
      </c>
      <c r="E1121" s="2">
        <f t="shared" si="171"/>
        <v>0.80850711090682836</v>
      </c>
      <c r="F1121" s="2">
        <f t="shared" si="172"/>
        <v>0.31830988618379069</v>
      </c>
      <c r="G1121" s="2">
        <v>2.2897660000000002</v>
      </c>
      <c r="H1121" s="2">
        <f t="shared" si="173"/>
        <v>7.5123558834400006</v>
      </c>
      <c r="I1121" s="2">
        <f>INDEX('Wood Density Lookup'!$B$2:$B$152,MATCH(B1121,'Wood Density Lookup'!$A$2:$A$152,0))</f>
        <v>0.47</v>
      </c>
      <c r="J1121" s="2">
        <f t="shared" si="174"/>
        <v>4.7746061470569139E-2</v>
      </c>
      <c r="K1121" s="2">
        <f t="shared" si="178"/>
        <v>1.3368897211759359E-2</v>
      </c>
      <c r="L1121" s="2">
        <f t="shared" si="179"/>
        <v>6.1114958682328496E-2</v>
      </c>
      <c r="M1121" s="2">
        <f t="shared" si="175"/>
        <v>4.4308345044688162E-2</v>
      </c>
      <c r="N1121" s="2">
        <f t="shared" si="176"/>
        <v>2.2154172522344081E-2</v>
      </c>
      <c r="O1121" s="2">
        <f t="shared" si="177"/>
        <v>8.1305813157002776E-2</v>
      </c>
      <c r="P1121" s="2">
        <v>72.550918999999993</v>
      </c>
      <c r="Q1121" s="2">
        <v>23.038689999999999</v>
      </c>
    </row>
    <row r="1122" spans="1:17" x14ac:dyDescent="0.25">
      <c r="A1122" s="2">
        <v>1270</v>
      </c>
      <c r="B1122" s="2" t="s">
        <v>82</v>
      </c>
      <c r="C1122" s="2">
        <v>4</v>
      </c>
      <c r="D1122" s="2">
        <f t="shared" si="170"/>
        <v>10.16</v>
      </c>
      <c r="E1122" s="2">
        <f t="shared" si="171"/>
        <v>3.2340284436273135</v>
      </c>
      <c r="F1122" s="2">
        <f t="shared" si="172"/>
        <v>1.2732395447351628</v>
      </c>
      <c r="G1122" s="2">
        <v>10.766558</v>
      </c>
      <c r="H1122" s="2">
        <f t="shared" si="173"/>
        <v>35.32335414872</v>
      </c>
      <c r="I1122" s="2">
        <f>INDEX('Wood Density Lookup'!$B$2:$B$152,MATCH(B1122,'Wood Density Lookup'!$A$2:$A$152,0))</f>
        <v>0.7</v>
      </c>
      <c r="J1122" s="2">
        <f t="shared" si="174"/>
        <v>4.777027669128743</v>
      </c>
      <c r="K1122" s="2">
        <f t="shared" si="178"/>
        <v>1.3375677473560481</v>
      </c>
      <c r="L1122" s="2">
        <f t="shared" si="179"/>
        <v>6.1145954164847911</v>
      </c>
      <c r="M1122" s="2">
        <f t="shared" si="175"/>
        <v>4.4330816769514731</v>
      </c>
      <c r="N1122" s="2">
        <f t="shared" si="176"/>
        <v>2.2165408384757366</v>
      </c>
      <c r="O1122" s="2">
        <f t="shared" si="177"/>
        <v>8.1347048772059534</v>
      </c>
      <c r="P1122" s="2">
        <v>72.550920000000005</v>
      </c>
      <c r="Q1122" s="2">
        <v>23.036505999999999</v>
      </c>
    </row>
    <row r="1123" spans="1:17" x14ac:dyDescent="0.25">
      <c r="A1123" s="2">
        <v>1271</v>
      </c>
      <c r="B1123" s="2" t="s">
        <v>139</v>
      </c>
      <c r="C1123" s="2">
        <v>2</v>
      </c>
      <c r="D1123" s="2">
        <f t="shared" si="170"/>
        <v>5.08</v>
      </c>
      <c r="E1123" s="2">
        <f t="shared" si="171"/>
        <v>1.6170142218136567</v>
      </c>
      <c r="F1123" s="2">
        <f t="shared" si="172"/>
        <v>0.63661977236758138</v>
      </c>
      <c r="G1123" s="2">
        <v>6.8775060000000003</v>
      </c>
      <c r="H1123" s="2">
        <f t="shared" si="173"/>
        <v>22.563996785040001</v>
      </c>
      <c r="I1123" s="2">
        <f>INDEX('Wood Density Lookup'!$B$2:$B$152,MATCH(B1123,'Wood Density Lookup'!$A$2:$A$152,0))</f>
        <v>0.9</v>
      </c>
      <c r="J1123" s="2">
        <f t="shared" si="174"/>
        <v>1.018820799897185</v>
      </c>
      <c r="K1123" s="2">
        <f t="shared" si="178"/>
        <v>0.28526982397121181</v>
      </c>
      <c r="L1123" s="2">
        <f t="shared" si="179"/>
        <v>1.3040906238683969</v>
      </c>
      <c r="M1123" s="2">
        <f t="shared" si="175"/>
        <v>0.94546570230458771</v>
      </c>
      <c r="N1123" s="2">
        <f t="shared" si="176"/>
        <v>0.47273285115229385</v>
      </c>
      <c r="O1123" s="2">
        <f t="shared" si="177"/>
        <v>1.7349295637289184</v>
      </c>
      <c r="P1123" s="2">
        <v>72.550921000000002</v>
      </c>
      <c r="Q1123" s="2">
        <v>23.035720999999999</v>
      </c>
    </row>
    <row r="1124" spans="1:17" x14ac:dyDescent="0.25">
      <c r="A1124" s="2">
        <v>1272</v>
      </c>
      <c r="B1124" s="2" t="s">
        <v>43</v>
      </c>
      <c r="C1124" s="2">
        <v>9</v>
      </c>
      <c r="D1124" s="2">
        <f t="shared" si="170"/>
        <v>22.86</v>
      </c>
      <c r="E1124" s="2">
        <f t="shared" si="171"/>
        <v>7.2765639981614552</v>
      </c>
      <c r="F1124" s="2">
        <f t="shared" si="172"/>
        <v>2.8647889756541161</v>
      </c>
      <c r="G1124" s="2">
        <v>3.3216410000000001</v>
      </c>
      <c r="H1124" s="2">
        <f t="shared" si="173"/>
        <v>10.897772658440001</v>
      </c>
      <c r="I1124" s="2">
        <f>INDEX('Wood Density Lookup'!$B$2:$B$152,MATCH(B1124,'Wood Density Lookup'!$A$2:$A$152,0))</f>
        <v>0.6</v>
      </c>
      <c r="J1124" s="2">
        <f t="shared" si="174"/>
        <v>6.350547287754388</v>
      </c>
      <c r="K1124" s="2">
        <f t="shared" si="178"/>
        <v>1.7781532405712288</v>
      </c>
      <c r="L1124" s="2">
        <f t="shared" si="179"/>
        <v>8.1287005283256164</v>
      </c>
      <c r="M1124" s="2">
        <f t="shared" si="175"/>
        <v>5.8933078830360719</v>
      </c>
      <c r="N1124" s="2">
        <f t="shared" si="176"/>
        <v>2.9466539415180359</v>
      </c>
      <c r="O1124" s="2">
        <f t="shared" si="177"/>
        <v>10.814219965371192</v>
      </c>
      <c r="P1124" s="2">
        <v>72.550921000000002</v>
      </c>
      <c r="Q1124" s="2">
        <v>23.038702000000001</v>
      </c>
    </row>
    <row r="1125" spans="1:17" x14ac:dyDescent="0.25">
      <c r="A1125" s="2">
        <v>1273</v>
      </c>
      <c r="B1125" s="2" t="s">
        <v>9</v>
      </c>
      <c r="C1125" s="2">
        <v>76</v>
      </c>
      <c r="D1125" s="2">
        <f t="shared" si="170"/>
        <v>193.04</v>
      </c>
      <c r="E1125" s="2">
        <f t="shared" si="171"/>
        <v>61.446540428918951</v>
      </c>
      <c r="F1125" s="2">
        <f t="shared" si="172"/>
        <v>24.191551349968091</v>
      </c>
      <c r="G1125" s="2">
        <v>4.0983580000000002</v>
      </c>
      <c r="H1125" s="2">
        <f t="shared" si="173"/>
        <v>13.446056860720001</v>
      </c>
      <c r="I1125" s="2">
        <f>INDEX('Wood Density Lookup'!$B$2:$B$152,MATCH(B1125,'Wood Density Lookup'!$A$2:$A$152,0))</f>
        <v>0.42</v>
      </c>
      <c r="J1125" s="2">
        <f t="shared" si="174"/>
        <v>354.29140935726491</v>
      </c>
      <c r="K1125" s="2">
        <f t="shared" si="178"/>
        <v>99.201594620034186</v>
      </c>
      <c r="L1125" s="2">
        <f t="shared" si="179"/>
        <v>453.49300397729911</v>
      </c>
      <c r="M1125" s="2">
        <f t="shared" si="175"/>
        <v>328.78242788354186</v>
      </c>
      <c r="N1125" s="2">
        <f t="shared" si="176"/>
        <v>164.39121394177093</v>
      </c>
      <c r="O1125" s="2">
        <f t="shared" si="177"/>
        <v>603.31575516629925</v>
      </c>
      <c r="P1125" s="2">
        <v>72.550922</v>
      </c>
      <c r="Q1125" s="2">
        <v>23.036670999999998</v>
      </c>
    </row>
    <row r="1126" spans="1:17" x14ac:dyDescent="0.25">
      <c r="A1126" s="2">
        <v>1274</v>
      </c>
      <c r="B1126" s="2" t="s">
        <v>114</v>
      </c>
      <c r="C1126" s="2">
        <v>92</v>
      </c>
      <c r="D1126" s="2">
        <f t="shared" si="170"/>
        <v>233.68</v>
      </c>
      <c r="E1126" s="2">
        <f t="shared" si="171"/>
        <v>74.382654203428203</v>
      </c>
      <c r="F1126" s="2">
        <f t="shared" si="172"/>
        <v>29.284509528908742</v>
      </c>
      <c r="G1126" s="2">
        <v>14.844039</v>
      </c>
      <c r="H1126" s="2">
        <f t="shared" si="173"/>
        <v>48.70091691276</v>
      </c>
      <c r="I1126" s="2">
        <f>INDEX('Wood Density Lookup'!$B$2:$B$152,MATCH(B1126,'Wood Density Lookup'!$A$2:$A$152,0))</f>
        <v>0.55000000000000004</v>
      </c>
      <c r="J1126" s="2">
        <f t="shared" si="174"/>
        <v>2350.4801512550948</v>
      </c>
      <c r="K1126" s="2">
        <f t="shared" si="178"/>
        <v>658.13444235142663</v>
      </c>
      <c r="L1126" s="2">
        <f t="shared" si="179"/>
        <v>3008.6145936065213</v>
      </c>
      <c r="M1126" s="2">
        <f t="shared" si="175"/>
        <v>2181.2455803647281</v>
      </c>
      <c r="N1126" s="2">
        <f t="shared" si="176"/>
        <v>1090.622790182364</v>
      </c>
      <c r="O1126" s="2">
        <f t="shared" si="177"/>
        <v>4002.5856399692761</v>
      </c>
      <c r="P1126" s="2">
        <v>72.550926000000004</v>
      </c>
      <c r="Q1126" s="2">
        <v>23.035630999999999</v>
      </c>
    </row>
    <row r="1127" spans="1:17" x14ac:dyDescent="0.25">
      <c r="A1127" s="2">
        <v>1275</v>
      </c>
      <c r="B1127" s="2" t="s">
        <v>82</v>
      </c>
      <c r="C1127" s="2">
        <v>22</v>
      </c>
      <c r="D1127" s="2">
        <f t="shared" si="170"/>
        <v>55.88</v>
      </c>
      <c r="E1127" s="2">
        <f t="shared" si="171"/>
        <v>17.787156439950223</v>
      </c>
      <c r="F1127" s="2">
        <f t="shared" si="172"/>
        <v>7.0028174960433951</v>
      </c>
      <c r="G1127" s="2">
        <v>5.1785730000000001</v>
      </c>
      <c r="H1127" s="2">
        <f t="shared" si="173"/>
        <v>16.990069441319999</v>
      </c>
      <c r="I1127" s="2">
        <f>INDEX('Wood Density Lookup'!$B$2:$B$152,MATCH(B1127,'Wood Density Lookup'!$A$2:$A$152,0))</f>
        <v>0.7</v>
      </c>
      <c r="J1127" s="2">
        <f t="shared" si="174"/>
        <v>65.179008213068926</v>
      </c>
      <c r="K1127" s="2">
        <f t="shared" si="178"/>
        <v>18.250122299659299</v>
      </c>
      <c r="L1127" s="2">
        <f t="shared" si="179"/>
        <v>83.429130512728221</v>
      </c>
      <c r="M1127" s="2">
        <f t="shared" si="175"/>
        <v>60.486119621727958</v>
      </c>
      <c r="N1127" s="2">
        <f t="shared" si="176"/>
        <v>30.243059810863979</v>
      </c>
      <c r="O1127" s="2">
        <f t="shared" si="177"/>
        <v>110.9920295058708</v>
      </c>
      <c r="P1127" s="2">
        <v>72.550926000000004</v>
      </c>
      <c r="Q1127" s="2">
        <v>23.035453</v>
      </c>
    </row>
    <row r="1128" spans="1:17" x14ac:dyDescent="0.25">
      <c r="A1128" s="2">
        <v>1276</v>
      </c>
      <c r="B1128" s="2" t="s">
        <v>10</v>
      </c>
      <c r="C1128" s="2">
        <v>26</v>
      </c>
      <c r="D1128" s="2">
        <f t="shared" si="170"/>
        <v>66.040000000000006</v>
      </c>
      <c r="E1128" s="2">
        <f t="shared" si="171"/>
        <v>21.02118488357754</v>
      </c>
      <c r="F1128" s="2">
        <f t="shared" si="172"/>
        <v>8.2760570407785572</v>
      </c>
      <c r="G1128" s="2">
        <v>9.8640659999999993</v>
      </c>
      <c r="H1128" s="2">
        <f t="shared" si="173"/>
        <v>32.362422295439998</v>
      </c>
      <c r="I1128" s="2">
        <f>INDEX('Wood Density Lookup'!$B$2:$B$152,MATCH(B1128,'Wood Density Lookup'!$A$2:$A$152,0))</f>
        <v>0.65</v>
      </c>
      <c r="J1128" s="2">
        <f t="shared" si="174"/>
        <v>157.55927184508622</v>
      </c>
      <c r="K1128" s="2">
        <f t="shared" si="178"/>
        <v>44.116596116624144</v>
      </c>
      <c r="L1128" s="2">
        <f t="shared" si="179"/>
        <v>201.67586796171037</v>
      </c>
      <c r="M1128" s="2">
        <f t="shared" si="175"/>
        <v>146.21500427224001</v>
      </c>
      <c r="N1128" s="2">
        <f t="shared" si="176"/>
        <v>73.107502136120004</v>
      </c>
      <c r="O1128" s="2">
        <f t="shared" si="177"/>
        <v>268.30453283956041</v>
      </c>
      <c r="P1128" s="2">
        <v>72.550928999999996</v>
      </c>
      <c r="Q1128" s="2">
        <v>23.036348</v>
      </c>
    </row>
    <row r="1129" spans="1:17" x14ac:dyDescent="0.25">
      <c r="A1129" s="2">
        <v>1277</v>
      </c>
      <c r="B1129" s="2" t="s">
        <v>129</v>
      </c>
      <c r="C1129" s="2">
        <v>2</v>
      </c>
      <c r="D1129" s="2">
        <f t="shared" si="170"/>
        <v>5.08</v>
      </c>
      <c r="E1129" s="2">
        <f t="shared" si="171"/>
        <v>1.6170142218136567</v>
      </c>
      <c r="F1129" s="2">
        <f t="shared" si="172"/>
        <v>0.63661977236758138</v>
      </c>
      <c r="G1129" s="2">
        <v>7.5978680000000001</v>
      </c>
      <c r="H1129" s="2">
        <f t="shared" si="173"/>
        <v>24.927389249120001</v>
      </c>
      <c r="I1129" s="2">
        <f>INDEX('Wood Density Lookup'!$B$2:$B$152,MATCH(B1129,'Wood Density Lookup'!$A$2:$A$152,0))</f>
        <v>0.4</v>
      </c>
      <c r="J1129" s="2">
        <f t="shared" si="174"/>
        <v>0.50885046173715631</v>
      </c>
      <c r="K1129" s="2">
        <f t="shared" si="178"/>
        <v>0.14247812928640377</v>
      </c>
      <c r="L1129" s="2">
        <f t="shared" si="179"/>
        <v>0.65132859102356011</v>
      </c>
      <c r="M1129" s="2">
        <f t="shared" si="175"/>
        <v>0.47221322849208108</v>
      </c>
      <c r="N1129" s="2">
        <f t="shared" si="176"/>
        <v>0.23610661424604054</v>
      </c>
      <c r="O1129" s="2">
        <f t="shared" si="177"/>
        <v>0.86651127428296881</v>
      </c>
      <c r="P1129" s="2">
        <v>72.550928999999996</v>
      </c>
      <c r="Q1129" s="2">
        <v>23.035793000000002</v>
      </c>
    </row>
    <row r="1130" spans="1:17" x14ac:dyDescent="0.25">
      <c r="A1130" s="2">
        <v>1278</v>
      </c>
      <c r="B1130" s="2" t="s">
        <v>10</v>
      </c>
      <c r="C1130" s="2">
        <v>14</v>
      </c>
      <c r="D1130" s="2">
        <f t="shared" si="170"/>
        <v>35.56</v>
      </c>
      <c r="E1130" s="2">
        <f t="shared" si="171"/>
        <v>11.319099552695597</v>
      </c>
      <c r="F1130" s="2">
        <f t="shared" si="172"/>
        <v>4.45633840657307</v>
      </c>
      <c r="G1130" s="2">
        <v>8.1419669999999993</v>
      </c>
      <c r="H1130" s="2">
        <f t="shared" si="173"/>
        <v>26.712491012279997</v>
      </c>
      <c r="I1130" s="2">
        <f>INDEX('Wood Density Lookup'!$B$2:$B$152,MATCH(B1130,'Wood Density Lookup'!$A$2:$A$152,0))</f>
        <v>0.65</v>
      </c>
      <c r="J1130" s="2">
        <f t="shared" si="174"/>
        <v>39.023940698282665</v>
      </c>
      <c r="K1130" s="2">
        <f t="shared" si="178"/>
        <v>10.926703395519148</v>
      </c>
      <c r="L1130" s="2">
        <f t="shared" si="179"/>
        <v>49.950644093801813</v>
      </c>
      <c r="M1130" s="2">
        <f t="shared" si="175"/>
        <v>36.214216968006312</v>
      </c>
      <c r="N1130" s="2">
        <f t="shared" si="176"/>
        <v>18.107108484003156</v>
      </c>
      <c r="O1130" s="2">
        <f t="shared" si="177"/>
        <v>66.453088136291584</v>
      </c>
      <c r="P1130" s="2">
        <v>72.550933000000001</v>
      </c>
      <c r="Q1130" s="2">
        <v>23.036548</v>
      </c>
    </row>
    <row r="1131" spans="1:17" x14ac:dyDescent="0.25">
      <c r="A1131" s="2">
        <v>1279</v>
      </c>
      <c r="B1131" s="2" t="s">
        <v>2</v>
      </c>
      <c r="C1131" s="2">
        <v>2</v>
      </c>
      <c r="D1131" s="2">
        <f t="shared" si="170"/>
        <v>5.08</v>
      </c>
      <c r="E1131" s="2">
        <f t="shared" si="171"/>
        <v>1.6170142218136567</v>
      </c>
      <c r="F1131" s="2">
        <f t="shared" si="172"/>
        <v>0.63661977236758138</v>
      </c>
      <c r="G1131" s="2">
        <v>6.1400379999999997</v>
      </c>
      <c r="H1131" s="2">
        <f t="shared" si="173"/>
        <v>20.144482271919998</v>
      </c>
      <c r="I1131" s="2">
        <f>INDEX('Wood Density Lookup'!$B$2:$B$152,MATCH(B1131,'Wood Density Lookup'!$A$2:$A$152,0))</f>
        <v>0.45</v>
      </c>
      <c r="J1131" s="2">
        <f t="shared" si="174"/>
        <v>0.46367624428865772</v>
      </c>
      <c r="K1131" s="2">
        <f t="shared" si="178"/>
        <v>0.12982934840082416</v>
      </c>
      <c r="L1131" s="2">
        <f t="shared" si="179"/>
        <v>0.59350559268948189</v>
      </c>
      <c r="M1131" s="2">
        <f t="shared" si="175"/>
        <v>0.43029155469987435</v>
      </c>
      <c r="N1131" s="2">
        <f t="shared" si="176"/>
        <v>0.21514577734993717</v>
      </c>
      <c r="O1131" s="2">
        <f t="shared" si="177"/>
        <v>0.78958500287426936</v>
      </c>
      <c r="P1131" s="2">
        <v>72.550933999999998</v>
      </c>
      <c r="Q1131" s="2">
        <v>23.035713999999999</v>
      </c>
    </row>
    <row r="1132" spans="1:17" x14ac:dyDescent="0.25">
      <c r="A1132" s="2">
        <v>1280</v>
      </c>
      <c r="B1132" s="2" t="s">
        <v>2</v>
      </c>
      <c r="C1132" s="2">
        <v>3</v>
      </c>
      <c r="D1132" s="2">
        <f t="shared" si="170"/>
        <v>7.62</v>
      </c>
      <c r="E1132" s="2">
        <f t="shared" si="171"/>
        <v>2.4255213327204852</v>
      </c>
      <c r="F1132" s="2">
        <f t="shared" si="172"/>
        <v>0.95492965855137202</v>
      </c>
      <c r="G1132" s="2">
        <v>16.311275999999999</v>
      </c>
      <c r="H1132" s="2">
        <f t="shared" si="173"/>
        <v>53.514686751839996</v>
      </c>
      <c r="I1132" s="2">
        <f>INDEX('Wood Density Lookup'!$B$2:$B$152,MATCH(B1132,'Wood Density Lookup'!$A$2:$A$152,0))</f>
        <v>0.45</v>
      </c>
      <c r="J1132" s="2">
        <f t="shared" si="174"/>
        <v>2.6550839422788481</v>
      </c>
      <c r="K1132" s="2">
        <f t="shared" si="178"/>
        <v>0.74342350383807754</v>
      </c>
      <c r="L1132" s="2">
        <f t="shared" si="179"/>
        <v>3.3985074461169256</v>
      </c>
      <c r="M1132" s="2">
        <f t="shared" si="175"/>
        <v>2.4639178984347709</v>
      </c>
      <c r="N1132" s="2">
        <f t="shared" si="176"/>
        <v>1.2319589492173855</v>
      </c>
      <c r="O1132" s="2">
        <f t="shared" si="177"/>
        <v>4.5212893436278048</v>
      </c>
      <c r="P1132" s="2">
        <v>72.550933999999998</v>
      </c>
      <c r="Q1132" s="2">
        <v>23.035748000000002</v>
      </c>
    </row>
    <row r="1133" spans="1:17" x14ac:dyDescent="0.25">
      <c r="A1133" s="2">
        <v>1281</v>
      </c>
      <c r="B1133" s="2" t="s">
        <v>9</v>
      </c>
      <c r="C1133" s="2">
        <v>20</v>
      </c>
      <c r="D1133" s="2">
        <f t="shared" si="170"/>
        <v>50.8</v>
      </c>
      <c r="E1133" s="2">
        <f t="shared" si="171"/>
        <v>16.170142218136565</v>
      </c>
      <c r="F1133" s="2">
        <f t="shared" si="172"/>
        <v>6.366197723675814</v>
      </c>
      <c r="G1133" s="2">
        <v>8.0333089999999991</v>
      </c>
      <c r="H1133" s="2">
        <f t="shared" si="173"/>
        <v>26.356001499559998</v>
      </c>
      <c r="I1133" s="2">
        <f>INDEX('Wood Density Lookup'!$B$2:$B$152,MATCH(B1133,'Wood Density Lookup'!$A$2:$A$152,0))</f>
        <v>0.42</v>
      </c>
      <c r="J1133" s="2">
        <f t="shared" si="174"/>
        <v>50.453673397799498</v>
      </c>
      <c r="K1133" s="2">
        <f t="shared" si="178"/>
        <v>14.12702855138386</v>
      </c>
      <c r="L1133" s="2">
        <f t="shared" si="179"/>
        <v>64.580701949183364</v>
      </c>
      <c r="M1133" s="2">
        <f t="shared" si="175"/>
        <v>46.821008913157939</v>
      </c>
      <c r="N1133" s="2">
        <f t="shared" si="176"/>
        <v>23.41050445657897</v>
      </c>
      <c r="O1133" s="2">
        <f t="shared" si="177"/>
        <v>85.916551355644813</v>
      </c>
      <c r="P1133" s="2">
        <v>72.550933999999998</v>
      </c>
      <c r="Q1133" s="2">
        <v>23.036840999999999</v>
      </c>
    </row>
    <row r="1134" spans="1:17" x14ac:dyDescent="0.25">
      <c r="A1134" s="2">
        <v>1282</v>
      </c>
      <c r="B1134" s="2" t="s">
        <v>9</v>
      </c>
      <c r="C1134" s="2">
        <v>42</v>
      </c>
      <c r="D1134" s="2">
        <f t="shared" si="170"/>
        <v>106.68</v>
      </c>
      <c r="E1134" s="2">
        <f t="shared" si="171"/>
        <v>33.957298658086792</v>
      </c>
      <c r="F1134" s="2">
        <f t="shared" si="172"/>
        <v>13.369015219719209</v>
      </c>
      <c r="G1134" s="2">
        <v>14.249781</v>
      </c>
      <c r="H1134" s="2">
        <f t="shared" si="173"/>
        <v>46.751251496039998</v>
      </c>
      <c r="I1134" s="2">
        <f>INDEX('Wood Density Lookup'!$B$2:$B$152,MATCH(B1134,'Wood Density Lookup'!$A$2:$A$152,0))</f>
        <v>0.42</v>
      </c>
      <c r="J1134" s="2">
        <f t="shared" si="174"/>
        <v>375.66838097240577</v>
      </c>
      <c r="K1134" s="2">
        <f t="shared" si="178"/>
        <v>105.18714667227363</v>
      </c>
      <c r="L1134" s="2">
        <f t="shared" si="179"/>
        <v>480.8555276446794</v>
      </c>
      <c r="M1134" s="2">
        <f t="shared" si="175"/>
        <v>348.62025754239255</v>
      </c>
      <c r="N1134" s="2">
        <f t="shared" si="176"/>
        <v>174.31012877119628</v>
      </c>
      <c r="O1134" s="2">
        <f t="shared" si="177"/>
        <v>639.71817259029035</v>
      </c>
      <c r="P1134" s="2">
        <v>72.550938000000002</v>
      </c>
      <c r="Q1134" s="2">
        <v>23.035542</v>
      </c>
    </row>
    <row r="1135" spans="1:17" x14ac:dyDescent="0.25">
      <c r="A1135" s="2">
        <v>1283</v>
      </c>
      <c r="B1135" s="2" t="s">
        <v>2</v>
      </c>
      <c r="C1135" s="2">
        <v>2</v>
      </c>
      <c r="D1135" s="2">
        <f t="shared" si="170"/>
        <v>5.08</v>
      </c>
      <c r="E1135" s="2">
        <f t="shared" si="171"/>
        <v>1.6170142218136567</v>
      </c>
      <c r="F1135" s="2">
        <f t="shared" si="172"/>
        <v>0.63661977236758138</v>
      </c>
      <c r="G1135" s="2">
        <v>11.657126999999999</v>
      </c>
      <c r="H1135" s="2">
        <f t="shared" si="173"/>
        <v>38.245168546679999</v>
      </c>
      <c r="I1135" s="2">
        <f>INDEX('Wood Density Lookup'!$B$2:$B$152,MATCH(B1135,'Wood Density Lookup'!$A$2:$A$152,0))</f>
        <v>0.45</v>
      </c>
      <c r="J1135" s="2">
        <f t="shared" si="174"/>
        <v>0.8668685037292222</v>
      </c>
      <c r="K1135" s="2">
        <f t="shared" si="178"/>
        <v>0.24272318104418225</v>
      </c>
      <c r="L1135" s="2">
        <f t="shared" si="179"/>
        <v>1.1095916847734044</v>
      </c>
      <c r="M1135" s="2">
        <f t="shared" si="175"/>
        <v>0.80445397146071818</v>
      </c>
      <c r="N1135" s="2">
        <f t="shared" si="176"/>
        <v>0.40222698573035909</v>
      </c>
      <c r="O1135" s="2">
        <f t="shared" si="177"/>
        <v>1.4761730376304179</v>
      </c>
      <c r="P1135" s="2">
        <v>72.550938000000002</v>
      </c>
      <c r="Q1135" s="2">
        <v>23.035762999999999</v>
      </c>
    </row>
    <row r="1136" spans="1:17" x14ac:dyDescent="0.25">
      <c r="A1136" s="2">
        <v>1284</v>
      </c>
      <c r="B1136" s="2" t="s">
        <v>9</v>
      </c>
      <c r="C1136" s="2">
        <v>44</v>
      </c>
      <c r="D1136" s="2">
        <f t="shared" si="170"/>
        <v>111.76</v>
      </c>
      <c r="E1136" s="2">
        <f t="shared" si="171"/>
        <v>35.574312879900447</v>
      </c>
      <c r="F1136" s="2">
        <f t="shared" si="172"/>
        <v>14.00563499208679</v>
      </c>
      <c r="G1136" s="2">
        <v>11.065497000000001</v>
      </c>
      <c r="H1136" s="2">
        <f t="shared" si="173"/>
        <v>36.304125177480003</v>
      </c>
      <c r="I1136" s="2">
        <f>INDEX('Wood Density Lookup'!$B$2:$B$152,MATCH(B1136,'Wood Density Lookup'!$A$2:$A$152,0))</f>
        <v>0.42</v>
      </c>
      <c r="J1136" s="2">
        <f t="shared" si="174"/>
        <v>321.39601088862946</v>
      </c>
      <c r="K1136" s="2">
        <f t="shared" si="178"/>
        <v>89.990883048816258</v>
      </c>
      <c r="L1136" s="2">
        <f t="shared" si="179"/>
        <v>411.38689393744573</v>
      </c>
      <c r="M1136" s="2">
        <f t="shared" si="175"/>
        <v>298.25549810464815</v>
      </c>
      <c r="N1136" s="2">
        <f t="shared" si="176"/>
        <v>149.12774905232408</v>
      </c>
      <c r="O1136" s="2">
        <f t="shared" si="177"/>
        <v>547.29883902202937</v>
      </c>
      <c r="P1136" s="2">
        <v>72.550939</v>
      </c>
      <c r="Q1136" s="2">
        <v>23.038602000000001</v>
      </c>
    </row>
    <row r="1137" spans="1:17" x14ac:dyDescent="0.25">
      <c r="A1137" s="2">
        <v>1285</v>
      </c>
      <c r="B1137" s="2" t="s">
        <v>9</v>
      </c>
      <c r="C1137" s="2">
        <v>25</v>
      </c>
      <c r="D1137" s="2">
        <f t="shared" si="170"/>
        <v>63.5</v>
      </c>
      <c r="E1137" s="2">
        <f t="shared" si="171"/>
        <v>20.212677772670709</v>
      </c>
      <c r="F1137" s="2">
        <f t="shared" si="172"/>
        <v>7.9577471545947667</v>
      </c>
      <c r="G1137" s="2">
        <v>9.4270639999999997</v>
      </c>
      <c r="H1137" s="2">
        <f t="shared" si="173"/>
        <v>30.928688653759998</v>
      </c>
      <c r="I1137" s="2">
        <f>INDEX('Wood Density Lookup'!$B$2:$B$152,MATCH(B1137,'Wood Density Lookup'!$A$2:$A$152,0))</f>
        <v>0.42</v>
      </c>
      <c r="J1137" s="2">
        <f t="shared" si="174"/>
        <v>91.174953919961155</v>
      </c>
      <c r="K1137" s="2">
        <f t="shared" si="178"/>
        <v>25.528987097589127</v>
      </c>
      <c r="L1137" s="2">
        <f t="shared" si="179"/>
        <v>116.70394101755028</v>
      </c>
      <c r="M1137" s="2">
        <f t="shared" si="175"/>
        <v>84.610357237723946</v>
      </c>
      <c r="N1137" s="2">
        <f t="shared" si="176"/>
        <v>42.305178618861973</v>
      </c>
      <c r="O1137" s="2">
        <f t="shared" si="177"/>
        <v>155.26000553122344</v>
      </c>
      <c r="P1137" s="2">
        <v>72.550939999999997</v>
      </c>
      <c r="Q1137" s="2">
        <v>23.037053</v>
      </c>
    </row>
    <row r="1138" spans="1:17" x14ac:dyDescent="0.25">
      <c r="A1138" s="2">
        <v>1286</v>
      </c>
      <c r="B1138" s="2" t="s">
        <v>72</v>
      </c>
      <c r="C1138" s="2">
        <v>20</v>
      </c>
      <c r="D1138" s="2">
        <f t="shared" si="170"/>
        <v>50.8</v>
      </c>
      <c r="E1138" s="2">
        <f t="shared" si="171"/>
        <v>16.170142218136565</v>
      </c>
      <c r="F1138" s="2">
        <f t="shared" si="172"/>
        <v>6.366197723675814</v>
      </c>
      <c r="G1138" s="2">
        <v>11.203412</v>
      </c>
      <c r="H1138" s="2">
        <f t="shared" si="173"/>
        <v>36.756602226079998</v>
      </c>
      <c r="I1138" s="2">
        <f>INDEX('Wood Density Lookup'!$B$2:$B$152,MATCH(B1138,'Wood Density Lookup'!$A$2:$A$152,0))</f>
        <v>0.65</v>
      </c>
      <c r="J1138" s="2">
        <f t="shared" si="174"/>
        <v>106.90396545119671</v>
      </c>
      <c r="K1138" s="2">
        <f t="shared" si="178"/>
        <v>29.933110326335083</v>
      </c>
      <c r="L1138" s="2">
        <f t="shared" si="179"/>
        <v>136.83707577753179</v>
      </c>
      <c r="M1138" s="2">
        <f t="shared" si="175"/>
        <v>99.206879938710543</v>
      </c>
      <c r="N1138" s="2">
        <f t="shared" si="176"/>
        <v>49.603439969355271</v>
      </c>
      <c r="O1138" s="2">
        <f t="shared" si="177"/>
        <v>182.04462468753385</v>
      </c>
      <c r="P1138" s="2">
        <v>72.550942000000006</v>
      </c>
      <c r="Q1138" s="2">
        <v>23.035696999999999</v>
      </c>
    </row>
    <row r="1139" spans="1:17" x14ac:dyDescent="0.25">
      <c r="A1139" s="2">
        <v>1287</v>
      </c>
      <c r="B1139" s="2" t="s">
        <v>15</v>
      </c>
      <c r="C1139" s="2">
        <v>2</v>
      </c>
      <c r="D1139" s="2">
        <f t="shared" si="170"/>
        <v>5.08</v>
      </c>
      <c r="E1139" s="2">
        <f t="shared" si="171"/>
        <v>1.6170142218136567</v>
      </c>
      <c r="F1139" s="2">
        <f t="shared" si="172"/>
        <v>0.63661977236758138</v>
      </c>
      <c r="G1139" s="2">
        <v>2.4270909999999999</v>
      </c>
      <c r="H1139" s="2">
        <f t="shared" si="173"/>
        <v>7.9628972364399999</v>
      </c>
      <c r="I1139" s="2">
        <f>INDEX('Wood Density Lookup'!$B$2:$B$152,MATCH(B1139,'Wood Density Lookup'!$A$2:$A$152,0))</f>
        <v>0.75</v>
      </c>
      <c r="J1139" s="2">
        <f t="shared" si="174"/>
        <v>0.30855192949471721</v>
      </c>
      <c r="K1139" s="2">
        <f t="shared" si="178"/>
        <v>8.6394540258520822E-2</v>
      </c>
      <c r="L1139" s="2">
        <f t="shared" si="179"/>
        <v>0.39494646975323805</v>
      </c>
      <c r="M1139" s="2">
        <f t="shared" si="175"/>
        <v>0.2863361905710976</v>
      </c>
      <c r="N1139" s="2">
        <f t="shared" si="176"/>
        <v>0.1431680952855488</v>
      </c>
      <c r="O1139" s="2">
        <f t="shared" si="177"/>
        <v>0.52542690969796413</v>
      </c>
      <c r="P1139" s="2">
        <v>72.550944000000001</v>
      </c>
      <c r="Q1139" s="2">
        <v>23.035260000000001</v>
      </c>
    </row>
    <row r="1140" spans="1:17" x14ac:dyDescent="0.25">
      <c r="A1140" s="2">
        <v>1288</v>
      </c>
      <c r="B1140" s="2" t="s">
        <v>9</v>
      </c>
      <c r="C1140" s="2">
        <v>15</v>
      </c>
      <c r="D1140" s="2">
        <f t="shared" si="170"/>
        <v>38.1</v>
      </c>
      <c r="E1140" s="2">
        <f t="shared" si="171"/>
        <v>12.127606663602425</v>
      </c>
      <c r="F1140" s="2">
        <f t="shared" si="172"/>
        <v>4.7746482927568605</v>
      </c>
      <c r="G1140" s="2">
        <v>5.9517139999999999</v>
      </c>
      <c r="H1140" s="2">
        <f t="shared" si="173"/>
        <v>19.52662135976</v>
      </c>
      <c r="I1140" s="2">
        <f>INDEX('Wood Density Lookup'!$B$2:$B$152,MATCH(B1140,'Wood Density Lookup'!$A$2:$A$152,0))</f>
        <v>0.42</v>
      </c>
      <c r="J1140" s="2">
        <f t="shared" si="174"/>
        <v>21.47266838562637</v>
      </c>
      <c r="K1140" s="2">
        <f t="shared" si="178"/>
        <v>6.0123471479753841</v>
      </c>
      <c r="L1140" s="2">
        <f t="shared" si="179"/>
        <v>27.485015533601754</v>
      </c>
      <c r="M1140" s="2">
        <f t="shared" si="175"/>
        <v>19.926636261861272</v>
      </c>
      <c r="N1140" s="2">
        <f t="shared" si="176"/>
        <v>9.9633181309306362</v>
      </c>
      <c r="O1140" s="2">
        <f t="shared" si="177"/>
        <v>36.565377540515435</v>
      </c>
      <c r="P1140" s="2">
        <v>72.550944000000001</v>
      </c>
      <c r="Q1140" s="2">
        <v>23.037026000000001</v>
      </c>
    </row>
    <row r="1141" spans="1:17" x14ac:dyDescent="0.25">
      <c r="A1141" s="2">
        <v>1289</v>
      </c>
      <c r="B1141" s="2" t="s">
        <v>31</v>
      </c>
      <c r="C1141" s="2">
        <v>3</v>
      </c>
      <c r="D1141" s="2">
        <f t="shared" si="170"/>
        <v>7.62</v>
      </c>
      <c r="E1141" s="2">
        <f t="shared" si="171"/>
        <v>2.4255213327204852</v>
      </c>
      <c r="F1141" s="2">
        <f t="shared" si="172"/>
        <v>0.95492965855137202</v>
      </c>
      <c r="G1141" s="2">
        <v>15.862443000000001</v>
      </c>
      <c r="H1141" s="2">
        <f t="shared" si="173"/>
        <v>52.042137492120006</v>
      </c>
      <c r="I1141" s="2">
        <f>INDEX('Wood Density Lookup'!$B$2:$B$152,MATCH(B1141,'Wood Density Lookup'!$A$2:$A$152,0))</f>
        <v>0.78</v>
      </c>
      <c r="J1141" s="2">
        <f t="shared" si="174"/>
        <v>4.4197748035497719</v>
      </c>
      <c r="K1141" s="2">
        <f t="shared" si="178"/>
        <v>1.2375369449939362</v>
      </c>
      <c r="L1141" s="2">
        <f t="shared" si="179"/>
        <v>5.6573117485437079</v>
      </c>
      <c r="M1141" s="2">
        <f t="shared" si="175"/>
        <v>4.1015510176941881</v>
      </c>
      <c r="N1141" s="2">
        <f t="shared" si="176"/>
        <v>2.050775508847094</v>
      </c>
      <c r="O1141" s="2">
        <f t="shared" si="177"/>
        <v>7.5263461174688349</v>
      </c>
      <c r="P1141" s="2">
        <v>72.550944999999999</v>
      </c>
      <c r="Q1141" s="2">
        <v>23.035705</v>
      </c>
    </row>
    <row r="1142" spans="1:17" x14ac:dyDescent="0.25">
      <c r="A1142" s="2">
        <v>1290</v>
      </c>
      <c r="B1142" s="2" t="s">
        <v>128</v>
      </c>
      <c r="C1142" s="2">
        <v>16</v>
      </c>
      <c r="D1142" s="2">
        <f t="shared" si="170"/>
        <v>40.64</v>
      </c>
      <c r="E1142" s="2">
        <f t="shared" si="171"/>
        <v>12.936113774509254</v>
      </c>
      <c r="F1142" s="2">
        <f t="shared" si="172"/>
        <v>5.0929581789406511</v>
      </c>
      <c r="G1142" s="2">
        <v>7.7242519999999999</v>
      </c>
      <c r="H1142" s="2">
        <f t="shared" si="173"/>
        <v>25.342034931680001</v>
      </c>
      <c r="I1142" s="2">
        <f>INDEX('Wood Density Lookup'!$B$2:$B$152,MATCH(B1142,'Wood Density Lookup'!$A$2:$A$152,0))</f>
        <v>0.75</v>
      </c>
      <c r="J1142" s="2">
        <f t="shared" si="174"/>
        <v>55.317660723236976</v>
      </c>
      <c r="K1142" s="2">
        <f t="shared" si="178"/>
        <v>15.488945002506355</v>
      </c>
      <c r="L1142" s="2">
        <f t="shared" si="179"/>
        <v>70.806605725743339</v>
      </c>
      <c r="M1142" s="2">
        <f t="shared" si="175"/>
        <v>51.334789151163918</v>
      </c>
      <c r="N1142" s="2">
        <f t="shared" si="176"/>
        <v>25.667394575581959</v>
      </c>
      <c r="O1142" s="2">
        <f t="shared" si="177"/>
        <v>94.199338092385787</v>
      </c>
      <c r="P1142" s="2">
        <v>72.550945999999996</v>
      </c>
      <c r="Q1142" s="2">
        <v>23.036764000000002</v>
      </c>
    </row>
    <row r="1143" spans="1:17" x14ac:dyDescent="0.25">
      <c r="A1143" s="2">
        <v>1291</v>
      </c>
      <c r="B1143" s="2" t="s">
        <v>82</v>
      </c>
      <c r="C1143" s="2">
        <v>11</v>
      </c>
      <c r="D1143" s="2">
        <f t="shared" si="170"/>
        <v>27.94</v>
      </c>
      <c r="E1143" s="2">
        <f t="shared" si="171"/>
        <v>8.8935782199751117</v>
      </c>
      <c r="F1143" s="2">
        <f t="shared" si="172"/>
        <v>3.5014087480216975</v>
      </c>
      <c r="G1143" s="2">
        <v>7.616422</v>
      </c>
      <c r="H1143" s="2">
        <f t="shared" si="173"/>
        <v>24.988261954479999</v>
      </c>
      <c r="I1143" s="2">
        <f>INDEX('Wood Density Lookup'!$B$2:$B$152,MATCH(B1143,'Wood Density Lookup'!$A$2:$A$152,0))</f>
        <v>0.7</v>
      </c>
      <c r="J1143" s="2">
        <f t="shared" si="174"/>
        <v>24.548056314068983</v>
      </c>
      <c r="K1143" s="2">
        <f t="shared" si="178"/>
        <v>6.8734557679393156</v>
      </c>
      <c r="L1143" s="2">
        <f t="shared" si="179"/>
        <v>31.421512082008299</v>
      </c>
      <c r="M1143" s="2">
        <f t="shared" si="175"/>
        <v>22.780596259456015</v>
      </c>
      <c r="N1143" s="2">
        <f t="shared" si="176"/>
        <v>11.390298129728007</v>
      </c>
      <c r="O1143" s="2">
        <f t="shared" si="177"/>
        <v>41.802394136101789</v>
      </c>
      <c r="P1143" s="2">
        <v>72.550945999999996</v>
      </c>
      <c r="Q1143" s="2">
        <v>23.035682000000001</v>
      </c>
    </row>
    <row r="1144" spans="1:17" x14ac:dyDescent="0.25">
      <c r="A1144" s="2">
        <v>1292</v>
      </c>
      <c r="B1144" s="2" t="s">
        <v>61</v>
      </c>
      <c r="C1144" s="2">
        <v>2</v>
      </c>
      <c r="D1144" s="2">
        <f t="shared" si="170"/>
        <v>5.08</v>
      </c>
      <c r="E1144" s="2">
        <f t="shared" si="171"/>
        <v>1.6170142218136567</v>
      </c>
      <c r="F1144" s="2">
        <f t="shared" si="172"/>
        <v>0.63661977236758138</v>
      </c>
      <c r="G1144" s="2">
        <v>11.678936999999999</v>
      </c>
      <c r="H1144" s="2">
        <f t="shared" si="173"/>
        <v>38.316723667079998</v>
      </c>
      <c r="I1144" s="2">
        <f>INDEX('Wood Density Lookup'!$B$2:$B$152,MATCH(B1144,'Wood Density Lookup'!$A$2:$A$152,0))</f>
        <v>0.5</v>
      </c>
      <c r="J1144" s="2">
        <f t="shared" si="174"/>
        <v>0.96250908949005987</v>
      </c>
      <c r="K1144" s="2">
        <f t="shared" si="178"/>
        <v>0.26950254505721677</v>
      </c>
      <c r="L1144" s="2">
        <f t="shared" si="179"/>
        <v>1.2320116345472767</v>
      </c>
      <c r="M1144" s="2">
        <f t="shared" si="175"/>
        <v>0.89320843504677561</v>
      </c>
      <c r="N1144" s="2">
        <f t="shared" si="176"/>
        <v>0.4466042175233878</v>
      </c>
      <c r="O1144" s="2">
        <f t="shared" si="177"/>
        <v>1.6390374783108332</v>
      </c>
      <c r="P1144" s="2">
        <v>72.550946999999994</v>
      </c>
      <c r="Q1144" s="2">
        <v>23.035202000000002</v>
      </c>
    </row>
    <row r="1145" spans="1:17" x14ac:dyDescent="0.25">
      <c r="A1145" s="2">
        <v>1293</v>
      </c>
      <c r="B1145" s="2" t="s">
        <v>61</v>
      </c>
      <c r="C1145" s="2">
        <v>1</v>
      </c>
      <c r="D1145" s="2">
        <f t="shared" si="170"/>
        <v>2.54</v>
      </c>
      <c r="E1145" s="2">
        <f t="shared" si="171"/>
        <v>0.80850711090682836</v>
      </c>
      <c r="F1145" s="2">
        <f t="shared" si="172"/>
        <v>0.31830988618379069</v>
      </c>
      <c r="G1145" s="2">
        <v>10.048178</v>
      </c>
      <c r="H1145" s="2">
        <f t="shared" si="173"/>
        <v>32.966464309519999</v>
      </c>
      <c r="I1145" s="2">
        <f>INDEX('Wood Density Lookup'!$B$2:$B$152,MATCH(B1145,'Wood Density Lookup'!$A$2:$A$152,0))</f>
        <v>0.5</v>
      </c>
      <c r="J1145" s="2">
        <f t="shared" si="174"/>
        <v>0.21480573685428064</v>
      </c>
      <c r="K1145" s="2">
        <f t="shared" si="178"/>
        <v>6.0145606319198588E-2</v>
      </c>
      <c r="L1145" s="2">
        <f t="shared" si="179"/>
        <v>0.27495134317347925</v>
      </c>
      <c r="M1145" s="2">
        <f t="shared" si="175"/>
        <v>0.19933972380077244</v>
      </c>
      <c r="N1145" s="2">
        <f t="shared" si="176"/>
        <v>9.9669861900386222E-2</v>
      </c>
      <c r="O1145" s="2">
        <f t="shared" si="177"/>
        <v>0.36578839317441741</v>
      </c>
      <c r="P1145" s="2">
        <v>72.550946999999994</v>
      </c>
      <c r="Q1145" s="2">
        <v>23.035209999999999</v>
      </c>
    </row>
    <row r="1146" spans="1:17" x14ac:dyDescent="0.25">
      <c r="A1146" s="2">
        <v>1294</v>
      </c>
      <c r="B1146" s="2" t="s">
        <v>82</v>
      </c>
      <c r="C1146" s="2">
        <v>16</v>
      </c>
      <c r="D1146" s="2">
        <f t="shared" si="170"/>
        <v>40.64</v>
      </c>
      <c r="E1146" s="2">
        <f t="shared" si="171"/>
        <v>12.936113774509254</v>
      </c>
      <c r="F1146" s="2">
        <f t="shared" si="172"/>
        <v>5.0929581789406511</v>
      </c>
      <c r="G1146" s="2">
        <v>4.140574</v>
      </c>
      <c r="H1146" s="2">
        <f t="shared" si="173"/>
        <v>13.58456080216</v>
      </c>
      <c r="I1146" s="2">
        <f>INDEX('Wood Density Lookup'!$B$2:$B$152,MATCH(B1146,'Wood Density Lookup'!$A$2:$A$152,0))</f>
        <v>0.7</v>
      </c>
      <c r="J1146" s="2">
        <f t="shared" si="174"/>
        <v>28.139923877447782</v>
      </c>
      <c r="K1146" s="2">
        <f t="shared" si="178"/>
        <v>7.8791786856853792</v>
      </c>
      <c r="L1146" s="2">
        <f t="shared" si="179"/>
        <v>36.01910256313316</v>
      </c>
      <c r="M1146" s="2">
        <f t="shared" si="175"/>
        <v>26.113849358271541</v>
      </c>
      <c r="N1146" s="2">
        <f t="shared" si="176"/>
        <v>13.05692467913577</v>
      </c>
      <c r="O1146" s="2">
        <f t="shared" si="177"/>
        <v>47.918913572428274</v>
      </c>
      <c r="P1146" s="2">
        <v>72.550949000000003</v>
      </c>
      <c r="Q1146" s="2">
        <v>23.03538</v>
      </c>
    </row>
    <row r="1147" spans="1:17" x14ac:dyDescent="0.25">
      <c r="A1147" s="2">
        <v>1295</v>
      </c>
      <c r="B1147" s="2" t="s">
        <v>124</v>
      </c>
      <c r="C1147" s="2">
        <v>3</v>
      </c>
      <c r="D1147" s="2">
        <f t="shared" si="170"/>
        <v>7.62</v>
      </c>
      <c r="E1147" s="2">
        <f t="shared" si="171"/>
        <v>2.4255213327204852</v>
      </c>
      <c r="F1147" s="2">
        <f t="shared" si="172"/>
        <v>0.95492965855137202</v>
      </c>
      <c r="G1147" s="2">
        <v>10.533094</v>
      </c>
      <c r="H1147" s="2">
        <f t="shared" si="173"/>
        <v>34.55739611896</v>
      </c>
      <c r="I1147" s="2">
        <f>INDEX('Wood Density Lookup'!$B$2:$B$152,MATCH(B1147,'Wood Density Lookup'!$A$2:$A$152,0))</f>
        <v>0.55000000000000004</v>
      </c>
      <c r="J1147" s="2">
        <f t="shared" si="174"/>
        <v>2.1074788197626741</v>
      </c>
      <c r="K1147" s="2">
        <f t="shared" si="178"/>
        <v>0.59009406953354882</v>
      </c>
      <c r="L1147" s="2">
        <f t="shared" si="179"/>
        <v>2.697572889296223</v>
      </c>
      <c r="M1147" s="2">
        <f t="shared" si="175"/>
        <v>1.9557403447397617</v>
      </c>
      <c r="N1147" s="2">
        <f t="shared" si="176"/>
        <v>0.97787017236988083</v>
      </c>
      <c r="O1147" s="2">
        <f t="shared" si="177"/>
        <v>3.5887835325974624</v>
      </c>
      <c r="P1147" s="2">
        <v>72.55095</v>
      </c>
      <c r="Q1147" s="2">
        <v>23.035163000000001</v>
      </c>
    </row>
    <row r="1148" spans="1:17" x14ac:dyDescent="0.25">
      <c r="A1148" s="2">
        <v>1296</v>
      </c>
      <c r="B1148" s="2" t="s">
        <v>82</v>
      </c>
      <c r="C1148" s="2">
        <v>4</v>
      </c>
      <c r="D1148" s="2">
        <f t="shared" si="170"/>
        <v>10.16</v>
      </c>
      <c r="E1148" s="2">
        <f t="shared" si="171"/>
        <v>3.2340284436273135</v>
      </c>
      <c r="F1148" s="2">
        <f t="shared" si="172"/>
        <v>1.2732395447351628</v>
      </c>
      <c r="G1148" s="2">
        <v>4.2713710000000003</v>
      </c>
      <c r="H1148" s="2">
        <f t="shared" si="173"/>
        <v>14.013684831640001</v>
      </c>
      <c r="I1148" s="2">
        <f>INDEX('Wood Density Lookup'!$B$2:$B$152,MATCH(B1148,'Wood Density Lookup'!$A$2:$A$152,0))</f>
        <v>0.7</v>
      </c>
      <c r="J1148" s="2">
        <f t="shared" si="174"/>
        <v>1.9376904434368405</v>
      </c>
      <c r="K1148" s="2">
        <f t="shared" si="178"/>
        <v>0.54255332416231539</v>
      </c>
      <c r="L1148" s="2">
        <f t="shared" si="179"/>
        <v>2.480243767599156</v>
      </c>
      <c r="M1148" s="2">
        <f t="shared" si="175"/>
        <v>1.7981767315093879</v>
      </c>
      <c r="N1148" s="2">
        <f t="shared" si="176"/>
        <v>0.89908836575469397</v>
      </c>
      <c r="O1148" s="2">
        <f t="shared" si="177"/>
        <v>3.2996543023197269</v>
      </c>
      <c r="P1148" s="2">
        <v>72.550951999999995</v>
      </c>
      <c r="Q1148" s="2">
        <v>23.038737000000001</v>
      </c>
    </row>
    <row r="1149" spans="1:17" x14ac:dyDescent="0.25">
      <c r="A1149" s="2">
        <v>1297</v>
      </c>
      <c r="B1149" s="2" t="s">
        <v>9</v>
      </c>
      <c r="C1149" s="2">
        <v>24</v>
      </c>
      <c r="D1149" s="2">
        <f t="shared" si="170"/>
        <v>60.96</v>
      </c>
      <c r="E1149" s="2">
        <f t="shared" si="171"/>
        <v>19.404170661763882</v>
      </c>
      <c r="F1149" s="2">
        <f t="shared" si="172"/>
        <v>7.6394372684109761</v>
      </c>
      <c r="G1149" s="2">
        <v>6.1377959999999998</v>
      </c>
      <c r="H1149" s="2">
        <f t="shared" si="173"/>
        <v>20.137126628640001</v>
      </c>
      <c r="I1149" s="2">
        <f>INDEX('Wood Density Lookup'!$B$2:$B$152,MATCH(B1149,'Wood Density Lookup'!$A$2:$A$152,0))</f>
        <v>0.42</v>
      </c>
      <c r="J1149" s="2">
        <f t="shared" si="174"/>
        <v>55.383159766166052</v>
      </c>
      <c r="K1149" s="2">
        <f t="shared" si="178"/>
        <v>15.507284734526497</v>
      </c>
      <c r="L1149" s="2">
        <f t="shared" si="179"/>
        <v>70.890444500692553</v>
      </c>
      <c r="M1149" s="2">
        <f t="shared" si="175"/>
        <v>51.395572263002101</v>
      </c>
      <c r="N1149" s="2">
        <f t="shared" si="176"/>
        <v>25.697786131501051</v>
      </c>
      <c r="O1149" s="2">
        <f t="shared" si="177"/>
        <v>94.310875102608861</v>
      </c>
      <c r="P1149" s="2">
        <v>72.550951999999995</v>
      </c>
      <c r="Q1149" s="2">
        <v>23.036199</v>
      </c>
    </row>
    <row r="1150" spans="1:17" x14ac:dyDescent="0.25">
      <c r="A1150" s="2">
        <v>1298</v>
      </c>
      <c r="B1150" s="2" t="s">
        <v>9</v>
      </c>
      <c r="C1150" s="2">
        <v>15</v>
      </c>
      <c r="D1150" s="2">
        <f t="shared" si="170"/>
        <v>38.1</v>
      </c>
      <c r="E1150" s="2">
        <f t="shared" si="171"/>
        <v>12.127606663602425</v>
      </c>
      <c r="F1150" s="2">
        <f t="shared" si="172"/>
        <v>4.7746482927568605</v>
      </c>
      <c r="G1150" s="2">
        <v>9.0902659999999997</v>
      </c>
      <c r="H1150" s="2">
        <f t="shared" si="173"/>
        <v>29.82370830344</v>
      </c>
      <c r="I1150" s="2">
        <f>INDEX('Wood Density Lookup'!$B$2:$B$152,MATCH(B1150,'Wood Density Lookup'!$A$2:$A$152,0))</f>
        <v>0.42</v>
      </c>
      <c r="J1150" s="2">
        <f t="shared" si="174"/>
        <v>32.464306222708743</v>
      </c>
      <c r="K1150" s="2">
        <f t="shared" si="178"/>
        <v>9.0900057423584482</v>
      </c>
      <c r="L1150" s="2">
        <f t="shared" si="179"/>
        <v>41.554311965067193</v>
      </c>
      <c r="M1150" s="2">
        <f t="shared" si="175"/>
        <v>30.126876174673715</v>
      </c>
      <c r="N1150" s="2">
        <f t="shared" si="176"/>
        <v>15.063438087336857</v>
      </c>
      <c r="O1150" s="2">
        <f t="shared" si="177"/>
        <v>55.282817780526265</v>
      </c>
      <c r="P1150" s="2">
        <v>72.550951999999995</v>
      </c>
      <c r="Q1150" s="2">
        <v>23.036939</v>
      </c>
    </row>
    <row r="1151" spans="1:17" x14ac:dyDescent="0.25">
      <c r="A1151" s="2">
        <v>1299</v>
      </c>
      <c r="B1151" s="2" t="s">
        <v>9</v>
      </c>
      <c r="C1151" s="2">
        <v>22</v>
      </c>
      <c r="D1151" s="2">
        <f t="shared" si="170"/>
        <v>55.88</v>
      </c>
      <c r="E1151" s="2">
        <f t="shared" si="171"/>
        <v>17.787156439950223</v>
      </c>
      <c r="F1151" s="2">
        <f t="shared" si="172"/>
        <v>7.0028174960433951</v>
      </c>
      <c r="G1151" s="2">
        <v>8.0187830000000009</v>
      </c>
      <c r="H1151" s="2">
        <f t="shared" si="173"/>
        <v>26.308344017720003</v>
      </c>
      <c r="I1151" s="2">
        <f>INDEX('Wood Density Lookup'!$B$2:$B$152,MATCH(B1151,'Wood Density Lookup'!$A$2:$A$152,0))</f>
        <v>0.42</v>
      </c>
      <c r="J1151" s="2">
        <f t="shared" si="174"/>
        <v>60.663039387914679</v>
      </c>
      <c r="K1151" s="2">
        <f t="shared" si="178"/>
        <v>16.985651028616111</v>
      </c>
      <c r="L1151" s="2">
        <f t="shared" si="179"/>
        <v>77.648690416530798</v>
      </c>
      <c r="M1151" s="2">
        <f t="shared" si="175"/>
        <v>56.295300551984823</v>
      </c>
      <c r="N1151" s="2">
        <f t="shared" si="176"/>
        <v>28.147650275992412</v>
      </c>
      <c r="O1151" s="2">
        <f t="shared" si="177"/>
        <v>103.30187651289215</v>
      </c>
      <c r="P1151" s="2">
        <v>72.550954000000004</v>
      </c>
      <c r="Q1151" s="2">
        <v>23.036840999999999</v>
      </c>
    </row>
    <row r="1152" spans="1:17" x14ac:dyDescent="0.25">
      <c r="A1152" s="2">
        <v>1300</v>
      </c>
      <c r="B1152" s="2" t="s">
        <v>82</v>
      </c>
      <c r="C1152" s="2">
        <v>54</v>
      </c>
      <c r="D1152" s="2">
        <f t="shared" si="170"/>
        <v>137.16</v>
      </c>
      <c r="E1152" s="2">
        <f t="shared" si="171"/>
        <v>43.659383988968727</v>
      </c>
      <c r="F1152" s="2">
        <f t="shared" si="172"/>
        <v>17.188733853924695</v>
      </c>
      <c r="G1152" s="2">
        <v>4.4533880000000003</v>
      </c>
      <c r="H1152" s="2">
        <f t="shared" si="173"/>
        <v>14.610853485920002</v>
      </c>
      <c r="I1152" s="2">
        <f>INDEX('Wood Density Lookup'!$B$2:$B$152,MATCH(B1152,'Wood Density Lookup'!$A$2:$A$152,0))</f>
        <v>0.7</v>
      </c>
      <c r="J1152" s="2">
        <f t="shared" si="174"/>
        <v>324.62666902701375</v>
      </c>
      <c r="K1152" s="2">
        <f t="shared" si="178"/>
        <v>90.895467327563864</v>
      </c>
      <c r="L1152" s="2">
        <f t="shared" si="179"/>
        <v>415.52213635457758</v>
      </c>
      <c r="M1152" s="2">
        <f t="shared" si="175"/>
        <v>301.25354885706872</v>
      </c>
      <c r="N1152" s="2">
        <f t="shared" si="176"/>
        <v>150.62677442853436</v>
      </c>
      <c r="O1152" s="2">
        <f t="shared" si="177"/>
        <v>552.80026215272107</v>
      </c>
      <c r="P1152" s="2">
        <v>72.550955999999999</v>
      </c>
      <c r="Q1152" s="2">
        <v>23.038762999999999</v>
      </c>
    </row>
    <row r="1153" spans="1:17" x14ac:dyDescent="0.25">
      <c r="A1153" s="2">
        <v>1301</v>
      </c>
      <c r="B1153" s="2" t="s">
        <v>82</v>
      </c>
      <c r="C1153" s="2">
        <v>4</v>
      </c>
      <c r="D1153" s="2">
        <f t="shared" ref="D1153:D1216" si="180">C1153*2.54</f>
        <v>10.16</v>
      </c>
      <c r="E1153" s="2">
        <f t="shared" ref="E1153:E1216" si="181">D1153/PI()</f>
        <v>3.2340284436273135</v>
      </c>
      <c r="F1153" s="2">
        <f t="shared" ref="F1153:F1216" si="182">C1153/PI()</f>
        <v>1.2732395447351628</v>
      </c>
      <c r="G1153" s="2">
        <v>8.3670170000000006</v>
      </c>
      <c r="H1153" s="2">
        <f t="shared" ref="H1153:H1216" si="183">G1153*3.28084</f>
        <v>27.450844054280001</v>
      </c>
      <c r="I1153" s="2">
        <f>INDEX('Wood Density Lookup'!$B$2:$B$152,MATCH(B1153,'Wood Density Lookup'!$A$2:$A$152,0))</f>
        <v>0.7</v>
      </c>
      <c r="J1153" s="2">
        <f t="shared" ref="J1153:J1216" si="184">0.0673*POWER(I1153*E1153^2*G1153,0.976)</f>
        <v>3.7349059781739191</v>
      </c>
      <c r="K1153" s="2">
        <f t="shared" si="178"/>
        <v>1.0457736738886974</v>
      </c>
      <c r="L1153" s="2">
        <f t="shared" si="179"/>
        <v>4.7806796520626165</v>
      </c>
      <c r="M1153" s="2">
        <f t="shared" ref="M1153:M1216" si="185">0.725*L1153</f>
        <v>3.4659927477453967</v>
      </c>
      <c r="N1153" s="2">
        <f t="shared" ref="N1153:N1216" si="186">0.5*M1153</f>
        <v>1.7329963738726983</v>
      </c>
      <c r="O1153" s="2">
        <f t="shared" ref="O1153:O1216" si="187">3.67*N1153</f>
        <v>6.360096692112803</v>
      </c>
      <c r="P1153" s="2">
        <v>72.550955999999999</v>
      </c>
      <c r="Q1153" s="2">
        <v>23.036134000000001</v>
      </c>
    </row>
    <row r="1154" spans="1:17" x14ac:dyDescent="0.25">
      <c r="A1154" s="2">
        <v>1302</v>
      </c>
      <c r="B1154" s="2" t="s">
        <v>9</v>
      </c>
      <c r="C1154" s="2">
        <v>16</v>
      </c>
      <c r="D1154" s="2">
        <f t="shared" si="180"/>
        <v>40.64</v>
      </c>
      <c r="E1154" s="2">
        <f t="shared" si="181"/>
        <v>12.936113774509254</v>
      </c>
      <c r="F1154" s="2">
        <f t="shared" si="182"/>
        <v>5.0929581789406511</v>
      </c>
      <c r="G1154" s="2">
        <v>7.3466690000000003</v>
      </c>
      <c r="H1154" s="2">
        <f t="shared" si="183"/>
        <v>24.103245521960002</v>
      </c>
      <c r="I1154" s="2">
        <f>INDEX('Wood Density Lookup'!$B$2:$B$152,MATCH(B1154,'Wood Density Lookup'!$A$2:$A$152,0))</f>
        <v>0.42</v>
      </c>
      <c r="J1154" s="2">
        <f t="shared" si="184"/>
        <v>29.91243329709296</v>
      </c>
      <c r="K1154" s="2">
        <f t="shared" si="178"/>
        <v>8.3754813231860297</v>
      </c>
      <c r="L1154" s="2">
        <f t="shared" si="179"/>
        <v>38.28791462027899</v>
      </c>
      <c r="M1154" s="2">
        <f t="shared" si="185"/>
        <v>27.758738099702267</v>
      </c>
      <c r="N1154" s="2">
        <f t="shared" si="186"/>
        <v>13.879369049851134</v>
      </c>
      <c r="O1154" s="2">
        <f t="shared" si="187"/>
        <v>50.937284412953659</v>
      </c>
      <c r="P1154" s="2">
        <v>72.550956999999997</v>
      </c>
      <c r="Q1154" s="2">
        <v>23.036973</v>
      </c>
    </row>
    <row r="1155" spans="1:17" x14ac:dyDescent="0.25">
      <c r="A1155" s="2">
        <v>1303</v>
      </c>
      <c r="B1155" s="2" t="s">
        <v>43</v>
      </c>
      <c r="C1155" s="2">
        <v>47</v>
      </c>
      <c r="D1155" s="2">
        <f t="shared" si="180"/>
        <v>119.38</v>
      </c>
      <c r="E1155" s="2">
        <f t="shared" si="181"/>
        <v>37.999834212620932</v>
      </c>
      <c r="F1155" s="2">
        <f t="shared" si="182"/>
        <v>14.960564650638162</v>
      </c>
      <c r="G1155" s="2">
        <v>11.570561</v>
      </c>
      <c r="H1155" s="2">
        <f t="shared" si="183"/>
        <v>37.961159351239999</v>
      </c>
      <c r="I1155" s="2">
        <f>INDEX('Wood Density Lookup'!$B$2:$B$152,MATCH(B1155,'Wood Density Lookup'!$A$2:$A$152,0))</f>
        <v>0.6</v>
      </c>
      <c r="J1155" s="2">
        <f t="shared" si="184"/>
        <v>540.82713938418397</v>
      </c>
      <c r="K1155" s="2">
        <f t="shared" ref="K1155:K1218" si="188">0.28*J1155</f>
        <v>151.43159902757154</v>
      </c>
      <c r="L1155" s="2">
        <f t="shared" ref="L1155:L1218" si="189">J1155+K1155</f>
        <v>692.25873841175553</v>
      </c>
      <c r="M1155" s="2">
        <f t="shared" si="185"/>
        <v>501.88758534852275</v>
      </c>
      <c r="N1155" s="2">
        <f t="shared" si="186"/>
        <v>250.94379267426137</v>
      </c>
      <c r="O1155" s="2">
        <f t="shared" si="187"/>
        <v>920.96371911453923</v>
      </c>
      <c r="P1155" s="2">
        <v>72.550957999999994</v>
      </c>
      <c r="Q1155" s="2">
        <v>23.035920000000001</v>
      </c>
    </row>
    <row r="1156" spans="1:17" x14ac:dyDescent="0.25">
      <c r="A1156" s="2">
        <v>1304</v>
      </c>
      <c r="B1156" s="2" t="s">
        <v>82</v>
      </c>
      <c r="C1156" s="2">
        <v>3</v>
      </c>
      <c r="D1156" s="2">
        <f t="shared" si="180"/>
        <v>7.62</v>
      </c>
      <c r="E1156" s="2">
        <f t="shared" si="181"/>
        <v>2.4255213327204852</v>
      </c>
      <c r="F1156" s="2">
        <f t="shared" si="182"/>
        <v>0.95492965855137202</v>
      </c>
      <c r="G1156" s="2">
        <v>7.0674320000000002</v>
      </c>
      <c r="H1156" s="2">
        <f t="shared" si="183"/>
        <v>23.18711360288</v>
      </c>
      <c r="I1156" s="2">
        <f>INDEX('Wood Density Lookup'!$B$2:$B$152,MATCH(B1156,'Wood Density Lookup'!$A$2:$A$152,0))</f>
        <v>0.7</v>
      </c>
      <c r="J1156" s="2">
        <f t="shared" si="184"/>
        <v>1.8065486564709741</v>
      </c>
      <c r="K1156" s="2">
        <f t="shared" si="188"/>
        <v>0.5058336238118728</v>
      </c>
      <c r="L1156" s="2">
        <f t="shared" si="189"/>
        <v>2.3123822802828471</v>
      </c>
      <c r="M1156" s="2">
        <f t="shared" si="185"/>
        <v>1.6764771532050642</v>
      </c>
      <c r="N1156" s="2">
        <f t="shared" si="186"/>
        <v>0.83823857660253209</v>
      </c>
      <c r="O1156" s="2">
        <f t="shared" si="187"/>
        <v>3.0763355761312927</v>
      </c>
      <c r="P1156" s="2">
        <v>72.550957999999994</v>
      </c>
      <c r="Q1156" s="2">
        <v>23.036121000000001</v>
      </c>
    </row>
    <row r="1157" spans="1:17" x14ac:dyDescent="0.25">
      <c r="A1157" s="2">
        <v>1305</v>
      </c>
      <c r="B1157" s="2" t="s">
        <v>9</v>
      </c>
      <c r="C1157" s="2">
        <v>84</v>
      </c>
      <c r="D1157" s="2">
        <f t="shared" si="180"/>
        <v>213.36</v>
      </c>
      <c r="E1157" s="2">
        <f t="shared" si="181"/>
        <v>67.914597316173584</v>
      </c>
      <c r="F1157" s="2">
        <f t="shared" si="182"/>
        <v>26.738030439438418</v>
      </c>
      <c r="G1157" s="2">
        <v>8.1027140000000006</v>
      </c>
      <c r="H1157" s="2">
        <f t="shared" si="183"/>
        <v>26.58370819976</v>
      </c>
      <c r="I1157" s="2">
        <f>INDEX('Wood Density Lookup'!$B$2:$B$152,MATCH(B1157,'Wood Density Lookup'!$A$2:$A$152,0))</f>
        <v>0.42</v>
      </c>
      <c r="J1157" s="2">
        <f t="shared" si="184"/>
        <v>837.76416394067007</v>
      </c>
      <c r="K1157" s="2">
        <f t="shared" si="188"/>
        <v>234.57396590338763</v>
      </c>
      <c r="L1157" s="2">
        <f t="shared" si="189"/>
        <v>1072.3381298440577</v>
      </c>
      <c r="M1157" s="2">
        <f t="shared" si="185"/>
        <v>777.44514413694174</v>
      </c>
      <c r="N1157" s="2">
        <f t="shared" si="186"/>
        <v>388.72257206847087</v>
      </c>
      <c r="O1157" s="2">
        <f t="shared" si="187"/>
        <v>1426.611839491288</v>
      </c>
      <c r="P1157" s="2">
        <v>72.550960000000003</v>
      </c>
      <c r="Q1157" s="2">
        <v>23.036151</v>
      </c>
    </row>
    <row r="1158" spans="1:17" x14ac:dyDescent="0.25">
      <c r="A1158" s="2">
        <v>1306</v>
      </c>
      <c r="B1158" s="2" t="s">
        <v>82</v>
      </c>
      <c r="C1158" s="2">
        <v>3</v>
      </c>
      <c r="D1158" s="2">
        <f t="shared" si="180"/>
        <v>7.62</v>
      </c>
      <c r="E1158" s="2">
        <f t="shared" si="181"/>
        <v>2.4255213327204852</v>
      </c>
      <c r="F1158" s="2">
        <f t="shared" si="182"/>
        <v>0.95492965855137202</v>
      </c>
      <c r="G1158" s="2">
        <v>6.1024659999999997</v>
      </c>
      <c r="H1158" s="2">
        <f t="shared" si="183"/>
        <v>20.02121455144</v>
      </c>
      <c r="I1158" s="2">
        <f>INDEX('Wood Density Lookup'!$B$2:$B$152,MATCH(B1158,'Wood Density Lookup'!$A$2:$A$152,0))</f>
        <v>0.7</v>
      </c>
      <c r="J1158" s="2">
        <f t="shared" si="184"/>
        <v>1.5653935621630932</v>
      </c>
      <c r="K1158" s="2">
        <f t="shared" si="188"/>
        <v>0.43831019740566612</v>
      </c>
      <c r="L1158" s="2">
        <f t="shared" si="189"/>
        <v>2.0037037595687592</v>
      </c>
      <c r="M1158" s="2">
        <f t="shared" si="185"/>
        <v>1.4526852256873504</v>
      </c>
      <c r="N1158" s="2">
        <f t="shared" si="186"/>
        <v>0.72634261284367518</v>
      </c>
      <c r="O1158" s="2">
        <f t="shared" si="187"/>
        <v>2.6656773891362877</v>
      </c>
      <c r="P1158" s="2">
        <v>72.550961000000001</v>
      </c>
      <c r="Q1158" s="2">
        <v>23.036107999999999</v>
      </c>
    </row>
    <row r="1159" spans="1:17" x14ac:dyDescent="0.25">
      <c r="A1159" s="2">
        <v>1307</v>
      </c>
      <c r="B1159" s="2" t="s">
        <v>9</v>
      </c>
      <c r="C1159" s="2">
        <v>15</v>
      </c>
      <c r="D1159" s="2">
        <f t="shared" si="180"/>
        <v>38.1</v>
      </c>
      <c r="E1159" s="2">
        <f t="shared" si="181"/>
        <v>12.127606663602425</v>
      </c>
      <c r="F1159" s="2">
        <f t="shared" si="182"/>
        <v>4.7746482927568605</v>
      </c>
      <c r="G1159" s="2">
        <v>8.3033289999999997</v>
      </c>
      <c r="H1159" s="2">
        <f t="shared" si="183"/>
        <v>27.241893916359999</v>
      </c>
      <c r="I1159" s="2">
        <f>INDEX('Wood Density Lookup'!$B$2:$B$152,MATCH(B1159,'Wood Density Lookup'!$A$2:$A$152,0))</f>
        <v>0.42</v>
      </c>
      <c r="J1159" s="2">
        <f t="shared" si="184"/>
        <v>29.718409652886375</v>
      </c>
      <c r="K1159" s="2">
        <f t="shared" si="188"/>
        <v>8.3211547028081867</v>
      </c>
      <c r="L1159" s="2">
        <f t="shared" si="189"/>
        <v>38.039564355694566</v>
      </c>
      <c r="M1159" s="2">
        <f t="shared" si="185"/>
        <v>27.578684157878559</v>
      </c>
      <c r="N1159" s="2">
        <f t="shared" si="186"/>
        <v>13.78934207893928</v>
      </c>
      <c r="O1159" s="2">
        <f t="shared" si="187"/>
        <v>50.606885429707155</v>
      </c>
      <c r="P1159" s="2">
        <v>72.550961999999998</v>
      </c>
      <c r="Q1159" s="2">
        <v>23.037047999999999</v>
      </c>
    </row>
    <row r="1160" spans="1:17" x14ac:dyDescent="0.25">
      <c r="A1160" s="2">
        <v>1308</v>
      </c>
      <c r="B1160" s="2" t="s">
        <v>9</v>
      </c>
      <c r="C1160" s="2">
        <v>34</v>
      </c>
      <c r="D1160" s="2">
        <f t="shared" si="180"/>
        <v>86.36</v>
      </c>
      <c r="E1160" s="2">
        <f t="shared" si="181"/>
        <v>27.489241770832162</v>
      </c>
      <c r="F1160" s="2">
        <f t="shared" si="182"/>
        <v>10.822536130248883</v>
      </c>
      <c r="G1160" s="2">
        <v>8.0307440000000003</v>
      </c>
      <c r="H1160" s="2">
        <f t="shared" si="183"/>
        <v>26.347586144960001</v>
      </c>
      <c r="I1160" s="2">
        <f>INDEX('Wood Density Lookup'!$B$2:$B$152,MATCH(B1160,'Wood Density Lookup'!$A$2:$A$152,0))</f>
        <v>0.42</v>
      </c>
      <c r="J1160" s="2">
        <f t="shared" si="184"/>
        <v>142.09988426246335</v>
      </c>
      <c r="K1160" s="2">
        <f t="shared" si="188"/>
        <v>39.787967593489739</v>
      </c>
      <c r="L1160" s="2">
        <f t="shared" si="189"/>
        <v>181.8878518559531</v>
      </c>
      <c r="M1160" s="2">
        <f t="shared" si="185"/>
        <v>131.86869259556599</v>
      </c>
      <c r="N1160" s="2">
        <f t="shared" si="186"/>
        <v>65.934346297782994</v>
      </c>
      <c r="O1160" s="2">
        <f t="shared" si="187"/>
        <v>241.97905091286358</v>
      </c>
      <c r="P1160" s="2">
        <v>72.550962999999996</v>
      </c>
      <c r="Q1160" s="2">
        <v>23.035999</v>
      </c>
    </row>
    <row r="1161" spans="1:17" x14ac:dyDescent="0.25">
      <c r="A1161" s="2">
        <v>1309</v>
      </c>
      <c r="B1161" s="2" t="s">
        <v>82</v>
      </c>
      <c r="C1161" s="2">
        <v>5</v>
      </c>
      <c r="D1161" s="2">
        <f t="shared" si="180"/>
        <v>12.7</v>
      </c>
      <c r="E1161" s="2">
        <f t="shared" si="181"/>
        <v>4.0425355545341413</v>
      </c>
      <c r="F1161" s="2">
        <f t="shared" si="182"/>
        <v>1.5915494309189535</v>
      </c>
      <c r="G1161" s="2">
        <v>7.1338100000000004</v>
      </c>
      <c r="H1161" s="2">
        <f t="shared" si="183"/>
        <v>23.4048892004</v>
      </c>
      <c r="I1161" s="2">
        <f>INDEX('Wood Density Lookup'!$B$2:$B$152,MATCH(B1161,'Wood Density Lookup'!$A$2:$A$152,0))</f>
        <v>0.7</v>
      </c>
      <c r="J1161" s="2">
        <f t="shared" si="184"/>
        <v>4.9415237206737528</v>
      </c>
      <c r="K1161" s="2">
        <f t="shared" si="188"/>
        <v>1.3836266417886509</v>
      </c>
      <c r="L1161" s="2">
        <f t="shared" si="189"/>
        <v>6.3251503624624039</v>
      </c>
      <c r="M1161" s="2">
        <f t="shared" si="185"/>
        <v>4.5857340127852426</v>
      </c>
      <c r="N1161" s="2">
        <f t="shared" si="186"/>
        <v>2.2928670063926213</v>
      </c>
      <c r="O1161" s="2">
        <f t="shared" si="187"/>
        <v>8.4148219134609192</v>
      </c>
      <c r="P1161" s="2">
        <v>72.550962999999996</v>
      </c>
      <c r="Q1161" s="2">
        <v>23.036087999999999</v>
      </c>
    </row>
    <row r="1162" spans="1:17" x14ac:dyDescent="0.25">
      <c r="A1162" s="2">
        <v>1310</v>
      </c>
      <c r="B1162" s="2" t="s">
        <v>20</v>
      </c>
      <c r="C1162" s="2">
        <v>13</v>
      </c>
      <c r="D1162" s="2">
        <f t="shared" si="180"/>
        <v>33.020000000000003</v>
      </c>
      <c r="E1162" s="2">
        <f t="shared" si="181"/>
        <v>10.51059244178877</v>
      </c>
      <c r="F1162" s="2">
        <f t="shared" si="182"/>
        <v>4.1380285203892786</v>
      </c>
      <c r="G1162" s="2">
        <v>1.358878</v>
      </c>
      <c r="H1162" s="2">
        <f t="shared" si="183"/>
        <v>4.45826129752</v>
      </c>
      <c r="I1162" s="2">
        <f>INDEX('Wood Density Lookup'!$B$2:$B$152,MATCH(B1162,'Wood Density Lookup'!$A$2:$A$152,0))</f>
        <v>0.7</v>
      </c>
      <c r="J1162" s="2">
        <f t="shared" si="184"/>
        <v>6.3245724897057229</v>
      </c>
      <c r="K1162" s="2">
        <f t="shared" si="188"/>
        <v>1.7708802971176025</v>
      </c>
      <c r="L1162" s="2">
        <f t="shared" si="189"/>
        <v>8.0954527868233264</v>
      </c>
      <c r="M1162" s="2">
        <f t="shared" si="185"/>
        <v>5.8692032704469117</v>
      </c>
      <c r="N1162" s="2">
        <f t="shared" si="186"/>
        <v>2.9346016352234559</v>
      </c>
      <c r="O1162" s="2">
        <f t="shared" si="187"/>
        <v>10.769988001270082</v>
      </c>
      <c r="P1162" s="2">
        <v>72.550963999999993</v>
      </c>
      <c r="Q1162" s="2">
        <v>23.035435</v>
      </c>
    </row>
    <row r="1163" spans="1:17" x14ac:dyDescent="0.25">
      <c r="A1163" s="2">
        <v>1311</v>
      </c>
      <c r="B1163" s="2" t="s">
        <v>82</v>
      </c>
      <c r="C1163" s="2">
        <v>2</v>
      </c>
      <c r="D1163" s="2">
        <f t="shared" si="180"/>
        <v>5.08</v>
      </c>
      <c r="E1163" s="2">
        <f t="shared" si="181"/>
        <v>1.6170142218136567</v>
      </c>
      <c r="F1163" s="2">
        <f t="shared" si="182"/>
        <v>0.63661977236758138</v>
      </c>
      <c r="G1163" s="2">
        <v>7.1688140000000002</v>
      </c>
      <c r="H1163" s="2">
        <f t="shared" si="183"/>
        <v>23.51973172376</v>
      </c>
      <c r="I1163" s="2">
        <f>INDEX('Wood Density Lookup'!$B$2:$B$152,MATCH(B1163,'Wood Density Lookup'!$A$2:$A$152,0))</f>
        <v>0.7</v>
      </c>
      <c r="J1163" s="2">
        <f t="shared" si="184"/>
        <v>0.83015032661782717</v>
      </c>
      <c r="K1163" s="2">
        <f t="shared" si="188"/>
        <v>0.23244209145299163</v>
      </c>
      <c r="L1163" s="2">
        <f t="shared" si="189"/>
        <v>1.0625924180708188</v>
      </c>
      <c r="M1163" s="2">
        <f t="shared" si="185"/>
        <v>0.77037950310134362</v>
      </c>
      <c r="N1163" s="2">
        <f t="shared" si="186"/>
        <v>0.38518975155067181</v>
      </c>
      <c r="O1163" s="2">
        <f t="shared" si="187"/>
        <v>1.4136463881909656</v>
      </c>
      <c r="P1163" s="2">
        <v>72.550966000000003</v>
      </c>
      <c r="Q1163" s="2">
        <v>23.036071</v>
      </c>
    </row>
    <row r="1164" spans="1:17" x14ac:dyDescent="0.25">
      <c r="A1164" s="2">
        <v>1312</v>
      </c>
      <c r="B1164" s="2" t="s">
        <v>9</v>
      </c>
      <c r="C1164" s="2">
        <v>16</v>
      </c>
      <c r="D1164" s="2">
        <f t="shared" si="180"/>
        <v>40.64</v>
      </c>
      <c r="E1164" s="2">
        <f t="shared" si="181"/>
        <v>12.936113774509254</v>
      </c>
      <c r="F1164" s="2">
        <f t="shared" si="182"/>
        <v>5.0929581789406511</v>
      </c>
      <c r="G1164" s="2">
        <v>6.2617779999999996</v>
      </c>
      <c r="H1164" s="2">
        <f t="shared" si="183"/>
        <v>20.543891733519999</v>
      </c>
      <c r="I1164" s="2">
        <f>INDEX('Wood Density Lookup'!$B$2:$B$152,MATCH(B1164,'Wood Density Lookup'!$A$2:$A$152,0))</f>
        <v>0.42</v>
      </c>
      <c r="J1164" s="2">
        <f t="shared" si="184"/>
        <v>25.593186626238086</v>
      </c>
      <c r="K1164" s="2">
        <f t="shared" si="188"/>
        <v>7.1660922553466646</v>
      </c>
      <c r="L1164" s="2">
        <f t="shared" si="189"/>
        <v>32.759278881584748</v>
      </c>
      <c r="M1164" s="2">
        <f t="shared" si="185"/>
        <v>23.750477189148942</v>
      </c>
      <c r="N1164" s="2">
        <f t="shared" si="186"/>
        <v>11.875238594574471</v>
      </c>
      <c r="O1164" s="2">
        <f t="shared" si="187"/>
        <v>43.582125642088307</v>
      </c>
      <c r="P1164" s="2">
        <v>72.550966000000003</v>
      </c>
      <c r="Q1164" s="2">
        <v>23.037025</v>
      </c>
    </row>
    <row r="1165" spans="1:17" x14ac:dyDescent="0.25">
      <c r="A1165" s="2">
        <v>1313</v>
      </c>
      <c r="B1165" s="2" t="s">
        <v>82</v>
      </c>
      <c r="C1165" s="2">
        <v>4</v>
      </c>
      <c r="D1165" s="2">
        <f t="shared" si="180"/>
        <v>10.16</v>
      </c>
      <c r="E1165" s="2">
        <f t="shared" si="181"/>
        <v>3.2340284436273135</v>
      </c>
      <c r="F1165" s="2">
        <f t="shared" si="182"/>
        <v>1.2732395447351628</v>
      </c>
      <c r="G1165" s="2">
        <v>6.1347300000000002</v>
      </c>
      <c r="H1165" s="2">
        <f t="shared" si="183"/>
        <v>20.127067573200002</v>
      </c>
      <c r="I1165" s="2">
        <f>INDEX('Wood Density Lookup'!$B$2:$B$152,MATCH(B1165,'Wood Density Lookup'!$A$2:$A$152,0))</f>
        <v>0.7</v>
      </c>
      <c r="J1165" s="2">
        <f t="shared" si="184"/>
        <v>2.7589198269566206</v>
      </c>
      <c r="K1165" s="2">
        <f t="shared" si="188"/>
        <v>0.77249755154785382</v>
      </c>
      <c r="L1165" s="2">
        <f t="shared" si="189"/>
        <v>3.5314173785044742</v>
      </c>
      <c r="M1165" s="2">
        <f t="shared" si="185"/>
        <v>2.5602775994157438</v>
      </c>
      <c r="N1165" s="2">
        <f t="shared" si="186"/>
        <v>1.2801387997078719</v>
      </c>
      <c r="O1165" s="2">
        <f t="shared" si="187"/>
        <v>4.69810939492789</v>
      </c>
      <c r="P1165" s="2">
        <v>72.550967</v>
      </c>
      <c r="Q1165" s="2">
        <v>23.036054</v>
      </c>
    </row>
    <row r="1166" spans="1:17" x14ac:dyDescent="0.25">
      <c r="A1166" s="2">
        <v>1314</v>
      </c>
      <c r="B1166" s="2" t="s">
        <v>152</v>
      </c>
      <c r="C1166" s="2">
        <v>17</v>
      </c>
      <c r="D1166" s="2">
        <f t="shared" si="180"/>
        <v>43.18</v>
      </c>
      <c r="E1166" s="2">
        <f t="shared" si="181"/>
        <v>13.744620885416081</v>
      </c>
      <c r="F1166" s="2">
        <f t="shared" si="182"/>
        <v>5.4112680651244416</v>
      </c>
      <c r="G1166" s="2">
        <v>2.2523430000000002</v>
      </c>
      <c r="H1166" s="2">
        <f t="shared" si="183"/>
        <v>7.3895770081200007</v>
      </c>
      <c r="I1166" s="2">
        <f>INDEX('Wood Density Lookup'!$B$2:$B$152,MATCH(B1166,'Wood Density Lookup'!$A$2:$A$152,0))</f>
        <v>0.8</v>
      </c>
      <c r="J1166" s="2">
        <f t="shared" si="184"/>
        <v>19.917615710198298</v>
      </c>
      <c r="K1166" s="2">
        <f t="shared" si="188"/>
        <v>5.5769323988555239</v>
      </c>
      <c r="L1166" s="2">
        <f t="shared" si="189"/>
        <v>25.494548109053824</v>
      </c>
      <c r="M1166" s="2">
        <f t="shared" si="185"/>
        <v>18.483547379064021</v>
      </c>
      <c r="N1166" s="2">
        <f t="shared" si="186"/>
        <v>9.2417736895320104</v>
      </c>
      <c r="O1166" s="2">
        <f t="shared" si="187"/>
        <v>33.917309440582478</v>
      </c>
      <c r="P1166" s="2">
        <v>72.550968999999995</v>
      </c>
      <c r="Q1166" s="2">
        <v>23.035329999999998</v>
      </c>
    </row>
    <row r="1167" spans="1:17" x14ac:dyDescent="0.25">
      <c r="A1167" s="2">
        <v>1315</v>
      </c>
      <c r="B1167" s="2" t="s">
        <v>22</v>
      </c>
      <c r="C1167" s="2">
        <v>37</v>
      </c>
      <c r="D1167" s="2">
        <f t="shared" si="180"/>
        <v>93.98</v>
      </c>
      <c r="E1167" s="2">
        <f t="shared" si="181"/>
        <v>29.914763103552648</v>
      </c>
      <c r="F1167" s="2">
        <f t="shared" si="182"/>
        <v>11.777465788800255</v>
      </c>
      <c r="G1167" s="2">
        <v>6.5181630000000004</v>
      </c>
      <c r="H1167" s="2">
        <f t="shared" si="183"/>
        <v>21.385049896920002</v>
      </c>
      <c r="I1167" s="2">
        <f>INDEX('Wood Density Lookup'!$B$2:$B$152,MATCH(B1167,'Wood Density Lookup'!$A$2:$A$152,0))</f>
        <v>0.37</v>
      </c>
      <c r="J1167" s="2">
        <f t="shared" si="184"/>
        <v>120.80774757841665</v>
      </c>
      <c r="K1167" s="2">
        <f t="shared" si="188"/>
        <v>33.826169321956662</v>
      </c>
      <c r="L1167" s="2">
        <f t="shared" si="189"/>
        <v>154.63391690037332</v>
      </c>
      <c r="M1167" s="2">
        <f t="shared" si="185"/>
        <v>112.10958975277066</v>
      </c>
      <c r="N1167" s="2">
        <f t="shared" si="186"/>
        <v>56.05479487638533</v>
      </c>
      <c r="O1167" s="2">
        <f t="shared" si="187"/>
        <v>205.72109719633417</v>
      </c>
      <c r="P1167" s="2">
        <v>72.550968999999995</v>
      </c>
      <c r="Q1167" s="2">
        <v>23.035779000000002</v>
      </c>
    </row>
    <row r="1168" spans="1:17" x14ac:dyDescent="0.25">
      <c r="A1168" s="2">
        <v>1316</v>
      </c>
      <c r="B1168" s="2" t="s">
        <v>9</v>
      </c>
      <c r="C1168" s="2">
        <v>67</v>
      </c>
      <c r="D1168" s="2">
        <f t="shared" si="180"/>
        <v>170.18</v>
      </c>
      <c r="E1168" s="2">
        <f t="shared" si="181"/>
        <v>54.169976430757501</v>
      </c>
      <c r="F1168" s="2">
        <f t="shared" si="182"/>
        <v>21.326762374313976</v>
      </c>
      <c r="G1168" s="2">
        <v>4.2491909999999997</v>
      </c>
      <c r="H1168" s="2">
        <f t="shared" si="183"/>
        <v>13.940915800439999</v>
      </c>
      <c r="I1168" s="2">
        <f>INDEX('Wood Density Lookup'!$B$2:$B$152,MATCH(B1168,'Wood Density Lookup'!$A$2:$A$152,0))</f>
        <v>0.42</v>
      </c>
      <c r="J1168" s="2">
        <f t="shared" si="184"/>
        <v>286.96580744045582</v>
      </c>
      <c r="K1168" s="2">
        <f t="shared" si="188"/>
        <v>80.350426083327633</v>
      </c>
      <c r="L1168" s="2">
        <f t="shared" si="189"/>
        <v>367.31623352378347</v>
      </c>
      <c r="M1168" s="2">
        <f t="shared" si="185"/>
        <v>266.304269304743</v>
      </c>
      <c r="N1168" s="2">
        <f t="shared" si="186"/>
        <v>133.1521346523715</v>
      </c>
      <c r="O1168" s="2">
        <f t="shared" si="187"/>
        <v>488.66833417420338</v>
      </c>
      <c r="P1168" s="2">
        <v>72.550970000000007</v>
      </c>
      <c r="Q1168" s="2">
        <v>23.036667999999999</v>
      </c>
    </row>
    <row r="1169" spans="1:17" x14ac:dyDescent="0.25">
      <c r="A1169" s="2">
        <v>1317</v>
      </c>
      <c r="B1169" s="2" t="s">
        <v>10</v>
      </c>
      <c r="C1169" s="2">
        <v>9</v>
      </c>
      <c r="D1169" s="2">
        <f t="shared" si="180"/>
        <v>22.86</v>
      </c>
      <c r="E1169" s="2">
        <f t="shared" si="181"/>
        <v>7.2765639981614552</v>
      </c>
      <c r="F1169" s="2">
        <f t="shared" si="182"/>
        <v>2.8647889756541161</v>
      </c>
      <c r="G1169" s="2">
        <v>4.1100120000000002</v>
      </c>
      <c r="H1169" s="2">
        <f t="shared" si="183"/>
        <v>13.48429177008</v>
      </c>
      <c r="I1169" s="2">
        <f>INDEX('Wood Density Lookup'!$B$2:$B$152,MATCH(B1169,'Wood Density Lookup'!$A$2:$A$152,0))</f>
        <v>0.65</v>
      </c>
      <c r="J1169" s="2">
        <f t="shared" si="184"/>
        <v>8.4529752583084452</v>
      </c>
      <c r="K1169" s="2">
        <f t="shared" si="188"/>
        <v>2.3668330723263651</v>
      </c>
      <c r="L1169" s="2">
        <f t="shared" si="189"/>
        <v>10.81980833063481</v>
      </c>
      <c r="M1169" s="2">
        <f t="shared" si="185"/>
        <v>7.844361039710237</v>
      </c>
      <c r="N1169" s="2">
        <f t="shared" si="186"/>
        <v>3.9221805198551185</v>
      </c>
      <c r="O1169" s="2">
        <f t="shared" si="187"/>
        <v>14.394402507868284</v>
      </c>
      <c r="P1169" s="2">
        <v>72.550979999999996</v>
      </c>
      <c r="Q1169" s="2">
        <v>23.036545</v>
      </c>
    </row>
    <row r="1170" spans="1:17" x14ac:dyDescent="0.25">
      <c r="A1170" s="2">
        <v>1318</v>
      </c>
      <c r="B1170" s="2" t="s">
        <v>9</v>
      </c>
      <c r="C1170" s="2">
        <v>18</v>
      </c>
      <c r="D1170" s="2">
        <f t="shared" si="180"/>
        <v>45.72</v>
      </c>
      <c r="E1170" s="2">
        <f t="shared" si="181"/>
        <v>14.55312799632291</v>
      </c>
      <c r="F1170" s="2">
        <f t="shared" si="182"/>
        <v>5.7295779513082321</v>
      </c>
      <c r="G1170" s="2">
        <v>8.0790430000000004</v>
      </c>
      <c r="H1170" s="2">
        <f t="shared" si="183"/>
        <v>26.506047436120003</v>
      </c>
      <c r="I1170" s="2">
        <f>INDEX('Wood Density Lookup'!$B$2:$B$152,MATCH(B1170,'Wood Density Lookup'!$A$2:$A$152,0))</f>
        <v>0.42</v>
      </c>
      <c r="J1170" s="2">
        <f t="shared" si="184"/>
        <v>41.302890554113304</v>
      </c>
      <c r="K1170" s="2">
        <f t="shared" si="188"/>
        <v>11.564809355151727</v>
      </c>
      <c r="L1170" s="2">
        <f t="shared" si="189"/>
        <v>52.867699909265028</v>
      </c>
      <c r="M1170" s="2">
        <f t="shared" si="185"/>
        <v>38.329082434217142</v>
      </c>
      <c r="N1170" s="2">
        <f t="shared" si="186"/>
        <v>19.164541217108571</v>
      </c>
      <c r="O1170" s="2">
        <f t="shared" si="187"/>
        <v>70.333866266788448</v>
      </c>
      <c r="P1170" s="2">
        <v>72.550982000000005</v>
      </c>
      <c r="Q1170" s="2">
        <v>23.036017999999999</v>
      </c>
    </row>
    <row r="1171" spans="1:17" x14ac:dyDescent="0.25">
      <c r="A1171" s="2">
        <v>1319</v>
      </c>
      <c r="B1171" s="2" t="s">
        <v>10</v>
      </c>
      <c r="C1171" s="2">
        <v>21</v>
      </c>
      <c r="D1171" s="2">
        <f t="shared" si="180"/>
        <v>53.34</v>
      </c>
      <c r="E1171" s="2">
        <f t="shared" si="181"/>
        <v>16.978649329043396</v>
      </c>
      <c r="F1171" s="2">
        <f t="shared" si="182"/>
        <v>6.6845076098596046</v>
      </c>
      <c r="G1171" s="2">
        <v>10.698016000000001</v>
      </c>
      <c r="H1171" s="2">
        <f t="shared" si="183"/>
        <v>35.098478813440003</v>
      </c>
      <c r="I1171" s="2">
        <f>INDEX('Wood Density Lookup'!$B$2:$B$152,MATCH(B1171,'Wood Density Lookup'!$A$2:$A$152,0))</f>
        <v>0.65</v>
      </c>
      <c r="J1171" s="2">
        <f t="shared" si="184"/>
        <v>112.40597376438318</v>
      </c>
      <c r="K1171" s="2">
        <f t="shared" si="188"/>
        <v>31.473672654027293</v>
      </c>
      <c r="L1171" s="2">
        <f t="shared" si="189"/>
        <v>143.87964641841046</v>
      </c>
      <c r="M1171" s="2">
        <f t="shared" si="185"/>
        <v>104.31274365334758</v>
      </c>
      <c r="N1171" s="2">
        <f t="shared" si="186"/>
        <v>52.156371826673791</v>
      </c>
      <c r="O1171" s="2">
        <f t="shared" si="187"/>
        <v>191.4138846038928</v>
      </c>
      <c r="P1171" s="2">
        <v>72.550983000000002</v>
      </c>
      <c r="Q1171" s="2">
        <v>23.036671999999999</v>
      </c>
    </row>
    <row r="1172" spans="1:17" x14ac:dyDescent="0.25">
      <c r="A1172" s="2">
        <v>1320</v>
      </c>
      <c r="B1172" s="2" t="s">
        <v>82</v>
      </c>
      <c r="C1172" s="2">
        <v>5</v>
      </c>
      <c r="D1172" s="2">
        <f t="shared" si="180"/>
        <v>12.7</v>
      </c>
      <c r="E1172" s="2">
        <f t="shared" si="181"/>
        <v>4.0425355545341413</v>
      </c>
      <c r="F1172" s="2">
        <f t="shared" si="182"/>
        <v>1.5915494309189535</v>
      </c>
      <c r="G1172" s="2">
        <v>13.070385</v>
      </c>
      <c r="H1172" s="2">
        <f t="shared" si="183"/>
        <v>42.881841923399996</v>
      </c>
      <c r="I1172" s="2">
        <f>INDEX('Wood Density Lookup'!$B$2:$B$152,MATCH(B1172,'Wood Density Lookup'!$A$2:$A$152,0))</f>
        <v>0.7</v>
      </c>
      <c r="J1172" s="2">
        <f t="shared" si="184"/>
        <v>8.9231156596873387</v>
      </c>
      <c r="K1172" s="2">
        <f t="shared" si="188"/>
        <v>2.4984723847124553</v>
      </c>
      <c r="L1172" s="2">
        <f t="shared" si="189"/>
        <v>11.421588044399794</v>
      </c>
      <c r="M1172" s="2">
        <f t="shared" si="185"/>
        <v>8.2806513321898496</v>
      </c>
      <c r="N1172" s="2">
        <f t="shared" si="186"/>
        <v>4.1403256660949248</v>
      </c>
      <c r="O1172" s="2">
        <f t="shared" si="187"/>
        <v>15.194995194568374</v>
      </c>
      <c r="P1172" s="2">
        <v>72.550984</v>
      </c>
      <c r="Q1172" s="2">
        <v>23.035748000000002</v>
      </c>
    </row>
    <row r="1173" spans="1:17" x14ac:dyDescent="0.25">
      <c r="A1173" s="2">
        <v>1321</v>
      </c>
      <c r="B1173" s="2" t="s">
        <v>9</v>
      </c>
      <c r="C1173" s="2">
        <v>23</v>
      </c>
      <c r="D1173" s="2">
        <f t="shared" si="180"/>
        <v>58.42</v>
      </c>
      <c r="E1173" s="2">
        <f t="shared" si="181"/>
        <v>18.595663550857051</v>
      </c>
      <c r="F1173" s="2">
        <f t="shared" si="182"/>
        <v>7.3211273822271856</v>
      </c>
      <c r="G1173" s="2">
        <v>13.333550000000001</v>
      </c>
      <c r="H1173" s="2">
        <f t="shared" si="183"/>
        <v>43.745244182</v>
      </c>
      <c r="I1173" s="2">
        <f>INDEX('Wood Density Lookup'!$B$2:$B$152,MATCH(B1173,'Wood Density Lookup'!$A$2:$A$152,0))</f>
        <v>0.42</v>
      </c>
      <c r="J1173" s="2">
        <f t="shared" si="184"/>
        <v>108.67885787309594</v>
      </c>
      <c r="K1173" s="2">
        <f t="shared" si="188"/>
        <v>30.430080204466865</v>
      </c>
      <c r="L1173" s="2">
        <f t="shared" si="189"/>
        <v>139.10893807756281</v>
      </c>
      <c r="M1173" s="2">
        <f t="shared" si="185"/>
        <v>100.85398010623304</v>
      </c>
      <c r="N1173" s="2">
        <f t="shared" si="186"/>
        <v>50.426990053116519</v>
      </c>
      <c r="O1173" s="2">
        <f t="shared" si="187"/>
        <v>185.06705349493762</v>
      </c>
      <c r="P1173" s="2">
        <v>72.550984</v>
      </c>
      <c r="Q1173" s="2">
        <v>23.036010999999998</v>
      </c>
    </row>
    <row r="1174" spans="1:17" x14ac:dyDescent="0.25">
      <c r="A1174" s="2">
        <v>1322</v>
      </c>
      <c r="B1174" s="2" t="s">
        <v>9</v>
      </c>
      <c r="C1174" s="2">
        <v>20</v>
      </c>
      <c r="D1174" s="2">
        <f t="shared" si="180"/>
        <v>50.8</v>
      </c>
      <c r="E1174" s="2">
        <f t="shared" si="181"/>
        <v>16.170142218136565</v>
      </c>
      <c r="F1174" s="2">
        <f t="shared" si="182"/>
        <v>6.366197723675814</v>
      </c>
      <c r="G1174" s="2">
        <v>7.1439310000000003</v>
      </c>
      <c r="H1174" s="2">
        <f t="shared" si="183"/>
        <v>23.438094582040002</v>
      </c>
      <c r="I1174" s="2">
        <f>INDEX('Wood Density Lookup'!$B$2:$B$152,MATCH(B1174,'Wood Density Lookup'!$A$2:$A$152,0))</f>
        <v>0.42</v>
      </c>
      <c r="J1174" s="2">
        <f t="shared" si="184"/>
        <v>44.994408171373436</v>
      </c>
      <c r="K1174" s="2">
        <f t="shared" si="188"/>
        <v>12.598434287984563</v>
      </c>
      <c r="L1174" s="2">
        <f t="shared" si="189"/>
        <v>57.592842459357996</v>
      </c>
      <c r="M1174" s="2">
        <f t="shared" si="185"/>
        <v>41.754810783034543</v>
      </c>
      <c r="N1174" s="2">
        <f t="shared" si="186"/>
        <v>20.877405391517271</v>
      </c>
      <c r="O1174" s="2">
        <f t="shared" si="187"/>
        <v>76.620077786868379</v>
      </c>
      <c r="P1174" s="2">
        <v>72.550984999999997</v>
      </c>
      <c r="Q1174" s="2">
        <v>23.036906999999999</v>
      </c>
    </row>
    <row r="1175" spans="1:17" x14ac:dyDescent="0.25">
      <c r="A1175" s="2">
        <v>1323</v>
      </c>
      <c r="B1175" s="2" t="s">
        <v>9</v>
      </c>
      <c r="C1175" s="2">
        <v>14</v>
      </c>
      <c r="D1175" s="2">
        <f t="shared" si="180"/>
        <v>35.56</v>
      </c>
      <c r="E1175" s="2">
        <f t="shared" si="181"/>
        <v>11.319099552695597</v>
      </c>
      <c r="F1175" s="2">
        <f t="shared" si="182"/>
        <v>4.45633840657307</v>
      </c>
      <c r="G1175" s="2">
        <v>7.0145900000000001</v>
      </c>
      <c r="H1175" s="2">
        <f t="shared" si="183"/>
        <v>23.013747455600001</v>
      </c>
      <c r="I1175" s="2">
        <f>INDEX('Wood Density Lookup'!$B$2:$B$152,MATCH(B1175,'Wood Density Lookup'!$A$2:$A$152,0))</f>
        <v>0.42</v>
      </c>
      <c r="J1175" s="2">
        <f t="shared" si="184"/>
        <v>22.031567500412166</v>
      </c>
      <c r="K1175" s="2">
        <f t="shared" si="188"/>
        <v>6.1688389001154071</v>
      </c>
      <c r="L1175" s="2">
        <f t="shared" si="189"/>
        <v>28.200406400527573</v>
      </c>
      <c r="M1175" s="2">
        <f t="shared" si="185"/>
        <v>20.445294640382489</v>
      </c>
      <c r="N1175" s="2">
        <f t="shared" si="186"/>
        <v>10.222647320191244</v>
      </c>
      <c r="O1175" s="2">
        <f t="shared" si="187"/>
        <v>37.517115665101869</v>
      </c>
      <c r="P1175" s="2">
        <v>72.550984999999997</v>
      </c>
      <c r="Q1175" s="2">
        <v>23.036859</v>
      </c>
    </row>
    <row r="1176" spans="1:17" x14ac:dyDescent="0.25">
      <c r="A1176" s="2">
        <v>1324</v>
      </c>
      <c r="B1176" s="2" t="s">
        <v>9</v>
      </c>
      <c r="C1176" s="2">
        <v>20</v>
      </c>
      <c r="D1176" s="2">
        <f t="shared" si="180"/>
        <v>50.8</v>
      </c>
      <c r="E1176" s="2">
        <f t="shared" si="181"/>
        <v>16.170142218136565</v>
      </c>
      <c r="F1176" s="2">
        <f t="shared" si="182"/>
        <v>6.366197723675814</v>
      </c>
      <c r="G1176" s="2">
        <v>8.0529600000000006</v>
      </c>
      <c r="H1176" s="2">
        <f t="shared" si="183"/>
        <v>26.4204732864</v>
      </c>
      <c r="I1176" s="2">
        <f>INDEX('Wood Density Lookup'!$B$2:$B$152,MATCH(B1176,'Wood Density Lookup'!$A$2:$A$152,0))</f>
        <v>0.42</v>
      </c>
      <c r="J1176" s="2">
        <f t="shared" si="184"/>
        <v>50.57412707275595</v>
      </c>
      <c r="K1176" s="2">
        <f t="shared" si="188"/>
        <v>14.160755580371667</v>
      </c>
      <c r="L1176" s="2">
        <f t="shared" si="189"/>
        <v>64.734882653127613</v>
      </c>
      <c r="M1176" s="2">
        <f t="shared" si="185"/>
        <v>46.932789923517518</v>
      </c>
      <c r="N1176" s="2">
        <f t="shared" si="186"/>
        <v>23.466394961758759</v>
      </c>
      <c r="O1176" s="2">
        <f t="shared" si="187"/>
        <v>86.121669509654637</v>
      </c>
      <c r="P1176" s="2">
        <v>72.550985999999995</v>
      </c>
      <c r="Q1176" s="2">
        <v>23.036027000000001</v>
      </c>
    </row>
    <row r="1177" spans="1:17" x14ac:dyDescent="0.25">
      <c r="A1177" s="2">
        <v>1325</v>
      </c>
      <c r="B1177" s="2" t="s">
        <v>15</v>
      </c>
      <c r="C1177" s="2">
        <v>23</v>
      </c>
      <c r="D1177" s="2">
        <f t="shared" si="180"/>
        <v>58.42</v>
      </c>
      <c r="E1177" s="2">
        <f t="shared" si="181"/>
        <v>18.595663550857051</v>
      </c>
      <c r="F1177" s="2">
        <f t="shared" si="182"/>
        <v>7.3211273822271856</v>
      </c>
      <c r="G1177" s="2">
        <v>7.133947</v>
      </c>
      <c r="H1177" s="2">
        <f t="shared" si="183"/>
        <v>23.405338675479999</v>
      </c>
      <c r="I1177" s="2">
        <f>INDEX('Wood Density Lookup'!$B$2:$B$152,MATCH(B1177,'Wood Density Lookup'!$A$2:$A$152,0))</f>
        <v>0.75</v>
      </c>
      <c r="J1177" s="2">
        <f t="shared" si="184"/>
        <v>103.94806707300621</v>
      </c>
      <c r="K1177" s="2">
        <f t="shared" si="188"/>
        <v>29.105458780441744</v>
      </c>
      <c r="L1177" s="2">
        <f t="shared" si="189"/>
        <v>133.05352585344795</v>
      </c>
      <c r="M1177" s="2">
        <f t="shared" si="185"/>
        <v>96.463806243749758</v>
      </c>
      <c r="N1177" s="2">
        <f t="shared" si="186"/>
        <v>48.231903121874879</v>
      </c>
      <c r="O1177" s="2">
        <f t="shared" si="187"/>
        <v>177.01108445728082</v>
      </c>
      <c r="P1177" s="2">
        <v>72.550987000000006</v>
      </c>
      <c r="Q1177" s="2">
        <v>23.037645999999999</v>
      </c>
    </row>
    <row r="1178" spans="1:17" x14ac:dyDescent="0.25">
      <c r="A1178" s="2">
        <v>1326</v>
      </c>
      <c r="B1178" s="2" t="s">
        <v>82</v>
      </c>
      <c r="C1178" s="2">
        <v>4</v>
      </c>
      <c r="D1178" s="2">
        <f t="shared" si="180"/>
        <v>10.16</v>
      </c>
      <c r="E1178" s="2">
        <f t="shared" si="181"/>
        <v>3.2340284436273135</v>
      </c>
      <c r="F1178" s="2">
        <f t="shared" si="182"/>
        <v>1.2732395447351628</v>
      </c>
      <c r="G1178" s="2">
        <v>10.811736</v>
      </c>
      <c r="H1178" s="2">
        <f t="shared" si="183"/>
        <v>35.471575938240001</v>
      </c>
      <c r="I1178" s="2">
        <f>INDEX('Wood Density Lookup'!$B$2:$B$152,MATCH(B1178,'Wood Density Lookup'!$A$2:$A$152,0))</f>
        <v>0.7</v>
      </c>
      <c r="J1178" s="2">
        <f t="shared" si="184"/>
        <v>4.796590687086808</v>
      </c>
      <c r="K1178" s="2">
        <f t="shared" si="188"/>
        <v>1.3430453923843064</v>
      </c>
      <c r="L1178" s="2">
        <f t="shared" si="189"/>
        <v>6.1396360794711144</v>
      </c>
      <c r="M1178" s="2">
        <f t="shared" si="185"/>
        <v>4.4512361576165578</v>
      </c>
      <c r="N1178" s="2">
        <f t="shared" si="186"/>
        <v>2.2256180788082789</v>
      </c>
      <c r="O1178" s="2">
        <f t="shared" si="187"/>
        <v>8.1680183492263829</v>
      </c>
      <c r="P1178" s="2">
        <v>72.550987000000006</v>
      </c>
      <c r="Q1178" s="2">
        <v>23.035710000000002</v>
      </c>
    </row>
    <row r="1179" spans="1:17" x14ac:dyDescent="0.25">
      <c r="A1179" s="2">
        <v>1327</v>
      </c>
      <c r="B1179" s="2" t="s">
        <v>82</v>
      </c>
      <c r="C1179" s="2">
        <v>3</v>
      </c>
      <c r="D1179" s="2">
        <f t="shared" si="180"/>
        <v>7.62</v>
      </c>
      <c r="E1179" s="2">
        <f t="shared" si="181"/>
        <v>2.4255213327204852</v>
      </c>
      <c r="F1179" s="2">
        <f t="shared" si="182"/>
        <v>0.95492965855137202</v>
      </c>
      <c r="G1179" s="2">
        <v>14.916130000000001</v>
      </c>
      <c r="H1179" s="2">
        <f t="shared" si="183"/>
        <v>48.937435949200001</v>
      </c>
      <c r="I1179" s="2">
        <f>INDEX('Wood Density Lookup'!$B$2:$B$152,MATCH(B1179,'Wood Density Lookup'!$A$2:$A$152,0))</f>
        <v>0.7</v>
      </c>
      <c r="J1179" s="2">
        <f t="shared" si="184"/>
        <v>3.745059446259591</v>
      </c>
      <c r="K1179" s="2">
        <f t="shared" si="188"/>
        <v>1.0486166449526855</v>
      </c>
      <c r="L1179" s="2">
        <f t="shared" si="189"/>
        <v>4.7936760912122764</v>
      </c>
      <c r="M1179" s="2">
        <f t="shared" si="185"/>
        <v>3.4754151661289003</v>
      </c>
      <c r="N1179" s="2">
        <f t="shared" si="186"/>
        <v>1.7377075830644502</v>
      </c>
      <c r="O1179" s="2">
        <f t="shared" si="187"/>
        <v>6.3773868298465324</v>
      </c>
      <c r="P1179" s="2">
        <v>72.550987000000006</v>
      </c>
      <c r="Q1179" s="2">
        <v>23.035765999999999</v>
      </c>
    </row>
    <row r="1180" spans="1:17" x14ac:dyDescent="0.25">
      <c r="A1180" s="2">
        <v>1328</v>
      </c>
      <c r="B1180" s="2" t="s">
        <v>82</v>
      </c>
      <c r="C1180" s="2">
        <v>3</v>
      </c>
      <c r="D1180" s="2">
        <f t="shared" si="180"/>
        <v>7.62</v>
      </c>
      <c r="E1180" s="2">
        <f t="shared" si="181"/>
        <v>2.4255213327204852</v>
      </c>
      <c r="F1180" s="2">
        <f t="shared" si="182"/>
        <v>0.95492965855137202</v>
      </c>
      <c r="G1180" s="2">
        <v>19.136935000000001</v>
      </c>
      <c r="H1180" s="2">
        <f t="shared" si="183"/>
        <v>62.785221825400001</v>
      </c>
      <c r="I1180" s="2">
        <f>INDEX('Wood Density Lookup'!$B$2:$B$152,MATCH(B1180,'Wood Density Lookup'!$A$2:$A$152,0))</f>
        <v>0.7</v>
      </c>
      <c r="J1180" s="2">
        <f t="shared" si="184"/>
        <v>4.7761476973683896</v>
      </c>
      <c r="K1180" s="2">
        <f t="shared" si="188"/>
        <v>1.3373213552631493</v>
      </c>
      <c r="L1180" s="2">
        <f t="shared" si="189"/>
        <v>6.1134690526315385</v>
      </c>
      <c r="M1180" s="2">
        <f t="shared" si="185"/>
        <v>4.4322650631578648</v>
      </c>
      <c r="N1180" s="2">
        <f t="shared" si="186"/>
        <v>2.2161325315789324</v>
      </c>
      <c r="O1180" s="2">
        <f t="shared" si="187"/>
        <v>8.1332063908946814</v>
      </c>
      <c r="P1180" s="2">
        <v>72.550988000000004</v>
      </c>
      <c r="Q1180" s="2">
        <v>23.035796000000001</v>
      </c>
    </row>
    <row r="1181" spans="1:17" x14ac:dyDescent="0.25">
      <c r="A1181" s="2">
        <v>1329</v>
      </c>
      <c r="B1181" s="2" t="s">
        <v>9</v>
      </c>
      <c r="C1181" s="2">
        <v>14</v>
      </c>
      <c r="D1181" s="2">
        <f t="shared" si="180"/>
        <v>35.56</v>
      </c>
      <c r="E1181" s="2">
        <f t="shared" si="181"/>
        <v>11.319099552695597</v>
      </c>
      <c r="F1181" s="2">
        <f t="shared" si="182"/>
        <v>4.45633840657307</v>
      </c>
      <c r="G1181" s="2">
        <v>12.716264000000001</v>
      </c>
      <c r="H1181" s="2">
        <f t="shared" si="183"/>
        <v>41.72002758176</v>
      </c>
      <c r="I1181" s="2">
        <f>INDEX('Wood Density Lookup'!$B$2:$B$152,MATCH(B1181,'Wood Density Lookup'!$A$2:$A$152,0))</f>
        <v>0.42</v>
      </c>
      <c r="J1181" s="2">
        <f t="shared" si="184"/>
        <v>39.373322803501303</v>
      </c>
      <c r="K1181" s="2">
        <f t="shared" si="188"/>
        <v>11.024530384980366</v>
      </c>
      <c r="L1181" s="2">
        <f t="shared" si="189"/>
        <v>50.397853188481669</v>
      </c>
      <c r="M1181" s="2">
        <f t="shared" si="185"/>
        <v>36.53844356164921</v>
      </c>
      <c r="N1181" s="2">
        <f t="shared" si="186"/>
        <v>18.269221780824605</v>
      </c>
      <c r="O1181" s="2">
        <f t="shared" si="187"/>
        <v>67.048043935626296</v>
      </c>
      <c r="P1181" s="2">
        <v>72.550989000000001</v>
      </c>
      <c r="Q1181" s="2">
        <v>23.035972000000001</v>
      </c>
    </row>
    <row r="1182" spans="1:17" x14ac:dyDescent="0.25">
      <c r="A1182" s="2">
        <v>1330</v>
      </c>
      <c r="B1182" s="2" t="s">
        <v>72</v>
      </c>
      <c r="C1182" s="2">
        <v>67</v>
      </c>
      <c r="D1182" s="2">
        <f t="shared" si="180"/>
        <v>170.18</v>
      </c>
      <c r="E1182" s="2">
        <f t="shared" si="181"/>
        <v>54.169976430757501</v>
      </c>
      <c r="F1182" s="2">
        <f t="shared" si="182"/>
        <v>21.326762374313976</v>
      </c>
      <c r="G1182" s="2">
        <v>14.704682</v>
      </c>
      <c r="H1182" s="2">
        <f t="shared" si="183"/>
        <v>48.243708892880001</v>
      </c>
      <c r="I1182" s="2">
        <f>INDEX('Wood Density Lookup'!$B$2:$B$152,MATCH(B1182,'Wood Density Lookup'!$A$2:$A$152,0))</f>
        <v>0.65</v>
      </c>
      <c r="J1182" s="2">
        <f t="shared" si="184"/>
        <v>1476.2233832376944</v>
      </c>
      <c r="K1182" s="2">
        <f t="shared" si="188"/>
        <v>413.34254730655448</v>
      </c>
      <c r="L1182" s="2">
        <f t="shared" si="189"/>
        <v>1889.5659305442489</v>
      </c>
      <c r="M1182" s="2">
        <f t="shared" si="185"/>
        <v>1369.9352996445805</v>
      </c>
      <c r="N1182" s="2">
        <f t="shared" si="186"/>
        <v>684.96764982229024</v>
      </c>
      <c r="O1182" s="2">
        <f t="shared" si="187"/>
        <v>2513.8312748478052</v>
      </c>
      <c r="P1182" s="2">
        <v>72.550989999999999</v>
      </c>
      <c r="Q1182" s="2">
        <v>23.035736</v>
      </c>
    </row>
    <row r="1183" spans="1:17" x14ac:dyDescent="0.25">
      <c r="A1183" s="2">
        <v>1331</v>
      </c>
      <c r="B1183" s="2" t="s">
        <v>9</v>
      </c>
      <c r="C1183" s="2">
        <v>12</v>
      </c>
      <c r="D1183" s="2">
        <f t="shared" si="180"/>
        <v>30.48</v>
      </c>
      <c r="E1183" s="2">
        <f t="shared" si="181"/>
        <v>9.7020853308819408</v>
      </c>
      <c r="F1183" s="2">
        <f t="shared" si="182"/>
        <v>3.8197186342054881</v>
      </c>
      <c r="G1183" s="2">
        <v>6.1649900000000004</v>
      </c>
      <c r="H1183" s="2">
        <f t="shared" si="183"/>
        <v>20.2263457916</v>
      </c>
      <c r="I1183" s="2">
        <f>INDEX('Wood Density Lookup'!$B$2:$B$152,MATCH(B1183,'Wood Density Lookup'!$A$2:$A$152,0))</f>
        <v>0.42</v>
      </c>
      <c r="J1183" s="2">
        <f t="shared" si="184"/>
        <v>14.37609806898891</v>
      </c>
      <c r="K1183" s="2">
        <f t="shared" si="188"/>
        <v>4.0253074593168954</v>
      </c>
      <c r="L1183" s="2">
        <f t="shared" si="189"/>
        <v>18.401405528305805</v>
      </c>
      <c r="M1183" s="2">
        <f t="shared" si="185"/>
        <v>13.341019008021709</v>
      </c>
      <c r="N1183" s="2">
        <f t="shared" si="186"/>
        <v>6.6705095040108544</v>
      </c>
      <c r="O1183" s="2">
        <f t="shared" si="187"/>
        <v>24.480769879719833</v>
      </c>
      <c r="P1183" s="2">
        <v>72.550991999999994</v>
      </c>
      <c r="Q1183" s="2">
        <v>23.037053</v>
      </c>
    </row>
    <row r="1184" spans="1:17" x14ac:dyDescent="0.25">
      <c r="A1184" s="2">
        <v>1332</v>
      </c>
      <c r="B1184" s="2" t="s">
        <v>107</v>
      </c>
      <c r="C1184" s="2">
        <v>27</v>
      </c>
      <c r="D1184" s="2">
        <f t="shared" si="180"/>
        <v>68.58</v>
      </c>
      <c r="E1184" s="2">
        <f t="shared" si="181"/>
        <v>21.829691994484364</v>
      </c>
      <c r="F1184" s="2">
        <f t="shared" si="182"/>
        <v>8.5943669269623477</v>
      </c>
      <c r="G1184" s="2">
        <v>4.0520370000000003</v>
      </c>
      <c r="H1184" s="2">
        <f t="shared" si="183"/>
        <v>13.294085071080001</v>
      </c>
      <c r="I1184" s="2">
        <f>INDEX('Wood Density Lookup'!$B$2:$B$152,MATCH(B1184,'Wood Density Lookup'!$A$2:$A$152,0))</f>
        <v>0.65</v>
      </c>
      <c r="J1184" s="2">
        <f t="shared" si="184"/>
        <v>71.175196033777652</v>
      </c>
      <c r="K1184" s="2">
        <f t="shared" si="188"/>
        <v>19.929054889457746</v>
      </c>
      <c r="L1184" s="2">
        <f t="shared" si="189"/>
        <v>91.104250923235398</v>
      </c>
      <c r="M1184" s="2">
        <f t="shared" si="185"/>
        <v>66.05058191934566</v>
      </c>
      <c r="N1184" s="2">
        <f t="shared" si="186"/>
        <v>33.02529095967283</v>
      </c>
      <c r="O1184" s="2">
        <f t="shared" si="187"/>
        <v>121.20281782199929</v>
      </c>
      <c r="P1184" s="2">
        <v>72.550993000000005</v>
      </c>
      <c r="Q1184" s="2">
        <v>23.037448999999999</v>
      </c>
    </row>
    <row r="1185" spans="1:17" x14ac:dyDescent="0.25">
      <c r="A1185" s="2">
        <v>1333</v>
      </c>
      <c r="B1185" s="2" t="s">
        <v>31</v>
      </c>
      <c r="C1185" s="2">
        <v>17</v>
      </c>
      <c r="D1185" s="2">
        <f t="shared" si="180"/>
        <v>43.18</v>
      </c>
      <c r="E1185" s="2">
        <f t="shared" si="181"/>
        <v>13.744620885416081</v>
      </c>
      <c r="F1185" s="2">
        <f t="shared" si="182"/>
        <v>5.4112680651244416</v>
      </c>
      <c r="G1185" s="2">
        <v>4.1506949999999998</v>
      </c>
      <c r="H1185" s="2">
        <f t="shared" si="183"/>
        <v>13.617766183799999</v>
      </c>
      <c r="I1185" s="2">
        <f>INDEX('Wood Density Lookup'!$B$2:$B$152,MATCH(B1185,'Wood Density Lookup'!$A$2:$A$152,0))</f>
        <v>0.78</v>
      </c>
      <c r="J1185" s="2">
        <f t="shared" si="184"/>
        <v>35.287466305497276</v>
      </c>
      <c r="K1185" s="2">
        <f t="shared" si="188"/>
        <v>9.8804905655392385</v>
      </c>
      <c r="L1185" s="2">
        <f t="shared" si="189"/>
        <v>45.167956871036516</v>
      </c>
      <c r="M1185" s="2">
        <f t="shared" si="185"/>
        <v>32.746768731501476</v>
      </c>
      <c r="N1185" s="2">
        <f t="shared" si="186"/>
        <v>16.373384365750738</v>
      </c>
      <c r="O1185" s="2">
        <f t="shared" si="187"/>
        <v>60.090320622305207</v>
      </c>
      <c r="P1185" s="2">
        <v>72.550993000000005</v>
      </c>
      <c r="Q1185" s="2">
        <v>23.036529000000002</v>
      </c>
    </row>
    <row r="1186" spans="1:17" x14ac:dyDescent="0.25">
      <c r="A1186" s="2">
        <v>1334</v>
      </c>
      <c r="B1186" s="2" t="s">
        <v>9</v>
      </c>
      <c r="C1186" s="2">
        <v>9</v>
      </c>
      <c r="D1186" s="2">
        <f t="shared" si="180"/>
        <v>22.86</v>
      </c>
      <c r="E1186" s="2">
        <f t="shared" si="181"/>
        <v>7.2765639981614552</v>
      </c>
      <c r="F1186" s="2">
        <f t="shared" si="182"/>
        <v>2.8647889756541161</v>
      </c>
      <c r="G1186" s="2">
        <v>7.1320480000000002</v>
      </c>
      <c r="H1186" s="2">
        <f t="shared" si="183"/>
        <v>23.39910836032</v>
      </c>
      <c r="I1186" s="2">
        <f>INDEX('Wood Density Lookup'!$B$2:$B$152,MATCH(B1186,'Wood Density Lookup'!$A$2:$A$152,0))</f>
        <v>0.42</v>
      </c>
      <c r="J1186" s="2">
        <f t="shared" si="184"/>
        <v>9.4520003412264035</v>
      </c>
      <c r="K1186" s="2">
        <f t="shared" si="188"/>
        <v>2.6465600955433932</v>
      </c>
      <c r="L1186" s="2">
        <f t="shared" si="189"/>
        <v>12.098560436769796</v>
      </c>
      <c r="M1186" s="2">
        <f t="shared" si="185"/>
        <v>8.7714563166581012</v>
      </c>
      <c r="N1186" s="2">
        <f t="shared" si="186"/>
        <v>4.3857281583290506</v>
      </c>
      <c r="O1186" s="2">
        <f t="shared" si="187"/>
        <v>16.095622341067614</v>
      </c>
      <c r="P1186" s="2">
        <v>72.550993000000005</v>
      </c>
      <c r="Q1186" s="2">
        <v>23.036919999999999</v>
      </c>
    </row>
    <row r="1187" spans="1:17" x14ac:dyDescent="0.25">
      <c r="A1187" s="2">
        <v>1335</v>
      </c>
      <c r="B1187" s="2" t="s">
        <v>96</v>
      </c>
      <c r="C1187" s="2">
        <v>4</v>
      </c>
      <c r="D1187" s="2">
        <f t="shared" si="180"/>
        <v>10.16</v>
      </c>
      <c r="E1187" s="2">
        <f t="shared" si="181"/>
        <v>3.2340284436273135</v>
      </c>
      <c r="F1187" s="2">
        <f t="shared" si="182"/>
        <v>1.2732395447351628</v>
      </c>
      <c r="G1187" s="2">
        <v>1.0797760000000001</v>
      </c>
      <c r="H1187" s="2">
        <f t="shared" si="183"/>
        <v>3.54257229184</v>
      </c>
      <c r="I1187" s="2">
        <f>INDEX('Wood Density Lookup'!$B$2:$B$152,MATCH(B1187,'Wood Density Lookup'!$A$2:$A$152,0))</f>
        <v>0.65</v>
      </c>
      <c r="J1187" s="2">
        <f t="shared" si="184"/>
        <v>0.47094710211165608</v>
      </c>
      <c r="K1187" s="2">
        <f t="shared" si="188"/>
        <v>0.13186518859126373</v>
      </c>
      <c r="L1187" s="2">
        <f t="shared" si="189"/>
        <v>0.60281229070291986</v>
      </c>
      <c r="M1187" s="2">
        <f t="shared" si="185"/>
        <v>0.43703891075961687</v>
      </c>
      <c r="N1187" s="2">
        <f t="shared" si="186"/>
        <v>0.21851945537980844</v>
      </c>
      <c r="O1187" s="2">
        <f t="shared" si="187"/>
        <v>0.80196640124389695</v>
      </c>
      <c r="P1187" s="2">
        <v>72.550994000000003</v>
      </c>
      <c r="Q1187" s="2">
        <v>23.035252</v>
      </c>
    </row>
    <row r="1188" spans="1:17" x14ac:dyDescent="0.25">
      <c r="A1188" s="2">
        <v>1336</v>
      </c>
      <c r="B1188" s="2" t="s">
        <v>107</v>
      </c>
      <c r="C1188" s="2">
        <v>28</v>
      </c>
      <c r="D1188" s="2">
        <f t="shared" si="180"/>
        <v>71.12</v>
      </c>
      <c r="E1188" s="2">
        <f t="shared" si="181"/>
        <v>22.638199105391195</v>
      </c>
      <c r="F1188" s="2">
        <f t="shared" si="182"/>
        <v>8.91267681314614</v>
      </c>
      <c r="G1188" s="2">
        <v>3.802419</v>
      </c>
      <c r="H1188" s="2">
        <f t="shared" si="183"/>
        <v>12.47512835196</v>
      </c>
      <c r="I1188" s="2">
        <f>INDEX('Wood Density Lookup'!$B$2:$B$152,MATCH(B1188,'Wood Density Lookup'!$A$2:$A$152,0))</f>
        <v>0.65</v>
      </c>
      <c r="J1188" s="2">
        <f t="shared" si="184"/>
        <v>71.813876897416591</v>
      </c>
      <c r="K1188" s="2">
        <f t="shared" si="188"/>
        <v>20.107885531276647</v>
      </c>
      <c r="L1188" s="2">
        <f t="shared" si="189"/>
        <v>91.921762428693242</v>
      </c>
      <c r="M1188" s="2">
        <f t="shared" si="185"/>
        <v>66.643277760802604</v>
      </c>
      <c r="N1188" s="2">
        <f t="shared" si="186"/>
        <v>33.321638880401302</v>
      </c>
      <c r="O1188" s="2">
        <f t="shared" si="187"/>
        <v>122.29041469107278</v>
      </c>
      <c r="P1188" s="2">
        <v>72.550995999999998</v>
      </c>
      <c r="Q1188" s="2">
        <v>23.037517999999999</v>
      </c>
    </row>
    <row r="1189" spans="1:17" x14ac:dyDescent="0.25">
      <c r="A1189" s="2">
        <v>1337</v>
      </c>
      <c r="B1189" s="2" t="s">
        <v>107</v>
      </c>
      <c r="C1189" s="2">
        <v>7</v>
      </c>
      <c r="D1189" s="2">
        <f t="shared" si="180"/>
        <v>17.78</v>
      </c>
      <c r="E1189" s="2">
        <f t="shared" si="181"/>
        <v>5.6595497763477987</v>
      </c>
      <c r="F1189" s="2">
        <f t="shared" si="182"/>
        <v>2.228169203286535</v>
      </c>
      <c r="G1189" s="2">
        <v>6.6793069999999997</v>
      </c>
      <c r="H1189" s="2">
        <f t="shared" si="183"/>
        <v>21.913737577879999</v>
      </c>
      <c r="I1189" s="2">
        <f>INDEX('Wood Density Lookup'!$B$2:$B$152,MATCH(B1189,'Wood Density Lookup'!$A$2:$A$152,0))</f>
        <v>0.65</v>
      </c>
      <c r="J1189" s="2">
        <f t="shared" si="184"/>
        <v>8.3135514600067726</v>
      </c>
      <c r="K1189" s="2">
        <f t="shared" si="188"/>
        <v>2.3277944088018967</v>
      </c>
      <c r="L1189" s="2">
        <f t="shared" si="189"/>
        <v>10.641345868808669</v>
      </c>
      <c r="M1189" s="2">
        <f t="shared" si="185"/>
        <v>7.714975754886285</v>
      </c>
      <c r="N1189" s="2">
        <f t="shared" si="186"/>
        <v>3.8574878774431425</v>
      </c>
      <c r="O1189" s="2">
        <f t="shared" si="187"/>
        <v>14.156980510216332</v>
      </c>
      <c r="P1189" s="2">
        <v>72.550998000000007</v>
      </c>
      <c r="Q1189" s="2">
        <v>23.036769</v>
      </c>
    </row>
    <row r="1190" spans="1:17" x14ac:dyDescent="0.25">
      <c r="A1190" s="2">
        <v>1338</v>
      </c>
      <c r="B1190" s="2" t="s">
        <v>9</v>
      </c>
      <c r="C1190" s="2">
        <v>31</v>
      </c>
      <c r="D1190" s="2">
        <f t="shared" si="180"/>
        <v>78.739999999999995</v>
      </c>
      <c r="E1190" s="2">
        <f t="shared" si="181"/>
        <v>25.063720438111677</v>
      </c>
      <c r="F1190" s="2">
        <f t="shared" si="182"/>
        <v>9.8676064716975116</v>
      </c>
      <c r="G1190" s="2">
        <v>3.1573319999999998</v>
      </c>
      <c r="H1190" s="2">
        <f t="shared" si="183"/>
        <v>10.358701118879999</v>
      </c>
      <c r="I1190" s="2">
        <f>INDEX('Wood Density Lookup'!$B$2:$B$152,MATCH(B1190,'Wood Density Lookup'!$A$2:$A$152,0))</f>
        <v>0.42</v>
      </c>
      <c r="J1190" s="2">
        <f t="shared" si="184"/>
        <v>47.706749464936571</v>
      </c>
      <c r="K1190" s="2">
        <f t="shared" si="188"/>
        <v>13.357889850182241</v>
      </c>
      <c r="L1190" s="2">
        <f t="shared" si="189"/>
        <v>61.064639315118811</v>
      </c>
      <c r="M1190" s="2">
        <f t="shared" si="185"/>
        <v>44.271863503461134</v>
      </c>
      <c r="N1190" s="2">
        <f t="shared" si="186"/>
        <v>22.135931751730567</v>
      </c>
      <c r="O1190" s="2">
        <f t="shared" si="187"/>
        <v>81.238869528851183</v>
      </c>
      <c r="P1190" s="2">
        <v>72.550998000000007</v>
      </c>
      <c r="Q1190" s="2">
        <v>23.036519999999999</v>
      </c>
    </row>
    <row r="1191" spans="1:17" x14ac:dyDescent="0.25">
      <c r="A1191" s="2">
        <v>1339</v>
      </c>
      <c r="B1191" s="2" t="s">
        <v>143</v>
      </c>
      <c r="C1191" s="2">
        <v>2</v>
      </c>
      <c r="D1191" s="2">
        <f t="shared" si="180"/>
        <v>5.08</v>
      </c>
      <c r="E1191" s="2">
        <f t="shared" si="181"/>
        <v>1.6170142218136567</v>
      </c>
      <c r="F1191" s="2">
        <f t="shared" si="182"/>
        <v>0.63661977236758138</v>
      </c>
      <c r="G1191" s="2">
        <v>2.0137299999999998</v>
      </c>
      <c r="H1191" s="2">
        <f t="shared" si="183"/>
        <v>6.606725933199999</v>
      </c>
      <c r="I1191" s="2">
        <f>INDEX('Wood Density Lookup'!$B$2:$B$152,MATCH(B1191,'Wood Density Lookup'!$A$2:$A$152,0))</f>
        <v>0.75</v>
      </c>
      <c r="J1191" s="2">
        <f t="shared" si="184"/>
        <v>0.25715174902035515</v>
      </c>
      <c r="K1191" s="2">
        <f t="shared" si="188"/>
        <v>7.2002489725699448E-2</v>
      </c>
      <c r="L1191" s="2">
        <f t="shared" si="189"/>
        <v>0.32915423874605459</v>
      </c>
      <c r="M1191" s="2">
        <f t="shared" si="185"/>
        <v>0.23863682309088957</v>
      </c>
      <c r="N1191" s="2">
        <f t="shared" si="186"/>
        <v>0.11931841154544479</v>
      </c>
      <c r="O1191" s="2">
        <f t="shared" si="187"/>
        <v>0.43789857037178237</v>
      </c>
      <c r="P1191" s="2">
        <v>72.551000000000002</v>
      </c>
      <c r="Q1191" s="2">
        <v>23.037565000000001</v>
      </c>
    </row>
    <row r="1192" spans="1:17" x14ac:dyDescent="0.25">
      <c r="A1192" s="2">
        <v>1340</v>
      </c>
      <c r="B1192" s="2" t="s">
        <v>14</v>
      </c>
      <c r="C1192" s="2">
        <v>91</v>
      </c>
      <c r="D1192" s="2">
        <f t="shared" si="180"/>
        <v>231.14000000000001</v>
      </c>
      <c r="E1192" s="2">
        <f t="shared" si="181"/>
        <v>73.574147092521386</v>
      </c>
      <c r="F1192" s="2">
        <f t="shared" si="182"/>
        <v>28.966199642724952</v>
      </c>
      <c r="G1192" s="2">
        <v>10.042808000000001</v>
      </c>
      <c r="H1192" s="2">
        <f t="shared" si="183"/>
        <v>32.948846198720005</v>
      </c>
      <c r="I1192" s="2">
        <f>INDEX('Wood Density Lookup'!$B$2:$B$152,MATCH(B1192,'Wood Density Lookup'!$A$2:$A$152,0))</f>
        <v>0.6</v>
      </c>
      <c r="J1192" s="2">
        <f t="shared" si="184"/>
        <v>1710.6020248744708</v>
      </c>
      <c r="K1192" s="2">
        <f t="shared" si="188"/>
        <v>478.96856696485185</v>
      </c>
      <c r="L1192" s="2">
        <f t="shared" si="189"/>
        <v>2189.5705918393228</v>
      </c>
      <c r="M1192" s="2">
        <f t="shared" si="185"/>
        <v>1587.438679083509</v>
      </c>
      <c r="N1192" s="2">
        <f t="shared" si="186"/>
        <v>793.71933954175449</v>
      </c>
      <c r="O1192" s="2">
        <f t="shared" si="187"/>
        <v>2912.9499761182387</v>
      </c>
      <c r="P1192" s="2">
        <v>72.551002999999994</v>
      </c>
      <c r="Q1192" s="2">
        <v>23.034811999999999</v>
      </c>
    </row>
    <row r="1193" spans="1:17" x14ac:dyDescent="0.25">
      <c r="A1193" s="2">
        <v>1341</v>
      </c>
      <c r="B1193" s="2" t="s">
        <v>135</v>
      </c>
      <c r="C1193" s="2">
        <v>9</v>
      </c>
      <c r="D1193" s="2">
        <f t="shared" si="180"/>
        <v>22.86</v>
      </c>
      <c r="E1193" s="2">
        <f t="shared" si="181"/>
        <v>7.2765639981614552</v>
      </c>
      <c r="F1193" s="2">
        <f t="shared" si="182"/>
        <v>2.8647889756541161</v>
      </c>
      <c r="G1193" s="2">
        <v>6.2898449999999997</v>
      </c>
      <c r="H1193" s="2">
        <f t="shared" si="183"/>
        <v>20.635975069799997</v>
      </c>
      <c r="I1193" s="2">
        <f>INDEX('Wood Density Lookup'!$B$2:$B$152,MATCH(B1193,'Wood Density Lookup'!$A$2:$A$152,0))</f>
        <v>0.8</v>
      </c>
      <c r="J1193" s="2">
        <f t="shared" si="184"/>
        <v>15.681359741715195</v>
      </c>
      <c r="K1193" s="2">
        <f t="shared" si="188"/>
        <v>4.3907807276802551</v>
      </c>
      <c r="L1193" s="2">
        <f t="shared" si="189"/>
        <v>20.07214046939545</v>
      </c>
      <c r="M1193" s="2">
        <f t="shared" si="185"/>
        <v>14.552301840311701</v>
      </c>
      <c r="N1193" s="2">
        <f t="shared" si="186"/>
        <v>7.2761509201558505</v>
      </c>
      <c r="O1193" s="2">
        <f t="shared" si="187"/>
        <v>26.70347387697197</v>
      </c>
      <c r="P1193" s="2">
        <v>72.551002999999994</v>
      </c>
      <c r="Q1193" s="2">
        <v>23.035235</v>
      </c>
    </row>
    <row r="1194" spans="1:17" x14ac:dyDescent="0.25">
      <c r="A1194" s="2">
        <v>1342</v>
      </c>
      <c r="B1194" s="2" t="s">
        <v>79</v>
      </c>
      <c r="C1194" s="2">
        <v>72</v>
      </c>
      <c r="D1194" s="2">
        <f t="shared" si="180"/>
        <v>182.88</v>
      </c>
      <c r="E1194" s="2">
        <f t="shared" si="181"/>
        <v>58.212511985291641</v>
      </c>
      <c r="F1194" s="2">
        <f t="shared" si="182"/>
        <v>22.918311805232928</v>
      </c>
      <c r="G1194" s="2">
        <v>9.0428080000000008</v>
      </c>
      <c r="H1194" s="2">
        <f t="shared" si="183"/>
        <v>29.668006198720004</v>
      </c>
      <c r="I1194" s="2">
        <f>INDEX('Wood Density Lookup'!$B$2:$B$152,MATCH(B1194,'Wood Density Lookup'!$A$2:$A$152,0))</f>
        <v>0.45</v>
      </c>
      <c r="J1194" s="2">
        <f t="shared" si="184"/>
        <v>738.26861195577567</v>
      </c>
      <c r="K1194" s="2">
        <f t="shared" si="188"/>
        <v>206.71521134761721</v>
      </c>
      <c r="L1194" s="2">
        <f t="shared" si="189"/>
        <v>944.98382330339291</v>
      </c>
      <c r="M1194" s="2">
        <f t="shared" si="185"/>
        <v>685.11327189495989</v>
      </c>
      <c r="N1194" s="2">
        <f t="shared" si="186"/>
        <v>342.55663594747995</v>
      </c>
      <c r="O1194" s="2">
        <f t="shared" si="187"/>
        <v>1257.1828539272515</v>
      </c>
      <c r="P1194" s="2">
        <v>72.551002999999994</v>
      </c>
      <c r="Q1194" s="2">
        <v>23.034811999999999</v>
      </c>
    </row>
    <row r="1195" spans="1:17" x14ac:dyDescent="0.25">
      <c r="A1195" s="2">
        <v>1343</v>
      </c>
      <c r="B1195" s="2" t="s">
        <v>9</v>
      </c>
      <c r="C1195" s="2">
        <v>22</v>
      </c>
      <c r="D1195" s="2">
        <f t="shared" si="180"/>
        <v>55.88</v>
      </c>
      <c r="E1195" s="2">
        <f t="shared" si="181"/>
        <v>17.787156439950223</v>
      </c>
      <c r="F1195" s="2">
        <f t="shared" si="182"/>
        <v>7.0028174960433951</v>
      </c>
      <c r="G1195" s="2">
        <v>10.070905</v>
      </c>
      <c r="H1195" s="2">
        <f t="shared" si="183"/>
        <v>33.041027960199997</v>
      </c>
      <c r="I1195" s="2">
        <f>INDEX('Wood Density Lookup'!$B$2:$B$152,MATCH(B1195,'Wood Density Lookup'!$A$2:$A$152,0))</f>
        <v>0.42</v>
      </c>
      <c r="J1195" s="2">
        <f t="shared" si="184"/>
        <v>75.772071991104497</v>
      </c>
      <c r="K1195" s="2">
        <f t="shared" si="188"/>
        <v>21.21618015750926</v>
      </c>
      <c r="L1195" s="2">
        <f t="shared" si="189"/>
        <v>96.988252148613753</v>
      </c>
      <c r="M1195" s="2">
        <f t="shared" si="185"/>
        <v>70.316482807744976</v>
      </c>
      <c r="N1195" s="2">
        <f t="shared" si="186"/>
        <v>35.158241403872488</v>
      </c>
      <c r="O1195" s="2">
        <f t="shared" si="187"/>
        <v>129.03074595221202</v>
      </c>
      <c r="P1195" s="2">
        <v>72.551004000000006</v>
      </c>
      <c r="Q1195" s="2">
        <v>23.036028999999999</v>
      </c>
    </row>
    <row r="1196" spans="1:17" x14ac:dyDescent="0.25">
      <c r="A1196" s="2">
        <v>1344</v>
      </c>
      <c r="B1196" s="2" t="s">
        <v>9</v>
      </c>
      <c r="C1196" s="2">
        <v>14</v>
      </c>
      <c r="D1196" s="2">
        <f t="shared" si="180"/>
        <v>35.56</v>
      </c>
      <c r="E1196" s="2">
        <f t="shared" si="181"/>
        <v>11.319099552695597</v>
      </c>
      <c r="F1196" s="2">
        <f t="shared" si="182"/>
        <v>4.45633840657307</v>
      </c>
      <c r="G1196" s="2">
        <v>7.2157429999999998</v>
      </c>
      <c r="H1196" s="2">
        <f t="shared" si="183"/>
        <v>23.673698264119999</v>
      </c>
      <c r="I1196" s="2">
        <f>INDEX('Wood Density Lookup'!$B$2:$B$152,MATCH(B1196,'Wood Density Lookup'!$A$2:$A$152,0))</f>
        <v>0.42</v>
      </c>
      <c r="J1196" s="2">
        <f t="shared" si="184"/>
        <v>22.647979956629143</v>
      </c>
      <c r="K1196" s="2">
        <f t="shared" si="188"/>
        <v>6.341434387856161</v>
      </c>
      <c r="L1196" s="2">
        <f t="shared" si="189"/>
        <v>28.989414344485304</v>
      </c>
      <c r="M1196" s="2">
        <f t="shared" si="185"/>
        <v>21.017325399751844</v>
      </c>
      <c r="N1196" s="2">
        <f t="shared" si="186"/>
        <v>10.508662699875922</v>
      </c>
      <c r="O1196" s="2">
        <f t="shared" si="187"/>
        <v>38.566792108544632</v>
      </c>
      <c r="P1196" s="2">
        <v>72.551006999999998</v>
      </c>
      <c r="Q1196" s="2">
        <v>23.037037999999999</v>
      </c>
    </row>
    <row r="1197" spans="1:17" x14ac:dyDescent="0.25">
      <c r="A1197" s="2">
        <v>1345</v>
      </c>
      <c r="B1197" s="2" t="s">
        <v>9</v>
      </c>
      <c r="C1197" s="2">
        <v>28</v>
      </c>
      <c r="D1197" s="2">
        <f t="shared" si="180"/>
        <v>71.12</v>
      </c>
      <c r="E1197" s="2">
        <f t="shared" si="181"/>
        <v>22.638199105391195</v>
      </c>
      <c r="F1197" s="2">
        <f t="shared" si="182"/>
        <v>8.91267681314614</v>
      </c>
      <c r="G1197" s="2">
        <v>8.124212</v>
      </c>
      <c r="H1197" s="2">
        <f t="shared" si="183"/>
        <v>26.654239698080001</v>
      </c>
      <c r="I1197" s="2">
        <f>INDEX('Wood Density Lookup'!$B$2:$B$152,MATCH(B1197,'Wood Density Lookup'!$A$2:$A$152,0))</f>
        <v>0.42</v>
      </c>
      <c r="J1197" s="2">
        <f t="shared" si="184"/>
        <v>98.379409155155969</v>
      </c>
      <c r="K1197" s="2">
        <f t="shared" si="188"/>
        <v>27.546234563443672</v>
      </c>
      <c r="L1197" s="2">
        <f t="shared" si="189"/>
        <v>125.92564371859964</v>
      </c>
      <c r="M1197" s="2">
        <f t="shared" si="185"/>
        <v>91.296091695984742</v>
      </c>
      <c r="N1197" s="2">
        <f t="shared" si="186"/>
        <v>45.648045847992371</v>
      </c>
      <c r="O1197" s="2">
        <f t="shared" si="187"/>
        <v>167.52832826213199</v>
      </c>
      <c r="P1197" s="2">
        <v>72.551007999999996</v>
      </c>
      <c r="Q1197" s="2">
        <v>23.036124999999998</v>
      </c>
    </row>
    <row r="1198" spans="1:17" x14ac:dyDescent="0.25">
      <c r="A1198" s="2">
        <v>1346</v>
      </c>
      <c r="B1198" s="2" t="s">
        <v>85</v>
      </c>
      <c r="C1198" s="2">
        <v>3</v>
      </c>
      <c r="D1198" s="2">
        <f t="shared" si="180"/>
        <v>7.62</v>
      </c>
      <c r="E1198" s="2">
        <f t="shared" si="181"/>
        <v>2.4255213327204852</v>
      </c>
      <c r="F1198" s="2">
        <f t="shared" si="182"/>
        <v>0.95492965855137202</v>
      </c>
      <c r="G1198" s="2">
        <v>2.2889940000000002</v>
      </c>
      <c r="H1198" s="2">
        <f t="shared" si="183"/>
        <v>7.5098230749600008</v>
      </c>
      <c r="I1198" s="2">
        <f>INDEX('Wood Density Lookup'!$B$2:$B$152,MATCH(B1198,'Wood Density Lookup'!$A$2:$A$152,0))</f>
        <v>0.6</v>
      </c>
      <c r="J1198" s="2">
        <f t="shared" si="184"/>
        <v>0.5171820219710046</v>
      </c>
      <c r="K1198" s="2">
        <f t="shared" si="188"/>
        <v>0.1448109661518813</v>
      </c>
      <c r="L1198" s="2">
        <f t="shared" si="189"/>
        <v>0.66199298812288587</v>
      </c>
      <c r="M1198" s="2">
        <f t="shared" si="185"/>
        <v>0.47994491638909226</v>
      </c>
      <c r="N1198" s="2">
        <f t="shared" si="186"/>
        <v>0.23997245819454613</v>
      </c>
      <c r="O1198" s="2">
        <f t="shared" si="187"/>
        <v>0.88069892157398433</v>
      </c>
      <c r="P1198" s="2">
        <v>72.551007999999996</v>
      </c>
      <c r="Q1198" s="2">
        <v>23.035081000000002</v>
      </c>
    </row>
    <row r="1199" spans="1:17" x14ac:dyDescent="0.25">
      <c r="A1199" s="2">
        <v>1347</v>
      </c>
      <c r="B1199" s="2" t="s">
        <v>114</v>
      </c>
      <c r="C1199" s="2">
        <v>38</v>
      </c>
      <c r="D1199" s="2">
        <f t="shared" si="180"/>
        <v>96.52</v>
      </c>
      <c r="E1199" s="2">
        <f t="shared" si="181"/>
        <v>30.723270214459475</v>
      </c>
      <c r="F1199" s="2">
        <f t="shared" si="182"/>
        <v>12.095775674984045</v>
      </c>
      <c r="G1199" s="2">
        <v>14.529680000000001</v>
      </c>
      <c r="H1199" s="2">
        <f t="shared" si="183"/>
        <v>47.669555331200002</v>
      </c>
      <c r="I1199" s="2">
        <f>INDEX('Wood Density Lookup'!$B$2:$B$152,MATCH(B1199,'Wood Density Lookup'!$A$2:$A$152,0))</f>
        <v>0.55000000000000004</v>
      </c>
      <c r="J1199" s="2">
        <f t="shared" si="184"/>
        <v>409.73908896648135</v>
      </c>
      <c r="K1199" s="2">
        <f t="shared" si="188"/>
        <v>114.72694491061479</v>
      </c>
      <c r="L1199" s="2">
        <f t="shared" si="189"/>
        <v>524.46603387709615</v>
      </c>
      <c r="M1199" s="2">
        <f t="shared" si="185"/>
        <v>380.23787456089468</v>
      </c>
      <c r="N1199" s="2">
        <f t="shared" si="186"/>
        <v>190.11893728044734</v>
      </c>
      <c r="O1199" s="2">
        <f t="shared" si="187"/>
        <v>697.73649981924177</v>
      </c>
      <c r="P1199" s="2">
        <v>72.551011000000003</v>
      </c>
      <c r="Q1199" s="2">
        <v>23.035509999999999</v>
      </c>
    </row>
    <row r="1200" spans="1:17" x14ac:dyDescent="0.25">
      <c r="A1200" s="2">
        <v>1348</v>
      </c>
      <c r="B1200" s="2" t="s">
        <v>15</v>
      </c>
      <c r="C1200" s="2">
        <v>3</v>
      </c>
      <c r="D1200" s="2">
        <f t="shared" si="180"/>
        <v>7.62</v>
      </c>
      <c r="E1200" s="2">
        <f t="shared" si="181"/>
        <v>2.4255213327204852</v>
      </c>
      <c r="F1200" s="2">
        <f t="shared" si="182"/>
        <v>0.95492965855137202</v>
      </c>
      <c r="G1200" s="2">
        <v>4.6974150000000003</v>
      </c>
      <c r="H1200" s="2">
        <f t="shared" si="183"/>
        <v>15.411467028600001</v>
      </c>
      <c r="I1200" s="2">
        <f>INDEX('Wood Density Lookup'!$B$2:$B$152,MATCH(B1200,'Wood Density Lookup'!$A$2:$A$152,0))</f>
        <v>0.75</v>
      </c>
      <c r="J1200" s="2">
        <f t="shared" si="184"/>
        <v>1.2970261308282325</v>
      </c>
      <c r="K1200" s="2">
        <f t="shared" si="188"/>
        <v>0.36316731663190516</v>
      </c>
      <c r="L1200" s="2">
        <f t="shared" si="189"/>
        <v>1.6601934474601376</v>
      </c>
      <c r="M1200" s="2">
        <f t="shared" si="185"/>
        <v>1.2036402494085998</v>
      </c>
      <c r="N1200" s="2">
        <f t="shared" si="186"/>
        <v>0.60182012470429991</v>
      </c>
      <c r="O1200" s="2">
        <f t="shared" si="187"/>
        <v>2.2086798576647806</v>
      </c>
      <c r="P1200" s="2">
        <v>72.551017999999999</v>
      </c>
      <c r="Q1200" s="2">
        <v>23.038761999999998</v>
      </c>
    </row>
    <row r="1201" spans="1:17" x14ac:dyDescent="0.25">
      <c r="A1201" s="2">
        <v>1349</v>
      </c>
      <c r="B1201" s="2" t="s">
        <v>62</v>
      </c>
      <c r="C1201" s="2">
        <v>27</v>
      </c>
      <c r="D1201" s="2">
        <f t="shared" si="180"/>
        <v>68.58</v>
      </c>
      <c r="E1201" s="2">
        <f t="shared" si="181"/>
        <v>21.829691994484364</v>
      </c>
      <c r="F1201" s="2">
        <f t="shared" si="182"/>
        <v>8.5943669269623477</v>
      </c>
      <c r="G1201" s="2">
        <v>8.9279689999999992</v>
      </c>
      <c r="H1201" s="2">
        <f t="shared" si="183"/>
        <v>29.291237813959999</v>
      </c>
      <c r="I1201" s="2">
        <f>INDEX('Wood Density Lookup'!$B$2:$B$152,MATCH(B1201,'Wood Density Lookup'!$A$2:$A$152,0))</f>
        <v>0.47</v>
      </c>
      <c r="J1201" s="2">
        <f t="shared" si="184"/>
        <v>112.13420645454494</v>
      </c>
      <c r="K1201" s="2">
        <f t="shared" si="188"/>
        <v>31.397577807272587</v>
      </c>
      <c r="L1201" s="2">
        <f t="shared" si="189"/>
        <v>143.53178426181753</v>
      </c>
      <c r="M1201" s="2">
        <f t="shared" si="185"/>
        <v>104.06054358981771</v>
      </c>
      <c r="N1201" s="2">
        <f t="shared" si="186"/>
        <v>52.030271794908856</v>
      </c>
      <c r="O1201" s="2">
        <f t="shared" si="187"/>
        <v>190.95109748731551</v>
      </c>
      <c r="P1201" s="2">
        <v>72.551019999999994</v>
      </c>
      <c r="Q1201" s="2">
        <v>23.037651</v>
      </c>
    </row>
    <row r="1202" spans="1:17" x14ac:dyDescent="0.25">
      <c r="A1202" s="2">
        <v>1350</v>
      </c>
      <c r="B1202" s="2" t="s">
        <v>9</v>
      </c>
      <c r="C1202" s="2">
        <v>29</v>
      </c>
      <c r="D1202" s="2">
        <f t="shared" si="180"/>
        <v>73.66</v>
      </c>
      <c r="E1202" s="2">
        <f t="shared" si="181"/>
        <v>23.446706216298022</v>
      </c>
      <c r="F1202" s="2">
        <f t="shared" si="182"/>
        <v>9.2309866993299305</v>
      </c>
      <c r="G1202" s="2">
        <v>6.1141129999999997</v>
      </c>
      <c r="H1202" s="2">
        <f t="shared" si="183"/>
        <v>20.05942649492</v>
      </c>
      <c r="I1202" s="2">
        <f>INDEX('Wood Density Lookup'!$B$2:$B$152,MATCH(B1202,'Wood Density Lookup'!$A$2:$A$152,0))</f>
        <v>0.42</v>
      </c>
      <c r="J1202" s="2">
        <f t="shared" si="184"/>
        <v>79.830267558409787</v>
      </c>
      <c r="K1202" s="2">
        <f t="shared" si="188"/>
        <v>22.352474916354744</v>
      </c>
      <c r="L1202" s="2">
        <f t="shared" si="189"/>
        <v>102.18274247476452</v>
      </c>
      <c r="M1202" s="2">
        <f t="shared" si="185"/>
        <v>74.082488294204282</v>
      </c>
      <c r="N1202" s="2">
        <f t="shared" si="186"/>
        <v>37.041244147102141</v>
      </c>
      <c r="O1202" s="2">
        <f t="shared" si="187"/>
        <v>135.94136601986486</v>
      </c>
      <c r="P1202" s="2">
        <v>72.551019999999994</v>
      </c>
      <c r="Q1202" s="2">
        <v>23.036815000000001</v>
      </c>
    </row>
    <row r="1203" spans="1:17" x14ac:dyDescent="0.25">
      <c r="A1203" s="2">
        <v>1351</v>
      </c>
      <c r="B1203" s="2" t="s">
        <v>135</v>
      </c>
      <c r="C1203" s="2">
        <v>5</v>
      </c>
      <c r="D1203" s="2">
        <f t="shared" si="180"/>
        <v>12.7</v>
      </c>
      <c r="E1203" s="2">
        <f t="shared" si="181"/>
        <v>4.0425355545341413</v>
      </c>
      <c r="F1203" s="2">
        <f t="shared" si="182"/>
        <v>1.5915494309189535</v>
      </c>
      <c r="G1203" s="2">
        <v>1.146784</v>
      </c>
      <c r="H1203" s="2">
        <f t="shared" si="183"/>
        <v>3.7624148185599999</v>
      </c>
      <c r="I1203" s="2">
        <f>INDEX('Wood Density Lookup'!$B$2:$B$152,MATCH(B1203,'Wood Density Lookup'!$A$2:$A$152,0))</f>
        <v>0.8</v>
      </c>
      <c r="J1203" s="2">
        <f t="shared" si="184"/>
        <v>0.9455255510875813</v>
      </c>
      <c r="K1203" s="2">
        <f t="shared" si="188"/>
        <v>0.26474715430452278</v>
      </c>
      <c r="L1203" s="2">
        <f t="shared" si="189"/>
        <v>1.2102727053921041</v>
      </c>
      <c r="M1203" s="2">
        <f t="shared" si="185"/>
        <v>0.87744771140927547</v>
      </c>
      <c r="N1203" s="2">
        <f t="shared" si="186"/>
        <v>0.43872385570463773</v>
      </c>
      <c r="O1203" s="2">
        <f t="shared" si="187"/>
        <v>1.6101165504360204</v>
      </c>
      <c r="P1203" s="2">
        <v>72.551021000000006</v>
      </c>
      <c r="Q1203" s="2">
        <v>23.035131</v>
      </c>
    </row>
    <row r="1204" spans="1:17" x14ac:dyDescent="0.25">
      <c r="A1204" s="2">
        <v>1352</v>
      </c>
      <c r="B1204" s="2" t="s">
        <v>115</v>
      </c>
      <c r="C1204" s="2">
        <v>4</v>
      </c>
      <c r="D1204" s="2">
        <f t="shared" si="180"/>
        <v>10.16</v>
      </c>
      <c r="E1204" s="2">
        <f t="shared" si="181"/>
        <v>3.2340284436273135</v>
      </c>
      <c r="F1204" s="2">
        <f t="shared" si="182"/>
        <v>1.2732395447351628</v>
      </c>
      <c r="G1204" s="2">
        <v>3.147132</v>
      </c>
      <c r="H1204" s="2">
        <f t="shared" si="183"/>
        <v>10.32523655088</v>
      </c>
      <c r="I1204" s="2">
        <f>INDEX('Wood Density Lookup'!$B$2:$B$152,MATCH(B1204,'Wood Density Lookup'!$A$2:$A$152,0))</f>
        <v>0.65</v>
      </c>
      <c r="J1204" s="2">
        <f t="shared" si="184"/>
        <v>1.3378378123617845</v>
      </c>
      <c r="K1204" s="2">
        <f t="shared" si="188"/>
        <v>0.3745945874612997</v>
      </c>
      <c r="L1204" s="2">
        <f t="shared" si="189"/>
        <v>1.7124323998230842</v>
      </c>
      <c r="M1204" s="2">
        <f t="shared" si="185"/>
        <v>1.2415134898717359</v>
      </c>
      <c r="N1204" s="2">
        <f t="shared" si="186"/>
        <v>0.62075674493586797</v>
      </c>
      <c r="O1204" s="2">
        <f t="shared" si="187"/>
        <v>2.2781772539146354</v>
      </c>
      <c r="P1204" s="2">
        <v>72.551021000000006</v>
      </c>
      <c r="Q1204" s="2">
        <v>23.038753</v>
      </c>
    </row>
    <row r="1205" spans="1:17" x14ac:dyDescent="0.25">
      <c r="A1205" s="2">
        <v>1353</v>
      </c>
      <c r="B1205" s="2" t="s">
        <v>9</v>
      </c>
      <c r="C1205" s="2">
        <v>11</v>
      </c>
      <c r="D1205" s="2">
        <f t="shared" si="180"/>
        <v>27.94</v>
      </c>
      <c r="E1205" s="2">
        <f t="shared" si="181"/>
        <v>8.8935782199751117</v>
      </c>
      <c r="F1205" s="2">
        <f t="shared" si="182"/>
        <v>3.5014087480216975</v>
      </c>
      <c r="G1205" s="2">
        <v>7.1835209999999998</v>
      </c>
      <c r="H1205" s="2">
        <f t="shared" si="183"/>
        <v>23.567983037639998</v>
      </c>
      <c r="I1205" s="2">
        <f>INDEX('Wood Density Lookup'!$B$2:$B$152,MATCH(B1205,'Wood Density Lookup'!$A$2:$A$152,0))</f>
        <v>0.42</v>
      </c>
      <c r="J1205" s="2">
        <f t="shared" si="184"/>
        <v>14.082800445742137</v>
      </c>
      <c r="K1205" s="2">
        <f t="shared" si="188"/>
        <v>3.9431841248077988</v>
      </c>
      <c r="L1205" s="2">
        <f t="shared" si="189"/>
        <v>18.025984570549937</v>
      </c>
      <c r="M1205" s="2">
        <f t="shared" si="185"/>
        <v>13.068838813648703</v>
      </c>
      <c r="N1205" s="2">
        <f t="shared" si="186"/>
        <v>6.5344194068243517</v>
      </c>
      <c r="O1205" s="2">
        <f t="shared" si="187"/>
        <v>23.981319223045372</v>
      </c>
      <c r="P1205" s="2">
        <v>72.551021000000006</v>
      </c>
      <c r="Q1205" s="2">
        <v>23.036918</v>
      </c>
    </row>
    <row r="1206" spans="1:17" x14ac:dyDescent="0.25">
      <c r="A1206" s="2">
        <v>1354</v>
      </c>
      <c r="B1206" s="2" t="s">
        <v>123</v>
      </c>
      <c r="C1206" s="2">
        <v>46</v>
      </c>
      <c r="D1206" s="2">
        <f t="shared" si="180"/>
        <v>116.84</v>
      </c>
      <c r="E1206" s="2">
        <f t="shared" si="181"/>
        <v>37.191327101714101</v>
      </c>
      <c r="F1206" s="2">
        <f t="shared" si="182"/>
        <v>14.642254764454371</v>
      </c>
      <c r="G1206" s="2">
        <v>13.067080000000001</v>
      </c>
      <c r="H1206" s="2">
        <f t="shared" si="183"/>
        <v>42.870998747200005</v>
      </c>
      <c r="I1206" s="2">
        <f>INDEX('Wood Density Lookup'!$B$2:$B$152,MATCH(B1206,'Wood Density Lookup'!$A$2:$A$152,0))</f>
        <v>0.85</v>
      </c>
      <c r="J1206" s="2">
        <f t="shared" si="184"/>
        <v>820.38998735387406</v>
      </c>
      <c r="K1206" s="2">
        <f t="shared" si="188"/>
        <v>229.70919645908475</v>
      </c>
      <c r="L1206" s="2">
        <f t="shared" si="189"/>
        <v>1050.0991838129589</v>
      </c>
      <c r="M1206" s="2">
        <f t="shared" si="185"/>
        <v>761.32190826439523</v>
      </c>
      <c r="N1206" s="2">
        <f t="shared" si="186"/>
        <v>380.66095413219762</v>
      </c>
      <c r="O1206" s="2">
        <f t="shared" si="187"/>
        <v>1397.0257016651651</v>
      </c>
      <c r="P1206" s="2">
        <v>72.551023999999998</v>
      </c>
      <c r="Q1206" s="2">
        <v>23.035038</v>
      </c>
    </row>
    <row r="1207" spans="1:17" x14ac:dyDescent="0.25">
      <c r="A1207" s="2">
        <v>1355</v>
      </c>
      <c r="B1207" s="2" t="s">
        <v>82</v>
      </c>
      <c r="C1207" s="2">
        <v>18</v>
      </c>
      <c r="D1207" s="2">
        <f t="shared" si="180"/>
        <v>45.72</v>
      </c>
      <c r="E1207" s="2">
        <f t="shared" si="181"/>
        <v>14.55312799632291</v>
      </c>
      <c r="F1207" s="2">
        <f t="shared" si="182"/>
        <v>5.7295779513082321</v>
      </c>
      <c r="G1207" s="2">
        <v>4.2804659999999997</v>
      </c>
      <c r="H1207" s="2">
        <f t="shared" si="183"/>
        <v>14.043524071439998</v>
      </c>
      <c r="I1207" s="2">
        <f>INDEX('Wood Density Lookup'!$B$2:$B$152,MATCH(B1207,'Wood Density Lookup'!$A$2:$A$152,0))</f>
        <v>0.7</v>
      </c>
      <c r="J1207" s="2">
        <f t="shared" si="184"/>
        <v>36.581104250826385</v>
      </c>
      <c r="K1207" s="2">
        <f t="shared" si="188"/>
        <v>10.242709190231389</v>
      </c>
      <c r="L1207" s="2">
        <f t="shared" si="189"/>
        <v>46.823813441057773</v>
      </c>
      <c r="M1207" s="2">
        <f t="shared" si="185"/>
        <v>33.947264744766883</v>
      </c>
      <c r="N1207" s="2">
        <f t="shared" si="186"/>
        <v>16.973632372383442</v>
      </c>
      <c r="O1207" s="2">
        <f t="shared" si="187"/>
        <v>62.29323080664723</v>
      </c>
      <c r="P1207" s="2">
        <v>72.551024999999996</v>
      </c>
      <c r="Q1207" s="2">
        <v>23.038692999999999</v>
      </c>
    </row>
    <row r="1208" spans="1:17" x14ac:dyDescent="0.25">
      <c r="A1208" s="2">
        <v>1356</v>
      </c>
      <c r="B1208" s="2" t="s">
        <v>114</v>
      </c>
      <c r="C1208" s="2">
        <v>47</v>
      </c>
      <c r="D1208" s="2">
        <f t="shared" si="180"/>
        <v>119.38</v>
      </c>
      <c r="E1208" s="2">
        <f t="shared" si="181"/>
        <v>37.999834212620932</v>
      </c>
      <c r="F1208" s="2">
        <f t="shared" si="182"/>
        <v>14.960564650638162</v>
      </c>
      <c r="G1208" s="2">
        <v>4.7737080000000001</v>
      </c>
      <c r="H1208" s="2">
        <f t="shared" si="183"/>
        <v>15.66177215472</v>
      </c>
      <c r="I1208" s="2">
        <f>INDEX('Wood Density Lookup'!$B$2:$B$152,MATCH(B1208,'Wood Density Lookup'!$A$2:$A$152,0))</f>
        <v>0.55000000000000004</v>
      </c>
      <c r="J1208" s="2">
        <f t="shared" si="184"/>
        <v>209.36604116390771</v>
      </c>
      <c r="K1208" s="2">
        <f t="shared" si="188"/>
        <v>58.622491525894162</v>
      </c>
      <c r="L1208" s="2">
        <f t="shared" si="189"/>
        <v>267.9885326898019</v>
      </c>
      <c r="M1208" s="2">
        <f t="shared" si="185"/>
        <v>194.29168620010637</v>
      </c>
      <c r="N1208" s="2">
        <f t="shared" si="186"/>
        <v>97.145843100053185</v>
      </c>
      <c r="O1208" s="2">
        <f t="shared" si="187"/>
        <v>356.52524417719519</v>
      </c>
      <c r="P1208" s="2">
        <v>72.551025999999993</v>
      </c>
      <c r="Q1208" s="2">
        <v>23.035813999999998</v>
      </c>
    </row>
    <row r="1209" spans="1:17" x14ac:dyDescent="0.25">
      <c r="A1209" s="2">
        <v>1357</v>
      </c>
      <c r="B1209" s="2" t="s">
        <v>114</v>
      </c>
      <c r="C1209" s="2">
        <v>88</v>
      </c>
      <c r="D1209" s="2">
        <f t="shared" si="180"/>
        <v>223.52</v>
      </c>
      <c r="E1209" s="2">
        <f t="shared" si="181"/>
        <v>71.148625759800893</v>
      </c>
      <c r="F1209" s="2">
        <f t="shared" si="182"/>
        <v>28.01126998417358</v>
      </c>
      <c r="G1209" s="2">
        <v>18.820467000000001</v>
      </c>
      <c r="H1209" s="2">
        <f t="shared" si="183"/>
        <v>61.746940952279999</v>
      </c>
      <c r="I1209" s="2">
        <f>INDEX('Wood Density Lookup'!$B$2:$B$152,MATCH(B1209,'Wood Density Lookup'!$A$2:$A$152,0))</f>
        <v>0.55000000000000004</v>
      </c>
      <c r="J1209" s="2">
        <f t="shared" si="184"/>
        <v>2716.9231520664089</v>
      </c>
      <c r="K1209" s="2">
        <f t="shared" si="188"/>
        <v>760.73848257859458</v>
      </c>
      <c r="L1209" s="2">
        <f t="shared" si="189"/>
        <v>3477.6616346450037</v>
      </c>
      <c r="M1209" s="2">
        <f t="shared" si="185"/>
        <v>2521.3046851176277</v>
      </c>
      <c r="N1209" s="2">
        <f t="shared" si="186"/>
        <v>1260.6523425588139</v>
      </c>
      <c r="O1209" s="2">
        <f t="shared" si="187"/>
        <v>4626.5940971908467</v>
      </c>
      <c r="P1209" s="2">
        <v>72.551029999999997</v>
      </c>
      <c r="Q1209" s="2">
        <v>23.035323000000002</v>
      </c>
    </row>
    <row r="1210" spans="1:17" x14ac:dyDescent="0.25">
      <c r="A1210" s="2">
        <v>1358</v>
      </c>
      <c r="B1210" s="2" t="s">
        <v>9</v>
      </c>
      <c r="C1210" s="2">
        <v>34</v>
      </c>
      <c r="D1210" s="2">
        <f t="shared" si="180"/>
        <v>86.36</v>
      </c>
      <c r="E1210" s="2">
        <f t="shared" si="181"/>
        <v>27.489241770832162</v>
      </c>
      <c r="F1210" s="2">
        <f t="shared" si="182"/>
        <v>10.822536130248883</v>
      </c>
      <c r="G1210" s="2">
        <v>8.8031170000000003</v>
      </c>
      <c r="H1210" s="2">
        <f t="shared" si="183"/>
        <v>28.881618378280002</v>
      </c>
      <c r="I1210" s="2">
        <f>INDEX('Wood Density Lookup'!$B$2:$B$152,MATCH(B1210,'Wood Density Lookup'!$A$2:$A$152,0))</f>
        <v>0.42</v>
      </c>
      <c r="J1210" s="2">
        <f t="shared" si="184"/>
        <v>155.42371294208516</v>
      </c>
      <c r="K1210" s="2">
        <f t="shared" si="188"/>
        <v>43.518639623783848</v>
      </c>
      <c r="L1210" s="2">
        <f t="shared" si="189"/>
        <v>198.94235256586902</v>
      </c>
      <c r="M1210" s="2">
        <f t="shared" si="185"/>
        <v>144.23320561025503</v>
      </c>
      <c r="N1210" s="2">
        <f t="shared" si="186"/>
        <v>72.116602805127513</v>
      </c>
      <c r="O1210" s="2">
        <f t="shared" si="187"/>
        <v>264.66793229481794</v>
      </c>
      <c r="P1210" s="2">
        <v>72.551029999999997</v>
      </c>
      <c r="Q1210" s="2">
        <v>23.036518999999998</v>
      </c>
    </row>
    <row r="1211" spans="1:17" x14ac:dyDescent="0.25">
      <c r="A1211" s="2">
        <v>1359</v>
      </c>
      <c r="B1211" s="2" t="s">
        <v>152</v>
      </c>
      <c r="C1211" s="2">
        <v>18</v>
      </c>
      <c r="D1211" s="2">
        <f t="shared" si="180"/>
        <v>45.72</v>
      </c>
      <c r="E1211" s="2">
        <f t="shared" si="181"/>
        <v>14.55312799632291</v>
      </c>
      <c r="F1211" s="2">
        <f t="shared" si="182"/>
        <v>5.7295779513082321</v>
      </c>
      <c r="G1211" s="2">
        <v>4.9663870000000001</v>
      </c>
      <c r="H1211" s="2">
        <f t="shared" si="183"/>
        <v>16.293921125080001</v>
      </c>
      <c r="I1211" s="2">
        <f>INDEX('Wood Density Lookup'!$B$2:$B$152,MATCH(B1211,'Wood Density Lookup'!$A$2:$A$152,0))</f>
        <v>0.8</v>
      </c>
      <c r="J1211" s="2">
        <f t="shared" si="184"/>
        <v>48.178943233569598</v>
      </c>
      <c r="K1211" s="2">
        <f t="shared" si="188"/>
        <v>13.490104105399489</v>
      </c>
      <c r="L1211" s="2">
        <f t="shared" si="189"/>
        <v>61.669047338969087</v>
      </c>
      <c r="M1211" s="2">
        <f t="shared" si="185"/>
        <v>44.710059320752585</v>
      </c>
      <c r="N1211" s="2">
        <f t="shared" si="186"/>
        <v>22.355029660376292</v>
      </c>
      <c r="O1211" s="2">
        <f t="shared" si="187"/>
        <v>82.042958853580998</v>
      </c>
      <c r="P1211" s="2">
        <v>72.551030999999995</v>
      </c>
      <c r="Q1211" s="2">
        <v>23.035639</v>
      </c>
    </row>
    <row r="1212" spans="1:17" x14ac:dyDescent="0.25">
      <c r="A1212" s="2">
        <v>1360</v>
      </c>
      <c r="B1212" s="2" t="s">
        <v>9</v>
      </c>
      <c r="C1212" s="2">
        <v>15</v>
      </c>
      <c r="D1212" s="2">
        <f t="shared" si="180"/>
        <v>38.1</v>
      </c>
      <c r="E1212" s="2">
        <f t="shared" si="181"/>
        <v>12.127606663602425</v>
      </c>
      <c r="F1212" s="2">
        <f t="shared" si="182"/>
        <v>4.7746482927568605</v>
      </c>
      <c r="G1212" s="2">
        <v>8.1801390000000005</v>
      </c>
      <c r="H1212" s="2">
        <f t="shared" si="183"/>
        <v>26.837727236760003</v>
      </c>
      <c r="I1212" s="2">
        <f>INDEX('Wood Density Lookup'!$B$2:$B$152,MATCH(B1212,'Wood Density Lookup'!$A$2:$A$152,0))</f>
        <v>0.42</v>
      </c>
      <c r="J1212" s="2">
        <f t="shared" si="184"/>
        <v>29.288005653046874</v>
      </c>
      <c r="K1212" s="2">
        <f t="shared" si="188"/>
        <v>8.2006415828531249</v>
      </c>
      <c r="L1212" s="2">
        <f t="shared" si="189"/>
        <v>37.488647235899997</v>
      </c>
      <c r="M1212" s="2">
        <f t="shared" si="185"/>
        <v>27.179269246027498</v>
      </c>
      <c r="N1212" s="2">
        <f t="shared" si="186"/>
        <v>13.589634623013749</v>
      </c>
      <c r="O1212" s="2">
        <f t="shared" si="187"/>
        <v>49.873959066460458</v>
      </c>
      <c r="P1212" s="2">
        <v>72.551030999999995</v>
      </c>
      <c r="Q1212" s="2">
        <v>23.036877</v>
      </c>
    </row>
    <row r="1213" spans="1:17" x14ac:dyDescent="0.25">
      <c r="A1213" s="2">
        <v>1361</v>
      </c>
      <c r="B1213" s="2" t="s">
        <v>9</v>
      </c>
      <c r="C1213" s="2">
        <v>38</v>
      </c>
      <c r="D1213" s="2">
        <f t="shared" si="180"/>
        <v>96.52</v>
      </c>
      <c r="E1213" s="2">
        <f t="shared" si="181"/>
        <v>30.723270214459475</v>
      </c>
      <c r="F1213" s="2">
        <f t="shared" si="182"/>
        <v>12.095775674984045</v>
      </c>
      <c r="G1213" s="2">
        <v>8.1042769999999997</v>
      </c>
      <c r="H1213" s="2">
        <f t="shared" si="183"/>
        <v>26.588836152679999</v>
      </c>
      <c r="I1213" s="2">
        <f>INDEX('Wood Density Lookup'!$B$2:$B$152,MATCH(B1213,'Wood Density Lookup'!$A$2:$A$152,0))</f>
        <v>0.42</v>
      </c>
      <c r="J1213" s="2">
        <f t="shared" si="184"/>
        <v>178.13446325431221</v>
      </c>
      <c r="K1213" s="2">
        <f t="shared" si="188"/>
        <v>49.877649711207425</v>
      </c>
      <c r="L1213" s="2">
        <f t="shared" si="189"/>
        <v>228.01211296551963</v>
      </c>
      <c r="M1213" s="2">
        <f t="shared" si="185"/>
        <v>165.30878190000172</v>
      </c>
      <c r="N1213" s="2">
        <f t="shared" si="186"/>
        <v>82.65439095000086</v>
      </c>
      <c r="O1213" s="2">
        <f t="shared" si="187"/>
        <v>303.34161478650316</v>
      </c>
      <c r="P1213" s="2">
        <v>72.551034999999999</v>
      </c>
      <c r="Q1213" s="2">
        <v>23.037317000000002</v>
      </c>
    </row>
    <row r="1214" spans="1:17" x14ac:dyDescent="0.25">
      <c r="A1214" s="2">
        <v>1362</v>
      </c>
      <c r="B1214" s="2" t="s">
        <v>62</v>
      </c>
      <c r="C1214" s="2">
        <v>32</v>
      </c>
      <c r="D1214" s="2">
        <f t="shared" si="180"/>
        <v>81.28</v>
      </c>
      <c r="E1214" s="2">
        <f t="shared" si="181"/>
        <v>25.872227549018508</v>
      </c>
      <c r="F1214" s="2">
        <f t="shared" si="182"/>
        <v>10.185916357881302</v>
      </c>
      <c r="G1214" s="2">
        <v>8.268103</v>
      </c>
      <c r="H1214" s="2">
        <f t="shared" si="183"/>
        <v>27.12632304652</v>
      </c>
      <c r="I1214" s="2">
        <f>INDEX('Wood Density Lookup'!$B$2:$B$152,MATCH(B1214,'Wood Density Lookup'!$A$2:$A$152,0))</f>
        <v>0.47</v>
      </c>
      <c r="J1214" s="2">
        <f t="shared" si="184"/>
        <v>144.95137244066837</v>
      </c>
      <c r="K1214" s="2">
        <f t="shared" si="188"/>
        <v>40.586384283387147</v>
      </c>
      <c r="L1214" s="2">
        <f t="shared" si="189"/>
        <v>185.5377567240555</v>
      </c>
      <c r="M1214" s="2">
        <f t="shared" si="185"/>
        <v>134.51487362494024</v>
      </c>
      <c r="N1214" s="2">
        <f t="shared" si="186"/>
        <v>67.257436812470118</v>
      </c>
      <c r="O1214" s="2">
        <f t="shared" si="187"/>
        <v>246.83479310176534</v>
      </c>
      <c r="P1214" s="2">
        <v>72.551034999999999</v>
      </c>
      <c r="Q1214" s="2">
        <v>23.037324000000002</v>
      </c>
    </row>
    <row r="1215" spans="1:17" x14ac:dyDescent="0.25">
      <c r="A1215" s="2">
        <v>1363</v>
      </c>
      <c r="B1215" s="2" t="s">
        <v>72</v>
      </c>
      <c r="C1215" s="2">
        <v>8</v>
      </c>
      <c r="D1215" s="2">
        <f t="shared" si="180"/>
        <v>20.32</v>
      </c>
      <c r="E1215" s="2">
        <f t="shared" si="181"/>
        <v>6.4680568872546269</v>
      </c>
      <c r="F1215" s="2">
        <f t="shared" si="182"/>
        <v>2.5464790894703255</v>
      </c>
      <c r="G1215" s="2">
        <v>7.1156920000000001</v>
      </c>
      <c r="H1215" s="2">
        <f t="shared" si="183"/>
        <v>23.345446941279999</v>
      </c>
      <c r="I1215" s="2">
        <f>INDEX('Wood Density Lookup'!$B$2:$B$152,MATCH(B1215,'Wood Density Lookup'!$A$2:$A$152,0))</f>
        <v>0.65</v>
      </c>
      <c r="J1215" s="2">
        <f t="shared" si="184"/>
        <v>11.476592156821658</v>
      </c>
      <c r="K1215" s="2">
        <f t="shared" si="188"/>
        <v>3.2134458039100644</v>
      </c>
      <c r="L1215" s="2">
        <f t="shared" si="189"/>
        <v>14.690037960731722</v>
      </c>
      <c r="M1215" s="2">
        <f t="shared" si="185"/>
        <v>10.650277521530498</v>
      </c>
      <c r="N1215" s="2">
        <f t="shared" si="186"/>
        <v>5.3251387607652489</v>
      </c>
      <c r="O1215" s="2">
        <f t="shared" si="187"/>
        <v>19.543259252008465</v>
      </c>
      <c r="P1215" s="2">
        <v>72.551036999999994</v>
      </c>
      <c r="Q1215" s="2">
        <v>23.037312</v>
      </c>
    </row>
    <row r="1216" spans="1:17" x14ac:dyDescent="0.25">
      <c r="A1216" s="2">
        <v>1364</v>
      </c>
      <c r="B1216" s="2" t="s">
        <v>110</v>
      </c>
      <c r="C1216" s="2">
        <v>29</v>
      </c>
      <c r="D1216" s="2">
        <f t="shared" si="180"/>
        <v>73.66</v>
      </c>
      <c r="E1216" s="2">
        <f t="shared" si="181"/>
        <v>23.446706216298022</v>
      </c>
      <c r="F1216" s="2">
        <f t="shared" si="182"/>
        <v>9.2309866993299305</v>
      </c>
      <c r="G1216" s="2">
        <v>11.832834999999999</v>
      </c>
      <c r="H1216" s="2">
        <f t="shared" si="183"/>
        <v>38.8216383814</v>
      </c>
      <c r="I1216" s="2">
        <f>INDEX('Wood Density Lookup'!$B$2:$B$152,MATCH(B1216,'Wood Density Lookup'!$A$2:$A$152,0))</f>
        <v>0.75</v>
      </c>
      <c r="J1216" s="2">
        <f t="shared" si="184"/>
        <v>267.79920892370728</v>
      </c>
      <c r="K1216" s="2">
        <f t="shared" si="188"/>
        <v>74.983778498638046</v>
      </c>
      <c r="L1216" s="2">
        <f t="shared" si="189"/>
        <v>342.78298742234534</v>
      </c>
      <c r="M1216" s="2">
        <f t="shared" si="185"/>
        <v>248.51766588120037</v>
      </c>
      <c r="N1216" s="2">
        <f t="shared" si="186"/>
        <v>124.25883294060019</v>
      </c>
      <c r="O1216" s="2">
        <f t="shared" si="187"/>
        <v>456.02991689200269</v>
      </c>
      <c r="P1216" s="2">
        <v>72.55104</v>
      </c>
      <c r="Q1216" s="2">
        <v>23.034994999999999</v>
      </c>
    </row>
    <row r="1217" spans="1:17" x14ac:dyDescent="0.25">
      <c r="A1217" s="2">
        <v>1365</v>
      </c>
      <c r="B1217" s="2" t="s">
        <v>9</v>
      </c>
      <c r="C1217" s="2">
        <v>34</v>
      </c>
      <c r="D1217" s="2">
        <f t="shared" ref="D1217:D1280" si="190">C1217*2.54</f>
        <v>86.36</v>
      </c>
      <c r="E1217" s="2">
        <f t="shared" ref="E1217:E1280" si="191">D1217/PI()</f>
        <v>27.489241770832162</v>
      </c>
      <c r="F1217" s="2">
        <f t="shared" ref="F1217:F1280" si="192">C1217/PI()</f>
        <v>10.822536130248883</v>
      </c>
      <c r="G1217" s="2">
        <v>3.0446710000000001</v>
      </c>
      <c r="H1217" s="2">
        <f t="shared" ref="H1217:H1280" si="193">G1217*3.28084</f>
        <v>9.9890784036400007</v>
      </c>
      <c r="I1217" s="2">
        <f>INDEX('Wood Density Lookup'!$B$2:$B$152,MATCH(B1217,'Wood Density Lookup'!$A$2:$A$152,0))</f>
        <v>0.42</v>
      </c>
      <c r="J1217" s="2">
        <f t="shared" ref="J1217:J1280" si="194">0.0673*POWER(I1217*E1217^2*G1217,0.976)</f>
        <v>55.142630902461867</v>
      </c>
      <c r="K1217" s="2">
        <f t="shared" si="188"/>
        <v>15.439936652689324</v>
      </c>
      <c r="L1217" s="2">
        <f t="shared" si="189"/>
        <v>70.582567555151186</v>
      </c>
      <c r="M1217" s="2">
        <f t="shared" ref="M1217:M1280" si="195">0.725*L1217</f>
        <v>51.172361477484607</v>
      </c>
      <c r="N1217" s="2">
        <f t="shared" ref="N1217:N1280" si="196">0.5*M1217</f>
        <v>25.586180738742303</v>
      </c>
      <c r="O1217" s="2">
        <f t="shared" ref="O1217:O1280" si="197">3.67*N1217</f>
        <v>93.901283311184258</v>
      </c>
      <c r="P1217" s="2">
        <v>72.551041999999995</v>
      </c>
      <c r="Q1217" s="2">
        <v>23.036536000000002</v>
      </c>
    </row>
    <row r="1218" spans="1:17" x14ac:dyDescent="0.25">
      <c r="A1218" s="2">
        <v>1366</v>
      </c>
      <c r="B1218" s="2" t="s">
        <v>50</v>
      </c>
      <c r="C1218" s="2">
        <v>22</v>
      </c>
      <c r="D1218" s="2">
        <f t="shared" si="190"/>
        <v>55.88</v>
      </c>
      <c r="E1218" s="2">
        <f t="shared" si="191"/>
        <v>17.787156439950223</v>
      </c>
      <c r="F1218" s="2">
        <f t="shared" si="192"/>
        <v>7.0028174960433951</v>
      </c>
      <c r="G1218" s="2">
        <v>7.6313170000000001</v>
      </c>
      <c r="H1218" s="2">
        <f t="shared" si="193"/>
        <v>25.03713006628</v>
      </c>
      <c r="I1218" s="2">
        <f>INDEX('Wood Density Lookup'!$B$2:$B$152,MATCH(B1218,'Wood Density Lookup'!$A$2:$A$152,0))</f>
        <v>0.5</v>
      </c>
      <c r="J1218" s="2">
        <f t="shared" si="194"/>
        <v>68.522757433033675</v>
      </c>
      <c r="K1218" s="2">
        <f t="shared" si="188"/>
        <v>19.186372081249431</v>
      </c>
      <c r="L1218" s="2">
        <f t="shared" si="189"/>
        <v>87.709129514283106</v>
      </c>
      <c r="M1218" s="2">
        <f t="shared" si="195"/>
        <v>63.589118897855251</v>
      </c>
      <c r="N1218" s="2">
        <f t="shared" si="196"/>
        <v>31.794559448927625</v>
      </c>
      <c r="O1218" s="2">
        <f t="shared" si="197"/>
        <v>116.68603317756438</v>
      </c>
      <c r="P1218" s="2">
        <v>72.551045000000002</v>
      </c>
      <c r="Q1218" s="2">
        <v>23.037610999999998</v>
      </c>
    </row>
    <row r="1219" spans="1:17" x14ac:dyDescent="0.25">
      <c r="A1219" s="2">
        <v>1367</v>
      </c>
      <c r="B1219" s="2" t="s">
        <v>9</v>
      </c>
      <c r="C1219" s="2">
        <v>26</v>
      </c>
      <c r="D1219" s="2">
        <f t="shared" si="190"/>
        <v>66.040000000000006</v>
      </c>
      <c r="E1219" s="2">
        <f t="shared" si="191"/>
        <v>21.02118488357754</v>
      </c>
      <c r="F1219" s="2">
        <f t="shared" si="192"/>
        <v>8.2760570407785572</v>
      </c>
      <c r="G1219" s="2">
        <v>8.2754589999999997</v>
      </c>
      <c r="H1219" s="2">
        <f t="shared" si="193"/>
        <v>27.150456905559999</v>
      </c>
      <c r="I1219" s="2">
        <f>INDEX('Wood Density Lookup'!$B$2:$B$152,MATCH(B1219,'Wood Density Lookup'!$A$2:$A$152,0))</f>
        <v>0.42</v>
      </c>
      <c r="J1219" s="2">
        <f t="shared" si="194"/>
        <v>86.675886336120001</v>
      </c>
      <c r="K1219" s="2">
        <f t="shared" ref="K1219:K1282" si="198">0.28*J1219</f>
        <v>24.269248174113603</v>
      </c>
      <c r="L1219" s="2">
        <f t="shared" ref="L1219:L1282" si="199">J1219+K1219</f>
        <v>110.9451345102336</v>
      </c>
      <c r="M1219" s="2">
        <f t="shared" si="195"/>
        <v>80.435222519919364</v>
      </c>
      <c r="N1219" s="2">
        <f t="shared" si="196"/>
        <v>40.217611259959682</v>
      </c>
      <c r="O1219" s="2">
        <f t="shared" si="197"/>
        <v>147.59863332405203</v>
      </c>
      <c r="P1219" s="2">
        <v>72.551045999999999</v>
      </c>
      <c r="Q1219" s="2">
        <v>23.036946</v>
      </c>
    </row>
    <row r="1220" spans="1:17" x14ac:dyDescent="0.25">
      <c r="A1220" s="2">
        <v>1368</v>
      </c>
      <c r="B1220" s="2" t="s">
        <v>9</v>
      </c>
      <c r="C1220" s="2">
        <v>22</v>
      </c>
      <c r="D1220" s="2">
        <f t="shared" si="190"/>
        <v>55.88</v>
      </c>
      <c r="E1220" s="2">
        <f t="shared" si="191"/>
        <v>17.787156439950223</v>
      </c>
      <c r="F1220" s="2">
        <f t="shared" si="192"/>
        <v>7.0028174960433951</v>
      </c>
      <c r="G1220" s="2">
        <v>8.2768899999999999</v>
      </c>
      <c r="H1220" s="2">
        <f t="shared" si="193"/>
        <v>27.155151787599998</v>
      </c>
      <c r="I1220" s="2">
        <f>INDEX('Wood Density Lookup'!$B$2:$B$152,MATCH(B1220,'Wood Density Lookup'!$A$2:$A$152,0))</f>
        <v>0.42</v>
      </c>
      <c r="J1220" s="2">
        <f t="shared" si="194"/>
        <v>62.568058511022898</v>
      </c>
      <c r="K1220" s="2">
        <f t="shared" si="198"/>
        <v>17.519056383086411</v>
      </c>
      <c r="L1220" s="2">
        <f t="shared" si="199"/>
        <v>80.087114894109305</v>
      </c>
      <c r="M1220" s="2">
        <f t="shared" si="195"/>
        <v>58.063158298229247</v>
      </c>
      <c r="N1220" s="2">
        <f t="shared" si="196"/>
        <v>29.031579149114624</v>
      </c>
      <c r="O1220" s="2">
        <f t="shared" si="197"/>
        <v>106.54589547725067</v>
      </c>
      <c r="P1220" s="2">
        <v>72.551046999999997</v>
      </c>
      <c r="Q1220" s="2">
        <v>23.036816000000002</v>
      </c>
    </row>
    <row r="1221" spans="1:17" x14ac:dyDescent="0.25">
      <c r="A1221" s="2">
        <v>1369</v>
      </c>
      <c r="B1221" s="2" t="s">
        <v>110</v>
      </c>
      <c r="C1221" s="2">
        <v>38</v>
      </c>
      <c r="D1221" s="2">
        <f t="shared" si="190"/>
        <v>96.52</v>
      </c>
      <c r="E1221" s="2">
        <f t="shared" si="191"/>
        <v>30.723270214459475</v>
      </c>
      <c r="F1221" s="2">
        <f t="shared" si="192"/>
        <v>12.095775674984045</v>
      </c>
      <c r="G1221" s="2">
        <v>10.164804999999999</v>
      </c>
      <c r="H1221" s="2">
        <f t="shared" si="193"/>
        <v>33.3490988362</v>
      </c>
      <c r="I1221" s="2">
        <f>INDEX('Wood Density Lookup'!$B$2:$B$152,MATCH(B1221,'Wood Density Lookup'!$A$2:$A$152,0))</f>
        <v>0.75</v>
      </c>
      <c r="J1221" s="2">
        <f t="shared" si="194"/>
        <v>391.32714605647118</v>
      </c>
      <c r="K1221" s="2">
        <f t="shared" si="198"/>
        <v>109.57160089581194</v>
      </c>
      <c r="L1221" s="2">
        <f t="shared" si="199"/>
        <v>500.89874695228309</v>
      </c>
      <c r="M1221" s="2">
        <f t="shared" si="195"/>
        <v>363.15159154040521</v>
      </c>
      <c r="N1221" s="2">
        <f t="shared" si="196"/>
        <v>181.5757957702026</v>
      </c>
      <c r="O1221" s="2">
        <f t="shared" si="197"/>
        <v>666.3831704766435</v>
      </c>
      <c r="P1221" s="2">
        <v>72.551051000000001</v>
      </c>
      <c r="Q1221" s="2">
        <v>23.034941</v>
      </c>
    </row>
    <row r="1222" spans="1:17" x14ac:dyDescent="0.25">
      <c r="A1222" s="2">
        <v>1370</v>
      </c>
      <c r="B1222" s="2" t="s">
        <v>10</v>
      </c>
      <c r="C1222" s="2">
        <v>8</v>
      </c>
      <c r="D1222" s="2">
        <f t="shared" si="190"/>
        <v>20.32</v>
      </c>
      <c r="E1222" s="2">
        <f t="shared" si="191"/>
        <v>6.4680568872546269</v>
      </c>
      <c r="F1222" s="2">
        <f t="shared" si="192"/>
        <v>2.5464790894703255</v>
      </c>
      <c r="G1222" s="2">
        <v>4.0454629999999998</v>
      </c>
      <c r="H1222" s="2">
        <f t="shared" si="193"/>
        <v>13.272516828919999</v>
      </c>
      <c r="I1222" s="2">
        <f>INDEX('Wood Density Lookup'!$B$2:$B$152,MATCH(B1222,'Wood Density Lookup'!$A$2:$A$152,0))</f>
        <v>0.65</v>
      </c>
      <c r="J1222" s="2">
        <f t="shared" si="194"/>
        <v>6.6137841057919431</v>
      </c>
      <c r="K1222" s="2">
        <f t="shared" si="198"/>
        <v>1.8518595496217443</v>
      </c>
      <c r="L1222" s="2">
        <f t="shared" si="199"/>
        <v>8.4656436554136878</v>
      </c>
      <c r="M1222" s="2">
        <f t="shared" si="195"/>
        <v>6.1375916501749233</v>
      </c>
      <c r="N1222" s="2">
        <f t="shared" si="196"/>
        <v>3.0687958250874616</v>
      </c>
      <c r="O1222" s="2">
        <f t="shared" si="197"/>
        <v>11.262480678070984</v>
      </c>
      <c r="P1222" s="2">
        <v>72.551055000000005</v>
      </c>
      <c r="Q1222" s="2">
        <v>23.036549000000001</v>
      </c>
    </row>
    <row r="1223" spans="1:17" x14ac:dyDescent="0.25">
      <c r="A1223" s="2">
        <v>1371</v>
      </c>
      <c r="B1223" s="2" t="s">
        <v>31</v>
      </c>
      <c r="C1223" s="2">
        <v>11</v>
      </c>
      <c r="D1223" s="2">
        <f t="shared" si="190"/>
        <v>27.94</v>
      </c>
      <c r="E1223" s="2">
        <f t="shared" si="191"/>
        <v>8.8935782199751117</v>
      </c>
      <c r="F1223" s="2">
        <f t="shared" si="192"/>
        <v>3.5014087480216975</v>
      </c>
      <c r="G1223" s="2">
        <v>7.8764070000000004</v>
      </c>
      <c r="H1223" s="2">
        <f t="shared" si="193"/>
        <v>25.841231141880002</v>
      </c>
      <c r="I1223" s="2">
        <f>INDEX('Wood Density Lookup'!$B$2:$B$152,MATCH(B1223,'Wood Density Lookup'!$A$2:$A$152,0))</f>
        <v>0.78</v>
      </c>
      <c r="J1223" s="2">
        <f t="shared" si="194"/>
        <v>28.191167054421165</v>
      </c>
      <c r="K1223" s="2">
        <f t="shared" si="198"/>
        <v>7.8935267752379268</v>
      </c>
      <c r="L1223" s="2">
        <f t="shared" si="199"/>
        <v>36.084693829659088</v>
      </c>
      <c r="M1223" s="2">
        <f t="shared" si="195"/>
        <v>26.161403026502839</v>
      </c>
      <c r="N1223" s="2">
        <f t="shared" si="196"/>
        <v>13.080701513251419</v>
      </c>
      <c r="O1223" s="2">
        <f t="shared" si="197"/>
        <v>48.006174553632711</v>
      </c>
      <c r="P1223" s="2">
        <v>72.551058999999995</v>
      </c>
      <c r="Q1223" s="2">
        <v>23.035252</v>
      </c>
    </row>
    <row r="1224" spans="1:17" x14ac:dyDescent="0.25">
      <c r="A1224" s="2">
        <v>1372</v>
      </c>
      <c r="B1224" s="2" t="s">
        <v>9</v>
      </c>
      <c r="C1224" s="2">
        <v>8</v>
      </c>
      <c r="D1224" s="2">
        <f t="shared" si="190"/>
        <v>20.32</v>
      </c>
      <c r="E1224" s="2">
        <f t="shared" si="191"/>
        <v>6.4680568872546269</v>
      </c>
      <c r="F1224" s="2">
        <f t="shared" si="192"/>
        <v>2.5464790894703255</v>
      </c>
      <c r="G1224" s="2">
        <v>7.2112910000000001</v>
      </c>
      <c r="H1224" s="2">
        <f t="shared" si="193"/>
        <v>23.659091964440002</v>
      </c>
      <c r="I1224" s="2">
        <f>INDEX('Wood Density Lookup'!$B$2:$B$152,MATCH(B1224,'Wood Density Lookup'!$A$2:$A$152,0))</f>
        <v>0.42</v>
      </c>
      <c r="J1224" s="2">
        <f t="shared" si="194"/>
        <v>7.5920244535365615</v>
      </c>
      <c r="K1224" s="2">
        <f t="shared" si="198"/>
        <v>2.1257668469902375</v>
      </c>
      <c r="L1224" s="2">
        <f t="shared" si="199"/>
        <v>9.7177913005267982</v>
      </c>
      <c r="M1224" s="2">
        <f t="shared" si="195"/>
        <v>7.0453986928819283</v>
      </c>
      <c r="N1224" s="2">
        <f t="shared" si="196"/>
        <v>3.5226993464409642</v>
      </c>
      <c r="O1224" s="2">
        <f t="shared" si="197"/>
        <v>12.928306601438338</v>
      </c>
      <c r="P1224" s="2">
        <v>72.551060000000007</v>
      </c>
      <c r="Q1224" s="2">
        <v>23.036815000000001</v>
      </c>
    </row>
    <row r="1225" spans="1:17" x14ac:dyDescent="0.25">
      <c r="A1225" s="2">
        <v>1373</v>
      </c>
      <c r="B1225" s="2" t="s">
        <v>107</v>
      </c>
      <c r="C1225" s="2">
        <v>46</v>
      </c>
      <c r="D1225" s="2">
        <f t="shared" si="190"/>
        <v>116.84</v>
      </c>
      <c r="E1225" s="2">
        <f t="shared" si="191"/>
        <v>37.191327101714101</v>
      </c>
      <c r="F1225" s="2">
        <f t="shared" si="192"/>
        <v>14.642254764454371</v>
      </c>
      <c r="G1225" s="2">
        <v>10.251281000000001</v>
      </c>
      <c r="H1225" s="2">
        <f t="shared" si="193"/>
        <v>33.632812756040003</v>
      </c>
      <c r="I1225" s="2">
        <f>INDEX('Wood Density Lookup'!$B$2:$B$152,MATCH(B1225,'Wood Density Lookup'!$A$2:$A$152,0))</f>
        <v>0.65</v>
      </c>
      <c r="J1225" s="2">
        <f t="shared" si="194"/>
        <v>498.24174737105761</v>
      </c>
      <c r="K1225" s="2">
        <f t="shared" si="198"/>
        <v>139.50768926389614</v>
      </c>
      <c r="L1225" s="2">
        <f t="shared" si="199"/>
        <v>637.74943663495378</v>
      </c>
      <c r="M1225" s="2">
        <f t="shared" si="195"/>
        <v>462.36834156034149</v>
      </c>
      <c r="N1225" s="2">
        <f t="shared" si="196"/>
        <v>231.18417078017075</v>
      </c>
      <c r="O1225" s="2">
        <f t="shared" si="197"/>
        <v>848.44590676322662</v>
      </c>
      <c r="P1225" s="2">
        <v>72.551062000000002</v>
      </c>
      <c r="Q1225" s="2">
        <v>23.035388999999999</v>
      </c>
    </row>
    <row r="1226" spans="1:17" x14ac:dyDescent="0.25">
      <c r="A1226" s="2">
        <v>1374</v>
      </c>
      <c r="B1226" s="2" t="s">
        <v>15</v>
      </c>
      <c r="C1226" s="2">
        <v>25</v>
      </c>
      <c r="D1226" s="2">
        <f t="shared" si="190"/>
        <v>63.5</v>
      </c>
      <c r="E1226" s="2">
        <f t="shared" si="191"/>
        <v>20.212677772670709</v>
      </c>
      <c r="F1226" s="2">
        <f t="shared" si="192"/>
        <v>7.9577471545947667</v>
      </c>
      <c r="G1226" s="2">
        <v>5.9082410000000003</v>
      </c>
      <c r="H1226" s="2">
        <f t="shared" si="193"/>
        <v>19.383993402440002</v>
      </c>
      <c r="I1226" s="2">
        <f>INDEX('Wood Density Lookup'!$B$2:$B$152,MATCH(B1226,'Wood Density Lookup'!$A$2:$A$152,0))</f>
        <v>0.75</v>
      </c>
      <c r="J1226" s="2">
        <f t="shared" si="194"/>
        <v>101.76438745049509</v>
      </c>
      <c r="K1226" s="2">
        <f t="shared" si="198"/>
        <v>28.494028486138628</v>
      </c>
      <c r="L1226" s="2">
        <f t="shared" si="199"/>
        <v>130.25841593663372</v>
      </c>
      <c r="M1226" s="2">
        <f t="shared" si="195"/>
        <v>94.437351554059447</v>
      </c>
      <c r="N1226" s="2">
        <f t="shared" si="196"/>
        <v>47.218675777029723</v>
      </c>
      <c r="O1226" s="2">
        <f t="shared" si="197"/>
        <v>173.29254010169907</v>
      </c>
      <c r="P1226" s="2">
        <v>72.551062999999999</v>
      </c>
      <c r="Q1226" s="2">
        <v>23.037652999999999</v>
      </c>
    </row>
    <row r="1227" spans="1:17" x14ac:dyDescent="0.25">
      <c r="A1227" s="2">
        <v>1375</v>
      </c>
      <c r="B1227" s="2" t="s">
        <v>31</v>
      </c>
      <c r="C1227" s="2">
        <v>28</v>
      </c>
      <c r="D1227" s="2">
        <f t="shared" si="190"/>
        <v>71.12</v>
      </c>
      <c r="E1227" s="2">
        <f t="shared" si="191"/>
        <v>22.638199105391195</v>
      </c>
      <c r="F1227" s="2">
        <f t="shared" si="192"/>
        <v>8.91267681314614</v>
      </c>
      <c r="G1227" s="2">
        <v>2.743052</v>
      </c>
      <c r="H1227" s="2">
        <f t="shared" si="193"/>
        <v>8.9995147236800008</v>
      </c>
      <c r="I1227" s="2">
        <f>INDEX('Wood Density Lookup'!$B$2:$B$152,MATCH(B1227,'Wood Density Lookup'!$A$2:$A$152,0))</f>
        <v>0.78</v>
      </c>
      <c r="J1227" s="2">
        <f t="shared" si="194"/>
        <v>62.383129915907418</v>
      </c>
      <c r="K1227" s="2">
        <f t="shared" si="198"/>
        <v>17.46727637645408</v>
      </c>
      <c r="L1227" s="2">
        <f t="shared" si="199"/>
        <v>79.850406292361498</v>
      </c>
      <c r="M1227" s="2">
        <f t="shared" si="195"/>
        <v>57.891544561962085</v>
      </c>
      <c r="N1227" s="2">
        <f t="shared" si="196"/>
        <v>28.945772280981043</v>
      </c>
      <c r="O1227" s="2">
        <f t="shared" si="197"/>
        <v>106.23098427120043</v>
      </c>
      <c r="P1227" s="2">
        <v>72.551068999999998</v>
      </c>
      <c r="Q1227" s="2">
        <v>23.035841999999999</v>
      </c>
    </row>
    <row r="1228" spans="1:17" x14ac:dyDescent="0.25">
      <c r="A1228" s="2">
        <v>1376</v>
      </c>
      <c r="B1228" s="2" t="s">
        <v>15</v>
      </c>
      <c r="C1228" s="2">
        <v>84</v>
      </c>
      <c r="D1228" s="2">
        <f t="shared" si="190"/>
        <v>213.36</v>
      </c>
      <c r="E1228" s="2">
        <f t="shared" si="191"/>
        <v>67.914597316173584</v>
      </c>
      <c r="F1228" s="2">
        <f t="shared" si="192"/>
        <v>26.738030439438418</v>
      </c>
      <c r="G1228" s="2">
        <v>11.733705</v>
      </c>
      <c r="H1228" s="2">
        <f t="shared" si="193"/>
        <v>38.496408712200001</v>
      </c>
      <c r="I1228" s="2">
        <f>INDEX('Wood Density Lookup'!$B$2:$B$152,MATCH(B1228,'Wood Density Lookup'!$A$2:$A$152,0))</f>
        <v>0.75</v>
      </c>
      <c r="J1228" s="2">
        <f t="shared" si="194"/>
        <v>2117.5594328460456</v>
      </c>
      <c r="K1228" s="2">
        <f t="shared" si="198"/>
        <v>592.91664119689278</v>
      </c>
      <c r="L1228" s="2">
        <f t="shared" si="199"/>
        <v>2710.4760740429383</v>
      </c>
      <c r="M1228" s="2">
        <f t="shared" si="195"/>
        <v>1965.0951536811301</v>
      </c>
      <c r="N1228" s="2">
        <f t="shared" si="196"/>
        <v>982.54757684056506</v>
      </c>
      <c r="O1228" s="2">
        <f t="shared" si="197"/>
        <v>3605.9496070048735</v>
      </c>
      <c r="P1228" s="2">
        <v>72.551068999999998</v>
      </c>
      <c r="Q1228" s="2">
        <v>23.035049000000001</v>
      </c>
    </row>
    <row r="1229" spans="1:17" x14ac:dyDescent="0.25">
      <c r="A1229" s="2">
        <v>1377</v>
      </c>
      <c r="B1229" s="2" t="s">
        <v>110</v>
      </c>
      <c r="C1229" s="2">
        <v>32</v>
      </c>
      <c r="D1229" s="2">
        <f t="shared" si="190"/>
        <v>81.28</v>
      </c>
      <c r="E1229" s="2">
        <f t="shared" si="191"/>
        <v>25.872227549018508</v>
      </c>
      <c r="F1229" s="2">
        <f t="shared" si="192"/>
        <v>10.185916357881302</v>
      </c>
      <c r="G1229" s="2">
        <v>14.849504</v>
      </c>
      <c r="H1229" s="2">
        <f t="shared" si="193"/>
        <v>48.718846703360001</v>
      </c>
      <c r="I1229" s="2">
        <f>INDEX('Wood Density Lookup'!$B$2:$B$152,MATCH(B1229,'Wood Density Lookup'!$A$2:$A$152,0))</f>
        <v>0.75</v>
      </c>
      <c r="J1229" s="2">
        <f t="shared" si="194"/>
        <v>405.0581168048181</v>
      </c>
      <c r="K1229" s="2">
        <f t="shared" si="198"/>
        <v>113.41627270534907</v>
      </c>
      <c r="L1229" s="2">
        <f t="shared" si="199"/>
        <v>518.47438951016716</v>
      </c>
      <c r="M1229" s="2">
        <f t="shared" si="195"/>
        <v>375.89393239487117</v>
      </c>
      <c r="N1229" s="2">
        <f t="shared" si="196"/>
        <v>187.94696619743559</v>
      </c>
      <c r="O1229" s="2">
        <f t="shared" si="197"/>
        <v>689.76536594458855</v>
      </c>
      <c r="P1229" s="2">
        <v>72.551074</v>
      </c>
      <c r="Q1229" s="2">
        <v>23.035014</v>
      </c>
    </row>
    <row r="1230" spans="1:17" x14ac:dyDescent="0.25">
      <c r="A1230" s="2">
        <v>1378</v>
      </c>
      <c r="B1230" s="2" t="s">
        <v>135</v>
      </c>
      <c r="C1230" s="2">
        <v>11</v>
      </c>
      <c r="D1230" s="2">
        <f t="shared" si="190"/>
        <v>27.94</v>
      </c>
      <c r="E1230" s="2">
        <f t="shared" si="191"/>
        <v>8.8935782199751117</v>
      </c>
      <c r="F1230" s="2">
        <f t="shared" si="192"/>
        <v>3.5014087480216975</v>
      </c>
      <c r="G1230" s="2">
        <v>4.7946140000000002</v>
      </c>
      <c r="H1230" s="2">
        <f t="shared" si="193"/>
        <v>15.730361395760001</v>
      </c>
      <c r="I1230" s="2">
        <f>INDEX('Wood Density Lookup'!$B$2:$B$152,MATCH(B1230,'Wood Density Lookup'!$A$2:$A$152,0))</f>
        <v>0.8</v>
      </c>
      <c r="J1230" s="2">
        <f t="shared" si="194"/>
        <v>17.800976952175791</v>
      </c>
      <c r="K1230" s="2">
        <f t="shared" si="198"/>
        <v>4.9842735466092218</v>
      </c>
      <c r="L1230" s="2">
        <f t="shared" si="199"/>
        <v>22.785250498785011</v>
      </c>
      <c r="M1230" s="2">
        <f t="shared" si="195"/>
        <v>16.519306611619132</v>
      </c>
      <c r="N1230" s="2">
        <f t="shared" si="196"/>
        <v>8.2596533058095662</v>
      </c>
      <c r="O1230" s="2">
        <f t="shared" si="197"/>
        <v>30.312927632321106</v>
      </c>
      <c r="P1230" s="2">
        <v>72.551075999999995</v>
      </c>
      <c r="Q1230" s="2">
        <v>23.037274</v>
      </c>
    </row>
    <row r="1231" spans="1:17" x14ac:dyDescent="0.25">
      <c r="A1231" s="2">
        <v>1379</v>
      </c>
      <c r="B1231" s="2" t="s">
        <v>31</v>
      </c>
      <c r="C1231" s="2">
        <v>14</v>
      </c>
      <c r="D1231" s="2">
        <f t="shared" si="190"/>
        <v>35.56</v>
      </c>
      <c r="E1231" s="2">
        <f t="shared" si="191"/>
        <v>11.319099552695597</v>
      </c>
      <c r="F1231" s="2">
        <f t="shared" si="192"/>
        <v>4.45633840657307</v>
      </c>
      <c r="G1231" s="2">
        <v>6.1492699999999996</v>
      </c>
      <c r="H1231" s="2">
        <f t="shared" si="193"/>
        <v>20.174770986799999</v>
      </c>
      <c r="I1231" s="2">
        <f>INDEX('Wood Density Lookup'!$B$2:$B$152,MATCH(B1231,'Wood Density Lookup'!$A$2:$A$152,0))</f>
        <v>0.78</v>
      </c>
      <c r="J1231" s="2">
        <f t="shared" si="194"/>
        <v>35.451285049969215</v>
      </c>
      <c r="K1231" s="2">
        <f t="shared" si="198"/>
        <v>9.9263598139913807</v>
      </c>
      <c r="L1231" s="2">
        <f t="shared" si="199"/>
        <v>45.377644863960597</v>
      </c>
      <c r="M1231" s="2">
        <f t="shared" si="195"/>
        <v>32.89879252637143</v>
      </c>
      <c r="N1231" s="2">
        <f t="shared" si="196"/>
        <v>16.449396263185715</v>
      </c>
      <c r="O1231" s="2">
        <f t="shared" si="197"/>
        <v>60.369284285891574</v>
      </c>
      <c r="P1231" s="2">
        <v>72.551077000000006</v>
      </c>
      <c r="Q1231" s="2">
        <v>23.035523999999999</v>
      </c>
    </row>
    <row r="1232" spans="1:17" x14ac:dyDescent="0.25">
      <c r="A1232" s="2">
        <v>1380</v>
      </c>
      <c r="B1232" s="2" t="s">
        <v>15</v>
      </c>
      <c r="C1232" s="2">
        <v>68</v>
      </c>
      <c r="D1232" s="2">
        <f t="shared" si="190"/>
        <v>172.72</v>
      </c>
      <c r="E1232" s="2">
        <f t="shared" si="191"/>
        <v>54.978483541664325</v>
      </c>
      <c r="F1232" s="2">
        <f t="shared" si="192"/>
        <v>21.645072260497766</v>
      </c>
      <c r="G1232" s="2">
        <v>14.926548</v>
      </c>
      <c r="H1232" s="2">
        <f t="shared" si="193"/>
        <v>48.971615740320004</v>
      </c>
      <c r="I1232" s="2">
        <f>INDEX('Wood Density Lookup'!$B$2:$B$152,MATCH(B1232,'Wood Density Lookup'!$A$2:$A$152,0))</f>
        <v>0.75</v>
      </c>
      <c r="J1232" s="2">
        <f t="shared" si="194"/>
        <v>1773.0275135068243</v>
      </c>
      <c r="K1232" s="2">
        <f t="shared" si="198"/>
        <v>496.44770378191089</v>
      </c>
      <c r="L1232" s="2">
        <f t="shared" si="199"/>
        <v>2269.4752172887352</v>
      </c>
      <c r="M1232" s="2">
        <f t="shared" si="195"/>
        <v>1645.3695325343328</v>
      </c>
      <c r="N1232" s="2">
        <f t="shared" si="196"/>
        <v>822.68476626716642</v>
      </c>
      <c r="O1232" s="2">
        <f t="shared" si="197"/>
        <v>3019.2530922005008</v>
      </c>
      <c r="P1232" s="2">
        <v>72.551078000000004</v>
      </c>
      <c r="Q1232" s="2">
        <v>23.036670999999998</v>
      </c>
    </row>
    <row r="1233" spans="1:17" x14ac:dyDescent="0.25">
      <c r="A1233" s="2">
        <v>1381</v>
      </c>
      <c r="B1233" s="2" t="s">
        <v>9</v>
      </c>
      <c r="C1233" s="2">
        <v>37</v>
      </c>
      <c r="D1233" s="2">
        <f t="shared" si="190"/>
        <v>93.98</v>
      </c>
      <c r="E1233" s="2">
        <f t="shared" si="191"/>
        <v>29.914763103552648</v>
      </c>
      <c r="F1233" s="2">
        <f t="shared" si="192"/>
        <v>11.777465788800255</v>
      </c>
      <c r="G1233" s="2">
        <v>7.4952899999999998</v>
      </c>
      <c r="H1233" s="2">
        <f t="shared" si="193"/>
        <v>24.590847243599999</v>
      </c>
      <c r="I1233" s="2">
        <f>INDEX('Wood Density Lookup'!$B$2:$B$152,MATCH(B1233,'Wood Density Lookup'!$A$2:$A$152,0))</f>
        <v>0.42</v>
      </c>
      <c r="J1233" s="2">
        <f t="shared" si="194"/>
        <v>156.68539564685383</v>
      </c>
      <c r="K1233" s="2">
        <f t="shared" si="198"/>
        <v>43.871910781119077</v>
      </c>
      <c r="L1233" s="2">
        <f t="shared" si="199"/>
        <v>200.55730642797292</v>
      </c>
      <c r="M1233" s="2">
        <f t="shared" si="195"/>
        <v>145.40404716028036</v>
      </c>
      <c r="N1233" s="2">
        <f t="shared" si="196"/>
        <v>72.702023580140178</v>
      </c>
      <c r="O1233" s="2">
        <f t="shared" si="197"/>
        <v>266.81642653911445</v>
      </c>
      <c r="P1233" s="2">
        <v>72.551078000000004</v>
      </c>
      <c r="Q1233" s="2">
        <v>23.036894</v>
      </c>
    </row>
    <row r="1234" spans="1:17" x14ac:dyDescent="0.25">
      <c r="A1234" s="2">
        <v>1382</v>
      </c>
      <c r="B1234" s="2" t="s">
        <v>107</v>
      </c>
      <c r="C1234" s="2">
        <v>20</v>
      </c>
      <c r="D1234" s="2">
        <f t="shared" si="190"/>
        <v>50.8</v>
      </c>
      <c r="E1234" s="2">
        <f t="shared" si="191"/>
        <v>16.170142218136565</v>
      </c>
      <c r="F1234" s="2">
        <f t="shared" si="192"/>
        <v>6.366197723675814</v>
      </c>
      <c r="G1234" s="2">
        <v>7.839817</v>
      </c>
      <c r="H1234" s="2">
        <f t="shared" si="193"/>
        <v>25.721185206280001</v>
      </c>
      <c r="I1234" s="2">
        <f>INDEX('Wood Density Lookup'!$B$2:$B$152,MATCH(B1234,'Wood Density Lookup'!$A$2:$A$152,0))</f>
        <v>0.65</v>
      </c>
      <c r="J1234" s="2">
        <f t="shared" si="194"/>
        <v>75.451955218398908</v>
      </c>
      <c r="K1234" s="2">
        <f t="shared" si="198"/>
        <v>21.126547461151695</v>
      </c>
      <c r="L1234" s="2">
        <f t="shared" si="199"/>
        <v>96.57850267955061</v>
      </c>
      <c r="M1234" s="2">
        <f t="shared" si="195"/>
        <v>70.01941444267419</v>
      </c>
      <c r="N1234" s="2">
        <f t="shared" si="196"/>
        <v>35.009707221337095</v>
      </c>
      <c r="O1234" s="2">
        <f t="shared" si="197"/>
        <v>128.48562550230713</v>
      </c>
      <c r="P1234" s="2">
        <v>72.551079000000001</v>
      </c>
      <c r="Q1234" s="2">
        <v>23.037600999999999</v>
      </c>
    </row>
    <row r="1235" spans="1:17" x14ac:dyDescent="0.25">
      <c r="A1235" s="2">
        <v>1383</v>
      </c>
      <c r="B1235" s="2" t="s">
        <v>66</v>
      </c>
      <c r="C1235" s="2">
        <v>6</v>
      </c>
      <c r="D1235" s="2">
        <f t="shared" si="190"/>
        <v>15.24</v>
      </c>
      <c r="E1235" s="2">
        <f t="shared" si="191"/>
        <v>4.8510426654409704</v>
      </c>
      <c r="F1235" s="2">
        <f t="shared" si="192"/>
        <v>1.909859317102744</v>
      </c>
      <c r="G1235" s="2">
        <v>6.6553930000000001</v>
      </c>
      <c r="H1235" s="2">
        <f t="shared" si="193"/>
        <v>21.835279570120001</v>
      </c>
      <c r="I1235" s="2">
        <f>INDEX('Wood Density Lookup'!$B$2:$B$152,MATCH(B1235,'Wood Density Lookup'!$A$2:$A$152,0))</f>
        <v>0.5</v>
      </c>
      <c r="J1235" s="2">
        <f t="shared" si="194"/>
        <v>4.7465431050276363</v>
      </c>
      <c r="K1235" s="2">
        <f t="shared" si="198"/>
        <v>1.3290320694077382</v>
      </c>
      <c r="L1235" s="2">
        <f t="shared" si="199"/>
        <v>6.0755751744353743</v>
      </c>
      <c r="M1235" s="2">
        <f t="shared" si="195"/>
        <v>4.4047920014656459</v>
      </c>
      <c r="N1235" s="2">
        <f t="shared" si="196"/>
        <v>2.2023960007328229</v>
      </c>
      <c r="O1235" s="2">
        <f t="shared" si="197"/>
        <v>8.0827933226894597</v>
      </c>
      <c r="P1235" s="2">
        <v>72.551079000000001</v>
      </c>
      <c r="Q1235" s="2">
        <v>23.037651</v>
      </c>
    </row>
    <row r="1236" spans="1:17" x14ac:dyDescent="0.25">
      <c r="A1236" s="2">
        <v>1384</v>
      </c>
      <c r="B1236" s="2" t="s">
        <v>9</v>
      </c>
      <c r="C1236" s="2">
        <v>18</v>
      </c>
      <c r="D1236" s="2">
        <f t="shared" si="190"/>
        <v>45.72</v>
      </c>
      <c r="E1236" s="2">
        <f t="shared" si="191"/>
        <v>14.55312799632291</v>
      </c>
      <c r="F1236" s="2">
        <f t="shared" si="192"/>
        <v>5.7295779513082321</v>
      </c>
      <c r="G1236" s="2">
        <v>5.0132260000000004</v>
      </c>
      <c r="H1236" s="2">
        <f t="shared" si="193"/>
        <v>16.44759238984</v>
      </c>
      <c r="I1236" s="2">
        <f>INDEX('Wood Density Lookup'!$B$2:$B$152,MATCH(B1236,'Wood Density Lookup'!$A$2:$A$152,0))</f>
        <v>0.42</v>
      </c>
      <c r="J1236" s="2">
        <f t="shared" si="194"/>
        <v>25.9245742903299</v>
      </c>
      <c r="K1236" s="2">
        <f t="shared" si="198"/>
        <v>7.2588808012923725</v>
      </c>
      <c r="L1236" s="2">
        <f t="shared" si="199"/>
        <v>33.183455091622271</v>
      </c>
      <c r="M1236" s="2">
        <f t="shared" si="195"/>
        <v>24.058004941426145</v>
      </c>
      <c r="N1236" s="2">
        <f t="shared" si="196"/>
        <v>12.029002470713072</v>
      </c>
      <c r="O1236" s="2">
        <f t="shared" si="197"/>
        <v>44.146439067516972</v>
      </c>
      <c r="P1236" s="2">
        <v>72.551080999999996</v>
      </c>
      <c r="Q1236" s="2">
        <v>23.036124999999998</v>
      </c>
    </row>
    <row r="1237" spans="1:17" x14ac:dyDescent="0.25">
      <c r="A1237" s="2">
        <v>1385</v>
      </c>
      <c r="B1237" s="2" t="s">
        <v>9</v>
      </c>
      <c r="C1237" s="2">
        <v>9</v>
      </c>
      <c r="D1237" s="2">
        <f t="shared" si="190"/>
        <v>22.86</v>
      </c>
      <c r="E1237" s="2">
        <f t="shared" si="191"/>
        <v>7.2765639981614552</v>
      </c>
      <c r="F1237" s="2">
        <f t="shared" si="192"/>
        <v>2.8647889756541161</v>
      </c>
      <c r="G1237" s="2">
        <v>8.9805019999999995</v>
      </c>
      <c r="H1237" s="2">
        <f t="shared" si="193"/>
        <v>29.463590181679997</v>
      </c>
      <c r="I1237" s="2">
        <f>INDEX('Wood Density Lookup'!$B$2:$B$152,MATCH(B1237,'Wood Density Lookup'!$A$2:$A$152,0))</f>
        <v>0.42</v>
      </c>
      <c r="J1237" s="2">
        <f t="shared" si="194"/>
        <v>11.836083289922401</v>
      </c>
      <c r="K1237" s="2">
        <f t="shared" si="198"/>
        <v>3.3141033211782727</v>
      </c>
      <c r="L1237" s="2">
        <f t="shared" si="199"/>
        <v>15.150186611100674</v>
      </c>
      <c r="M1237" s="2">
        <f t="shared" si="195"/>
        <v>10.983885293047988</v>
      </c>
      <c r="N1237" s="2">
        <f t="shared" si="196"/>
        <v>5.4919426465239942</v>
      </c>
      <c r="O1237" s="2">
        <f t="shared" si="197"/>
        <v>20.155429512743058</v>
      </c>
      <c r="P1237" s="2">
        <v>72.551083000000006</v>
      </c>
      <c r="Q1237" s="2">
        <v>23.036892000000002</v>
      </c>
    </row>
    <row r="1238" spans="1:17" x14ac:dyDescent="0.25">
      <c r="A1238" s="2">
        <v>1386</v>
      </c>
      <c r="B1238" s="2" t="s">
        <v>115</v>
      </c>
      <c r="C1238" s="2">
        <v>12</v>
      </c>
      <c r="D1238" s="2">
        <f t="shared" si="190"/>
        <v>30.48</v>
      </c>
      <c r="E1238" s="2">
        <f t="shared" si="191"/>
        <v>9.7020853308819408</v>
      </c>
      <c r="F1238" s="2">
        <f t="shared" si="192"/>
        <v>3.8197186342054881</v>
      </c>
      <c r="G1238" s="2">
        <v>5.2243000000000004</v>
      </c>
      <c r="H1238" s="2">
        <f t="shared" si="193"/>
        <v>17.140092412000001</v>
      </c>
      <c r="I1238" s="2">
        <f>INDEX('Wood Density Lookup'!$B$2:$B$152,MATCH(B1238,'Wood Density Lookup'!$A$2:$A$152,0))</f>
        <v>0.65</v>
      </c>
      <c r="J1238" s="2">
        <f t="shared" si="194"/>
        <v>18.731587667936008</v>
      </c>
      <c r="K1238" s="2">
        <f t="shared" si="198"/>
        <v>5.2448445470220824</v>
      </c>
      <c r="L1238" s="2">
        <f t="shared" si="199"/>
        <v>23.976432214958091</v>
      </c>
      <c r="M1238" s="2">
        <f t="shared" si="195"/>
        <v>17.382913355844615</v>
      </c>
      <c r="N1238" s="2">
        <f t="shared" si="196"/>
        <v>8.6914566779223073</v>
      </c>
      <c r="O1238" s="2">
        <f t="shared" si="197"/>
        <v>31.897646007974867</v>
      </c>
      <c r="P1238" s="2">
        <v>72.551085</v>
      </c>
      <c r="Q1238" s="2">
        <v>23.037489999999998</v>
      </c>
    </row>
    <row r="1239" spans="1:17" x14ac:dyDescent="0.25">
      <c r="A1239" s="2">
        <v>1387</v>
      </c>
      <c r="B1239" s="2" t="s">
        <v>15</v>
      </c>
      <c r="C1239" s="2">
        <v>4</v>
      </c>
      <c r="D1239" s="2">
        <f t="shared" si="190"/>
        <v>10.16</v>
      </c>
      <c r="E1239" s="2">
        <f t="shared" si="191"/>
        <v>3.2340284436273135</v>
      </c>
      <c r="F1239" s="2">
        <f t="shared" si="192"/>
        <v>1.2732395447351628</v>
      </c>
      <c r="G1239" s="2">
        <v>5.186159</v>
      </c>
      <c r="H1239" s="2">
        <f t="shared" si="193"/>
        <v>17.014957893559998</v>
      </c>
      <c r="I1239" s="2">
        <f>INDEX('Wood Density Lookup'!$B$2:$B$152,MATCH(B1239,'Wood Density Lookup'!$A$2:$A$152,0))</f>
        <v>0.75</v>
      </c>
      <c r="J1239" s="2">
        <f t="shared" si="194"/>
        <v>2.5048651547845</v>
      </c>
      <c r="K1239" s="2">
        <f t="shared" si="198"/>
        <v>0.70136224333966002</v>
      </c>
      <c r="L1239" s="2">
        <f t="shared" si="199"/>
        <v>3.20622739812416</v>
      </c>
      <c r="M1239" s="2">
        <f t="shared" si="195"/>
        <v>2.3245148636400161</v>
      </c>
      <c r="N1239" s="2">
        <f t="shared" si="196"/>
        <v>1.1622574318200081</v>
      </c>
      <c r="O1239" s="2">
        <f t="shared" si="197"/>
        <v>4.2654847747794298</v>
      </c>
      <c r="P1239" s="2">
        <v>72.551086999999995</v>
      </c>
      <c r="Q1239" s="2">
        <v>23.037648000000001</v>
      </c>
    </row>
    <row r="1240" spans="1:17" x14ac:dyDescent="0.25">
      <c r="A1240" s="2">
        <v>1388</v>
      </c>
      <c r="B1240" s="2" t="s">
        <v>107</v>
      </c>
      <c r="C1240" s="2">
        <v>34</v>
      </c>
      <c r="D1240" s="2">
        <f t="shared" si="190"/>
        <v>86.36</v>
      </c>
      <c r="E1240" s="2">
        <f t="shared" si="191"/>
        <v>27.489241770832162</v>
      </c>
      <c r="F1240" s="2">
        <f t="shared" si="192"/>
        <v>10.822536130248883</v>
      </c>
      <c r="G1240" s="2">
        <v>13.232849999999999</v>
      </c>
      <c r="H1240" s="2">
        <f t="shared" si="193"/>
        <v>43.414863593999996</v>
      </c>
      <c r="I1240" s="2">
        <f>INDEX('Wood Density Lookup'!$B$2:$B$152,MATCH(B1240,'Wood Density Lookup'!$A$2:$A$152,0))</f>
        <v>0.65</v>
      </c>
      <c r="J1240" s="2">
        <f t="shared" si="194"/>
        <v>354.32183624469474</v>
      </c>
      <c r="K1240" s="2">
        <f t="shared" si="198"/>
        <v>99.210114148514535</v>
      </c>
      <c r="L1240" s="2">
        <f t="shared" si="199"/>
        <v>453.53195039320929</v>
      </c>
      <c r="M1240" s="2">
        <f t="shared" si="195"/>
        <v>328.81066403507674</v>
      </c>
      <c r="N1240" s="2">
        <f t="shared" si="196"/>
        <v>164.40533201753837</v>
      </c>
      <c r="O1240" s="2">
        <f t="shared" si="197"/>
        <v>603.36756850436586</v>
      </c>
      <c r="P1240" s="2">
        <v>72.551090000000002</v>
      </c>
      <c r="Q1240" s="2">
        <v>23.035148</v>
      </c>
    </row>
    <row r="1241" spans="1:17" x14ac:dyDescent="0.25">
      <c r="A1241" s="2">
        <v>1389</v>
      </c>
      <c r="B1241" s="2" t="s">
        <v>107</v>
      </c>
      <c r="C1241" s="2">
        <v>15</v>
      </c>
      <c r="D1241" s="2">
        <f t="shared" si="190"/>
        <v>38.1</v>
      </c>
      <c r="E1241" s="2">
        <f t="shared" si="191"/>
        <v>12.127606663602425</v>
      </c>
      <c r="F1241" s="2">
        <f t="shared" si="192"/>
        <v>4.7746482927568605</v>
      </c>
      <c r="G1241" s="2">
        <v>4.7114770000000004</v>
      </c>
      <c r="H1241" s="2">
        <f t="shared" si="193"/>
        <v>15.45760220068</v>
      </c>
      <c r="I1241" s="2">
        <f>INDEX('Wood Density Lookup'!$B$2:$B$152,MATCH(B1241,'Wood Density Lookup'!$A$2:$A$152,0))</f>
        <v>0.65</v>
      </c>
      <c r="J1241" s="2">
        <f t="shared" si="194"/>
        <v>26.178744041438861</v>
      </c>
      <c r="K1241" s="2">
        <f t="shared" si="198"/>
        <v>7.3300483316028817</v>
      </c>
      <c r="L1241" s="2">
        <f t="shared" si="199"/>
        <v>33.508792373041743</v>
      </c>
      <c r="M1241" s="2">
        <f t="shared" si="195"/>
        <v>24.293874470455261</v>
      </c>
      <c r="N1241" s="2">
        <f t="shared" si="196"/>
        <v>12.146937235227631</v>
      </c>
      <c r="O1241" s="2">
        <f t="shared" si="197"/>
        <v>44.579259653285405</v>
      </c>
      <c r="P1241" s="2">
        <v>72.551091999999997</v>
      </c>
      <c r="Q1241" s="2">
        <v>23.037215</v>
      </c>
    </row>
    <row r="1242" spans="1:17" x14ac:dyDescent="0.25">
      <c r="A1242" s="2">
        <v>1390</v>
      </c>
      <c r="B1242" s="2" t="s">
        <v>82</v>
      </c>
      <c r="C1242" s="2">
        <v>11</v>
      </c>
      <c r="D1242" s="2">
        <f t="shared" si="190"/>
        <v>27.94</v>
      </c>
      <c r="E1242" s="2">
        <f t="shared" si="191"/>
        <v>8.8935782199751117</v>
      </c>
      <c r="F1242" s="2">
        <f t="shared" si="192"/>
        <v>3.5014087480216975</v>
      </c>
      <c r="G1242" s="2">
        <v>7.1234299999999999</v>
      </c>
      <c r="H1242" s="2">
        <f t="shared" si="193"/>
        <v>23.370834081199998</v>
      </c>
      <c r="I1242" s="2">
        <f>INDEX('Wood Density Lookup'!$B$2:$B$152,MATCH(B1242,'Wood Density Lookup'!$A$2:$A$152,0))</f>
        <v>0.7</v>
      </c>
      <c r="J1242" s="2">
        <f t="shared" si="194"/>
        <v>22.996024207715564</v>
      </c>
      <c r="K1242" s="2">
        <f t="shared" si="198"/>
        <v>6.4388867781603585</v>
      </c>
      <c r="L1242" s="2">
        <f t="shared" si="199"/>
        <v>29.434910985875923</v>
      </c>
      <c r="M1242" s="2">
        <f t="shared" si="195"/>
        <v>21.340310464760044</v>
      </c>
      <c r="N1242" s="2">
        <f t="shared" si="196"/>
        <v>10.670155232380022</v>
      </c>
      <c r="O1242" s="2">
        <f t="shared" si="197"/>
        <v>39.159469702834677</v>
      </c>
      <c r="P1242" s="2">
        <v>72.551092999999995</v>
      </c>
      <c r="Q1242" s="2">
        <v>23.037412</v>
      </c>
    </row>
    <row r="1243" spans="1:17" x14ac:dyDescent="0.25">
      <c r="A1243" s="2">
        <v>1391</v>
      </c>
      <c r="B1243" s="2" t="s">
        <v>128</v>
      </c>
      <c r="C1243" s="2">
        <v>26</v>
      </c>
      <c r="D1243" s="2">
        <f t="shared" si="190"/>
        <v>66.040000000000006</v>
      </c>
      <c r="E1243" s="2">
        <f t="shared" si="191"/>
        <v>21.02118488357754</v>
      </c>
      <c r="F1243" s="2">
        <f t="shared" si="192"/>
        <v>8.2760570407785572</v>
      </c>
      <c r="G1243" s="2">
        <v>5.4964199999999996</v>
      </c>
      <c r="H1243" s="2">
        <f t="shared" si="193"/>
        <v>18.032874592799999</v>
      </c>
      <c r="I1243" s="2">
        <f>INDEX('Wood Density Lookup'!$B$2:$B$152,MATCH(B1243,'Wood Density Lookup'!$A$2:$A$152,0))</f>
        <v>0.75</v>
      </c>
      <c r="J1243" s="2">
        <f t="shared" si="194"/>
        <v>102.38107592143315</v>
      </c>
      <c r="K1243" s="2">
        <f t="shared" si="198"/>
        <v>28.666701258001286</v>
      </c>
      <c r="L1243" s="2">
        <f t="shared" si="199"/>
        <v>131.04777717943443</v>
      </c>
      <c r="M1243" s="2">
        <f t="shared" si="195"/>
        <v>95.009638455089956</v>
      </c>
      <c r="N1243" s="2">
        <f t="shared" si="196"/>
        <v>47.504819227544978</v>
      </c>
      <c r="O1243" s="2">
        <f t="shared" si="197"/>
        <v>174.34268656509008</v>
      </c>
      <c r="P1243" s="2">
        <v>72.551094000000006</v>
      </c>
      <c r="Q1243" s="2">
        <v>23.036992000000001</v>
      </c>
    </row>
    <row r="1244" spans="1:17" x14ac:dyDescent="0.25">
      <c r="A1244" s="2">
        <v>1392</v>
      </c>
      <c r="B1244" s="2" t="s">
        <v>82</v>
      </c>
      <c r="C1244" s="2">
        <v>9</v>
      </c>
      <c r="D1244" s="2">
        <f t="shared" si="190"/>
        <v>22.86</v>
      </c>
      <c r="E1244" s="2">
        <f t="shared" si="191"/>
        <v>7.2765639981614552</v>
      </c>
      <c r="F1244" s="2">
        <f t="shared" si="192"/>
        <v>2.8647889756541161</v>
      </c>
      <c r="G1244" s="2">
        <v>4.0067180000000002</v>
      </c>
      <c r="H1244" s="2">
        <f t="shared" si="193"/>
        <v>13.14540068312</v>
      </c>
      <c r="I1244" s="2">
        <f>INDEX('Wood Density Lookup'!$B$2:$B$152,MATCH(B1244,'Wood Density Lookup'!$A$2:$A$152,0))</f>
        <v>0.7</v>
      </c>
      <c r="J1244" s="2">
        <f t="shared" si="194"/>
        <v>8.8640631102554384</v>
      </c>
      <c r="K1244" s="2">
        <f t="shared" si="198"/>
        <v>2.4819376708715231</v>
      </c>
      <c r="L1244" s="2">
        <f t="shared" si="199"/>
        <v>11.346000781126961</v>
      </c>
      <c r="M1244" s="2">
        <f t="shared" si="195"/>
        <v>8.225850566317046</v>
      </c>
      <c r="N1244" s="2">
        <f t="shared" si="196"/>
        <v>4.112925283158523</v>
      </c>
      <c r="O1244" s="2">
        <f t="shared" si="197"/>
        <v>15.094435789191779</v>
      </c>
      <c r="P1244" s="2">
        <v>72.551095000000004</v>
      </c>
      <c r="Q1244" s="2">
        <v>23.037645000000001</v>
      </c>
    </row>
    <row r="1245" spans="1:17" x14ac:dyDescent="0.25">
      <c r="A1245" s="2">
        <v>1393</v>
      </c>
      <c r="B1245" s="2" t="s">
        <v>107</v>
      </c>
      <c r="C1245" s="2">
        <v>2</v>
      </c>
      <c r="D1245" s="2">
        <f t="shared" si="190"/>
        <v>5.08</v>
      </c>
      <c r="E1245" s="2">
        <f t="shared" si="191"/>
        <v>1.6170142218136567</v>
      </c>
      <c r="F1245" s="2">
        <f t="shared" si="192"/>
        <v>0.63661977236758138</v>
      </c>
      <c r="G1245" s="2">
        <v>6.7610190000000001</v>
      </c>
      <c r="H1245" s="2">
        <f t="shared" si="193"/>
        <v>22.181821575960001</v>
      </c>
      <c r="I1245" s="2">
        <f>INDEX('Wood Density Lookup'!$B$2:$B$152,MATCH(B1245,'Wood Density Lookup'!$A$2:$A$152,0))</f>
        <v>0.65</v>
      </c>
      <c r="J1245" s="2">
        <f t="shared" si="194"/>
        <v>0.72932278186477872</v>
      </c>
      <c r="K1245" s="2">
        <f t="shared" si="198"/>
        <v>0.20421037892213806</v>
      </c>
      <c r="L1245" s="2">
        <f t="shared" si="199"/>
        <v>0.93353316078691684</v>
      </c>
      <c r="M1245" s="2">
        <f t="shared" si="195"/>
        <v>0.67681154157051471</v>
      </c>
      <c r="N1245" s="2">
        <f t="shared" si="196"/>
        <v>0.33840577078525735</v>
      </c>
      <c r="O1245" s="2">
        <f t="shared" si="197"/>
        <v>1.2419491787818944</v>
      </c>
      <c r="P1245" s="2">
        <v>72.551096000000001</v>
      </c>
      <c r="Q1245" s="2">
        <v>23.037534999999998</v>
      </c>
    </row>
    <row r="1246" spans="1:17" x14ac:dyDescent="0.25">
      <c r="A1246" s="2">
        <v>1394</v>
      </c>
      <c r="B1246" s="2" t="s">
        <v>128</v>
      </c>
      <c r="C1246" s="2">
        <v>14</v>
      </c>
      <c r="D1246" s="2">
        <f t="shared" si="190"/>
        <v>35.56</v>
      </c>
      <c r="E1246" s="2">
        <f t="shared" si="191"/>
        <v>11.319099552695597</v>
      </c>
      <c r="F1246" s="2">
        <f t="shared" si="192"/>
        <v>4.45633840657307</v>
      </c>
      <c r="G1246" s="2">
        <v>6.9940949999999997</v>
      </c>
      <c r="H1246" s="2">
        <f t="shared" si="193"/>
        <v>22.946506639799999</v>
      </c>
      <c r="I1246" s="2">
        <f>INDEX('Wood Density Lookup'!$B$2:$B$152,MATCH(B1246,'Wood Density Lookup'!$A$2:$A$152,0))</f>
        <v>0.75</v>
      </c>
      <c r="J1246" s="2">
        <f t="shared" si="194"/>
        <v>38.687762813376025</v>
      </c>
      <c r="K1246" s="2">
        <f t="shared" si="198"/>
        <v>10.832573587745289</v>
      </c>
      <c r="L1246" s="2">
        <f t="shared" si="199"/>
        <v>49.520336401121313</v>
      </c>
      <c r="M1246" s="2">
        <f t="shared" si="195"/>
        <v>35.902243890812947</v>
      </c>
      <c r="N1246" s="2">
        <f t="shared" si="196"/>
        <v>17.951121945406474</v>
      </c>
      <c r="O1246" s="2">
        <f t="shared" si="197"/>
        <v>65.880617539641761</v>
      </c>
      <c r="P1246" s="2">
        <v>72.551097999999996</v>
      </c>
      <c r="Q1246" s="2">
        <v>23.036933999999999</v>
      </c>
    </row>
    <row r="1247" spans="1:17" x14ac:dyDescent="0.25">
      <c r="A1247" s="2">
        <v>1395</v>
      </c>
      <c r="B1247" s="2" t="s">
        <v>9</v>
      </c>
      <c r="C1247" s="2">
        <v>97</v>
      </c>
      <c r="D1247" s="2">
        <f t="shared" si="190"/>
        <v>246.38</v>
      </c>
      <c r="E1247" s="2">
        <f t="shared" si="191"/>
        <v>78.425189757962343</v>
      </c>
      <c r="F1247" s="2">
        <f t="shared" si="192"/>
        <v>30.876058959827695</v>
      </c>
      <c r="G1247" s="2">
        <v>14.119073</v>
      </c>
      <c r="H1247" s="2">
        <f t="shared" si="193"/>
        <v>46.322419461320003</v>
      </c>
      <c r="I1247" s="2">
        <f>INDEX('Wood Density Lookup'!$B$2:$B$152,MATCH(B1247,'Wood Density Lookup'!$A$2:$A$152,0))</f>
        <v>0.42</v>
      </c>
      <c r="J1247" s="2">
        <f t="shared" si="194"/>
        <v>1907.6315456088744</v>
      </c>
      <c r="K1247" s="2">
        <f t="shared" si="198"/>
        <v>534.13683277048483</v>
      </c>
      <c r="L1247" s="2">
        <f t="shared" si="199"/>
        <v>2441.7683783793591</v>
      </c>
      <c r="M1247" s="2">
        <f t="shared" si="195"/>
        <v>1770.2820743250352</v>
      </c>
      <c r="N1247" s="2">
        <f t="shared" si="196"/>
        <v>885.14103716251759</v>
      </c>
      <c r="O1247" s="2">
        <f t="shared" si="197"/>
        <v>3248.4676063864395</v>
      </c>
      <c r="P1247" s="2">
        <v>72.551098999999994</v>
      </c>
      <c r="Q1247" s="2">
        <v>23.038350000000001</v>
      </c>
    </row>
    <row r="1248" spans="1:17" x14ac:dyDescent="0.25">
      <c r="A1248" s="2">
        <v>1396</v>
      </c>
      <c r="B1248" s="2" t="s">
        <v>81</v>
      </c>
      <c r="C1248" s="2">
        <v>9</v>
      </c>
      <c r="D1248" s="2">
        <f t="shared" si="190"/>
        <v>22.86</v>
      </c>
      <c r="E1248" s="2">
        <f t="shared" si="191"/>
        <v>7.2765639981614552</v>
      </c>
      <c r="F1248" s="2">
        <f t="shared" si="192"/>
        <v>2.8647889756541161</v>
      </c>
      <c r="G1248" s="2">
        <v>2.9408979999999998</v>
      </c>
      <c r="H1248" s="2">
        <f t="shared" si="193"/>
        <v>9.6486157943199995</v>
      </c>
      <c r="I1248" s="2">
        <f>INDEX('Wood Density Lookup'!$B$2:$B$152,MATCH(B1248,'Wood Density Lookup'!$A$2:$A$152,0))</f>
        <v>0.6</v>
      </c>
      <c r="J1248" s="2">
        <f t="shared" si="194"/>
        <v>5.639068488584444</v>
      </c>
      <c r="K1248" s="2">
        <f t="shared" si="198"/>
        <v>1.5789391768036445</v>
      </c>
      <c r="L1248" s="2">
        <f t="shared" si="199"/>
        <v>7.2180076653880887</v>
      </c>
      <c r="M1248" s="2">
        <f t="shared" si="195"/>
        <v>5.233055557406364</v>
      </c>
      <c r="N1248" s="2">
        <f t="shared" si="196"/>
        <v>2.616527778703182</v>
      </c>
      <c r="O1248" s="2">
        <f t="shared" si="197"/>
        <v>9.6026569478406785</v>
      </c>
      <c r="P1248" s="2">
        <v>72.551101000000003</v>
      </c>
      <c r="Q1248" s="2">
        <v>23.035540000000001</v>
      </c>
    </row>
    <row r="1249" spans="1:17" x14ac:dyDescent="0.25">
      <c r="A1249" s="2">
        <v>1397</v>
      </c>
      <c r="B1249" s="2" t="s">
        <v>45</v>
      </c>
      <c r="C1249" s="2">
        <v>7</v>
      </c>
      <c r="D1249" s="2">
        <f t="shared" si="190"/>
        <v>17.78</v>
      </c>
      <c r="E1249" s="2">
        <f t="shared" si="191"/>
        <v>5.6595497763477987</v>
      </c>
      <c r="F1249" s="2">
        <f t="shared" si="192"/>
        <v>2.228169203286535</v>
      </c>
      <c r="G1249" s="2">
        <v>6.3288630000000001</v>
      </c>
      <c r="H1249" s="2">
        <f t="shared" si="193"/>
        <v>20.763986884920001</v>
      </c>
      <c r="I1249" s="2">
        <f>INDEX('Wood Density Lookup'!$B$2:$B$152,MATCH(B1249,'Wood Density Lookup'!$A$2:$A$152,0))</f>
        <v>0.6</v>
      </c>
      <c r="J1249" s="2">
        <f t="shared" si="194"/>
        <v>7.2948236939205859</v>
      </c>
      <c r="K1249" s="2">
        <f t="shared" si="198"/>
        <v>2.0425506342977644</v>
      </c>
      <c r="L1249" s="2">
        <f t="shared" si="199"/>
        <v>9.3373743282183508</v>
      </c>
      <c r="M1249" s="2">
        <f t="shared" si="195"/>
        <v>6.7695963879583045</v>
      </c>
      <c r="N1249" s="2">
        <f t="shared" si="196"/>
        <v>3.3847981939791523</v>
      </c>
      <c r="O1249" s="2">
        <f t="shared" si="197"/>
        <v>12.422209371903488</v>
      </c>
      <c r="P1249" s="2">
        <v>72.551102</v>
      </c>
      <c r="Q1249" s="2">
        <v>23.037409</v>
      </c>
    </row>
    <row r="1250" spans="1:17" x14ac:dyDescent="0.25">
      <c r="A1250" s="2">
        <v>1398</v>
      </c>
      <c r="B1250" s="2" t="s">
        <v>128</v>
      </c>
      <c r="C1250" s="2">
        <v>19</v>
      </c>
      <c r="D1250" s="2">
        <f t="shared" si="190"/>
        <v>48.26</v>
      </c>
      <c r="E1250" s="2">
        <f t="shared" si="191"/>
        <v>15.361635107229738</v>
      </c>
      <c r="F1250" s="2">
        <f t="shared" si="192"/>
        <v>6.0478878374920226</v>
      </c>
      <c r="G1250" s="2">
        <v>7.276967</v>
      </c>
      <c r="H1250" s="2">
        <f t="shared" si="193"/>
        <v>23.874564412279998</v>
      </c>
      <c r="I1250" s="2">
        <f>INDEX('Wood Density Lookup'!$B$2:$B$152,MATCH(B1250,'Wood Density Lookup'!$A$2:$A$152,0))</f>
        <v>0.75</v>
      </c>
      <c r="J1250" s="2">
        <f t="shared" si="194"/>
        <v>72.99016500348165</v>
      </c>
      <c r="K1250" s="2">
        <f t="shared" si="198"/>
        <v>20.437246200974865</v>
      </c>
      <c r="L1250" s="2">
        <f t="shared" si="199"/>
        <v>93.427411204456519</v>
      </c>
      <c r="M1250" s="2">
        <f t="shared" si="195"/>
        <v>67.734873123230969</v>
      </c>
      <c r="N1250" s="2">
        <f t="shared" si="196"/>
        <v>33.867436561615484</v>
      </c>
      <c r="O1250" s="2">
        <f t="shared" si="197"/>
        <v>124.29349218112883</v>
      </c>
      <c r="P1250" s="2">
        <v>72.551102999999998</v>
      </c>
      <c r="Q1250" s="2">
        <v>23.036961999999999</v>
      </c>
    </row>
    <row r="1251" spans="1:17" x14ac:dyDescent="0.25">
      <c r="A1251" s="2">
        <v>1399</v>
      </c>
      <c r="B1251" s="2" t="s">
        <v>128</v>
      </c>
      <c r="C1251" s="2">
        <v>23</v>
      </c>
      <c r="D1251" s="2">
        <f t="shared" si="190"/>
        <v>58.42</v>
      </c>
      <c r="E1251" s="2">
        <f t="shared" si="191"/>
        <v>18.595663550857051</v>
      </c>
      <c r="F1251" s="2">
        <f t="shared" si="192"/>
        <v>7.3211273822271856</v>
      </c>
      <c r="G1251" s="2">
        <v>9.1647590000000001</v>
      </c>
      <c r="H1251" s="2">
        <f t="shared" si="193"/>
        <v>30.068107917559999</v>
      </c>
      <c r="I1251" s="2">
        <f>INDEX('Wood Density Lookup'!$B$2:$B$152,MATCH(B1251,'Wood Density Lookup'!$A$2:$A$152,0))</f>
        <v>0.75</v>
      </c>
      <c r="J1251" s="2">
        <f t="shared" si="194"/>
        <v>132.73840672266005</v>
      </c>
      <c r="K1251" s="2">
        <f t="shared" si="198"/>
        <v>37.166753882344814</v>
      </c>
      <c r="L1251" s="2">
        <f t="shared" si="199"/>
        <v>169.90516060500485</v>
      </c>
      <c r="M1251" s="2">
        <f t="shared" si="195"/>
        <v>123.18124143862852</v>
      </c>
      <c r="N1251" s="2">
        <f t="shared" si="196"/>
        <v>61.590620719314259</v>
      </c>
      <c r="O1251" s="2">
        <f t="shared" si="197"/>
        <v>226.03757803988333</v>
      </c>
      <c r="P1251" s="2">
        <v>72.551103999999995</v>
      </c>
      <c r="Q1251" s="2">
        <v>23.036821</v>
      </c>
    </row>
    <row r="1252" spans="1:17" x14ac:dyDescent="0.25">
      <c r="A1252" s="2">
        <v>1400</v>
      </c>
      <c r="B1252" s="2" t="s">
        <v>9</v>
      </c>
      <c r="C1252" s="2">
        <v>48</v>
      </c>
      <c r="D1252" s="2">
        <f t="shared" si="190"/>
        <v>121.92</v>
      </c>
      <c r="E1252" s="2">
        <f t="shared" si="191"/>
        <v>38.808341323527763</v>
      </c>
      <c r="F1252" s="2">
        <f t="shared" si="192"/>
        <v>15.278874536821952</v>
      </c>
      <c r="G1252" s="2">
        <v>10.677154</v>
      </c>
      <c r="H1252" s="2">
        <f t="shared" si="193"/>
        <v>35.030033929360002</v>
      </c>
      <c r="I1252" s="2">
        <f>INDEX('Wood Density Lookup'!$B$2:$B$152,MATCH(B1252,'Wood Density Lookup'!$A$2:$A$152,0))</f>
        <v>0.42</v>
      </c>
      <c r="J1252" s="2">
        <f t="shared" si="194"/>
        <v>367.8414830720572</v>
      </c>
      <c r="K1252" s="2">
        <f t="shared" si="198"/>
        <v>102.99561526017602</v>
      </c>
      <c r="L1252" s="2">
        <f t="shared" si="199"/>
        <v>470.83709833223321</v>
      </c>
      <c r="M1252" s="2">
        <f t="shared" si="195"/>
        <v>341.35689629086909</v>
      </c>
      <c r="N1252" s="2">
        <f t="shared" si="196"/>
        <v>170.67844814543454</v>
      </c>
      <c r="O1252" s="2">
        <f t="shared" si="197"/>
        <v>626.38990469374471</v>
      </c>
      <c r="P1252" s="2">
        <v>72.551105000000007</v>
      </c>
      <c r="Q1252" s="2">
        <v>23.034877999999999</v>
      </c>
    </row>
    <row r="1253" spans="1:17" x14ac:dyDescent="0.25">
      <c r="A1253" s="2">
        <v>1401</v>
      </c>
      <c r="B1253" s="2" t="s">
        <v>128</v>
      </c>
      <c r="C1253" s="2">
        <v>16</v>
      </c>
      <c r="D1253" s="2">
        <f t="shared" si="190"/>
        <v>40.64</v>
      </c>
      <c r="E1253" s="2">
        <f t="shared" si="191"/>
        <v>12.936113774509254</v>
      </c>
      <c r="F1253" s="2">
        <f t="shared" si="192"/>
        <v>5.0929581789406511</v>
      </c>
      <c r="G1253" s="2">
        <v>3.3862930000000002</v>
      </c>
      <c r="H1253" s="2">
        <f t="shared" si="193"/>
        <v>11.109885526120001</v>
      </c>
      <c r="I1253" s="2">
        <f>INDEX('Wood Density Lookup'!$B$2:$B$152,MATCH(B1253,'Wood Density Lookup'!$A$2:$A$152,0))</f>
        <v>0.75</v>
      </c>
      <c r="J1253" s="2">
        <f t="shared" si="194"/>
        <v>24.73586322512265</v>
      </c>
      <c r="K1253" s="2">
        <f t="shared" si="198"/>
        <v>6.9260417030343424</v>
      </c>
      <c r="L1253" s="2">
        <f t="shared" si="199"/>
        <v>31.661904928156993</v>
      </c>
      <c r="M1253" s="2">
        <f t="shared" si="195"/>
        <v>22.954881072913818</v>
      </c>
      <c r="N1253" s="2">
        <f t="shared" si="196"/>
        <v>11.477440536456909</v>
      </c>
      <c r="O1253" s="2">
        <f t="shared" si="197"/>
        <v>42.122206768796858</v>
      </c>
      <c r="P1253" s="2">
        <v>72.551105000000007</v>
      </c>
      <c r="Q1253" s="2">
        <v>23.036791999999998</v>
      </c>
    </row>
    <row r="1254" spans="1:17" x14ac:dyDescent="0.25">
      <c r="A1254" s="2">
        <v>1402</v>
      </c>
      <c r="B1254" s="2" t="s">
        <v>103</v>
      </c>
      <c r="C1254" s="2">
        <v>33</v>
      </c>
      <c r="D1254" s="2">
        <f t="shared" si="190"/>
        <v>83.820000000000007</v>
      </c>
      <c r="E1254" s="2">
        <f t="shared" si="191"/>
        <v>26.680734659925339</v>
      </c>
      <c r="F1254" s="2">
        <f t="shared" si="192"/>
        <v>10.504226244065093</v>
      </c>
      <c r="G1254" s="2">
        <v>4.0813990000000002</v>
      </c>
      <c r="H1254" s="2">
        <f t="shared" si="193"/>
        <v>13.39041709516</v>
      </c>
      <c r="I1254" s="2">
        <f>INDEX('Wood Density Lookup'!$B$2:$B$152,MATCH(B1254,'Wood Density Lookup'!$A$2:$A$152,0))</f>
        <v>0.6</v>
      </c>
      <c r="J1254" s="2">
        <f t="shared" si="194"/>
        <v>98.079534291439813</v>
      </c>
      <c r="K1254" s="2">
        <f t="shared" si="198"/>
        <v>27.46226960160315</v>
      </c>
      <c r="L1254" s="2">
        <f t="shared" si="199"/>
        <v>125.54180389304297</v>
      </c>
      <c r="M1254" s="2">
        <f t="shared" si="195"/>
        <v>91.017807822456149</v>
      </c>
      <c r="N1254" s="2">
        <f t="shared" si="196"/>
        <v>45.508903911228074</v>
      </c>
      <c r="O1254" s="2">
        <f t="shared" si="197"/>
        <v>167.01767735420702</v>
      </c>
      <c r="P1254" s="2">
        <v>72.551106000000004</v>
      </c>
      <c r="Q1254" s="2">
        <v>23.035506000000002</v>
      </c>
    </row>
    <row r="1255" spans="1:17" x14ac:dyDescent="0.25">
      <c r="A1255" s="2">
        <v>1403</v>
      </c>
      <c r="B1255" s="2" t="s">
        <v>31</v>
      </c>
      <c r="C1255" s="2">
        <v>9</v>
      </c>
      <c r="D1255" s="2">
        <f t="shared" si="190"/>
        <v>22.86</v>
      </c>
      <c r="E1255" s="2">
        <f t="shared" si="191"/>
        <v>7.2765639981614552</v>
      </c>
      <c r="F1255" s="2">
        <f t="shared" si="192"/>
        <v>2.8647889756541161</v>
      </c>
      <c r="G1255" s="2">
        <v>6.1883910000000002</v>
      </c>
      <c r="H1255" s="2">
        <f t="shared" si="193"/>
        <v>20.30312072844</v>
      </c>
      <c r="I1255" s="2">
        <f>INDEX('Wood Density Lookup'!$B$2:$B$152,MATCH(B1255,'Wood Density Lookup'!$A$2:$A$152,0))</f>
        <v>0.78</v>
      </c>
      <c r="J1255" s="2">
        <f t="shared" si="194"/>
        <v>15.057730437501686</v>
      </c>
      <c r="K1255" s="2">
        <f t="shared" si="198"/>
        <v>4.2161645225004722</v>
      </c>
      <c r="L1255" s="2">
        <f t="shared" si="199"/>
        <v>19.27389496000216</v>
      </c>
      <c r="M1255" s="2">
        <f t="shared" si="195"/>
        <v>13.973573846001566</v>
      </c>
      <c r="N1255" s="2">
        <f t="shared" si="196"/>
        <v>6.9867869230007829</v>
      </c>
      <c r="O1255" s="2">
        <f t="shared" si="197"/>
        <v>25.641508007412874</v>
      </c>
      <c r="P1255" s="2">
        <v>72.551108999999997</v>
      </c>
      <c r="Q1255" s="2">
        <v>23.035466</v>
      </c>
    </row>
    <row r="1256" spans="1:17" x14ac:dyDescent="0.25">
      <c r="A1256" s="2">
        <v>1404</v>
      </c>
      <c r="B1256" s="2" t="s">
        <v>31</v>
      </c>
      <c r="C1256" s="2">
        <v>31</v>
      </c>
      <c r="D1256" s="2">
        <f t="shared" si="190"/>
        <v>78.739999999999995</v>
      </c>
      <c r="E1256" s="2">
        <f t="shared" si="191"/>
        <v>25.063720438111677</v>
      </c>
      <c r="F1256" s="2">
        <f t="shared" si="192"/>
        <v>9.8676064716975116</v>
      </c>
      <c r="G1256" s="2">
        <v>3.1244019999999999</v>
      </c>
      <c r="H1256" s="2">
        <f t="shared" si="193"/>
        <v>10.250663057679999</v>
      </c>
      <c r="I1256" s="2">
        <f>INDEX('Wood Density Lookup'!$B$2:$B$152,MATCH(B1256,'Wood Density Lookup'!$A$2:$A$152,0))</f>
        <v>0.78</v>
      </c>
      <c r="J1256" s="2">
        <f t="shared" si="194"/>
        <v>86.402993163090557</v>
      </c>
      <c r="K1256" s="2">
        <f t="shared" si="198"/>
        <v>24.192838085665358</v>
      </c>
      <c r="L1256" s="2">
        <f t="shared" si="199"/>
        <v>110.59583124875591</v>
      </c>
      <c r="M1256" s="2">
        <f t="shared" si="195"/>
        <v>80.181977655348035</v>
      </c>
      <c r="N1256" s="2">
        <f t="shared" si="196"/>
        <v>40.090988827674018</v>
      </c>
      <c r="O1256" s="2">
        <f t="shared" si="197"/>
        <v>147.13392899756363</v>
      </c>
      <c r="P1256" s="2">
        <v>72.551115999999993</v>
      </c>
      <c r="Q1256" s="2">
        <v>23.038730999999999</v>
      </c>
    </row>
    <row r="1257" spans="1:17" x14ac:dyDescent="0.25">
      <c r="A1257" s="2">
        <v>1405</v>
      </c>
      <c r="B1257" s="2" t="s">
        <v>82</v>
      </c>
      <c r="C1257" s="2">
        <v>11</v>
      </c>
      <c r="D1257" s="2">
        <f t="shared" si="190"/>
        <v>27.94</v>
      </c>
      <c r="E1257" s="2">
        <f t="shared" si="191"/>
        <v>8.8935782199751117</v>
      </c>
      <c r="F1257" s="2">
        <f t="shared" si="192"/>
        <v>3.5014087480216975</v>
      </c>
      <c r="G1257" s="2">
        <v>13.393338</v>
      </c>
      <c r="H1257" s="2">
        <f t="shared" si="193"/>
        <v>43.941399043920001</v>
      </c>
      <c r="I1257" s="2">
        <f>INDEX('Wood Density Lookup'!$B$2:$B$152,MATCH(B1257,'Wood Density Lookup'!$A$2:$A$152,0))</f>
        <v>0.7</v>
      </c>
      <c r="J1257" s="2">
        <f t="shared" si="194"/>
        <v>42.586469053602933</v>
      </c>
      <c r="K1257" s="2">
        <f t="shared" si="198"/>
        <v>11.924211335008822</v>
      </c>
      <c r="L1257" s="2">
        <f t="shared" si="199"/>
        <v>54.510680388611753</v>
      </c>
      <c r="M1257" s="2">
        <f t="shared" si="195"/>
        <v>39.520243281743518</v>
      </c>
      <c r="N1257" s="2">
        <f t="shared" si="196"/>
        <v>19.760121640871759</v>
      </c>
      <c r="O1257" s="2">
        <f t="shared" si="197"/>
        <v>72.519646421999354</v>
      </c>
      <c r="P1257" s="2">
        <v>72.551115999999993</v>
      </c>
      <c r="Q1257" s="2">
        <v>23.036701000000001</v>
      </c>
    </row>
    <row r="1258" spans="1:17" x14ac:dyDescent="0.25">
      <c r="A1258" s="2">
        <v>1406</v>
      </c>
      <c r="B1258" s="2" t="s">
        <v>114</v>
      </c>
      <c r="C1258" s="2">
        <v>47</v>
      </c>
      <c r="D1258" s="2">
        <f t="shared" si="190"/>
        <v>119.38</v>
      </c>
      <c r="E1258" s="2">
        <f t="shared" si="191"/>
        <v>37.999834212620932</v>
      </c>
      <c r="F1258" s="2">
        <f t="shared" si="192"/>
        <v>14.960564650638162</v>
      </c>
      <c r="G1258" s="2">
        <v>15.125736</v>
      </c>
      <c r="H1258" s="2">
        <f t="shared" si="193"/>
        <v>49.625119698239999</v>
      </c>
      <c r="I1258" s="2">
        <f>INDEX('Wood Density Lookup'!$B$2:$B$152,MATCH(B1258,'Wood Density Lookup'!$A$2:$A$152,0))</f>
        <v>0.55000000000000004</v>
      </c>
      <c r="J1258" s="2">
        <f t="shared" si="194"/>
        <v>645.27709708158011</v>
      </c>
      <c r="K1258" s="2">
        <f t="shared" si="198"/>
        <v>180.67758718284244</v>
      </c>
      <c r="L1258" s="2">
        <f t="shared" si="199"/>
        <v>825.95468426442255</v>
      </c>
      <c r="M1258" s="2">
        <f t="shared" si="195"/>
        <v>598.81714609170638</v>
      </c>
      <c r="N1258" s="2">
        <f t="shared" si="196"/>
        <v>299.40857304585319</v>
      </c>
      <c r="O1258" s="2">
        <f t="shared" si="197"/>
        <v>1098.8294630782812</v>
      </c>
      <c r="P1258" s="2">
        <v>72.551120999999995</v>
      </c>
      <c r="Q1258" s="2">
        <v>23.035639</v>
      </c>
    </row>
    <row r="1259" spans="1:17" x14ac:dyDescent="0.25">
      <c r="A1259" s="2">
        <v>1407</v>
      </c>
      <c r="B1259" s="2" t="s">
        <v>82</v>
      </c>
      <c r="C1259" s="2">
        <v>19</v>
      </c>
      <c r="D1259" s="2">
        <f t="shared" si="190"/>
        <v>48.26</v>
      </c>
      <c r="E1259" s="2">
        <f t="shared" si="191"/>
        <v>15.361635107229738</v>
      </c>
      <c r="F1259" s="2">
        <f t="shared" si="192"/>
        <v>6.0478878374920226</v>
      </c>
      <c r="G1259" s="2">
        <v>3.0521430000000001</v>
      </c>
      <c r="H1259" s="2">
        <f t="shared" si="193"/>
        <v>10.013592840119999</v>
      </c>
      <c r="I1259" s="2">
        <f>INDEX('Wood Density Lookup'!$B$2:$B$152,MATCH(B1259,'Wood Density Lookup'!$A$2:$A$152,0))</f>
        <v>0.7</v>
      </c>
      <c r="J1259" s="2">
        <f t="shared" si="194"/>
        <v>29.223417596602641</v>
      </c>
      <c r="K1259" s="2">
        <f t="shared" si="198"/>
        <v>8.1825569270487399</v>
      </c>
      <c r="L1259" s="2">
        <f t="shared" si="199"/>
        <v>37.405974523651381</v>
      </c>
      <c r="M1259" s="2">
        <f t="shared" si="195"/>
        <v>27.119331529647251</v>
      </c>
      <c r="N1259" s="2">
        <f t="shared" si="196"/>
        <v>13.559665764823626</v>
      </c>
      <c r="O1259" s="2">
        <f t="shared" si="197"/>
        <v>49.763973356902703</v>
      </c>
      <c r="P1259" s="2">
        <v>72.551124000000002</v>
      </c>
      <c r="Q1259" s="2">
        <v>23.038733000000001</v>
      </c>
    </row>
    <row r="1260" spans="1:17" x14ac:dyDescent="0.25">
      <c r="A1260" s="2">
        <v>1408</v>
      </c>
      <c r="B1260" s="2" t="s">
        <v>111</v>
      </c>
      <c r="C1260" s="2">
        <v>8</v>
      </c>
      <c r="D1260" s="2">
        <f t="shared" si="190"/>
        <v>20.32</v>
      </c>
      <c r="E1260" s="2">
        <f t="shared" si="191"/>
        <v>6.4680568872546269</v>
      </c>
      <c r="F1260" s="2">
        <f t="shared" si="192"/>
        <v>2.5464790894703255</v>
      </c>
      <c r="G1260" s="2">
        <v>2.6511070000000001</v>
      </c>
      <c r="H1260" s="2">
        <f t="shared" si="193"/>
        <v>8.6978578898799999</v>
      </c>
      <c r="I1260" s="2">
        <f>INDEX('Wood Density Lookup'!$B$2:$B$152,MATCH(B1260,'Wood Density Lookup'!$A$2:$A$152,0))</f>
        <v>0.4</v>
      </c>
      <c r="J1260" s="2">
        <f t="shared" si="194"/>
        <v>2.7259704016082971</v>
      </c>
      <c r="K1260" s="2">
        <f t="shared" si="198"/>
        <v>0.76327171245032321</v>
      </c>
      <c r="L1260" s="2">
        <f t="shared" si="199"/>
        <v>3.4892421140586203</v>
      </c>
      <c r="M1260" s="2">
        <f t="shared" si="195"/>
        <v>2.5297005326924995</v>
      </c>
      <c r="N1260" s="2">
        <f t="shared" si="196"/>
        <v>1.2648502663462498</v>
      </c>
      <c r="O1260" s="2">
        <f t="shared" si="197"/>
        <v>4.6420004774907362</v>
      </c>
      <c r="P1260" s="2">
        <v>72.551125999999996</v>
      </c>
      <c r="Q1260" s="2">
        <v>23.035550000000001</v>
      </c>
    </row>
    <row r="1261" spans="1:17" x14ac:dyDescent="0.25">
      <c r="A1261" s="2">
        <v>1409</v>
      </c>
      <c r="B1261" s="2" t="s">
        <v>9</v>
      </c>
      <c r="C1261" s="2">
        <v>43</v>
      </c>
      <c r="D1261" s="2">
        <f t="shared" si="190"/>
        <v>109.22</v>
      </c>
      <c r="E1261" s="2">
        <f t="shared" si="191"/>
        <v>34.765805768993616</v>
      </c>
      <c r="F1261" s="2">
        <f t="shared" si="192"/>
        <v>13.687325105903</v>
      </c>
      <c r="G1261" s="2">
        <v>10.113588999999999</v>
      </c>
      <c r="H1261" s="2">
        <f t="shared" si="193"/>
        <v>33.181067334759994</v>
      </c>
      <c r="I1261" s="2">
        <f>INDEX('Wood Density Lookup'!$B$2:$B$152,MATCH(B1261,'Wood Density Lookup'!$A$2:$A$152,0))</f>
        <v>0.42</v>
      </c>
      <c r="J1261" s="2">
        <f t="shared" si="194"/>
        <v>281.46424523023518</v>
      </c>
      <c r="K1261" s="2">
        <f t="shared" si="198"/>
        <v>78.809988664465862</v>
      </c>
      <c r="L1261" s="2">
        <f t="shared" si="199"/>
        <v>360.27423389470107</v>
      </c>
      <c r="M1261" s="2">
        <f t="shared" si="195"/>
        <v>261.19881957365828</v>
      </c>
      <c r="N1261" s="2">
        <f t="shared" si="196"/>
        <v>130.59940978682914</v>
      </c>
      <c r="O1261" s="2">
        <f t="shared" si="197"/>
        <v>479.29983391766297</v>
      </c>
      <c r="P1261" s="2">
        <v>72.551134000000005</v>
      </c>
      <c r="Q1261" s="2">
        <v>23.036135000000002</v>
      </c>
    </row>
    <row r="1262" spans="1:17" x14ac:dyDescent="0.25">
      <c r="A1262" s="2">
        <v>1410</v>
      </c>
      <c r="B1262" s="2" t="s">
        <v>82</v>
      </c>
      <c r="C1262" s="2">
        <v>2</v>
      </c>
      <c r="D1262" s="2">
        <f t="shared" si="190"/>
        <v>5.08</v>
      </c>
      <c r="E1262" s="2">
        <f t="shared" si="191"/>
        <v>1.6170142218136567</v>
      </c>
      <c r="F1262" s="2">
        <f t="shared" si="192"/>
        <v>0.63661977236758138</v>
      </c>
      <c r="G1262" s="2">
        <v>2.1267710000000002</v>
      </c>
      <c r="H1262" s="2">
        <f t="shared" si="193"/>
        <v>6.9775953676400002</v>
      </c>
      <c r="I1262" s="2">
        <f>INDEX('Wood Density Lookup'!$B$2:$B$152,MATCH(B1262,'Wood Density Lookup'!$A$2:$A$152,0))</f>
        <v>0.7</v>
      </c>
      <c r="J1262" s="2">
        <f t="shared" si="194"/>
        <v>0.2535686733289329</v>
      </c>
      <c r="K1262" s="2">
        <f t="shared" si="198"/>
        <v>7.0999228532101222E-2</v>
      </c>
      <c r="L1262" s="2">
        <f t="shared" si="199"/>
        <v>0.32456790186103412</v>
      </c>
      <c r="M1262" s="2">
        <f t="shared" si="195"/>
        <v>0.23531172884924972</v>
      </c>
      <c r="N1262" s="2">
        <f t="shared" si="196"/>
        <v>0.11765586442462486</v>
      </c>
      <c r="O1262" s="2">
        <f t="shared" si="197"/>
        <v>0.43179702243837326</v>
      </c>
      <c r="P1262" s="2">
        <v>72.551137999999995</v>
      </c>
      <c r="Q1262" s="2">
        <v>23.035540000000001</v>
      </c>
    </row>
    <row r="1263" spans="1:17" x14ac:dyDescent="0.25">
      <c r="A1263" s="2">
        <v>1411</v>
      </c>
      <c r="B1263" s="2" t="s">
        <v>142</v>
      </c>
      <c r="C1263" s="2">
        <v>8</v>
      </c>
      <c r="D1263" s="2">
        <f t="shared" si="190"/>
        <v>20.32</v>
      </c>
      <c r="E1263" s="2">
        <f t="shared" si="191"/>
        <v>6.4680568872546269</v>
      </c>
      <c r="F1263" s="2">
        <f t="shared" si="192"/>
        <v>2.5464790894703255</v>
      </c>
      <c r="G1263" s="2">
        <v>2.4822839999999999</v>
      </c>
      <c r="H1263" s="2">
        <f t="shared" si="193"/>
        <v>8.1439766385599999</v>
      </c>
      <c r="I1263" s="2">
        <f>INDEX('Wood Density Lookup'!$B$2:$B$152,MATCH(B1263,'Wood Density Lookup'!$A$2:$A$152,0))</f>
        <v>0.68</v>
      </c>
      <c r="J1263" s="2">
        <f t="shared" si="194"/>
        <v>4.2909090932496516</v>
      </c>
      <c r="K1263" s="2">
        <f t="shared" si="198"/>
        <v>1.2014545461099027</v>
      </c>
      <c r="L1263" s="2">
        <f t="shared" si="199"/>
        <v>5.4923636393595547</v>
      </c>
      <c r="M1263" s="2">
        <f t="shared" si="195"/>
        <v>3.9819636385356771</v>
      </c>
      <c r="N1263" s="2">
        <f t="shared" si="196"/>
        <v>1.9909818192678386</v>
      </c>
      <c r="O1263" s="2">
        <f t="shared" si="197"/>
        <v>7.3069032767129674</v>
      </c>
      <c r="P1263" s="2">
        <v>72.551147999999998</v>
      </c>
      <c r="Q1263" s="2">
        <v>23.035551999999999</v>
      </c>
    </row>
    <row r="1264" spans="1:17" x14ac:dyDescent="0.25">
      <c r="A1264" s="2">
        <v>1412</v>
      </c>
      <c r="B1264" s="2" t="s">
        <v>9</v>
      </c>
      <c r="C1264" s="2">
        <v>45</v>
      </c>
      <c r="D1264" s="2">
        <f t="shared" si="190"/>
        <v>114.3</v>
      </c>
      <c r="E1264" s="2">
        <f t="shared" si="191"/>
        <v>36.382819990807278</v>
      </c>
      <c r="F1264" s="2">
        <f t="shared" si="192"/>
        <v>14.323944878270581</v>
      </c>
      <c r="G1264" s="2">
        <v>4.548025</v>
      </c>
      <c r="H1264" s="2">
        <f t="shared" si="193"/>
        <v>14.921342340999999</v>
      </c>
      <c r="I1264" s="2">
        <f>INDEX('Wood Density Lookup'!$B$2:$B$152,MATCH(B1264,'Wood Density Lookup'!$A$2:$A$152,0))</f>
        <v>0.42</v>
      </c>
      <c r="J1264" s="2">
        <f t="shared" si="194"/>
        <v>140.99741708462565</v>
      </c>
      <c r="K1264" s="2">
        <f t="shared" si="198"/>
        <v>39.479276783695184</v>
      </c>
      <c r="L1264" s="2">
        <f t="shared" si="199"/>
        <v>180.47669386832084</v>
      </c>
      <c r="M1264" s="2">
        <f t="shared" si="195"/>
        <v>130.8456030545326</v>
      </c>
      <c r="N1264" s="2">
        <f t="shared" si="196"/>
        <v>65.422801527266301</v>
      </c>
      <c r="O1264" s="2">
        <f t="shared" si="197"/>
        <v>240.10168160506731</v>
      </c>
      <c r="P1264" s="2">
        <v>72.551148999999995</v>
      </c>
      <c r="Q1264" s="2">
        <v>23.038599000000001</v>
      </c>
    </row>
    <row r="1265" spans="1:17" x14ac:dyDescent="0.25">
      <c r="A1265" s="2">
        <v>1413</v>
      </c>
      <c r="B1265" s="2" t="s">
        <v>15</v>
      </c>
      <c r="C1265" s="2">
        <v>43</v>
      </c>
      <c r="D1265" s="2">
        <f t="shared" si="190"/>
        <v>109.22</v>
      </c>
      <c r="E1265" s="2">
        <f t="shared" si="191"/>
        <v>34.765805768993616</v>
      </c>
      <c r="F1265" s="2">
        <f t="shared" si="192"/>
        <v>13.687325105903</v>
      </c>
      <c r="G1265" s="2">
        <v>15.97171</v>
      </c>
      <c r="H1265" s="2">
        <f t="shared" si="193"/>
        <v>52.400625036400001</v>
      </c>
      <c r="I1265" s="2">
        <f>INDEX('Wood Density Lookup'!$B$2:$B$152,MATCH(B1265,'Wood Density Lookup'!$A$2:$A$152,0))</f>
        <v>0.75</v>
      </c>
      <c r="J1265" s="2">
        <f t="shared" si="194"/>
        <v>774.23915005940819</v>
      </c>
      <c r="K1265" s="2">
        <f t="shared" si="198"/>
        <v>216.78696201663431</v>
      </c>
      <c r="L1265" s="2">
        <f t="shared" si="199"/>
        <v>991.02611207604252</v>
      </c>
      <c r="M1265" s="2">
        <f t="shared" si="195"/>
        <v>718.49393125513086</v>
      </c>
      <c r="N1265" s="2">
        <f t="shared" si="196"/>
        <v>359.24696562756543</v>
      </c>
      <c r="O1265" s="2">
        <f t="shared" si="197"/>
        <v>1318.4363638531652</v>
      </c>
      <c r="P1265" s="2">
        <v>72.551164</v>
      </c>
      <c r="Q1265" s="2">
        <v>23.034806</v>
      </c>
    </row>
    <row r="1266" spans="1:17" x14ac:dyDescent="0.25">
      <c r="A1266" s="2">
        <v>1414</v>
      </c>
      <c r="B1266" s="2" t="s">
        <v>104</v>
      </c>
      <c r="C1266" s="2">
        <v>9</v>
      </c>
      <c r="D1266" s="2">
        <f t="shared" si="190"/>
        <v>22.86</v>
      </c>
      <c r="E1266" s="2">
        <f t="shared" si="191"/>
        <v>7.2765639981614552</v>
      </c>
      <c r="F1266" s="2">
        <f t="shared" si="192"/>
        <v>2.8647889756541161</v>
      </c>
      <c r="G1266" s="2">
        <v>3.162696</v>
      </c>
      <c r="H1266" s="2">
        <f t="shared" si="193"/>
        <v>10.37629954464</v>
      </c>
      <c r="I1266" s="2">
        <f>INDEX('Wood Density Lookup'!$B$2:$B$152,MATCH(B1266,'Wood Density Lookup'!$A$2:$A$152,0))</f>
        <v>0.6</v>
      </c>
      <c r="J1266" s="2">
        <f t="shared" si="194"/>
        <v>6.0537850551101977</v>
      </c>
      <c r="K1266" s="2">
        <f t="shared" si="198"/>
        <v>1.6950598154308556</v>
      </c>
      <c r="L1266" s="2">
        <f t="shared" si="199"/>
        <v>7.7488448705410535</v>
      </c>
      <c r="M1266" s="2">
        <f t="shared" si="195"/>
        <v>5.617912531142264</v>
      </c>
      <c r="N1266" s="2">
        <f t="shared" si="196"/>
        <v>2.808956265571132</v>
      </c>
      <c r="O1266" s="2">
        <f t="shared" si="197"/>
        <v>10.308869494646054</v>
      </c>
      <c r="P1266" s="2">
        <v>72.551167000000007</v>
      </c>
      <c r="Q1266" s="2">
        <v>23.035554999999999</v>
      </c>
    </row>
    <row r="1267" spans="1:17" x14ac:dyDescent="0.25">
      <c r="A1267" s="2">
        <v>1415</v>
      </c>
      <c r="B1267" s="2" t="s">
        <v>15</v>
      </c>
      <c r="C1267" s="2">
        <v>112</v>
      </c>
      <c r="D1267" s="2">
        <f t="shared" si="190"/>
        <v>284.48</v>
      </c>
      <c r="E1267" s="2">
        <f t="shared" si="191"/>
        <v>90.552796421564778</v>
      </c>
      <c r="F1267" s="2">
        <f t="shared" si="192"/>
        <v>35.65070725258456</v>
      </c>
      <c r="G1267" s="2">
        <v>16.212721999999999</v>
      </c>
      <c r="H1267" s="2">
        <f t="shared" si="193"/>
        <v>53.191346846479995</v>
      </c>
      <c r="I1267" s="2">
        <f>INDEX('Wood Density Lookup'!$B$2:$B$152,MATCH(B1267,'Wood Density Lookup'!$A$2:$A$152,0))</f>
        <v>0.75</v>
      </c>
      <c r="J1267" s="2">
        <f t="shared" si="194"/>
        <v>5090.5732886195701</v>
      </c>
      <c r="K1267" s="2">
        <f t="shared" si="198"/>
        <v>1425.3605208134798</v>
      </c>
      <c r="L1267" s="2">
        <f t="shared" si="199"/>
        <v>6515.9338094330496</v>
      </c>
      <c r="M1267" s="2">
        <f t="shared" si="195"/>
        <v>4724.0520118389604</v>
      </c>
      <c r="N1267" s="2">
        <f t="shared" si="196"/>
        <v>2362.0260059194802</v>
      </c>
      <c r="O1267" s="2">
        <f t="shared" si="197"/>
        <v>8668.6354417244929</v>
      </c>
      <c r="P1267" s="2">
        <v>72.551170999999997</v>
      </c>
      <c r="Q1267" s="2">
        <v>23.036657999999999</v>
      </c>
    </row>
    <row r="1268" spans="1:17" x14ac:dyDescent="0.25">
      <c r="A1268" s="2">
        <v>1416</v>
      </c>
      <c r="B1268" s="2" t="s">
        <v>95</v>
      </c>
      <c r="C1268" s="2">
        <v>21</v>
      </c>
      <c r="D1268" s="2">
        <f t="shared" si="190"/>
        <v>53.34</v>
      </c>
      <c r="E1268" s="2">
        <f t="shared" si="191"/>
        <v>16.978649329043396</v>
      </c>
      <c r="F1268" s="2">
        <f t="shared" si="192"/>
        <v>6.6845076098596046</v>
      </c>
      <c r="G1268" s="2">
        <v>13.350115000000001</v>
      </c>
      <c r="H1268" s="2">
        <f t="shared" si="193"/>
        <v>43.799591296599999</v>
      </c>
      <c r="I1268" s="2">
        <f>INDEX('Wood Density Lookup'!$B$2:$B$152,MATCH(B1268,'Wood Density Lookup'!$A$2:$A$152,0))</f>
        <v>0.3</v>
      </c>
      <c r="J1268" s="2">
        <f t="shared" si="194"/>
        <v>65.603906674404982</v>
      </c>
      <c r="K1268" s="2">
        <f t="shared" si="198"/>
        <v>18.369093868833396</v>
      </c>
      <c r="L1268" s="2">
        <f t="shared" si="199"/>
        <v>83.973000543238385</v>
      </c>
      <c r="M1268" s="2">
        <f t="shared" si="195"/>
        <v>60.88042539384783</v>
      </c>
      <c r="N1268" s="2">
        <f t="shared" si="196"/>
        <v>30.440212696923915</v>
      </c>
      <c r="O1268" s="2">
        <f t="shared" si="197"/>
        <v>111.71558059771077</v>
      </c>
      <c r="P1268" s="2">
        <v>72.551173000000006</v>
      </c>
      <c r="Q1268" s="2">
        <v>23.036718</v>
      </c>
    </row>
    <row r="1269" spans="1:17" x14ac:dyDescent="0.25">
      <c r="A1269" s="2">
        <v>1417</v>
      </c>
      <c r="B1269" s="2" t="s">
        <v>9</v>
      </c>
      <c r="C1269" s="2">
        <v>108</v>
      </c>
      <c r="D1269" s="2">
        <f t="shared" si="190"/>
        <v>274.32</v>
      </c>
      <c r="E1269" s="2">
        <f t="shared" si="191"/>
        <v>87.318767977937455</v>
      </c>
      <c r="F1269" s="2">
        <f t="shared" si="192"/>
        <v>34.377467707849391</v>
      </c>
      <c r="G1269" s="2">
        <v>15.253086</v>
      </c>
      <c r="H1269" s="2">
        <f t="shared" si="193"/>
        <v>50.042934672240001</v>
      </c>
      <c r="I1269" s="2">
        <f>INDEX('Wood Density Lookup'!$B$2:$B$152,MATCH(B1269,'Wood Density Lookup'!$A$2:$A$152,0))</f>
        <v>0.42</v>
      </c>
      <c r="J1269" s="2">
        <f t="shared" si="194"/>
        <v>2536.9127980314611</v>
      </c>
      <c r="K1269" s="2">
        <f t="shared" si="198"/>
        <v>710.33558344880919</v>
      </c>
      <c r="L1269" s="2">
        <f t="shared" si="199"/>
        <v>3247.2483814802704</v>
      </c>
      <c r="M1269" s="2">
        <f t="shared" si="195"/>
        <v>2354.2550765731958</v>
      </c>
      <c r="N1269" s="2">
        <f t="shared" si="196"/>
        <v>1177.1275382865979</v>
      </c>
      <c r="O1269" s="2">
        <f t="shared" si="197"/>
        <v>4320.0580655118138</v>
      </c>
      <c r="P1269" s="2">
        <v>72.551175999999998</v>
      </c>
      <c r="Q1269" s="2">
        <v>23.034623</v>
      </c>
    </row>
    <row r="1270" spans="1:17" x14ac:dyDescent="0.25">
      <c r="A1270" s="2">
        <v>1419</v>
      </c>
      <c r="B1270" s="2" t="s">
        <v>15</v>
      </c>
      <c r="C1270" s="2">
        <v>89</v>
      </c>
      <c r="D1270" s="2">
        <f t="shared" si="190"/>
        <v>226.06</v>
      </c>
      <c r="E1270" s="2">
        <f t="shared" si="191"/>
        <v>71.957132870707724</v>
      </c>
      <c r="F1270" s="2">
        <f t="shared" si="192"/>
        <v>28.329579870357371</v>
      </c>
      <c r="G1270" s="2">
        <v>16.304093999999999</v>
      </c>
      <c r="H1270" s="2">
        <f t="shared" si="193"/>
        <v>53.491123758959993</v>
      </c>
      <c r="I1270" s="2">
        <f>INDEX('Wood Density Lookup'!$B$2:$B$152,MATCH(B1270,'Wood Density Lookup'!$A$2:$A$152,0))</f>
        <v>0.75</v>
      </c>
      <c r="J1270" s="2">
        <f t="shared" si="194"/>
        <v>3268.0189341940545</v>
      </c>
      <c r="K1270" s="2">
        <f t="shared" si="198"/>
        <v>915.04530157433533</v>
      </c>
      <c r="L1270" s="2">
        <f t="shared" si="199"/>
        <v>4183.0642357683901</v>
      </c>
      <c r="M1270" s="2">
        <f t="shared" si="195"/>
        <v>3032.7215709320826</v>
      </c>
      <c r="N1270" s="2">
        <f t="shared" si="196"/>
        <v>1516.3607854660413</v>
      </c>
      <c r="O1270" s="2">
        <f t="shared" si="197"/>
        <v>5565.0440826603717</v>
      </c>
      <c r="P1270" s="2">
        <v>72.551192</v>
      </c>
      <c r="Q1270" s="2">
        <v>23.034752999999998</v>
      </c>
    </row>
    <row r="1271" spans="1:17" x14ac:dyDescent="0.25">
      <c r="A1271" s="2">
        <v>1420</v>
      </c>
      <c r="B1271" s="2" t="s">
        <v>15</v>
      </c>
      <c r="C1271" s="2">
        <v>107</v>
      </c>
      <c r="D1271" s="2">
        <f t="shared" si="190"/>
        <v>271.78000000000003</v>
      </c>
      <c r="E1271" s="2">
        <f t="shared" si="191"/>
        <v>86.510260867030638</v>
      </c>
      <c r="F1271" s="2">
        <f t="shared" si="192"/>
        <v>34.0591578216656</v>
      </c>
      <c r="G1271" s="2">
        <v>16.413827999999999</v>
      </c>
      <c r="H1271" s="2">
        <f t="shared" si="193"/>
        <v>53.851143455519995</v>
      </c>
      <c r="I1271" s="2">
        <f>INDEX('Wood Density Lookup'!$B$2:$B$152,MATCH(B1271,'Wood Density Lookup'!$A$2:$A$152,0))</f>
        <v>0.75</v>
      </c>
      <c r="J1271" s="2">
        <f t="shared" si="194"/>
        <v>4712.7640381612409</v>
      </c>
      <c r="K1271" s="2">
        <f t="shared" si="198"/>
        <v>1319.5739306851476</v>
      </c>
      <c r="L1271" s="2">
        <f t="shared" si="199"/>
        <v>6032.3379688463883</v>
      </c>
      <c r="M1271" s="2">
        <f t="shared" si="195"/>
        <v>4373.4450274136316</v>
      </c>
      <c r="N1271" s="2">
        <f t="shared" si="196"/>
        <v>2186.7225137068158</v>
      </c>
      <c r="O1271" s="2">
        <f t="shared" si="197"/>
        <v>8025.2716253040135</v>
      </c>
      <c r="P1271" s="2">
        <v>72.551202000000004</v>
      </c>
      <c r="Q1271" s="2">
        <v>23.035046000000001</v>
      </c>
    </row>
    <row r="1272" spans="1:17" x14ac:dyDescent="0.25">
      <c r="A1272" s="2">
        <v>1421</v>
      </c>
      <c r="B1272" s="2" t="s">
        <v>9</v>
      </c>
      <c r="C1272" s="2">
        <v>25</v>
      </c>
      <c r="D1272" s="2">
        <f t="shared" si="190"/>
        <v>63.5</v>
      </c>
      <c r="E1272" s="2">
        <f t="shared" si="191"/>
        <v>20.212677772670709</v>
      </c>
      <c r="F1272" s="2">
        <f t="shared" si="192"/>
        <v>7.9577471545947667</v>
      </c>
      <c r="G1272" s="2">
        <v>7.0485519999999999</v>
      </c>
      <c r="H1272" s="2">
        <f t="shared" si="193"/>
        <v>23.125171343679998</v>
      </c>
      <c r="I1272" s="2">
        <f>INDEX('Wood Density Lookup'!$B$2:$B$152,MATCH(B1272,'Wood Density Lookup'!$A$2:$A$152,0))</f>
        <v>0.42</v>
      </c>
      <c r="J1272" s="2">
        <f t="shared" si="194"/>
        <v>68.648277128559414</v>
      </c>
      <c r="K1272" s="2">
        <f t="shared" si="198"/>
        <v>19.221517595996637</v>
      </c>
      <c r="L1272" s="2">
        <f t="shared" si="199"/>
        <v>87.869794724556044</v>
      </c>
      <c r="M1272" s="2">
        <f t="shared" si="195"/>
        <v>63.70560117530313</v>
      </c>
      <c r="N1272" s="2">
        <f t="shared" si="196"/>
        <v>31.852800587651565</v>
      </c>
      <c r="O1272" s="2">
        <f t="shared" si="197"/>
        <v>116.89977815668124</v>
      </c>
      <c r="P1272" s="2">
        <v>72.551203999999998</v>
      </c>
      <c r="Q1272" s="2">
        <v>23.038525</v>
      </c>
    </row>
    <row r="1273" spans="1:17" x14ac:dyDescent="0.25">
      <c r="A1273" s="2">
        <v>1422</v>
      </c>
      <c r="B1273" s="2" t="s">
        <v>82</v>
      </c>
      <c r="C1273" s="2">
        <v>5</v>
      </c>
      <c r="D1273" s="2">
        <f t="shared" si="190"/>
        <v>12.7</v>
      </c>
      <c r="E1273" s="2">
        <f t="shared" si="191"/>
        <v>4.0425355545341413</v>
      </c>
      <c r="F1273" s="2">
        <f t="shared" si="192"/>
        <v>1.5915494309189535</v>
      </c>
      <c r="G1273" s="2">
        <v>2.9064510000000001</v>
      </c>
      <c r="H1273" s="2">
        <f t="shared" si="193"/>
        <v>9.5356006988399997</v>
      </c>
      <c r="I1273" s="2">
        <f>INDEX('Wood Density Lookup'!$B$2:$B$152,MATCH(B1273,'Wood Density Lookup'!$A$2:$A$152,0))</f>
        <v>0.7</v>
      </c>
      <c r="J1273" s="2">
        <f t="shared" si="194"/>
        <v>2.0571281942772988</v>
      </c>
      <c r="K1273" s="2">
        <f t="shared" si="198"/>
        <v>0.57599589439764376</v>
      </c>
      <c r="L1273" s="2">
        <f t="shared" si="199"/>
        <v>2.6331240886749425</v>
      </c>
      <c r="M1273" s="2">
        <f t="shared" si="195"/>
        <v>1.9090149642893333</v>
      </c>
      <c r="N1273" s="2">
        <f t="shared" si="196"/>
        <v>0.95450748214466663</v>
      </c>
      <c r="O1273" s="2">
        <f t="shared" si="197"/>
        <v>3.5030424594709264</v>
      </c>
      <c r="P1273" s="2">
        <v>72.551208000000003</v>
      </c>
      <c r="Q1273" s="2">
        <v>23.035551000000002</v>
      </c>
    </row>
    <row r="1274" spans="1:17" x14ac:dyDescent="0.25">
      <c r="A1274" s="2">
        <v>1423</v>
      </c>
      <c r="B1274" s="2" t="s">
        <v>66</v>
      </c>
      <c r="C1274" s="2">
        <v>2</v>
      </c>
      <c r="D1274" s="2">
        <f t="shared" si="190"/>
        <v>5.08</v>
      </c>
      <c r="E1274" s="2">
        <f t="shared" si="191"/>
        <v>1.6170142218136567</v>
      </c>
      <c r="F1274" s="2">
        <f t="shared" si="192"/>
        <v>0.63661977236758138</v>
      </c>
      <c r="G1274" s="2">
        <v>3.1750189999999998</v>
      </c>
      <c r="H1274" s="2">
        <f t="shared" si="193"/>
        <v>10.41672933596</v>
      </c>
      <c r="I1274" s="2">
        <f>INDEX('Wood Density Lookup'!$B$2:$B$152,MATCH(B1274,'Wood Density Lookup'!$A$2:$A$152,0))</f>
        <v>0.5</v>
      </c>
      <c r="J1274" s="2">
        <f t="shared" si="194"/>
        <v>0.26997504360976554</v>
      </c>
      <c r="K1274" s="2">
        <f t="shared" si="198"/>
        <v>7.5593012210734362E-2</v>
      </c>
      <c r="L1274" s="2">
        <f t="shared" si="199"/>
        <v>0.34556805582049988</v>
      </c>
      <c r="M1274" s="2">
        <f t="shared" si="195"/>
        <v>0.25053684046986241</v>
      </c>
      <c r="N1274" s="2">
        <f t="shared" si="196"/>
        <v>0.1252684202349312</v>
      </c>
      <c r="O1274" s="2">
        <f t="shared" si="197"/>
        <v>0.45973510226219749</v>
      </c>
      <c r="P1274" s="2">
        <v>72.551209</v>
      </c>
      <c r="Q1274" s="2">
        <v>23.03556</v>
      </c>
    </row>
    <row r="1275" spans="1:17" x14ac:dyDescent="0.25">
      <c r="A1275" s="2">
        <v>1424</v>
      </c>
      <c r="B1275" s="2" t="s">
        <v>72</v>
      </c>
      <c r="C1275" s="2">
        <v>21</v>
      </c>
      <c r="D1275" s="2">
        <f t="shared" si="190"/>
        <v>53.34</v>
      </c>
      <c r="E1275" s="2">
        <f t="shared" si="191"/>
        <v>16.978649329043396</v>
      </c>
      <c r="F1275" s="2">
        <f t="shared" si="192"/>
        <v>6.6845076098596046</v>
      </c>
      <c r="G1275" s="2">
        <v>3.1423619999999999</v>
      </c>
      <c r="H1275" s="2">
        <f t="shared" si="193"/>
        <v>10.309586944079999</v>
      </c>
      <c r="I1275" s="2">
        <f>INDEX('Wood Density Lookup'!$B$2:$B$152,MATCH(B1275,'Wood Density Lookup'!$A$2:$A$152,0))</f>
        <v>0.65</v>
      </c>
      <c r="J1275" s="2">
        <f t="shared" si="194"/>
        <v>34.002550330178806</v>
      </c>
      <c r="K1275" s="2">
        <f t="shared" si="198"/>
        <v>9.5207140924500671</v>
      </c>
      <c r="L1275" s="2">
        <f t="shared" si="199"/>
        <v>43.52326442262887</v>
      </c>
      <c r="M1275" s="2">
        <f t="shared" si="195"/>
        <v>31.554366706405929</v>
      </c>
      <c r="N1275" s="2">
        <f t="shared" si="196"/>
        <v>15.777183353202965</v>
      </c>
      <c r="O1275" s="2">
        <f t="shared" si="197"/>
        <v>57.902262906254876</v>
      </c>
      <c r="P1275" s="2">
        <v>72.551213000000004</v>
      </c>
      <c r="Q1275" s="2">
        <v>23.038702000000001</v>
      </c>
    </row>
    <row r="1276" spans="1:17" x14ac:dyDescent="0.25">
      <c r="A1276" s="2">
        <v>1425</v>
      </c>
      <c r="B1276" s="2" t="s">
        <v>9</v>
      </c>
      <c r="C1276" s="2">
        <v>26</v>
      </c>
      <c r="D1276" s="2">
        <f t="shared" si="190"/>
        <v>66.040000000000006</v>
      </c>
      <c r="E1276" s="2">
        <f t="shared" si="191"/>
        <v>21.02118488357754</v>
      </c>
      <c r="F1276" s="2">
        <f t="shared" si="192"/>
        <v>8.2760570407785572</v>
      </c>
      <c r="G1276" s="2">
        <v>8.0862649999999991</v>
      </c>
      <c r="H1276" s="2">
        <f t="shared" si="193"/>
        <v>26.529741662599996</v>
      </c>
      <c r="I1276" s="2">
        <f>INDEX('Wood Density Lookup'!$B$2:$B$152,MATCH(B1276,'Wood Density Lookup'!$A$2:$A$152,0))</f>
        <v>0.42</v>
      </c>
      <c r="J1276" s="2">
        <f t="shared" si="194"/>
        <v>84.741320796385779</v>
      </c>
      <c r="K1276" s="2">
        <f t="shared" si="198"/>
        <v>23.72756982298802</v>
      </c>
      <c r="L1276" s="2">
        <f t="shared" si="199"/>
        <v>108.46889061937379</v>
      </c>
      <c r="M1276" s="2">
        <f t="shared" si="195"/>
        <v>78.639945699045995</v>
      </c>
      <c r="N1276" s="2">
        <f t="shared" si="196"/>
        <v>39.319972849522998</v>
      </c>
      <c r="O1276" s="2">
        <f t="shared" si="197"/>
        <v>144.30430035774941</v>
      </c>
      <c r="P1276" s="2">
        <v>72.551213000000004</v>
      </c>
      <c r="Q1276" s="2">
        <v>23.038578999999999</v>
      </c>
    </row>
    <row r="1277" spans="1:17" x14ac:dyDescent="0.25">
      <c r="A1277" s="2">
        <v>1426</v>
      </c>
      <c r="B1277" s="2" t="s">
        <v>9</v>
      </c>
      <c r="C1277" s="2">
        <v>39</v>
      </c>
      <c r="D1277" s="2">
        <f t="shared" si="190"/>
        <v>99.06</v>
      </c>
      <c r="E1277" s="2">
        <f t="shared" si="191"/>
        <v>31.531777325366306</v>
      </c>
      <c r="F1277" s="2">
        <f t="shared" si="192"/>
        <v>12.414085561167836</v>
      </c>
      <c r="G1277" s="2">
        <v>4.1679769999999996</v>
      </c>
      <c r="H1277" s="2">
        <f t="shared" si="193"/>
        <v>13.674465660679999</v>
      </c>
      <c r="I1277" s="2">
        <f>INDEX('Wood Density Lookup'!$B$2:$B$152,MATCH(B1277,'Wood Density Lookup'!$A$2:$A$152,0))</f>
        <v>0.42</v>
      </c>
      <c r="J1277" s="2">
        <f t="shared" si="194"/>
        <v>97.928804813492448</v>
      </c>
      <c r="K1277" s="2">
        <f t="shared" si="198"/>
        <v>27.420065347777889</v>
      </c>
      <c r="L1277" s="2">
        <f t="shared" si="199"/>
        <v>125.34887016127034</v>
      </c>
      <c r="M1277" s="2">
        <f t="shared" si="195"/>
        <v>90.877930866920991</v>
      </c>
      <c r="N1277" s="2">
        <f t="shared" si="196"/>
        <v>45.438965433460496</v>
      </c>
      <c r="O1277" s="2">
        <f t="shared" si="197"/>
        <v>166.76100314080003</v>
      </c>
      <c r="P1277" s="2">
        <v>72.551219000000003</v>
      </c>
      <c r="Q1277" s="2">
        <v>23.038772999999999</v>
      </c>
    </row>
    <row r="1278" spans="1:17" x14ac:dyDescent="0.25">
      <c r="A1278" s="2">
        <v>1427</v>
      </c>
      <c r="B1278" s="2" t="s">
        <v>31</v>
      </c>
      <c r="C1278" s="2">
        <v>14</v>
      </c>
      <c r="D1278" s="2">
        <f t="shared" si="190"/>
        <v>35.56</v>
      </c>
      <c r="E1278" s="2">
        <f t="shared" si="191"/>
        <v>11.319099552695597</v>
      </c>
      <c r="F1278" s="2">
        <f t="shared" si="192"/>
        <v>4.45633840657307</v>
      </c>
      <c r="G1278" s="2">
        <v>6.4852889999999999</v>
      </c>
      <c r="H1278" s="2">
        <f t="shared" si="193"/>
        <v>21.277195562759999</v>
      </c>
      <c r="I1278" s="2">
        <f>INDEX('Wood Density Lookup'!$B$2:$B$152,MATCH(B1278,'Wood Density Lookup'!$A$2:$A$152,0))</f>
        <v>0.78</v>
      </c>
      <c r="J1278" s="2">
        <f t="shared" si="194"/>
        <v>37.340765376618478</v>
      </c>
      <c r="K1278" s="2">
        <f t="shared" si="198"/>
        <v>10.455414305453175</v>
      </c>
      <c r="L1278" s="2">
        <f t="shared" si="199"/>
        <v>47.796179682071653</v>
      </c>
      <c r="M1278" s="2">
        <f t="shared" si="195"/>
        <v>34.652230269501949</v>
      </c>
      <c r="N1278" s="2">
        <f t="shared" si="196"/>
        <v>17.326115134750975</v>
      </c>
      <c r="O1278" s="2">
        <f t="shared" si="197"/>
        <v>63.586842544536076</v>
      </c>
      <c r="P1278" s="2">
        <v>72.551220000000001</v>
      </c>
      <c r="Q1278" s="2">
        <v>23.036539000000001</v>
      </c>
    </row>
    <row r="1279" spans="1:17" x14ac:dyDescent="0.25">
      <c r="A1279" s="2">
        <v>1428</v>
      </c>
      <c r="B1279" s="2" t="s">
        <v>114</v>
      </c>
      <c r="C1279" s="2">
        <v>1</v>
      </c>
      <c r="D1279" s="2">
        <f t="shared" si="190"/>
        <v>2.54</v>
      </c>
      <c r="E1279" s="2">
        <f t="shared" si="191"/>
        <v>0.80850711090682836</v>
      </c>
      <c r="F1279" s="2">
        <f t="shared" si="192"/>
        <v>0.31830988618379069</v>
      </c>
      <c r="G1279" s="2">
        <v>2.1550950000000002</v>
      </c>
      <c r="H1279" s="2">
        <f t="shared" si="193"/>
        <v>7.0705218798000002</v>
      </c>
      <c r="I1279" s="2">
        <f>INDEX('Wood Density Lookup'!$B$2:$B$152,MATCH(B1279,'Wood Density Lookup'!$A$2:$A$152,0))</f>
        <v>0.55000000000000004</v>
      </c>
      <c r="J1279" s="2">
        <f t="shared" si="194"/>
        <v>5.2465176443281976E-2</v>
      </c>
      <c r="K1279" s="2">
        <f t="shared" si="198"/>
        <v>1.4690249404118954E-2</v>
      </c>
      <c r="L1279" s="2">
        <f t="shared" si="199"/>
        <v>6.7155425847400932E-2</v>
      </c>
      <c r="M1279" s="2">
        <f t="shared" si="195"/>
        <v>4.8687683739365675E-2</v>
      </c>
      <c r="N1279" s="2">
        <f t="shared" si="196"/>
        <v>2.4343841869682838E-2</v>
      </c>
      <c r="O1279" s="2">
        <f t="shared" si="197"/>
        <v>8.9341899661736016E-2</v>
      </c>
      <c r="P1279" s="2">
        <v>72.551221999999996</v>
      </c>
      <c r="Q1279" s="2">
        <v>23.03556</v>
      </c>
    </row>
    <row r="1280" spans="1:17" x14ac:dyDescent="0.25">
      <c r="A1280" s="2">
        <v>1429</v>
      </c>
      <c r="B1280" s="2" t="s">
        <v>31</v>
      </c>
      <c r="C1280" s="2">
        <v>6</v>
      </c>
      <c r="D1280" s="2">
        <f t="shared" si="190"/>
        <v>15.24</v>
      </c>
      <c r="E1280" s="2">
        <f t="shared" si="191"/>
        <v>4.8510426654409704</v>
      </c>
      <c r="F1280" s="2">
        <f t="shared" si="192"/>
        <v>1.909859317102744</v>
      </c>
      <c r="G1280" s="2">
        <v>6.075882</v>
      </c>
      <c r="H1280" s="2">
        <f t="shared" si="193"/>
        <v>19.933996700880002</v>
      </c>
      <c r="I1280" s="2">
        <f>INDEX('Wood Density Lookup'!$B$2:$B$152,MATCH(B1280,'Wood Density Lookup'!$A$2:$A$152,0))</f>
        <v>0.78</v>
      </c>
      <c r="J1280" s="2">
        <f t="shared" si="194"/>
        <v>6.7027374384736857</v>
      </c>
      <c r="K1280" s="2">
        <f t="shared" si="198"/>
        <v>1.8767664827726322</v>
      </c>
      <c r="L1280" s="2">
        <f t="shared" si="199"/>
        <v>8.5795039212463173</v>
      </c>
      <c r="M1280" s="2">
        <f t="shared" si="195"/>
        <v>6.22014034290358</v>
      </c>
      <c r="N1280" s="2">
        <f t="shared" si="196"/>
        <v>3.11007017145179</v>
      </c>
      <c r="O1280" s="2">
        <f t="shared" si="197"/>
        <v>11.413957529228069</v>
      </c>
      <c r="P1280" s="2">
        <v>72.551224000000005</v>
      </c>
      <c r="Q1280" s="2">
        <v>23.036532999999999</v>
      </c>
    </row>
    <row r="1281" spans="1:17" x14ac:dyDescent="0.25">
      <c r="A1281" s="2">
        <v>1430</v>
      </c>
      <c r="B1281" s="2" t="s">
        <v>9</v>
      </c>
      <c r="C1281" s="2">
        <v>28</v>
      </c>
      <c r="D1281" s="2">
        <f t="shared" ref="D1281:D1344" si="200">C1281*2.54</f>
        <v>71.12</v>
      </c>
      <c r="E1281" s="2">
        <f t="shared" ref="E1281:E1344" si="201">D1281/PI()</f>
        <v>22.638199105391195</v>
      </c>
      <c r="F1281" s="2">
        <f t="shared" ref="F1281:F1344" si="202">C1281/PI()</f>
        <v>8.91267681314614</v>
      </c>
      <c r="G1281" s="2">
        <v>11.076241</v>
      </c>
      <c r="H1281" s="2">
        <f t="shared" ref="H1281:H1344" si="203">G1281*3.28084</f>
        <v>36.339374522439996</v>
      </c>
      <c r="I1281" s="2">
        <f>INDEX('Wood Density Lookup'!$B$2:$B$152,MATCH(B1281,'Wood Density Lookup'!$A$2:$A$152,0))</f>
        <v>0.42</v>
      </c>
      <c r="J1281" s="2">
        <f t="shared" ref="J1281:J1344" si="204">0.0673*POWER(I1281*E1281^2*G1281,0.976)</f>
        <v>133.13268513910384</v>
      </c>
      <c r="K1281" s="2">
        <f t="shared" si="198"/>
        <v>37.277151838949081</v>
      </c>
      <c r="L1281" s="2">
        <f t="shared" si="199"/>
        <v>170.40983697805291</v>
      </c>
      <c r="M1281" s="2">
        <f t="shared" ref="M1281:M1344" si="205">0.725*L1281</f>
        <v>123.54713180908836</v>
      </c>
      <c r="N1281" s="2">
        <f t="shared" ref="N1281:N1344" si="206">0.5*M1281</f>
        <v>61.773565904544178</v>
      </c>
      <c r="O1281" s="2">
        <f t="shared" ref="O1281:O1344" si="207">3.67*N1281</f>
        <v>226.70898686967712</v>
      </c>
      <c r="P1281" s="2">
        <v>72.551226</v>
      </c>
      <c r="Q1281" s="2">
        <v>23.036159000000001</v>
      </c>
    </row>
    <row r="1282" spans="1:17" x14ac:dyDescent="0.25">
      <c r="A1282" s="2">
        <v>1431</v>
      </c>
      <c r="B1282" s="2" t="s">
        <v>62</v>
      </c>
      <c r="C1282" s="2">
        <v>32</v>
      </c>
      <c r="D1282" s="2">
        <f t="shared" si="200"/>
        <v>81.28</v>
      </c>
      <c r="E1282" s="2">
        <f t="shared" si="201"/>
        <v>25.872227549018508</v>
      </c>
      <c r="F1282" s="2">
        <f t="shared" si="202"/>
        <v>10.185916357881302</v>
      </c>
      <c r="G1282" s="2">
        <v>7.0165040000000003</v>
      </c>
      <c r="H1282" s="2">
        <f t="shared" si="203"/>
        <v>23.020026983360001</v>
      </c>
      <c r="I1282" s="2">
        <f>INDEX('Wood Density Lookup'!$B$2:$B$152,MATCH(B1282,'Wood Density Lookup'!$A$2:$A$152,0))</f>
        <v>0.47</v>
      </c>
      <c r="J1282" s="2">
        <f t="shared" si="204"/>
        <v>123.49462993887001</v>
      </c>
      <c r="K1282" s="2">
        <f t="shared" si="198"/>
        <v>34.578496382883607</v>
      </c>
      <c r="L1282" s="2">
        <f t="shared" si="199"/>
        <v>158.07312632175362</v>
      </c>
      <c r="M1282" s="2">
        <f t="shared" si="205"/>
        <v>114.60301658327137</v>
      </c>
      <c r="N1282" s="2">
        <f t="shared" si="206"/>
        <v>57.301508291635685</v>
      </c>
      <c r="O1282" s="2">
        <f t="shared" si="207"/>
        <v>210.29653543030295</v>
      </c>
      <c r="P1282" s="2">
        <v>72.551227999999995</v>
      </c>
      <c r="Q1282" s="2">
        <v>23.038623999999999</v>
      </c>
    </row>
    <row r="1283" spans="1:17" x14ac:dyDescent="0.25">
      <c r="A1283" s="2">
        <v>1432</v>
      </c>
      <c r="B1283" s="2" t="s">
        <v>9</v>
      </c>
      <c r="C1283" s="2">
        <v>132</v>
      </c>
      <c r="D1283" s="2">
        <f t="shared" si="200"/>
        <v>335.28000000000003</v>
      </c>
      <c r="E1283" s="2">
        <f t="shared" si="201"/>
        <v>106.72293863970135</v>
      </c>
      <c r="F1283" s="2">
        <f t="shared" si="202"/>
        <v>42.016904976260371</v>
      </c>
      <c r="G1283" s="2">
        <v>10.088167</v>
      </c>
      <c r="H1283" s="2">
        <f t="shared" si="203"/>
        <v>33.097661820280003</v>
      </c>
      <c r="I1283" s="2">
        <f>INDEX('Wood Density Lookup'!$B$2:$B$152,MATCH(B1283,'Wood Density Lookup'!$A$2:$A$152,0))</f>
        <v>0.42</v>
      </c>
      <c r="J1283" s="2">
        <f t="shared" si="204"/>
        <v>2507.1846335391301</v>
      </c>
      <c r="K1283" s="2">
        <f t="shared" ref="K1283:K1346" si="208">0.28*J1283</f>
        <v>702.01169739095656</v>
      </c>
      <c r="L1283" s="2">
        <f t="shared" ref="L1283:L1346" si="209">J1283+K1283</f>
        <v>3209.1963309300868</v>
      </c>
      <c r="M1283" s="2">
        <f t="shared" si="205"/>
        <v>2326.6673399243127</v>
      </c>
      <c r="N1283" s="2">
        <f t="shared" si="206"/>
        <v>1163.3336699621564</v>
      </c>
      <c r="O1283" s="2">
        <f t="shared" si="207"/>
        <v>4269.434568761114</v>
      </c>
      <c r="P1283" s="2">
        <v>72.551235000000005</v>
      </c>
      <c r="Q1283" s="2">
        <v>23.03565</v>
      </c>
    </row>
    <row r="1284" spans="1:17" x14ac:dyDescent="0.25">
      <c r="A1284" s="2">
        <v>1433</v>
      </c>
      <c r="B1284" s="2" t="s">
        <v>9</v>
      </c>
      <c r="C1284" s="2">
        <v>9</v>
      </c>
      <c r="D1284" s="2">
        <f t="shared" si="200"/>
        <v>22.86</v>
      </c>
      <c r="E1284" s="2">
        <f t="shared" si="201"/>
        <v>7.2765639981614552</v>
      </c>
      <c r="F1284" s="2">
        <f t="shared" si="202"/>
        <v>2.8647889756541161</v>
      </c>
      <c r="G1284" s="2">
        <v>5.0467040000000001</v>
      </c>
      <c r="H1284" s="2">
        <f t="shared" si="203"/>
        <v>16.557428351359999</v>
      </c>
      <c r="I1284" s="2">
        <f>INDEX('Wood Density Lookup'!$B$2:$B$152,MATCH(B1284,'Wood Density Lookup'!$A$2:$A$152,0))</f>
        <v>0.42</v>
      </c>
      <c r="J1284" s="2">
        <f t="shared" si="204"/>
        <v>6.7440729381871201</v>
      </c>
      <c r="K1284" s="2">
        <f t="shared" si="208"/>
        <v>1.8883404226923939</v>
      </c>
      <c r="L1284" s="2">
        <f t="shared" si="209"/>
        <v>8.6324133608795144</v>
      </c>
      <c r="M1284" s="2">
        <f t="shared" si="205"/>
        <v>6.2584996866376477</v>
      </c>
      <c r="N1284" s="2">
        <f t="shared" si="206"/>
        <v>3.1292498433188238</v>
      </c>
      <c r="O1284" s="2">
        <f t="shared" si="207"/>
        <v>11.484346924980084</v>
      </c>
      <c r="P1284" s="2">
        <v>72.551237</v>
      </c>
      <c r="Q1284" s="2">
        <v>23.036695999999999</v>
      </c>
    </row>
    <row r="1285" spans="1:17" x14ac:dyDescent="0.25">
      <c r="A1285" s="2">
        <v>1434</v>
      </c>
      <c r="B1285" s="2" t="s">
        <v>140</v>
      </c>
      <c r="C1285" s="2">
        <v>2</v>
      </c>
      <c r="D1285" s="2">
        <f t="shared" si="200"/>
        <v>5.08</v>
      </c>
      <c r="E1285" s="2">
        <f t="shared" si="201"/>
        <v>1.6170142218136567</v>
      </c>
      <c r="F1285" s="2">
        <f t="shared" si="202"/>
        <v>0.63661977236758138</v>
      </c>
      <c r="G1285" s="2">
        <v>12.566606</v>
      </c>
      <c r="H1285" s="2">
        <f t="shared" si="203"/>
        <v>41.22902362904</v>
      </c>
      <c r="I1285" s="2">
        <f>INDEX('Wood Density Lookup'!$B$2:$B$152,MATCH(B1285,'Wood Density Lookup'!$A$2:$A$152,0))</f>
        <v>0.6</v>
      </c>
      <c r="J1285" s="2">
        <f t="shared" si="204"/>
        <v>1.2351988151256554</v>
      </c>
      <c r="K1285" s="2">
        <f t="shared" si="208"/>
        <v>0.34585566823518354</v>
      </c>
      <c r="L1285" s="2">
        <f t="shared" si="209"/>
        <v>1.5810544833608389</v>
      </c>
      <c r="M1285" s="2">
        <f t="shared" si="205"/>
        <v>1.1462645004366081</v>
      </c>
      <c r="N1285" s="2">
        <f t="shared" si="206"/>
        <v>0.57313225021830405</v>
      </c>
      <c r="O1285" s="2">
        <f t="shared" si="207"/>
        <v>2.1033953583011757</v>
      </c>
      <c r="P1285" s="2">
        <v>72.551246000000006</v>
      </c>
      <c r="Q1285" s="2">
        <v>23.035664000000001</v>
      </c>
    </row>
    <row r="1286" spans="1:17" x14ac:dyDescent="0.25">
      <c r="A1286" s="2">
        <v>1435</v>
      </c>
      <c r="B1286" s="2" t="s">
        <v>129</v>
      </c>
      <c r="C1286" s="2">
        <v>4</v>
      </c>
      <c r="D1286" s="2">
        <f t="shared" si="200"/>
        <v>10.16</v>
      </c>
      <c r="E1286" s="2">
        <f t="shared" si="201"/>
        <v>3.2340284436273135</v>
      </c>
      <c r="F1286" s="2">
        <f t="shared" si="202"/>
        <v>1.2732395447351628</v>
      </c>
      <c r="G1286" s="2">
        <v>2.0820059999999998</v>
      </c>
      <c r="H1286" s="2">
        <f t="shared" si="203"/>
        <v>6.8307285650399994</v>
      </c>
      <c r="I1286" s="2">
        <f>INDEX('Wood Density Lookup'!$B$2:$B$152,MATCH(B1286,'Wood Density Lookup'!$A$2:$A$152,0))</f>
        <v>0.4</v>
      </c>
      <c r="J1286" s="2">
        <f t="shared" si="204"/>
        <v>0.5565241198501496</v>
      </c>
      <c r="K1286" s="2">
        <f t="shared" si="208"/>
        <v>0.1558267535580419</v>
      </c>
      <c r="L1286" s="2">
        <f t="shared" si="209"/>
        <v>0.71235087340819148</v>
      </c>
      <c r="M1286" s="2">
        <f t="shared" si="205"/>
        <v>0.51645438322093884</v>
      </c>
      <c r="N1286" s="2">
        <f t="shared" si="206"/>
        <v>0.25822719161046942</v>
      </c>
      <c r="O1286" s="2">
        <f t="shared" si="207"/>
        <v>0.9476937932104228</v>
      </c>
      <c r="P1286" s="2">
        <v>72.551253000000003</v>
      </c>
      <c r="Q1286" s="2">
        <v>23.034932000000001</v>
      </c>
    </row>
    <row r="1287" spans="1:17" x14ac:dyDescent="0.25">
      <c r="A1287" s="2">
        <v>1436</v>
      </c>
      <c r="B1287" s="2" t="s">
        <v>9</v>
      </c>
      <c r="C1287" s="2">
        <v>13</v>
      </c>
      <c r="D1287" s="2">
        <f t="shared" si="200"/>
        <v>33.020000000000003</v>
      </c>
      <c r="E1287" s="2">
        <f t="shared" si="201"/>
        <v>10.51059244178877</v>
      </c>
      <c r="F1287" s="2">
        <f t="shared" si="202"/>
        <v>4.1380285203892786</v>
      </c>
      <c r="G1287" s="2">
        <v>5.2980130000000001</v>
      </c>
      <c r="H1287" s="2">
        <f t="shared" si="203"/>
        <v>17.381932970920001</v>
      </c>
      <c r="I1287" s="2">
        <f>INDEX('Wood Density Lookup'!$B$2:$B$152,MATCH(B1287,'Wood Density Lookup'!$A$2:$A$152,0))</f>
        <v>0.42</v>
      </c>
      <c r="J1287" s="2">
        <f t="shared" si="204"/>
        <v>14.496293248043525</v>
      </c>
      <c r="K1287" s="2">
        <f t="shared" si="208"/>
        <v>4.0589621094521871</v>
      </c>
      <c r="L1287" s="2">
        <f t="shared" si="209"/>
        <v>18.55525535749571</v>
      </c>
      <c r="M1287" s="2">
        <f t="shared" si="205"/>
        <v>13.45256013418439</v>
      </c>
      <c r="N1287" s="2">
        <f t="shared" si="206"/>
        <v>6.7262800670921949</v>
      </c>
      <c r="O1287" s="2">
        <f t="shared" si="207"/>
        <v>24.685447846228357</v>
      </c>
      <c r="P1287" s="2">
        <v>72.551253000000003</v>
      </c>
      <c r="Q1287" s="2">
        <v>23.036702999999999</v>
      </c>
    </row>
    <row r="1288" spans="1:17" x14ac:dyDescent="0.25">
      <c r="A1288" s="2">
        <v>1437</v>
      </c>
      <c r="B1288" s="2" t="s">
        <v>129</v>
      </c>
      <c r="C1288" s="2">
        <v>3</v>
      </c>
      <c r="D1288" s="2">
        <f t="shared" si="200"/>
        <v>7.62</v>
      </c>
      <c r="E1288" s="2">
        <f t="shared" si="201"/>
        <v>2.4255213327204852</v>
      </c>
      <c r="F1288" s="2">
        <f t="shared" si="202"/>
        <v>0.95492965855137202</v>
      </c>
      <c r="G1288" s="2">
        <v>2.123828</v>
      </c>
      <c r="H1288" s="2">
        <f t="shared" si="203"/>
        <v>6.9679398555200001</v>
      </c>
      <c r="I1288" s="2">
        <f>INDEX('Wood Density Lookup'!$B$2:$B$152,MATCH(B1288,'Wood Density Lookup'!$A$2:$A$152,0))</f>
        <v>0.4</v>
      </c>
      <c r="J1288" s="2">
        <f t="shared" si="204"/>
        <v>0.32361872777465311</v>
      </c>
      <c r="K1288" s="2">
        <f t="shared" si="208"/>
        <v>9.0613243776902885E-2</v>
      </c>
      <c r="L1288" s="2">
        <f t="shared" si="209"/>
        <v>0.414231971551556</v>
      </c>
      <c r="M1288" s="2">
        <f t="shared" si="205"/>
        <v>0.30031817937487809</v>
      </c>
      <c r="N1288" s="2">
        <f t="shared" si="206"/>
        <v>0.15015908968743905</v>
      </c>
      <c r="O1288" s="2">
        <f t="shared" si="207"/>
        <v>0.55108385915290126</v>
      </c>
      <c r="P1288" s="2">
        <v>72.551259000000002</v>
      </c>
      <c r="Q1288" s="2">
        <v>23.034932000000001</v>
      </c>
    </row>
    <row r="1289" spans="1:17" x14ac:dyDescent="0.25">
      <c r="A1289" s="2">
        <v>1438</v>
      </c>
      <c r="B1289" s="2" t="s">
        <v>9</v>
      </c>
      <c r="C1289" s="2">
        <v>19</v>
      </c>
      <c r="D1289" s="2">
        <f t="shared" si="200"/>
        <v>48.26</v>
      </c>
      <c r="E1289" s="2">
        <f t="shared" si="201"/>
        <v>15.361635107229738</v>
      </c>
      <c r="F1289" s="2">
        <f t="shared" si="202"/>
        <v>6.0478878374920226</v>
      </c>
      <c r="G1289" s="2">
        <v>5.1935549999999999</v>
      </c>
      <c r="H1289" s="2">
        <f t="shared" si="203"/>
        <v>17.039222986199999</v>
      </c>
      <c r="I1289" s="2">
        <f>INDEX('Wood Density Lookup'!$B$2:$B$152,MATCH(B1289,'Wood Density Lookup'!$A$2:$A$152,0))</f>
        <v>0.42</v>
      </c>
      <c r="J1289" s="2">
        <f t="shared" si="204"/>
        <v>29.821250138988397</v>
      </c>
      <c r="K1289" s="2">
        <f t="shared" si="208"/>
        <v>8.3499500389167522</v>
      </c>
      <c r="L1289" s="2">
        <f t="shared" si="209"/>
        <v>38.171200177905149</v>
      </c>
      <c r="M1289" s="2">
        <f t="shared" si="205"/>
        <v>27.674120128981233</v>
      </c>
      <c r="N1289" s="2">
        <f t="shared" si="206"/>
        <v>13.837060064490617</v>
      </c>
      <c r="O1289" s="2">
        <f t="shared" si="207"/>
        <v>50.782010436680565</v>
      </c>
      <c r="P1289" s="2">
        <v>72.551260999999997</v>
      </c>
      <c r="Q1289" s="2">
        <v>23.036760000000001</v>
      </c>
    </row>
    <row r="1290" spans="1:17" x14ac:dyDescent="0.25">
      <c r="A1290" s="2">
        <v>1439</v>
      </c>
      <c r="B1290" s="2" t="s">
        <v>31</v>
      </c>
      <c r="C1290" s="2">
        <v>19</v>
      </c>
      <c r="D1290" s="2">
        <f t="shared" si="200"/>
        <v>48.26</v>
      </c>
      <c r="E1290" s="2">
        <f t="shared" si="201"/>
        <v>15.361635107229738</v>
      </c>
      <c r="F1290" s="2">
        <f t="shared" si="202"/>
        <v>6.0478878374920226</v>
      </c>
      <c r="G1290" s="2">
        <v>10.39579</v>
      </c>
      <c r="H1290" s="2">
        <f t="shared" si="203"/>
        <v>34.1069236636</v>
      </c>
      <c r="I1290" s="2">
        <f>INDEX('Wood Density Lookup'!$B$2:$B$152,MATCH(B1290,'Wood Density Lookup'!$A$2:$A$152,0))</f>
        <v>0.78</v>
      </c>
      <c r="J1290" s="2">
        <f t="shared" si="204"/>
        <v>107.41828315686568</v>
      </c>
      <c r="K1290" s="2">
        <f t="shared" si="208"/>
        <v>30.077119283922393</v>
      </c>
      <c r="L1290" s="2">
        <f t="shared" si="209"/>
        <v>137.49540244078807</v>
      </c>
      <c r="M1290" s="2">
        <f t="shared" si="205"/>
        <v>99.684166769571348</v>
      </c>
      <c r="N1290" s="2">
        <f t="shared" si="206"/>
        <v>49.842083384785674</v>
      </c>
      <c r="O1290" s="2">
        <f t="shared" si="207"/>
        <v>182.92044602216342</v>
      </c>
      <c r="P1290" s="2">
        <v>72.551264000000003</v>
      </c>
      <c r="Q1290" s="2">
        <v>23.036573000000001</v>
      </c>
    </row>
    <row r="1291" spans="1:17" x14ac:dyDescent="0.25">
      <c r="A1291" s="2">
        <v>1440</v>
      </c>
      <c r="B1291" s="2" t="s">
        <v>72</v>
      </c>
      <c r="C1291" s="2">
        <v>4</v>
      </c>
      <c r="D1291" s="2">
        <f t="shared" si="200"/>
        <v>10.16</v>
      </c>
      <c r="E1291" s="2">
        <f t="shared" si="201"/>
        <v>3.2340284436273135</v>
      </c>
      <c r="F1291" s="2">
        <f t="shared" si="202"/>
        <v>1.2732395447351628</v>
      </c>
      <c r="G1291" s="2">
        <v>7.4612280000000002</v>
      </c>
      <c r="H1291" s="2">
        <f t="shared" si="203"/>
        <v>24.479095271520002</v>
      </c>
      <c r="I1291" s="2">
        <f>INDEX('Wood Density Lookup'!$B$2:$B$152,MATCH(B1291,'Wood Density Lookup'!$A$2:$A$152,0))</f>
        <v>0.65</v>
      </c>
      <c r="J1291" s="2">
        <f t="shared" si="204"/>
        <v>3.1067144011991989</v>
      </c>
      <c r="K1291" s="2">
        <f t="shared" si="208"/>
        <v>0.86988003233577582</v>
      </c>
      <c r="L1291" s="2">
        <f t="shared" si="209"/>
        <v>3.9765944335349745</v>
      </c>
      <c r="M1291" s="2">
        <f t="shared" si="205"/>
        <v>2.8830309643128564</v>
      </c>
      <c r="N1291" s="2">
        <f t="shared" si="206"/>
        <v>1.4415154821564282</v>
      </c>
      <c r="O1291" s="2">
        <f t="shared" si="207"/>
        <v>5.2903618195140911</v>
      </c>
      <c r="P1291" s="2">
        <v>72.551264000000003</v>
      </c>
      <c r="Q1291" s="2">
        <v>23.036701999999998</v>
      </c>
    </row>
    <row r="1292" spans="1:17" x14ac:dyDescent="0.25">
      <c r="A1292" s="2">
        <v>1441</v>
      </c>
      <c r="B1292" s="2" t="s">
        <v>15</v>
      </c>
      <c r="C1292" s="2">
        <v>2</v>
      </c>
      <c r="D1292" s="2">
        <f t="shared" si="200"/>
        <v>5.08</v>
      </c>
      <c r="E1292" s="2">
        <f t="shared" si="201"/>
        <v>1.6170142218136567</v>
      </c>
      <c r="F1292" s="2">
        <f t="shared" si="202"/>
        <v>0.63661977236758138</v>
      </c>
      <c r="G1292" s="2">
        <v>10.773761</v>
      </c>
      <c r="H1292" s="2">
        <f t="shared" si="203"/>
        <v>35.346986039240001</v>
      </c>
      <c r="I1292" s="2">
        <f>INDEX('Wood Density Lookup'!$B$2:$B$152,MATCH(B1292,'Wood Density Lookup'!$A$2:$A$152,0))</f>
        <v>0.75</v>
      </c>
      <c r="J1292" s="2">
        <f t="shared" si="204"/>
        <v>1.3215232043368286</v>
      </c>
      <c r="K1292" s="2">
        <f t="shared" si="208"/>
        <v>0.37002649721431202</v>
      </c>
      <c r="L1292" s="2">
        <f t="shared" si="209"/>
        <v>1.6915497015511405</v>
      </c>
      <c r="M1292" s="2">
        <f t="shared" si="205"/>
        <v>1.2263735336245769</v>
      </c>
      <c r="N1292" s="2">
        <f t="shared" si="206"/>
        <v>0.61318676681228845</v>
      </c>
      <c r="O1292" s="2">
        <f t="shared" si="207"/>
        <v>2.2503954342010988</v>
      </c>
      <c r="P1292" s="2">
        <v>72.551269000000005</v>
      </c>
      <c r="Q1292" s="2">
        <v>23.034934</v>
      </c>
    </row>
    <row r="1293" spans="1:17" x14ac:dyDescent="0.25">
      <c r="A1293" s="2">
        <v>1442</v>
      </c>
      <c r="B1293" s="2" t="s">
        <v>93</v>
      </c>
      <c r="C1293" s="2">
        <v>3</v>
      </c>
      <c r="D1293" s="2">
        <f t="shared" si="200"/>
        <v>7.62</v>
      </c>
      <c r="E1293" s="2">
        <f t="shared" si="201"/>
        <v>2.4255213327204852</v>
      </c>
      <c r="F1293" s="2">
        <f t="shared" si="202"/>
        <v>0.95492965855137202</v>
      </c>
      <c r="G1293" s="2">
        <v>10.055334</v>
      </c>
      <c r="H1293" s="2">
        <f t="shared" si="203"/>
        <v>32.989942000559999</v>
      </c>
      <c r="I1293" s="2">
        <f>INDEX('Wood Density Lookup'!$B$2:$B$152,MATCH(B1293,'Wood Density Lookup'!$A$2:$A$152,0))</f>
        <v>0.9</v>
      </c>
      <c r="J1293" s="2">
        <f t="shared" si="204"/>
        <v>3.2571239858761603</v>
      </c>
      <c r="K1293" s="2">
        <f t="shared" si="208"/>
        <v>0.911994716045325</v>
      </c>
      <c r="L1293" s="2">
        <f t="shared" si="209"/>
        <v>4.1691187019214855</v>
      </c>
      <c r="M1293" s="2">
        <f t="shared" si="205"/>
        <v>3.022611058893077</v>
      </c>
      <c r="N1293" s="2">
        <f t="shared" si="206"/>
        <v>1.5113055294465385</v>
      </c>
      <c r="O1293" s="2">
        <f t="shared" si="207"/>
        <v>5.5464912930687964</v>
      </c>
      <c r="P1293" s="2">
        <v>72.551272999999995</v>
      </c>
      <c r="Q1293" s="2">
        <v>23.035668999999999</v>
      </c>
    </row>
    <row r="1294" spans="1:17" x14ac:dyDescent="0.25">
      <c r="A1294" s="2">
        <v>1443</v>
      </c>
      <c r="B1294" s="2" t="s">
        <v>82</v>
      </c>
      <c r="C1294" s="2">
        <v>5</v>
      </c>
      <c r="D1294" s="2">
        <f t="shared" si="200"/>
        <v>12.7</v>
      </c>
      <c r="E1294" s="2">
        <f t="shared" si="201"/>
        <v>4.0425355545341413</v>
      </c>
      <c r="F1294" s="2">
        <f t="shared" si="202"/>
        <v>1.5915494309189535</v>
      </c>
      <c r="G1294" s="2">
        <v>3.181724</v>
      </c>
      <c r="H1294" s="2">
        <f t="shared" si="203"/>
        <v>10.43872736816</v>
      </c>
      <c r="I1294" s="2">
        <f>INDEX('Wood Density Lookup'!$B$2:$B$152,MATCH(B1294,'Wood Density Lookup'!$A$2:$A$152,0))</f>
        <v>0.7</v>
      </c>
      <c r="J1294" s="2">
        <f t="shared" si="204"/>
        <v>2.2470755116606278</v>
      </c>
      <c r="K1294" s="2">
        <f t="shared" si="208"/>
        <v>0.62918114326497587</v>
      </c>
      <c r="L1294" s="2">
        <f t="shared" si="209"/>
        <v>2.8762566549256037</v>
      </c>
      <c r="M1294" s="2">
        <f t="shared" si="205"/>
        <v>2.0852860748210627</v>
      </c>
      <c r="N1294" s="2">
        <f t="shared" si="206"/>
        <v>1.0426430374105313</v>
      </c>
      <c r="O1294" s="2">
        <f t="shared" si="207"/>
        <v>3.8264999472966501</v>
      </c>
      <c r="P1294" s="2">
        <v>72.551277999999996</v>
      </c>
      <c r="Q1294" s="2">
        <v>23.038764</v>
      </c>
    </row>
    <row r="1295" spans="1:17" x14ac:dyDescent="0.25">
      <c r="A1295" s="2">
        <v>1444</v>
      </c>
      <c r="B1295" s="2" t="s">
        <v>9</v>
      </c>
      <c r="C1295" s="2">
        <v>43</v>
      </c>
      <c r="D1295" s="2">
        <f t="shared" si="200"/>
        <v>109.22</v>
      </c>
      <c r="E1295" s="2">
        <f t="shared" si="201"/>
        <v>34.765805768993616</v>
      </c>
      <c r="F1295" s="2">
        <f t="shared" si="202"/>
        <v>13.687325105903</v>
      </c>
      <c r="G1295" s="2">
        <v>8.0360610000000001</v>
      </c>
      <c r="H1295" s="2">
        <f t="shared" si="203"/>
        <v>26.36503037124</v>
      </c>
      <c r="I1295" s="2">
        <f>INDEX('Wood Density Lookup'!$B$2:$B$152,MATCH(B1295,'Wood Density Lookup'!$A$2:$A$152,0))</f>
        <v>0.42</v>
      </c>
      <c r="J1295" s="2">
        <f t="shared" si="204"/>
        <v>224.88363244321096</v>
      </c>
      <c r="K1295" s="2">
        <f t="shared" si="208"/>
        <v>62.967417084099075</v>
      </c>
      <c r="L1295" s="2">
        <f t="shared" si="209"/>
        <v>287.85104952731001</v>
      </c>
      <c r="M1295" s="2">
        <f t="shared" si="205"/>
        <v>208.69201090729976</v>
      </c>
      <c r="N1295" s="2">
        <f t="shared" si="206"/>
        <v>104.34600545364988</v>
      </c>
      <c r="O1295" s="2">
        <f t="shared" si="207"/>
        <v>382.94984001489507</v>
      </c>
      <c r="P1295" s="2">
        <v>72.551278999999994</v>
      </c>
      <c r="Q1295" s="2">
        <v>23.038542</v>
      </c>
    </row>
    <row r="1296" spans="1:17" x14ac:dyDescent="0.25">
      <c r="A1296" s="2">
        <v>1445</v>
      </c>
      <c r="B1296" s="2" t="s">
        <v>9</v>
      </c>
      <c r="C1296" s="2">
        <v>61</v>
      </c>
      <c r="D1296" s="2">
        <f t="shared" si="200"/>
        <v>154.94</v>
      </c>
      <c r="E1296" s="2">
        <f t="shared" si="201"/>
        <v>49.31893376531653</v>
      </c>
      <c r="F1296" s="2">
        <f t="shared" si="202"/>
        <v>19.416903057211233</v>
      </c>
      <c r="G1296" s="2">
        <v>11.973258</v>
      </c>
      <c r="H1296" s="2">
        <f t="shared" si="203"/>
        <v>39.282343776719998</v>
      </c>
      <c r="I1296" s="2">
        <f>INDEX('Wood Density Lookup'!$B$2:$B$152,MATCH(B1296,'Wood Density Lookup'!$A$2:$A$152,0))</f>
        <v>0.42</v>
      </c>
      <c r="J1296" s="2">
        <f t="shared" si="204"/>
        <v>656.75640594298807</v>
      </c>
      <c r="K1296" s="2">
        <f t="shared" si="208"/>
        <v>183.89179366403667</v>
      </c>
      <c r="L1296" s="2">
        <f t="shared" si="209"/>
        <v>840.64819960702471</v>
      </c>
      <c r="M1296" s="2">
        <f t="shared" si="205"/>
        <v>609.46994471509288</v>
      </c>
      <c r="N1296" s="2">
        <f t="shared" si="206"/>
        <v>304.73497235754644</v>
      </c>
      <c r="O1296" s="2">
        <f t="shared" si="207"/>
        <v>1118.3773485521954</v>
      </c>
      <c r="P1296" s="2">
        <v>72.551278999999994</v>
      </c>
      <c r="Q1296" s="2">
        <v>23.038459</v>
      </c>
    </row>
    <row r="1297" spans="1:17" x14ac:dyDescent="0.25">
      <c r="A1297" s="2">
        <v>1446</v>
      </c>
      <c r="B1297" s="2" t="s">
        <v>114</v>
      </c>
      <c r="C1297" s="2">
        <v>7</v>
      </c>
      <c r="D1297" s="2">
        <f t="shared" si="200"/>
        <v>17.78</v>
      </c>
      <c r="E1297" s="2">
        <f t="shared" si="201"/>
        <v>5.6595497763477987</v>
      </c>
      <c r="F1297" s="2">
        <f t="shared" si="202"/>
        <v>2.228169203286535</v>
      </c>
      <c r="G1297" s="2">
        <v>14.537089</v>
      </c>
      <c r="H1297" s="2">
        <f t="shared" si="203"/>
        <v>47.693863074760003</v>
      </c>
      <c r="I1297" s="2">
        <f>INDEX('Wood Density Lookup'!$B$2:$B$152,MATCH(B1297,'Wood Density Lookup'!$A$2:$A$152,0))</f>
        <v>0.55000000000000004</v>
      </c>
      <c r="J1297" s="2">
        <f t="shared" si="204"/>
        <v>15.087499793198701</v>
      </c>
      <c r="K1297" s="2">
        <f t="shared" si="208"/>
        <v>4.2244999420956368</v>
      </c>
      <c r="L1297" s="2">
        <f t="shared" si="209"/>
        <v>19.311999735294336</v>
      </c>
      <c r="M1297" s="2">
        <f t="shared" si="205"/>
        <v>14.001199808088392</v>
      </c>
      <c r="N1297" s="2">
        <f t="shared" si="206"/>
        <v>7.0005999040441962</v>
      </c>
      <c r="O1297" s="2">
        <f t="shared" si="207"/>
        <v>25.6922016478422</v>
      </c>
      <c r="P1297" s="2">
        <v>72.551281000000003</v>
      </c>
      <c r="Q1297" s="2">
        <v>23.034790999999998</v>
      </c>
    </row>
    <row r="1298" spans="1:17" x14ac:dyDescent="0.25">
      <c r="A1298" s="2">
        <v>1447</v>
      </c>
      <c r="B1298" s="2" t="s">
        <v>15</v>
      </c>
      <c r="C1298" s="2">
        <v>13</v>
      </c>
      <c r="D1298" s="2">
        <f t="shared" si="200"/>
        <v>33.020000000000003</v>
      </c>
      <c r="E1298" s="2">
        <f t="shared" si="201"/>
        <v>10.51059244178877</v>
      </c>
      <c r="F1298" s="2">
        <f t="shared" si="202"/>
        <v>4.1380285203892786</v>
      </c>
      <c r="G1298" s="2">
        <v>4.0916899999999998</v>
      </c>
      <c r="H1298" s="2">
        <f t="shared" si="203"/>
        <v>13.4241802196</v>
      </c>
      <c r="I1298" s="2">
        <f>INDEX('Wood Density Lookup'!$B$2:$B$152,MATCH(B1298,'Wood Density Lookup'!$A$2:$A$152,0))</f>
        <v>0.75</v>
      </c>
      <c r="J1298" s="2">
        <f t="shared" si="204"/>
        <v>19.838471216232492</v>
      </c>
      <c r="K1298" s="2">
        <f t="shared" si="208"/>
        <v>5.5547719405450984</v>
      </c>
      <c r="L1298" s="2">
        <f t="shared" si="209"/>
        <v>25.39324315677759</v>
      </c>
      <c r="M1298" s="2">
        <f t="shared" si="205"/>
        <v>18.410101288663753</v>
      </c>
      <c r="N1298" s="2">
        <f t="shared" si="206"/>
        <v>9.2050506443318767</v>
      </c>
      <c r="O1298" s="2">
        <f t="shared" si="207"/>
        <v>33.782535864697984</v>
      </c>
      <c r="P1298" s="2">
        <v>72.551282</v>
      </c>
      <c r="Q1298" s="2">
        <v>23.036646000000001</v>
      </c>
    </row>
    <row r="1299" spans="1:17" x14ac:dyDescent="0.25">
      <c r="A1299" s="2">
        <v>1448</v>
      </c>
      <c r="B1299" s="2" t="s">
        <v>119</v>
      </c>
      <c r="C1299" s="2">
        <v>1</v>
      </c>
      <c r="D1299" s="2">
        <f t="shared" si="200"/>
        <v>2.54</v>
      </c>
      <c r="E1299" s="2">
        <f t="shared" si="201"/>
        <v>0.80850711090682836</v>
      </c>
      <c r="F1299" s="2">
        <f t="shared" si="202"/>
        <v>0.31830988618379069</v>
      </c>
      <c r="G1299" s="2">
        <v>1.0509740000000001</v>
      </c>
      <c r="H1299" s="2">
        <f t="shared" si="203"/>
        <v>3.4480775381600002</v>
      </c>
      <c r="I1299" s="2">
        <f>INDEX('Wood Density Lookup'!$B$2:$B$152,MATCH(B1299,'Wood Density Lookup'!$A$2:$A$152,0))</f>
        <v>0.6</v>
      </c>
      <c r="J1299" s="2">
        <f t="shared" si="204"/>
        <v>2.8337616121116786E-2</v>
      </c>
      <c r="K1299" s="2">
        <f t="shared" si="208"/>
        <v>7.9345325139127017E-3</v>
      </c>
      <c r="L1299" s="2">
        <f t="shared" si="209"/>
        <v>3.6272148635029491E-2</v>
      </c>
      <c r="M1299" s="2">
        <f t="shared" si="205"/>
        <v>2.629730776039638E-2</v>
      </c>
      <c r="N1299" s="2">
        <f t="shared" si="206"/>
        <v>1.314865388019819E-2</v>
      </c>
      <c r="O1299" s="2">
        <f t="shared" si="207"/>
        <v>4.8255559740327358E-2</v>
      </c>
      <c r="P1299" s="2">
        <v>72.551282</v>
      </c>
      <c r="Q1299" s="2">
        <v>23.036631</v>
      </c>
    </row>
    <row r="1300" spans="1:17" x14ac:dyDescent="0.25">
      <c r="A1300" s="2">
        <v>1449</v>
      </c>
      <c r="B1300" s="2" t="s">
        <v>9</v>
      </c>
      <c r="C1300" s="2">
        <v>1</v>
      </c>
      <c r="D1300" s="2">
        <f t="shared" si="200"/>
        <v>2.54</v>
      </c>
      <c r="E1300" s="2">
        <f t="shared" si="201"/>
        <v>0.80850711090682836</v>
      </c>
      <c r="F1300" s="2">
        <f t="shared" si="202"/>
        <v>0.31830988618379069</v>
      </c>
      <c r="G1300" s="2">
        <v>12.114129999999999</v>
      </c>
      <c r="H1300" s="2">
        <f t="shared" si="203"/>
        <v>39.744522269199997</v>
      </c>
      <c r="I1300" s="2">
        <f>INDEX('Wood Density Lookup'!$B$2:$B$152,MATCH(B1300,'Wood Density Lookup'!$A$2:$A$152,0))</f>
        <v>0.42</v>
      </c>
      <c r="J1300" s="2">
        <f t="shared" si="204"/>
        <v>0.21746954777431327</v>
      </c>
      <c r="K1300" s="2">
        <f t="shared" si="208"/>
        <v>6.0891473376807718E-2</v>
      </c>
      <c r="L1300" s="2">
        <f t="shared" si="209"/>
        <v>0.27836102115112099</v>
      </c>
      <c r="M1300" s="2">
        <f t="shared" si="205"/>
        <v>0.2018117403345627</v>
      </c>
      <c r="N1300" s="2">
        <f t="shared" si="206"/>
        <v>0.10090587016728135</v>
      </c>
      <c r="O1300" s="2">
        <f t="shared" si="207"/>
        <v>0.37032454351392252</v>
      </c>
      <c r="P1300" s="2">
        <v>72.551282999999998</v>
      </c>
      <c r="Q1300" s="2">
        <v>23.034935999999998</v>
      </c>
    </row>
    <row r="1301" spans="1:17" x14ac:dyDescent="0.25">
      <c r="A1301" s="2">
        <v>1450</v>
      </c>
      <c r="B1301" s="2" t="s">
        <v>140</v>
      </c>
      <c r="C1301" s="2">
        <v>6</v>
      </c>
      <c r="D1301" s="2">
        <f t="shared" si="200"/>
        <v>15.24</v>
      </c>
      <c r="E1301" s="2">
        <f t="shared" si="201"/>
        <v>4.8510426654409704</v>
      </c>
      <c r="F1301" s="2">
        <f t="shared" si="202"/>
        <v>1.909859317102744</v>
      </c>
      <c r="G1301" s="2">
        <v>1.0862529999999999</v>
      </c>
      <c r="H1301" s="2">
        <f t="shared" si="203"/>
        <v>3.5638222925199998</v>
      </c>
      <c r="I1301" s="2">
        <f>INDEX('Wood Density Lookup'!$B$2:$B$152,MATCH(B1301,'Wood Density Lookup'!$A$2:$A$152,0))</f>
        <v>0.6</v>
      </c>
      <c r="J1301" s="2">
        <f t="shared" si="204"/>
        <v>0.96673943334269696</v>
      </c>
      <c r="K1301" s="2">
        <f t="shared" si="208"/>
        <v>0.27068704133595517</v>
      </c>
      <c r="L1301" s="2">
        <f t="shared" si="209"/>
        <v>1.2374264746786521</v>
      </c>
      <c r="M1301" s="2">
        <f t="shared" si="205"/>
        <v>0.89713419414202278</v>
      </c>
      <c r="N1301" s="2">
        <f t="shared" si="206"/>
        <v>0.44856709707101139</v>
      </c>
      <c r="O1301" s="2">
        <f t="shared" si="207"/>
        <v>1.6462412462506117</v>
      </c>
      <c r="P1301" s="2">
        <v>72.551287000000002</v>
      </c>
      <c r="Q1301" s="2">
        <v>23.035651000000001</v>
      </c>
    </row>
    <row r="1302" spans="1:17" x14ac:dyDescent="0.25">
      <c r="A1302" s="2">
        <v>1451</v>
      </c>
      <c r="B1302" s="2" t="s">
        <v>9</v>
      </c>
      <c r="C1302" s="2">
        <v>42</v>
      </c>
      <c r="D1302" s="2">
        <f t="shared" si="200"/>
        <v>106.68</v>
      </c>
      <c r="E1302" s="2">
        <f t="shared" si="201"/>
        <v>33.957298658086792</v>
      </c>
      <c r="F1302" s="2">
        <f t="shared" si="202"/>
        <v>13.369015219719209</v>
      </c>
      <c r="G1302" s="2">
        <v>5.3677890000000001</v>
      </c>
      <c r="H1302" s="2">
        <f t="shared" si="203"/>
        <v>17.610856862759999</v>
      </c>
      <c r="I1302" s="2">
        <f>INDEX('Wood Density Lookup'!$B$2:$B$152,MATCH(B1302,'Wood Density Lookup'!$A$2:$A$152,0))</f>
        <v>0.42</v>
      </c>
      <c r="J1302" s="2">
        <f t="shared" si="204"/>
        <v>144.86657598074163</v>
      </c>
      <c r="K1302" s="2">
        <f t="shared" si="208"/>
        <v>40.562641274607657</v>
      </c>
      <c r="L1302" s="2">
        <f t="shared" si="209"/>
        <v>185.42921725534927</v>
      </c>
      <c r="M1302" s="2">
        <f t="shared" si="205"/>
        <v>134.43618251012822</v>
      </c>
      <c r="N1302" s="2">
        <f t="shared" si="206"/>
        <v>67.21809125506411</v>
      </c>
      <c r="O1302" s="2">
        <f t="shared" si="207"/>
        <v>246.69039490608529</v>
      </c>
      <c r="P1302" s="2">
        <v>72.551288999999997</v>
      </c>
      <c r="Q1302" s="2">
        <v>23.038712</v>
      </c>
    </row>
    <row r="1303" spans="1:17" x14ac:dyDescent="0.25">
      <c r="A1303" s="2">
        <v>1452</v>
      </c>
      <c r="B1303" s="2" t="s">
        <v>116</v>
      </c>
      <c r="C1303" s="2">
        <v>26</v>
      </c>
      <c r="D1303" s="2">
        <f t="shared" si="200"/>
        <v>66.040000000000006</v>
      </c>
      <c r="E1303" s="2">
        <f t="shared" si="201"/>
        <v>21.02118488357754</v>
      </c>
      <c r="F1303" s="2">
        <f t="shared" si="202"/>
        <v>8.2760570407785572</v>
      </c>
      <c r="G1303" s="2">
        <v>11.743964</v>
      </c>
      <c r="H1303" s="2">
        <f t="shared" si="203"/>
        <v>38.530066849759997</v>
      </c>
      <c r="I1303" s="2">
        <f>INDEX('Wood Density Lookup'!$B$2:$B$152,MATCH(B1303,'Wood Density Lookup'!$A$2:$A$152,0))</f>
        <v>0.85</v>
      </c>
      <c r="J1303" s="2">
        <f t="shared" si="204"/>
        <v>242.71349975584315</v>
      </c>
      <c r="K1303" s="2">
        <f t="shared" si="208"/>
        <v>67.959779931636092</v>
      </c>
      <c r="L1303" s="2">
        <f t="shared" si="209"/>
        <v>310.67327968747924</v>
      </c>
      <c r="M1303" s="2">
        <f t="shared" si="205"/>
        <v>225.23812777342243</v>
      </c>
      <c r="N1303" s="2">
        <f t="shared" si="206"/>
        <v>112.61906388671122</v>
      </c>
      <c r="O1303" s="2">
        <f t="shared" si="207"/>
        <v>413.31196446423019</v>
      </c>
      <c r="P1303" s="2">
        <v>72.551288999999997</v>
      </c>
      <c r="Q1303" s="2">
        <v>23.038463</v>
      </c>
    </row>
    <row r="1304" spans="1:17" x14ac:dyDescent="0.25">
      <c r="A1304" s="2">
        <v>1453</v>
      </c>
      <c r="B1304" s="2" t="s">
        <v>107</v>
      </c>
      <c r="C1304" s="2">
        <v>4</v>
      </c>
      <c r="D1304" s="2">
        <f t="shared" si="200"/>
        <v>10.16</v>
      </c>
      <c r="E1304" s="2">
        <f t="shared" si="201"/>
        <v>3.2340284436273135</v>
      </c>
      <c r="F1304" s="2">
        <f t="shared" si="202"/>
        <v>1.2732395447351628</v>
      </c>
      <c r="G1304" s="2">
        <v>1.113213</v>
      </c>
      <c r="H1304" s="2">
        <f t="shared" si="203"/>
        <v>3.65227373892</v>
      </c>
      <c r="I1304" s="2">
        <f>INDEX('Wood Density Lookup'!$B$2:$B$152,MATCH(B1304,'Wood Density Lookup'!$A$2:$A$152,0))</f>
        <v>0.65</v>
      </c>
      <c r="J1304" s="2">
        <f t="shared" si="204"/>
        <v>0.48517549497815504</v>
      </c>
      <c r="K1304" s="2">
        <f t="shared" si="208"/>
        <v>0.13584913859388342</v>
      </c>
      <c r="L1304" s="2">
        <f t="shared" si="209"/>
        <v>0.62102463357203841</v>
      </c>
      <c r="M1304" s="2">
        <f t="shared" si="205"/>
        <v>0.45024285933972785</v>
      </c>
      <c r="N1304" s="2">
        <f t="shared" si="206"/>
        <v>0.22512142966986393</v>
      </c>
      <c r="O1304" s="2">
        <f t="shared" si="207"/>
        <v>0.82619564688840064</v>
      </c>
      <c r="P1304" s="2">
        <v>72.551300999999995</v>
      </c>
      <c r="Q1304" s="2">
        <v>23.035655999999999</v>
      </c>
    </row>
    <row r="1305" spans="1:17" x14ac:dyDescent="0.25">
      <c r="A1305" s="2">
        <v>1454</v>
      </c>
      <c r="B1305" s="2" t="s">
        <v>84</v>
      </c>
      <c r="C1305" s="2">
        <v>2</v>
      </c>
      <c r="D1305" s="2">
        <f t="shared" si="200"/>
        <v>5.08</v>
      </c>
      <c r="E1305" s="2">
        <f t="shared" si="201"/>
        <v>1.6170142218136567</v>
      </c>
      <c r="F1305" s="2">
        <f t="shared" si="202"/>
        <v>0.63661977236758138</v>
      </c>
      <c r="G1305" s="2">
        <v>4.1173979999999997</v>
      </c>
      <c r="H1305" s="2">
        <f t="shared" si="203"/>
        <v>13.508524054319999</v>
      </c>
      <c r="I1305" s="2">
        <f>INDEX('Wood Density Lookup'!$B$2:$B$152,MATCH(B1305,'Wood Density Lookup'!$A$2:$A$152,0))</f>
        <v>0.9</v>
      </c>
      <c r="J1305" s="2">
        <f t="shared" si="204"/>
        <v>0.61750015246796808</v>
      </c>
      <c r="K1305" s="2">
        <f t="shared" si="208"/>
        <v>0.17290004269103107</v>
      </c>
      <c r="L1305" s="2">
        <f t="shared" si="209"/>
        <v>0.79040019515899917</v>
      </c>
      <c r="M1305" s="2">
        <f t="shared" si="205"/>
        <v>0.57304014149027438</v>
      </c>
      <c r="N1305" s="2">
        <f t="shared" si="206"/>
        <v>0.28652007074513719</v>
      </c>
      <c r="O1305" s="2">
        <f t="shared" si="207"/>
        <v>1.0515286596346534</v>
      </c>
      <c r="P1305" s="2">
        <v>72.551304000000002</v>
      </c>
      <c r="Q1305" s="2">
        <v>23.03557</v>
      </c>
    </row>
    <row r="1306" spans="1:17" x14ac:dyDescent="0.25">
      <c r="A1306" s="2">
        <v>1455</v>
      </c>
      <c r="B1306" s="2" t="s">
        <v>6</v>
      </c>
      <c r="C1306" s="2">
        <v>4</v>
      </c>
      <c r="D1306" s="2">
        <f t="shared" si="200"/>
        <v>10.16</v>
      </c>
      <c r="E1306" s="2">
        <f t="shared" si="201"/>
        <v>3.2340284436273135</v>
      </c>
      <c r="F1306" s="2">
        <f t="shared" si="202"/>
        <v>1.2732395447351628</v>
      </c>
      <c r="G1306" s="2">
        <v>2.045938</v>
      </c>
      <c r="H1306" s="2">
        <f t="shared" si="203"/>
        <v>6.7123952279200001</v>
      </c>
      <c r="I1306" s="2">
        <f>INDEX('Wood Density Lookup'!$B$2:$B$152,MATCH(B1306,'Wood Density Lookup'!$A$2:$A$152,0))</f>
        <v>0.28000000000000003</v>
      </c>
      <c r="J1306" s="2">
        <f t="shared" si="204"/>
        <v>0.38627119104725011</v>
      </c>
      <c r="K1306" s="2">
        <f t="shared" si="208"/>
        <v>0.10815593349323004</v>
      </c>
      <c r="L1306" s="2">
        <f t="shared" si="209"/>
        <v>0.49442712454048016</v>
      </c>
      <c r="M1306" s="2">
        <f t="shared" si="205"/>
        <v>0.35845966529184808</v>
      </c>
      <c r="N1306" s="2">
        <f t="shared" si="206"/>
        <v>0.17922983264592404</v>
      </c>
      <c r="O1306" s="2">
        <f t="shared" si="207"/>
        <v>0.65777348581054118</v>
      </c>
      <c r="P1306" s="2">
        <v>72.551305999999997</v>
      </c>
      <c r="Q1306" s="2">
        <v>23.038772000000002</v>
      </c>
    </row>
    <row r="1307" spans="1:17" x14ac:dyDescent="0.25">
      <c r="A1307" s="2">
        <v>1456</v>
      </c>
      <c r="B1307" s="2" t="s">
        <v>15</v>
      </c>
      <c r="C1307" s="2">
        <v>123</v>
      </c>
      <c r="D1307" s="2">
        <f t="shared" si="200"/>
        <v>312.42</v>
      </c>
      <c r="E1307" s="2">
        <f t="shared" si="201"/>
        <v>99.44637464153989</v>
      </c>
      <c r="F1307" s="2">
        <f t="shared" si="202"/>
        <v>39.152116000606256</v>
      </c>
      <c r="G1307" s="2">
        <v>16.189283</v>
      </c>
      <c r="H1307" s="2">
        <f t="shared" si="203"/>
        <v>53.11444723772</v>
      </c>
      <c r="I1307" s="2">
        <f>INDEX('Wood Density Lookup'!$B$2:$B$152,MATCH(B1307,'Wood Density Lookup'!$A$2:$A$152,0))</f>
        <v>0.75</v>
      </c>
      <c r="J1307" s="2">
        <f t="shared" si="204"/>
        <v>6103.4395885616423</v>
      </c>
      <c r="K1307" s="2">
        <f t="shared" si="208"/>
        <v>1708.9630847972601</v>
      </c>
      <c r="L1307" s="2">
        <f t="shared" si="209"/>
        <v>7812.4026733589026</v>
      </c>
      <c r="M1307" s="2">
        <f t="shared" si="205"/>
        <v>5663.9919381852042</v>
      </c>
      <c r="N1307" s="2">
        <f t="shared" si="206"/>
        <v>2831.9959690926021</v>
      </c>
      <c r="O1307" s="2">
        <f t="shared" si="207"/>
        <v>10393.425206569849</v>
      </c>
      <c r="P1307" s="2">
        <v>72.551309000000003</v>
      </c>
      <c r="Q1307" s="2">
        <v>23.034856999999999</v>
      </c>
    </row>
    <row r="1308" spans="1:17" x14ac:dyDescent="0.25">
      <c r="A1308" s="2">
        <v>1457</v>
      </c>
      <c r="B1308" s="2" t="s">
        <v>111</v>
      </c>
      <c r="C1308" s="2">
        <v>3</v>
      </c>
      <c r="D1308" s="2">
        <f t="shared" si="200"/>
        <v>7.62</v>
      </c>
      <c r="E1308" s="2">
        <f t="shared" si="201"/>
        <v>2.4255213327204852</v>
      </c>
      <c r="F1308" s="2">
        <f t="shared" si="202"/>
        <v>0.95492965855137202</v>
      </c>
      <c r="G1308" s="2">
        <v>1.936769</v>
      </c>
      <c r="H1308" s="2">
        <f t="shared" si="203"/>
        <v>6.3542292059599994</v>
      </c>
      <c r="I1308" s="2">
        <f>INDEX('Wood Density Lookup'!$B$2:$B$152,MATCH(B1308,'Wood Density Lookup'!$A$2:$A$152,0))</f>
        <v>0.4</v>
      </c>
      <c r="J1308" s="2">
        <f t="shared" si="204"/>
        <v>0.2957693219165054</v>
      </c>
      <c r="K1308" s="2">
        <f t="shared" si="208"/>
        <v>8.2815410136621526E-2</v>
      </c>
      <c r="L1308" s="2">
        <f t="shared" si="209"/>
        <v>0.37858473205312693</v>
      </c>
      <c r="M1308" s="2">
        <f t="shared" si="205"/>
        <v>0.274473930738517</v>
      </c>
      <c r="N1308" s="2">
        <f t="shared" si="206"/>
        <v>0.1372369653692585</v>
      </c>
      <c r="O1308" s="2">
        <f t="shared" si="207"/>
        <v>0.50365966290517872</v>
      </c>
      <c r="P1308" s="2">
        <v>72.551310999999998</v>
      </c>
      <c r="Q1308" s="2">
        <v>23.035658999999999</v>
      </c>
    </row>
    <row r="1309" spans="1:17" x14ac:dyDescent="0.25">
      <c r="A1309" s="2">
        <v>1458</v>
      </c>
      <c r="B1309" s="2" t="s">
        <v>72</v>
      </c>
      <c r="C1309" s="2">
        <v>17</v>
      </c>
      <c r="D1309" s="2">
        <f t="shared" si="200"/>
        <v>43.18</v>
      </c>
      <c r="E1309" s="2">
        <f t="shared" si="201"/>
        <v>13.744620885416081</v>
      </c>
      <c r="F1309" s="2">
        <f t="shared" si="202"/>
        <v>5.4112680651244416</v>
      </c>
      <c r="G1309" s="2">
        <v>4.3366300000000004</v>
      </c>
      <c r="H1309" s="2">
        <f t="shared" si="203"/>
        <v>14.227789169200001</v>
      </c>
      <c r="I1309" s="2">
        <f>INDEX('Wood Density Lookup'!$B$2:$B$152,MATCH(B1309,'Wood Density Lookup'!$A$2:$A$152,0))</f>
        <v>0.65</v>
      </c>
      <c r="J1309" s="2">
        <f t="shared" si="204"/>
        <v>30.825801050995057</v>
      </c>
      <c r="K1309" s="2">
        <f t="shared" si="208"/>
        <v>8.631224294278617</v>
      </c>
      <c r="L1309" s="2">
        <f t="shared" si="209"/>
        <v>39.457025345273678</v>
      </c>
      <c r="M1309" s="2">
        <f t="shared" si="205"/>
        <v>28.606343375323416</v>
      </c>
      <c r="N1309" s="2">
        <f t="shared" si="206"/>
        <v>14.303171687661708</v>
      </c>
      <c r="O1309" s="2">
        <f t="shared" si="207"/>
        <v>52.492640093718464</v>
      </c>
      <c r="P1309" s="2">
        <v>72.551311999999996</v>
      </c>
      <c r="Q1309" s="2">
        <v>23.038723000000001</v>
      </c>
    </row>
    <row r="1310" spans="1:17" x14ac:dyDescent="0.25">
      <c r="A1310" s="2">
        <v>1459</v>
      </c>
      <c r="B1310" s="2" t="s">
        <v>9</v>
      </c>
      <c r="C1310" s="2">
        <v>39</v>
      </c>
      <c r="D1310" s="2">
        <f t="shared" si="200"/>
        <v>99.06</v>
      </c>
      <c r="E1310" s="2">
        <f t="shared" si="201"/>
        <v>31.531777325366306</v>
      </c>
      <c r="F1310" s="2">
        <f t="shared" si="202"/>
        <v>12.414085561167836</v>
      </c>
      <c r="G1310" s="2">
        <v>6.1789040000000002</v>
      </c>
      <c r="H1310" s="2">
        <f t="shared" si="203"/>
        <v>20.271995399360001</v>
      </c>
      <c r="I1310" s="2">
        <f>INDEX('Wood Density Lookup'!$B$2:$B$152,MATCH(B1310,'Wood Density Lookup'!$A$2:$A$152,0))</f>
        <v>0.42</v>
      </c>
      <c r="J1310" s="2">
        <f t="shared" si="204"/>
        <v>143.81126978540061</v>
      </c>
      <c r="K1310" s="2">
        <f t="shared" si="208"/>
        <v>40.267155539912174</v>
      </c>
      <c r="L1310" s="2">
        <f t="shared" si="209"/>
        <v>184.07842532531279</v>
      </c>
      <c r="M1310" s="2">
        <f t="shared" si="205"/>
        <v>133.45685836085178</v>
      </c>
      <c r="N1310" s="2">
        <f t="shared" si="206"/>
        <v>66.728429180425891</v>
      </c>
      <c r="O1310" s="2">
        <f t="shared" si="207"/>
        <v>244.89333509216303</v>
      </c>
      <c r="P1310" s="2">
        <v>72.551316999999997</v>
      </c>
      <c r="Q1310" s="2">
        <v>23.036757999999999</v>
      </c>
    </row>
    <row r="1311" spans="1:17" x14ac:dyDescent="0.25">
      <c r="A1311" s="2">
        <v>1460</v>
      </c>
      <c r="B1311" s="2" t="s">
        <v>31</v>
      </c>
      <c r="C1311" s="2">
        <v>2</v>
      </c>
      <c r="D1311" s="2">
        <f t="shared" si="200"/>
        <v>5.08</v>
      </c>
      <c r="E1311" s="2">
        <f t="shared" si="201"/>
        <v>1.6170142218136567</v>
      </c>
      <c r="F1311" s="2">
        <f t="shared" si="202"/>
        <v>0.63661977236758138</v>
      </c>
      <c r="G1311" s="2">
        <v>1.044791</v>
      </c>
      <c r="H1311" s="2">
        <f t="shared" si="203"/>
        <v>3.4277921044399999</v>
      </c>
      <c r="I1311" s="2">
        <f>INDEX('Wood Density Lookup'!$B$2:$B$152,MATCH(B1311,'Wood Density Lookup'!$A$2:$A$152,0))</f>
        <v>0.78</v>
      </c>
      <c r="J1311" s="2">
        <f t="shared" si="204"/>
        <v>0.14082557333989848</v>
      </c>
      <c r="K1311" s="2">
        <f t="shared" si="208"/>
        <v>3.943116053517158E-2</v>
      </c>
      <c r="L1311" s="2">
        <f t="shared" si="209"/>
        <v>0.18025673387507007</v>
      </c>
      <c r="M1311" s="2">
        <f t="shared" si="205"/>
        <v>0.13068613205942581</v>
      </c>
      <c r="N1311" s="2">
        <f t="shared" si="206"/>
        <v>6.5343066029712904E-2</v>
      </c>
      <c r="O1311" s="2">
        <f t="shared" si="207"/>
        <v>0.23980905232904634</v>
      </c>
      <c r="P1311" s="2">
        <v>72.551319000000007</v>
      </c>
      <c r="Q1311" s="2">
        <v>23.036632000000001</v>
      </c>
    </row>
    <row r="1312" spans="1:17" x14ac:dyDescent="0.25">
      <c r="A1312" s="2">
        <v>1461</v>
      </c>
      <c r="B1312" s="2" t="s">
        <v>82</v>
      </c>
      <c r="C1312" s="2">
        <v>6</v>
      </c>
      <c r="D1312" s="2">
        <f t="shared" si="200"/>
        <v>15.24</v>
      </c>
      <c r="E1312" s="2">
        <f t="shared" si="201"/>
        <v>4.8510426654409704</v>
      </c>
      <c r="F1312" s="2">
        <f t="shared" si="202"/>
        <v>1.909859317102744</v>
      </c>
      <c r="G1312" s="2">
        <v>2.133829</v>
      </c>
      <c r="H1312" s="2">
        <f t="shared" si="203"/>
        <v>7.0007515363600001</v>
      </c>
      <c r="I1312" s="2">
        <f>INDEX('Wood Density Lookup'!$B$2:$B$152,MATCH(B1312,'Wood Density Lookup'!$A$2:$A$152,0))</f>
        <v>0.7</v>
      </c>
      <c r="J1312" s="2">
        <f t="shared" si="204"/>
        <v>2.1719040632629913</v>
      </c>
      <c r="K1312" s="2">
        <f t="shared" si="208"/>
        <v>0.60813313771363764</v>
      </c>
      <c r="L1312" s="2">
        <f t="shared" si="209"/>
        <v>2.7800372009766292</v>
      </c>
      <c r="M1312" s="2">
        <f t="shared" si="205"/>
        <v>2.0155269707080561</v>
      </c>
      <c r="N1312" s="2">
        <f t="shared" si="206"/>
        <v>1.007763485354028</v>
      </c>
      <c r="O1312" s="2">
        <f t="shared" si="207"/>
        <v>3.6984919912492829</v>
      </c>
      <c r="P1312" s="2">
        <v>72.551328999999996</v>
      </c>
      <c r="Q1312" s="2">
        <v>23.03876</v>
      </c>
    </row>
    <row r="1313" spans="1:17" x14ac:dyDescent="0.25">
      <c r="A1313" s="2">
        <v>1462</v>
      </c>
      <c r="B1313" s="2" t="s">
        <v>25</v>
      </c>
      <c r="C1313" s="2">
        <v>1</v>
      </c>
      <c r="D1313" s="2">
        <f t="shared" si="200"/>
        <v>2.54</v>
      </c>
      <c r="E1313" s="2">
        <f t="shared" si="201"/>
        <v>0.80850711090682836</v>
      </c>
      <c r="F1313" s="2">
        <f t="shared" si="202"/>
        <v>0.31830988618379069</v>
      </c>
      <c r="G1313" s="2">
        <v>1.0262560000000001</v>
      </c>
      <c r="H1313" s="2">
        <f t="shared" si="203"/>
        <v>3.36698173504</v>
      </c>
      <c r="I1313" s="2">
        <f>INDEX('Wood Density Lookup'!$B$2:$B$152,MATCH(B1313,'Wood Density Lookup'!$A$2:$A$152,0))</f>
        <v>0.65</v>
      </c>
      <c r="J1313" s="2">
        <f t="shared" si="204"/>
        <v>2.9936631800649583E-2</v>
      </c>
      <c r="K1313" s="2">
        <f t="shared" si="208"/>
        <v>8.3822569041818833E-3</v>
      </c>
      <c r="L1313" s="2">
        <f t="shared" si="209"/>
        <v>3.8318888704831466E-2</v>
      </c>
      <c r="M1313" s="2">
        <f t="shared" si="205"/>
        <v>2.7781194311002812E-2</v>
      </c>
      <c r="N1313" s="2">
        <f t="shared" si="206"/>
        <v>1.3890597155501406E-2</v>
      </c>
      <c r="O1313" s="2">
        <f t="shared" si="207"/>
        <v>5.0978491560690162E-2</v>
      </c>
      <c r="P1313" s="2">
        <v>72.551329999999993</v>
      </c>
      <c r="Q1313" s="2">
        <v>23.036632000000001</v>
      </c>
    </row>
    <row r="1314" spans="1:17" x14ac:dyDescent="0.25">
      <c r="A1314" s="2">
        <v>1463</v>
      </c>
      <c r="B1314" s="2" t="s">
        <v>15</v>
      </c>
      <c r="C1314" s="2">
        <v>124</v>
      </c>
      <c r="D1314" s="2">
        <f t="shared" si="200"/>
        <v>314.95999999999998</v>
      </c>
      <c r="E1314" s="2">
        <f t="shared" si="201"/>
        <v>100.25488175244671</v>
      </c>
      <c r="F1314" s="2">
        <f t="shared" si="202"/>
        <v>39.470425886790046</v>
      </c>
      <c r="G1314" s="2">
        <v>14.335492</v>
      </c>
      <c r="H1314" s="2">
        <f t="shared" si="203"/>
        <v>47.032455573280004</v>
      </c>
      <c r="I1314" s="2">
        <f>INDEX('Wood Density Lookup'!$B$2:$B$152,MATCH(B1314,'Wood Density Lookup'!$A$2:$A$152,0))</f>
        <v>0.75</v>
      </c>
      <c r="J1314" s="2">
        <f t="shared" si="204"/>
        <v>5506.7016883628658</v>
      </c>
      <c r="K1314" s="2">
        <f t="shared" si="208"/>
        <v>1541.8764727416026</v>
      </c>
      <c r="L1314" s="2">
        <f t="shared" si="209"/>
        <v>7048.5781611044686</v>
      </c>
      <c r="M1314" s="2">
        <f t="shared" si="205"/>
        <v>5110.2191668007399</v>
      </c>
      <c r="N1314" s="2">
        <f t="shared" si="206"/>
        <v>2555.10958340037</v>
      </c>
      <c r="O1314" s="2">
        <f t="shared" si="207"/>
        <v>9377.2521710793571</v>
      </c>
      <c r="P1314" s="2">
        <v>72.551333</v>
      </c>
      <c r="Q1314" s="2">
        <v>23.03594</v>
      </c>
    </row>
    <row r="1315" spans="1:17" x14ac:dyDescent="0.25">
      <c r="A1315" s="2">
        <v>1464</v>
      </c>
      <c r="B1315" s="2" t="s">
        <v>31</v>
      </c>
      <c r="C1315" s="2">
        <v>2</v>
      </c>
      <c r="D1315" s="2">
        <f t="shared" si="200"/>
        <v>5.08</v>
      </c>
      <c r="E1315" s="2">
        <f t="shared" si="201"/>
        <v>1.6170142218136567</v>
      </c>
      <c r="F1315" s="2">
        <f t="shared" si="202"/>
        <v>0.63661977236758138</v>
      </c>
      <c r="G1315" s="2">
        <v>1.018716</v>
      </c>
      <c r="H1315" s="2">
        <f t="shared" si="203"/>
        <v>3.3422442014399998</v>
      </c>
      <c r="I1315" s="2">
        <f>INDEX('Wood Density Lookup'!$B$2:$B$152,MATCH(B1315,'Wood Density Lookup'!$A$2:$A$152,0))</f>
        <v>0.78</v>
      </c>
      <c r="J1315" s="2">
        <f t="shared" si="204"/>
        <v>0.13739428347617494</v>
      </c>
      <c r="K1315" s="2">
        <f t="shared" si="208"/>
        <v>3.8470399373328988E-2</v>
      </c>
      <c r="L1315" s="2">
        <f t="shared" si="209"/>
        <v>0.17586468284950393</v>
      </c>
      <c r="M1315" s="2">
        <f t="shared" si="205"/>
        <v>0.12750189506589035</v>
      </c>
      <c r="N1315" s="2">
        <f t="shared" si="206"/>
        <v>6.3750947532945176E-2</v>
      </c>
      <c r="O1315" s="2">
        <f t="shared" si="207"/>
        <v>0.2339659774459088</v>
      </c>
      <c r="P1315" s="2">
        <v>72.551334999999995</v>
      </c>
      <c r="Q1315" s="2">
        <v>23.036632000000001</v>
      </c>
    </row>
    <row r="1316" spans="1:17" x14ac:dyDescent="0.25">
      <c r="A1316" s="2">
        <v>1465</v>
      </c>
      <c r="B1316" s="2" t="s">
        <v>70</v>
      </c>
      <c r="C1316" s="2">
        <v>23</v>
      </c>
      <c r="D1316" s="2">
        <f t="shared" si="200"/>
        <v>58.42</v>
      </c>
      <c r="E1316" s="2">
        <f t="shared" si="201"/>
        <v>18.595663550857051</v>
      </c>
      <c r="F1316" s="2">
        <f t="shared" si="202"/>
        <v>7.3211273822271856</v>
      </c>
      <c r="G1316" s="2">
        <v>5.3113919999999997</v>
      </c>
      <c r="H1316" s="2">
        <f t="shared" si="203"/>
        <v>17.425827329280001</v>
      </c>
      <c r="I1316" s="2">
        <f>INDEX('Wood Density Lookup'!$B$2:$B$152,MATCH(B1316,'Wood Density Lookup'!$A$2:$A$152,0))</f>
        <v>0.6</v>
      </c>
      <c r="J1316" s="2">
        <f t="shared" si="204"/>
        <v>62.68817669533572</v>
      </c>
      <c r="K1316" s="2">
        <f t="shared" si="208"/>
        <v>17.552689474694002</v>
      </c>
      <c r="L1316" s="2">
        <f t="shared" si="209"/>
        <v>80.240866170029719</v>
      </c>
      <c r="M1316" s="2">
        <f t="shared" si="205"/>
        <v>58.174627973271541</v>
      </c>
      <c r="N1316" s="2">
        <f t="shared" si="206"/>
        <v>29.08731398663577</v>
      </c>
      <c r="O1316" s="2">
        <f t="shared" si="207"/>
        <v>106.75044233095328</v>
      </c>
      <c r="P1316" s="2">
        <v>72.551336000000006</v>
      </c>
      <c r="Q1316" s="2">
        <v>23.034704000000001</v>
      </c>
    </row>
    <row r="1317" spans="1:17" x14ac:dyDescent="0.25">
      <c r="A1317" s="2">
        <v>1466</v>
      </c>
      <c r="B1317" s="2" t="s">
        <v>9</v>
      </c>
      <c r="C1317" s="2">
        <v>22</v>
      </c>
      <c r="D1317" s="2">
        <f t="shared" si="200"/>
        <v>55.88</v>
      </c>
      <c r="E1317" s="2">
        <f t="shared" si="201"/>
        <v>17.787156439950223</v>
      </c>
      <c r="F1317" s="2">
        <f t="shared" si="202"/>
        <v>7.0028174960433951</v>
      </c>
      <c r="G1317" s="2">
        <v>6.2306929999999996</v>
      </c>
      <c r="H1317" s="2">
        <f t="shared" si="203"/>
        <v>20.44190682212</v>
      </c>
      <c r="I1317" s="2">
        <f>INDEX('Wood Density Lookup'!$B$2:$B$152,MATCH(B1317,'Wood Density Lookup'!$A$2:$A$152,0))</f>
        <v>0.42</v>
      </c>
      <c r="J1317" s="2">
        <f t="shared" si="204"/>
        <v>47.422209916759932</v>
      </c>
      <c r="K1317" s="2">
        <f t="shared" si="208"/>
        <v>13.278218776692782</v>
      </c>
      <c r="L1317" s="2">
        <f t="shared" si="209"/>
        <v>60.700428693452714</v>
      </c>
      <c r="M1317" s="2">
        <f t="shared" si="205"/>
        <v>44.00781080275322</v>
      </c>
      <c r="N1317" s="2">
        <f t="shared" si="206"/>
        <v>22.00390540137661</v>
      </c>
      <c r="O1317" s="2">
        <f t="shared" si="207"/>
        <v>80.754332823052152</v>
      </c>
      <c r="P1317" s="2">
        <v>72.551344999999998</v>
      </c>
      <c r="Q1317" s="2">
        <v>23.036757000000001</v>
      </c>
    </row>
    <row r="1318" spans="1:17" x14ac:dyDescent="0.25">
      <c r="A1318" s="2">
        <v>1467</v>
      </c>
      <c r="B1318" s="2" t="s">
        <v>43</v>
      </c>
      <c r="C1318" s="2">
        <v>88</v>
      </c>
      <c r="D1318" s="2">
        <f t="shared" si="200"/>
        <v>223.52</v>
      </c>
      <c r="E1318" s="2">
        <f t="shared" si="201"/>
        <v>71.148625759800893</v>
      </c>
      <c r="F1318" s="2">
        <f t="shared" si="202"/>
        <v>28.01126998417358</v>
      </c>
      <c r="G1318" s="2">
        <v>3.0108069999999998</v>
      </c>
      <c r="H1318" s="2">
        <f t="shared" si="203"/>
        <v>9.8779760378799999</v>
      </c>
      <c r="I1318" s="2">
        <f>INDEX('Wood Density Lookup'!$B$2:$B$152,MATCH(B1318,'Wood Density Lookup'!$A$2:$A$152,0))</f>
        <v>0.6</v>
      </c>
      <c r="J1318" s="2">
        <f t="shared" si="204"/>
        <v>494.44074377075054</v>
      </c>
      <c r="K1318" s="2">
        <f t="shared" si="208"/>
        <v>138.44340825581017</v>
      </c>
      <c r="L1318" s="2">
        <f t="shared" si="209"/>
        <v>632.88415202656074</v>
      </c>
      <c r="M1318" s="2">
        <f t="shared" si="205"/>
        <v>458.84101021925653</v>
      </c>
      <c r="N1318" s="2">
        <f t="shared" si="206"/>
        <v>229.42050510962827</v>
      </c>
      <c r="O1318" s="2">
        <f t="shared" si="207"/>
        <v>841.97325375233572</v>
      </c>
      <c r="P1318" s="2">
        <v>72.551345999999995</v>
      </c>
      <c r="Q1318" s="2">
        <v>23.035677</v>
      </c>
    </row>
    <row r="1319" spans="1:17" x14ac:dyDescent="0.25">
      <c r="A1319" s="2">
        <v>1468</v>
      </c>
      <c r="B1319" s="2" t="s">
        <v>15</v>
      </c>
      <c r="C1319" s="2">
        <v>73</v>
      </c>
      <c r="D1319" s="2">
        <f t="shared" si="200"/>
        <v>185.42000000000002</v>
      </c>
      <c r="E1319" s="2">
        <f t="shared" si="201"/>
        <v>59.021019096198472</v>
      </c>
      <c r="F1319" s="2">
        <f t="shared" si="202"/>
        <v>23.236621691416719</v>
      </c>
      <c r="G1319" s="2">
        <v>10.614805</v>
      </c>
      <c r="H1319" s="2">
        <f t="shared" si="203"/>
        <v>34.825476836200004</v>
      </c>
      <c r="I1319" s="2">
        <f>INDEX('Wood Density Lookup'!$B$2:$B$152,MATCH(B1319,'Wood Density Lookup'!$A$2:$A$152,0))</f>
        <v>0.75</v>
      </c>
      <c r="J1319" s="2">
        <f t="shared" si="204"/>
        <v>1460.0578897531971</v>
      </c>
      <c r="K1319" s="2">
        <f t="shared" si="208"/>
        <v>408.81620913089523</v>
      </c>
      <c r="L1319" s="2">
        <f t="shared" si="209"/>
        <v>1868.8740988840923</v>
      </c>
      <c r="M1319" s="2">
        <f t="shared" si="205"/>
        <v>1354.9337216909669</v>
      </c>
      <c r="N1319" s="2">
        <f t="shared" si="206"/>
        <v>677.46686084548344</v>
      </c>
      <c r="O1319" s="2">
        <f t="shared" si="207"/>
        <v>2486.303379302924</v>
      </c>
      <c r="P1319" s="2">
        <v>72.551350999999997</v>
      </c>
      <c r="Q1319" s="2">
        <v>23.035829</v>
      </c>
    </row>
    <row r="1320" spans="1:17" x14ac:dyDescent="0.25">
      <c r="A1320" s="2">
        <v>1469</v>
      </c>
      <c r="B1320" s="2" t="s">
        <v>15</v>
      </c>
      <c r="C1320" s="2">
        <v>79</v>
      </c>
      <c r="D1320" s="2">
        <f t="shared" si="200"/>
        <v>200.66</v>
      </c>
      <c r="E1320" s="2">
        <f t="shared" si="201"/>
        <v>63.872061761639436</v>
      </c>
      <c r="F1320" s="2">
        <f t="shared" si="202"/>
        <v>25.146481008519466</v>
      </c>
      <c r="G1320" s="2">
        <v>15.805897</v>
      </c>
      <c r="H1320" s="2">
        <f t="shared" si="203"/>
        <v>51.856619113480001</v>
      </c>
      <c r="I1320" s="2">
        <f>INDEX('Wood Density Lookup'!$B$2:$B$152,MATCH(B1320,'Wood Density Lookup'!$A$2:$A$152,0))</f>
        <v>0.75</v>
      </c>
      <c r="J1320" s="2">
        <f t="shared" si="204"/>
        <v>2512.4029276392907</v>
      </c>
      <c r="K1320" s="2">
        <f t="shared" si="208"/>
        <v>703.47281973900147</v>
      </c>
      <c r="L1320" s="2">
        <f t="shared" si="209"/>
        <v>3215.8757473782921</v>
      </c>
      <c r="M1320" s="2">
        <f t="shared" si="205"/>
        <v>2331.5099168492616</v>
      </c>
      <c r="N1320" s="2">
        <f t="shared" si="206"/>
        <v>1165.7549584246308</v>
      </c>
      <c r="O1320" s="2">
        <f t="shared" si="207"/>
        <v>4278.320697418395</v>
      </c>
      <c r="P1320" s="2">
        <v>72.551353000000006</v>
      </c>
      <c r="Q1320" s="2">
        <v>23.036073999999999</v>
      </c>
    </row>
    <row r="1321" spans="1:17" x14ac:dyDescent="0.25">
      <c r="A1321" s="2">
        <v>1470</v>
      </c>
      <c r="B1321" s="2" t="s">
        <v>19</v>
      </c>
      <c r="C1321" s="2">
        <v>15</v>
      </c>
      <c r="D1321" s="2">
        <f t="shared" si="200"/>
        <v>38.1</v>
      </c>
      <c r="E1321" s="2">
        <f t="shared" si="201"/>
        <v>12.127606663602425</v>
      </c>
      <c r="F1321" s="2">
        <f t="shared" si="202"/>
        <v>4.7746482927568605</v>
      </c>
      <c r="G1321" s="2">
        <v>6.3319140000000003</v>
      </c>
      <c r="H1321" s="2">
        <f t="shared" si="203"/>
        <v>20.77399672776</v>
      </c>
      <c r="I1321" s="2">
        <f>INDEX('Wood Density Lookup'!$B$2:$B$152,MATCH(B1321,'Wood Density Lookup'!$A$2:$A$152,0))</f>
        <v>0.75</v>
      </c>
      <c r="J1321" s="2">
        <f t="shared" si="204"/>
        <v>40.170017948212681</v>
      </c>
      <c r="K1321" s="2">
        <f t="shared" si="208"/>
        <v>11.247605025499551</v>
      </c>
      <c r="L1321" s="2">
        <f t="shared" si="209"/>
        <v>51.417622973712234</v>
      </c>
      <c r="M1321" s="2">
        <f t="shared" si="205"/>
        <v>37.277776655941366</v>
      </c>
      <c r="N1321" s="2">
        <f t="shared" si="206"/>
        <v>18.638888327970683</v>
      </c>
      <c r="O1321" s="2">
        <f t="shared" si="207"/>
        <v>68.404720163652399</v>
      </c>
      <c r="P1321" s="2">
        <v>72.551354000000003</v>
      </c>
      <c r="Q1321" s="2">
        <v>23.035364000000001</v>
      </c>
    </row>
    <row r="1322" spans="1:17" x14ac:dyDescent="0.25">
      <c r="A1322" s="2">
        <v>1471</v>
      </c>
      <c r="B1322" s="2" t="s">
        <v>31</v>
      </c>
      <c r="C1322" s="2">
        <v>3</v>
      </c>
      <c r="D1322" s="2">
        <f t="shared" si="200"/>
        <v>7.62</v>
      </c>
      <c r="E1322" s="2">
        <f t="shared" si="201"/>
        <v>2.4255213327204852</v>
      </c>
      <c r="F1322" s="2">
        <f t="shared" si="202"/>
        <v>0.95492965855137202</v>
      </c>
      <c r="G1322" s="2">
        <v>1.015676</v>
      </c>
      <c r="H1322" s="2">
        <f t="shared" si="203"/>
        <v>3.33227044784</v>
      </c>
      <c r="I1322" s="2">
        <f>INDEX('Wood Density Lookup'!$B$2:$B$152,MATCH(B1322,'Wood Density Lookup'!$A$2:$A$152,0))</f>
        <v>0.78</v>
      </c>
      <c r="J1322" s="2">
        <f t="shared" si="204"/>
        <v>0.30229573146570754</v>
      </c>
      <c r="K1322" s="2">
        <f t="shared" si="208"/>
        <v>8.4642804810398126E-2</v>
      </c>
      <c r="L1322" s="2">
        <f t="shared" si="209"/>
        <v>0.38693853627610564</v>
      </c>
      <c r="M1322" s="2">
        <f t="shared" si="205"/>
        <v>0.28053043880017658</v>
      </c>
      <c r="N1322" s="2">
        <f t="shared" si="206"/>
        <v>0.14026521940008829</v>
      </c>
      <c r="O1322" s="2">
        <f t="shared" si="207"/>
        <v>0.51477335519832401</v>
      </c>
      <c r="P1322" s="2">
        <v>72.551354000000003</v>
      </c>
      <c r="Q1322" s="2">
        <v>23.036632999999998</v>
      </c>
    </row>
    <row r="1323" spans="1:17" x14ac:dyDescent="0.25">
      <c r="A1323" s="2">
        <v>1472</v>
      </c>
      <c r="B1323" s="2" t="s">
        <v>114</v>
      </c>
      <c r="C1323" s="2">
        <v>7</v>
      </c>
      <c r="D1323" s="2">
        <f t="shared" si="200"/>
        <v>17.78</v>
      </c>
      <c r="E1323" s="2">
        <f t="shared" si="201"/>
        <v>5.6595497763477987</v>
      </c>
      <c r="F1323" s="2">
        <f t="shared" si="202"/>
        <v>2.228169203286535</v>
      </c>
      <c r="G1323" s="2">
        <v>11.444431</v>
      </c>
      <c r="H1323" s="2">
        <f t="shared" si="203"/>
        <v>37.547347002039999</v>
      </c>
      <c r="I1323" s="2">
        <f>INDEX('Wood Density Lookup'!$B$2:$B$152,MATCH(B1323,'Wood Density Lookup'!$A$2:$A$152,0))</f>
        <v>0.55000000000000004</v>
      </c>
      <c r="J1323" s="2">
        <f t="shared" si="204"/>
        <v>11.946129842239673</v>
      </c>
      <c r="K1323" s="2">
        <f t="shared" si="208"/>
        <v>3.3449163558271087</v>
      </c>
      <c r="L1323" s="2">
        <f t="shared" si="209"/>
        <v>15.29104619806678</v>
      </c>
      <c r="M1323" s="2">
        <f t="shared" si="205"/>
        <v>11.086008493598415</v>
      </c>
      <c r="N1323" s="2">
        <f t="shared" si="206"/>
        <v>5.5430042467992076</v>
      </c>
      <c r="O1323" s="2">
        <f t="shared" si="207"/>
        <v>20.34282558575309</v>
      </c>
      <c r="P1323" s="2">
        <v>72.551355999999998</v>
      </c>
      <c r="Q1323" s="2">
        <v>23.035912</v>
      </c>
    </row>
    <row r="1324" spans="1:17" x14ac:dyDescent="0.25">
      <c r="A1324" s="2">
        <v>1474</v>
      </c>
      <c r="B1324" s="2" t="s">
        <v>15</v>
      </c>
      <c r="C1324" s="2">
        <v>76</v>
      </c>
      <c r="D1324" s="2">
        <f t="shared" si="200"/>
        <v>193.04</v>
      </c>
      <c r="E1324" s="2">
        <f t="shared" si="201"/>
        <v>61.446540428918951</v>
      </c>
      <c r="F1324" s="2">
        <f t="shared" si="202"/>
        <v>24.191551349968091</v>
      </c>
      <c r="G1324" s="2">
        <v>16.090982</v>
      </c>
      <c r="H1324" s="2">
        <f t="shared" si="203"/>
        <v>52.791937384880001</v>
      </c>
      <c r="I1324" s="2">
        <f>INDEX('Wood Density Lookup'!$B$2:$B$152,MATCH(B1324,'Wood Density Lookup'!$A$2:$A$152,0))</f>
        <v>0.75</v>
      </c>
      <c r="J1324" s="2">
        <f t="shared" si="204"/>
        <v>2370.5352659638802</v>
      </c>
      <c r="K1324" s="2">
        <f t="shared" si="208"/>
        <v>663.74987446988655</v>
      </c>
      <c r="L1324" s="2">
        <f t="shared" si="209"/>
        <v>3034.2851404337666</v>
      </c>
      <c r="M1324" s="2">
        <f t="shared" si="205"/>
        <v>2199.8567268144807</v>
      </c>
      <c r="N1324" s="2">
        <f t="shared" si="206"/>
        <v>1099.9283634072403</v>
      </c>
      <c r="O1324" s="2">
        <f t="shared" si="207"/>
        <v>4036.7370937045721</v>
      </c>
      <c r="P1324" s="2">
        <v>72.551360000000003</v>
      </c>
      <c r="Q1324" s="2">
        <v>23.036034999999998</v>
      </c>
    </row>
    <row r="1325" spans="1:17" x14ac:dyDescent="0.25">
      <c r="A1325" s="2">
        <v>1475</v>
      </c>
      <c r="B1325" s="2" t="s">
        <v>31</v>
      </c>
      <c r="C1325" s="2">
        <v>13</v>
      </c>
      <c r="D1325" s="2">
        <f t="shared" si="200"/>
        <v>33.020000000000003</v>
      </c>
      <c r="E1325" s="2">
        <f t="shared" si="201"/>
        <v>10.51059244178877</v>
      </c>
      <c r="F1325" s="2">
        <f t="shared" si="202"/>
        <v>4.1380285203892786</v>
      </c>
      <c r="G1325" s="2">
        <v>8.1019100000000002</v>
      </c>
      <c r="H1325" s="2">
        <f t="shared" si="203"/>
        <v>26.581070404400002</v>
      </c>
      <c r="I1325" s="2">
        <f>INDEX('Wood Density Lookup'!$B$2:$B$152,MATCH(B1325,'Wood Density Lookup'!$A$2:$A$152,0))</f>
        <v>0.78</v>
      </c>
      <c r="J1325" s="2">
        <f t="shared" si="204"/>
        <v>40.151058594274446</v>
      </c>
      <c r="K1325" s="2">
        <f t="shared" si="208"/>
        <v>11.242296406396846</v>
      </c>
      <c r="L1325" s="2">
        <f t="shared" si="209"/>
        <v>51.393355000671292</v>
      </c>
      <c r="M1325" s="2">
        <f t="shared" si="205"/>
        <v>37.260182375486686</v>
      </c>
      <c r="N1325" s="2">
        <f t="shared" si="206"/>
        <v>18.630091187743343</v>
      </c>
      <c r="O1325" s="2">
        <f t="shared" si="207"/>
        <v>68.372434659018069</v>
      </c>
      <c r="P1325" s="2">
        <v>72.551361</v>
      </c>
      <c r="Q1325" s="2">
        <v>23.035739</v>
      </c>
    </row>
    <row r="1326" spans="1:17" x14ac:dyDescent="0.25">
      <c r="A1326" s="2">
        <v>1476</v>
      </c>
      <c r="B1326" s="2" t="s">
        <v>31</v>
      </c>
      <c r="C1326" s="2">
        <v>14</v>
      </c>
      <c r="D1326" s="2">
        <f t="shared" si="200"/>
        <v>35.56</v>
      </c>
      <c r="E1326" s="2">
        <f t="shared" si="201"/>
        <v>11.319099552695597</v>
      </c>
      <c r="F1326" s="2">
        <f t="shared" si="202"/>
        <v>4.45633840657307</v>
      </c>
      <c r="G1326" s="2">
        <v>9.4020790000000005</v>
      </c>
      <c r="H1326" s="2">
        <f t="shared" si="203"/>
        <v>30.846716866360001</v>
      </c>
      <c r="I1326" s="2">
        <f>INDEX('Wood Density Lookup'!$B$2:$B$152,MATCH(B1326,'Wood Density Lookup'!$A$2:$A$152,0))</f>
        <v>0.78</v>
      </c>
      <c r="J1326" s="2">
        <f t="shared" si="204"/>
        <v>53.654568669718891</v>
      </c>
      <c r="K1326" s="2">
        <f t="shared" si="208"/>
        <v>15.023279227521291</v>
      </c>
      <c r="L1326" s="2">
        <f t="shared" si="209"/>
        <v>68.677847897240184</v>
      </c>
      <c r="M1326" s="2">
        <f t="shared" si="205"/>
        <v>49.791439725499131</v>
      </c>
      <c r="N1326" s="2">
        <f t="shared" si="206"/>
        <v>24.895719862749566</v>
      </c>
      <c r="O1326" s="2">
        <f t="shared" si="207"/>
        <v>91.367291896290908</v>
      </c>
      <c r="P1326" s="2">
        <v>72.551361</v>
      </c>
      <c r="Q1326" s="2">
        <v>23.036010000000001</v>
      </c>
    </row>
    <row r="1327" spans="1:17" x14ac:dyDescent="0.25">
      <c r="A1327" s="2">
        <v>1477</v>
      </c>
      <c r="B1327" s="2" t="s">
        <v>15</v>
      </c>
      <c r="C1327" s="2">
        <v>88</v>
      </c>
      <c r="D1327" s="2">
        <f t="shared" si="200"/>
        <v>223.52</v>
      </c>
      <c r="E1327" s="2">
        <f t="shared" si="201"/>
        <v>71.148625759800893</v>
      </c>
      <c r="F1327" s="2">
        <f t="shared" si="202"/>
        <v>28.01126998417358</v>
      </c>
      <c r="G1327" s="2">
        <v>15.996953</v>
      </c>
      <c r="H1327" s="2">
        <f t="shared" si="203"/>
        <v>52.48344328052</v>
      </c>
      <c r="I1327" s="2">
        <f>INDEX('Wood Density Lookup'!$B$2:$B$152,MATCH(B1327,'Wood Density Lookup'!$A$2:$A$152,0))</f>
        <v>0.75</v>
      </c>
      <c r="J1327" s="2">
        <f t="shared" si="204"/>
        <v>3137.9373684145794</v>
      </c>
      <c r="K1327" s="2">
        <f t="shared" si="208"/>
        <v>878.62246315608229</v>
      </c>
      <c r="L1327" s="2">
        <f t="shared" si="209"/>
        <v>4016.5598315706616</v>
      </c>
      <c r="M1327" s="2">
        <f t="shared" si="205"/>
        <v>2912.0058778887296</v>
      </c>
      <c r="N1327" s="2">
        <f t="shared" si="206"/>
        <v>1456.0029389443648</v>
      </c>
      <c r="O1327" s="2">
        <f t="shared" si="207"/>
        <v>5343.5307859258191</v>
      </c>
      <c r="P1327" s="2">
        <v>72.551361999999997</v>
      </c>
      <c r="Q1327" s="2">
        <v>23.036059999999999</v>
      </c>
    </row>
    <row r="1328" spans="1:17" x14ac:dyDescent="0.25">
      <c r="A1328" s="2">
        <v>1478</v>
      </c>
      <c r="B1328" s="2" t="s">
        <v>31</v>
      </c>
      <c r="C1328" s="2">
        <v>1</v>
      </c>
      <c r="D1328" s="2">
        <f t="shared" si="200"/>
        <v>2.54</v>
      </c>
      <c r="E1328" s="2">
        <f t="shared" si="201"/>
        <v>0.80850711090682836</v>
      </c>
      <c r="F1328" s="2">
        <f t="shared" si="202"/>
        <v>0.31830988618379069</v>
      </c>
      <c r="G1328" s="2">
        <v>1.0054609999999999</v>
      </c>
      <c r="H1328" s="2">
        <f t="shared" si="203"/>
        <v>3.2987566672399997</v>
      </c>
      <c r="I1328" s="2">
        <f>INDEX('Wood Density Lookup'!$B$2:$B$152,MATCH(B1328,'Wood Density Lookup'!$A$2:$A$152,0))</f>
        <v>0.78</v>
      </c>
      <c r="J1328" s="2">
        <f t="shared" si="204"/>
        <v>3.5059581205661043E-2</v>
      </c>
      <c r="K1328" s="2">
        <f t="shared" si="208"/>
        <v>9.8166827375850921E-3</v>
      </c>
      <c r="L1328" s="2">
        <f t="shared" si="209"/>
        <v>4.4876263943246134E-2</v>
      </c>
      <c r="M1328" s="2">
        <f t="shared" si="205"/>
        <v>3.2535291358853448E-2</v>
      </c>
      <c r="N1328" s="2">
        <f t="shared" si="206"/>
        <v>1.6267645679426724E-2</v>
      </c>
      <c r="O1328" s="2">
        <f t="shared" si="207"/>
        <v>5.9702259643496076E-2</v>
      </c>
      <c r="P1328" s="2">
        <v>72.551366999999999</v>
      </c>
      <c r="Q1328" s="2">
        <v>23.036635</v>
      </c>
    </row>
    <row r="1329" spans="1:17" x14ac:dyDescent="0.25">
      <c r="A1329" s="2">
        <v>1479</v>
      </c>
      <c r="B1329" s="2" t="s">
        <v>107</v>
      </c>
      <c r="C1329" s="2">
        <v>32</v>
      </c>
      <c r="D1329" s="2">
        <f t="shared" si="200"/>
        <v>81.28</v>
      </c>
      <c r="E1329" s="2">
        <f t="shared" si="201"/>
        <v>25.872227549018508</v>
      </c>
      <c r="F1329" s="2">
        <f t="shared" si="202"/>
        <v>10.185916357881302</v>
      </c>
      <c r="G1329" s="2">
        <v>13.316069000000001</v>
      </c>
      <c r="H1329" s="2">
        <f t="shared" si="203"/>
        <v>43.687891817960001</v>
      </c>
      <c r="I1329" s="2">
        <f>INDEX('Wood Density Lookup'!$B$2:$B$152,MATCH(B1329,'Wood Density Lookup'!$A$2:$A$152,0))</f>
        <v>0.65</v>
      </c>
      <c r="J1329" s="2">
        <f t="shared" si="204"/>
        <v>316.70953112773049</v>
      </c>
      <c r="K1329" s="2">
        <f t="shared" si="208"/>
        <v>88.678668715764545</v>
      </c>
      <c r="L1329" s="2">
        <f t="shared" si="209"/>
        <v>405.38819984349504</v>
      </c>
      <c r="M1329" s="2">
        <f t="shared" si="205"/>
        <v>293.9064448865339</v>
      </c>
      <c r="N1329" s="2">
        <f t="shared" si="206"/>
        <v>146.95322244326695</v>
      </c>
      <c r="O1329" s="2">
        <f t="shared" si="207"/>
        <v>539.31832636678973</v>
      </c>
      <c r="P1329" s="2">
        <v>72.551368999999994</v>
      </c>
      <c r="Q1329" s="2">
        <v>23.034568</v>
      </c>
    </row>
    <row r="1330" spans="1:17" x14ac:dyDescent="0.25">
      <c r="A1330" s="2">
        <v>1480</v>
      </c>
      <c r="B1330" s="2" t="s">
        <v>31</v>
      </c>
      <c r="C1330" s="2">
        <v>13</v>
      </c>
      <c r="D1330" s="2">
        <f t="shared" si="200"/>
        <v>33.020000000000003</v>
      </c>
      <c r="E1330" s="2">
        <f t="shared" si="201"/>
        <v>10.51059244178877</v>
      </c>
      <c r="F1330" s="2">
        <f t="shared" si="202"/>
        <v>4.1380285203892786</v>
      </c>
      <c r="G1330" s="2">
        <v>6.1792189999999998</v>
      </c>
      <c r="H1330" s="2">
        <f t="shared" si="203"/>
        <v>20.27302886396</v>
      </c>
      <c r="I1330" s="2">
        <f>INDEX('Wood Density Lookup'!$B$2:$B$152,MATCH(B1330,'Wood Density Lookup'!$A$2:$A$152,0))</f>
        <v>0.78</v>
      </c>
      <c r="J1330" s="2">
        <f t="shared" si="204"/>
        <v>30.822429285748065</v>
      </c>
      <c r="K1330" s="2">
        <f t="shared" si="208"/>
        <v>8.6302802000094587</v>
      </c>
      <c r="L1330" s="2">
        <f t="shared" si="209"/>
        <v>39.452709485757524</v>
      </c>
      <c r="M1330" s="2">
        <f t="shared" si="205"/>
        <v>28.603214377174204</v>
      </c>
      <c r="N1330" s="2">
        <f t="shared" si="206"/>
        <v>14.301607188587102</v>
      </c>
      <c r="O1330" s="2">
        <f t="shared" si="207"/>
        <v>52.486898382114667</v>
      </c>
      <c r="P1330" s="2">
        <v>72.551371000000003</v>
      </c>
      <c r="Q1330" s="2">
        <v>23.035993000000001</v>
      </c>
    </row>
    <row r="1331" spans="1:17" x14ac:dyDescent="0.25">
      <c r="A1331" s="2">
        <v>1481</v>
      </c>
      <c r="B1331" s="2" t="s">
        <v>15</v>
      </c>
      <c r="C1331" s="2">
        <v>36</v>
      </c>
      <c r="D1331" s="2">
        <f t="shared" si="200"/>
        <v>91.44</v>
      </c>
      <c r="E1331" s="2">
        <f t="shared" si="201"/>
        <v>29.106255992645821</v>
      </c>
      <c r="F1331" s="2">
        <f t="shared" si="202"/>
        <v>11.459155902616464</v>
      </c>
      <c r="G1331" s="2">
        <v>12.585194</v>
      </c>
      <c r="H1331" s="2">
        <f t="shared" si="203"/>
        <v>41.290007882959998</v>
      </c>
      <c r="I1331" s="2">
        <f>INDEX('Wood Density Lookup'!$B$2:$B$152,MATCH(B1331,'Wood Density Lookup'!$A$2:$A$152,0))</f>
        <v>0.75</v>
      </c>
      <c r="J1331" s="2">
        <f t="shared" si="204"/>
        <v>433.74999095719829</v>
      </c>
      <c r="K1331" s="2">
        <f t="shared" si="208"/>
        <v>121.44999746801554</v>
      </c>
      <c r="L1331" s="2">
        <f t="shared" si="209"/>
        <v>555.19998842521386</v>
      </c>
      <c r="M1331" s="2">
        <f t="shared" si="205"/>
        <v>402.51999160828001</v>
      </c>
      <c r="N1331" s="2">
        <f t="shared" si="206"/>
        <v>201.25999580414</v>
      </c>
      <c r="O1331" s="2">
        <f t="shared" si="207"/>
        <v>738.62418460119375</v>
      </c>
      <c r="P1331" s="2">
        <v>72.551372999999998</v>
      </c>
      <c r="Q1331" s="2">
        <v>23.035927000000001</v>
      </c>
    </row>
    <row r="1332" spans="1:17" x14ac:dyDescent="0.25">
      <c r="A1332" s="2">
        <v>1482</v>
      </c>
      <c r="B1332" s="2" t="s">
        <v>140</v>
      </c>
      <c r="C1332" s="2">
        <v>4</v>
      </c>
      <c r="D1332" s="2">
        <f t="shared" si="200"/>
        <v>10.16</v>
      </c>
      <c r="E1332" s="2">
        <f t="shared" si="201"/>
        <v>3.2340284436273135</v>
      </c>
      <c r="F1332" s="2">
        <f t="shared" si="202"/>
        <v>1.2732395447351628</v>
      </c>
      <c r="G1332" s="2">
        <v>1.2805470000000001</v>
      </c>
      <c r="H1332" s="2">
        <f t="shared" si="203"/>
        <v>4.2012698194800002</v>
      </c>
      <c r="I1332" s="2">
        <f>INDEX('Wood Density Lookup'!$B$2:$B$152,MATCH(B1332,'Wood Density Lookup'!$A$2:$A$152,0))</f>
        <v>0.6</v>
      </c>
      <c r="J1332" s="2">
        <f t="shared" si="204"/>
        <v>0.51443283586754229</v>
      </c>
      <c r="K1332" s="2">
        <f t="shared" si="208"/>
        <v>0.14404119404291185</v>
      </c>
      <c r="L1332" s="2">
        <f t="shared" si="209"/>
        <v>0.65847402991045412</v>
      </c>
      <c r="M1332" s="2">
        <f t="shared" si="205"/>
        <v>0.47739367168507924</v>
      </c>
      <c r="N1332" s="2">
        <f t="shared" si="206"/>
        <v>0.23869683584253962</v>
      </c>
      <c r="O1332" s="2">
        <f t="shared" si="207"/>
        <v>0.87601738754212033</v>
      </c>
      <c r="P1332" s="2">
        <v>72.551374999999993</v>
      </c>
      <c r="Q1332" s="2">
        <v>23.035302000000001</v>
      </c>
    </row>
    <row r="1333" spans="1:17" x14ac:dyDescent="0.25">
      <c r="A1333" s="2">
        <v>1485</v>
      </c>
      <c r="B1333" s="2" t="s">
        <v>85</v>
      </c>
      <c r="C1333" s="2">
        <v>3</v>
      </c>
      <c r="D1333" s="2">
        <f t="shared" si="200"/>
        <v>7.62</v>
      </c>
      <c r="E1333" s="2">
        <f t="shared" si="201"/>
        <v>2.4255213327204852</v>
      </c>
      <c r="F1333" s="2">
        <f t="shared" si="202"/>
        <v>0.95492965855137202</v>
      </c>
      <c r="G1333" s="2">
        <v>2.186029</v>
      </c>
      <c r="H1333" s="2">
        <f t="shared" si="203"/>
        <v>7.1720113843600002</v>
      </c>
      <c r="I1333" s="2">
        <f>INDEX('Wood Density Lookup'!$B$2:$B$152,MATCH(B1333,'Wood Density Lookup'!$A$2:$A$152,0))</f>
        <v>0.6</v>
      </c>
      <c r="J1333" s="2">
        <f t="shared" si="204"/>
        <v>0.49446369980564503</v>
      </c>
      <c r="K1333" s="2">
        <f t="shared" si="208"/>
        <v>0.13844983594558063</v>
      </c>
      <c r="L1333" s="2">
        <f t="shared" si="209"/>
        <v>0.63291353575122566</v>
      </c>
      <c r="M1333" s="2">
        <f t="shared" si="205"/>
        <v>0.45886231341963857</v>
      </c>
      <c r="N1333" s="2">
        <f t="shared" si="206"/>
        <v>0.22943115670981928</v>
      </c>
      <c r="O1333" s="2">
        <f t="shared" si="207"/>
        <v>0.84201234512503675</v>
      </c>
      <c r="P1333" s="2">
        <v>72.551378</v>
      </c>
      <c r="Q1333" s="2">
        <v>23.035651000000001</v>
      </c>
    </row>
    <row r="1334" spans="1:17" x14ac:dyDescent="0.25">
      <c r="A1334" s="2">
        <v>1486</v>
      </c>
      <c r="B1334" s="2" t="s">
        <v>129</v>
      </c>
      <c r="C1334" s="2">
        <v>5</v>
      </c>
      <c r="D1334" s="2">
        <f t="shared" si="200"/>
        <v>12.7</v>
      </c>
      <c r="E1334" s="2">
        <f t="shared" si="201"/>
        <v>4.0425355545341413</v>
      </c>
      <c r="F1334" s="2">
        <f t="shared" si="202"/>
        <v>1.5915494309189535</v>
      </c>
      <c r="G1334" s="2">
        <v>2.2061359999999999</v>
      </c>
      <c r="H1334" s="2">
        <f t="shared" si="203"/>
        <v>7.2379792342399991</v>
      </c>
      <c r="I1334" s="2">
        <f>INDEX('Wood Density Lookup'!$B$2:$B$152,MATCH(B1334,'Wood Density Lookup'!$A$2:$A$152,0))</f>
        <v>0.4</v>
      </c>
      <c r="J1334" s="2">
        <f t="shared" si="204"/>
        <v>0.91033037559376662</v>
      </c>
      <c r="K1334" s="2">
        <f t="shared" si="208"/>
        <v>0.25489250516625467</v>
      </c>
      <c r="L1334" s="2">
        <f t="shared" si="209"/>
        <v>1.1652228807600213</v>
      </c>
      <c r="M1334" s="2">
        <f t="shared" si="205"/>
        <v>0.8447865885510154</v>
      </c>
      <c r="N1334" s="2">
        <f t="shared" si="206"/>
        <v>0.4223932942755077</v>
      </c>
      <c r="O1334" s="2">
        <f t="shared" si="207"/>
        <v>1.5501833899911133</v>
      </c>
      <c r="P1334" s="2">
        <v>72.551383000000001</v>
      </c>
      <c r="Q1334" s="2">
        <v>23.035663</v>
      </c>
    </row>
    <row r="1335" spans="1:17" x14ac:dyDescent="0.25">
      <c r="A1335" s="2">
        <v>1487</v>
      </c>
      <c r="B1335" s="2" t="s">
        <v>101</v>
      </c>
      <c r="C1335" s="2">
        <v>14</v>
      </c>
      <c r="D1335" s="2">
        <f t="shared" si="200"/>
        <v>35.56</v>
      </c>
      <c r="E1335" s="2">
        <f t="shared" si="201"/>
        <v>11.319099552695597</v>
      </c>
      <c r="F1335" s="2">
        <f t="shared" si="202"/>
        <v>4.45633840657307</v>
      </c>
      <c r="G1335" s="2">
        <v>2.4487000000000001</v>
      </c>
      <c r="H1335" s="2">
        <f t="shared" si="203"/>
        <v>8.0337929080000006</v>
      </c>
      <c r="I1335" s="2">
        <f>INDEX('Wood Density Lookup'!$B$2:$B$152,MATCH(B1335,'Wood Density Lookup'!$A$2:$A$152,0))</f>
        <v>0.2</v>
      </c>
      <c r="J1335" s="2">
        <f t="shared" si="204"/>
        <v>3.8235102278939768</v>
      </c>
      <c r="K1335" s="2">
        <f t="shared" si="208"/>
        <v>1.0705828638103136</v>
      </c>
      <c r="L1335" s="2">
        <f t="shared" si="209"/>
        <v>4.8940930917042902</v>
      </c>
      <c r="M1335" s="2">
        <f t="shared" si="205"/>
        <v>3.5482174914856102</v>
      </c>
      <c r="N1335" s="2">
        <f t="shared" si="206"/>
        <v>1.7741087457428051</v>
      </c>
      <c r="O1335" s="2">
        <f t="shared" si="207"/>
        <v>6.5109790968760946</v>
      </c>
      <c r="P1335" s="2">
        <v>72.551389</v>
      </c>
      <c r="Q1335" s="2">
        <v>23.0352</v>
      </c>
    </row>
    <row r="1336" spans="1:17" x14ac:dyDescent="0.25">
      <c r="A1336" s="2">
        <v>1488</v>
      </c>
      <c r="B1336" s="2" t="s">
        <v>82</v>
      </c>
      <c r="C1336" s="2">
        <v>4</v>
      </c>
      <c r="D1336" s="2">
        <f t="shared" si="200"/>
        <v>10.16</v>
      </c>
      <c r="E1336" s="2">
        <f t="shared" si="201"/>
        <v>3.2340284436273135</v>
      </c>
      <c r="F1336" s="2">
        <f t="shared" si="202"/>
        <v>1.2732395447351628</v>
      </c>
      <c r="G1336" s="2">
        <v>1.0709949999999999</v>
      </c>
      <c r="H1336" s="2">
        <f t="shared" si="203"/>
        <v>3.5137632357999995</v>
      </c>
      <c r="I1336" s="2">
        <f>INDEX('Wood Density Lookup'!$B$2:$B$152,MATCH(B1336,'Wood Density Lookup'!$A$2:$A$152,0))</f>
        <v>0.7</v>
      </c>
      <c r="J1336" s="2">
        <f t="shared" si="204"/>
        <v>0.50225383596981688</v>
      </c>
      <c r="K1336" s="2">
        <f t="shared" si="208"/>
        <v>0.14063107407154873</v>
      </c>
      <c r="L1336" s="2">
        <f t="shared" si="209"/>
        <v>0.64288491004136561</v>
      </c>
      <c r="M1336" s="2">
        <f t="shared" si="205"/>
        <v>0.46609155977999006</v>
      </c>
      <c r="N1336" s="2">
        <f t="shared" si="206"/>
        <v>0.23304577988999503</v>
      </c>
      <c r="O1336" s="2">
        <f t="shared" si="207"/>
        <v>0.85527801219628175</v>
      </c>
      <c r="P1336" s="2">
        <v>72.551389</v>
      </c>
      <c r="Q1336" s="2">
        <v>23.038775000000001</v>
      </c>
    </row>
    <row r="1337" spans="1:17" x14ac:dyDescent="0.25">
      <c r="A1337" s="2">
        <v>1489</v>
      </c>
      <c r="B1337" s="2" t="s">
        <v>130</v>
      </c>
      <c r="C1337" s="2">
        <v>4</v>
      </c>
      <c r="D1337" s="2">
        <f t="shared" si="200"/>
        <v>10.16</v>
      </c>
      <c r="E1337" s="2">
        <f t="shared" si="201"/>
        <v>3.2340284436273135</v>
      </c>
      <c r="F1337" s="2">
        <f t="shared" si="202"/>
        <v>1.2732395447351628</v>
      </c>
      <c r="G1337" s="2">
        <v>3.4871660000000002</v>
      </c>
      <c r="H1337" s="2">
        <f t="shared" si="203"/>
        <v>11.440833699440001</v>
      </c>
      <c r="I1337" s="2">
        <f>INDEX('Wood Density Lookup'!$B$2:$B$152,MATCH(B1337,'Wood Density Lookup'!$A$2:$A$152,0))</f>
        <v>0.45</v>
      </c>
      <c r="J1337" s="2">
        <f t="shared" si="204"/>
        <v>1.0328178206366163</v>
      </c>
      <c r="K1337" s="2">
        <f t="shared" si="208"/>
        <v>0.28918898977825258</v>
      </c>
      <c r="L1337" s="2">
        <f t="shared" si="209"/>
        <v>1.322006810414869</v>
      </c>
      <c r="M1337" s="2">
        <f t="shared" si="205"/>
        <v>0.95845493755078004</v>
      </c>
      <c r="N1337" s="2">
        <f t="shared" si="206"/>
        <v>0.47922746877539002</v>
      </c>
      <c r="O1337" s="2">
        <f t="shared" si="207"/>
        <v>1.7587648104056814</v>
      </c>
      <c r="P1337" s="2">
        <v>72.551390999999995</v>
      </c>
      <c r="Q1337" s="2">
        <v>23.035157999999999</v>
      </c>
    </row>
    <row r="1338" spans="1:17" x14ac:dyDescent="0.25">
      <c r="A1338" s="2">
        <v>1490</v>
      </c>
      <c r="B1338" s="2" t="s">
        <v>103</v>
      </c>
      <c r="C1338" s="2">
        <v>4</v>
      </c>
      <c r="D1338" s="2">
        <f t="shared" si="200"/>
        <v>10.16</v>
      </c>
      <c r="E1338" s="2">
        <f t="shared" si="201"/>
        <v>3.2340284436273135</v>
      </c>
      <c r="F1338" s="2">
        <f t="shared" si="202"/>
        <v>1.2732395447351628</v>
      </c>
      <c r="G1338" s="2">
        <v>2.6963750000000002</v>
      </c>
      <c r="H1338" s="2">
        <f t="shared" si="203"/>
        <v>8.8463749549999999</v>
      </c>
      <c r="I1338" s="2">
        <f>INDEX('Wood Density Lookup'!$B$2:$B$152,MATCH(B1338,'Wood Density Lookup'!$A$2:$A$152,0))</f>
        <v>0.6</v>
      </c>
      <c r="J1338" s="2">
        <f t="shared" si="204"/>
        <v>1.0640259401102352</v>
      </c>
      <c r="K1338" s="2">
        <f t="shared" si="208"/>
        <v>0.29792726323086588</v>
      </c>
      <c r="L1338" s="2">
        <f t="shared" si="209"/>
        <v>1.361953203341101</v>
      </c>
      <c r="M1338" s="2">
        <f t="shared" si="205"/>
        <v>0.98741607242229823</v>
      </c>
      <c r="N1338" s="2">
        <f t="shared" si="206"/>
        <v>0.49370803621114911</v>
      </c>
      <c r="O1338" s="2">
        <f t="shared" si="207"/>
        <v>1.8119084928949172</v>
      </c>
      <c r="P1338" s="2">
        <v>72.551393000000004</v>
      </c>
      <c r="Q1338" s="2">
        <v>23.035140999999999</v>
      </c>
    </row>
    <row r="1339" spans="1:17" x14ac:dyDescent="0.25">
      <c r="A1339" s="2">
        <v>1491</v>
      </c>
      <c r="B1339" s="2" t="s">
        <v>103</v>
      </c>
      <c r="C1339" s="2">
        <v>3</v>
      </c>
      <c r="D1339" s="2">
        <f t="shared" si="200"/>
        <v>7.62</v>
      </c>
      <c r="E1339" s="2">
        <f t="shared" si="201"/>
        <v>2.4255213327204852</v>
      </c>
      <c r="F1339" s="2">
        <f t="shared" si="202"/>
        <v>0.95492965855137202</v>
      </c>
      <c r="G1339" s="2">
        <v>2.4595189999999998</v>
      </c>
      <c r="H1339" s="2">
        <f t="shared" si="203"/>
        <v>8.0692883159599997</v>
      </c>
      <c r="I1339" s="2">
        <f>INDEX('Wood Density Lookup'!$B$2:$B$152,MATCH(B1339,'Wood Density Lookup'!$A$2:$A$152,0))</f>
        <v>0.6</v>
      </c>
      <c r="J1339" s="2">
        <f t="shared" si="204"/>
        <v>0.55475345367889839</v>
      </c>
      <c r="K1339" s="2">
        <f t="shared" si="208"/>
        <v>0.15533096703009155</v>
      </c>
      <c r="L1339" s="2">
        <f t="shared" si="209"/>
        <v>0.71008442070898992</v>
      </c>
      <c r="M1339" s="2">
        <f t="shared" si="205"/>
        <v>0.51481120501401767</v>
      </c>
      <c r="N1339" s="2">
        <f t="shared" si="206"/>
        <v>0.25740560250700883</v>
      </c>
      <c r="O1339" s="2">
        <f t="shared" si="207"/>
        <v>0.94467856120072236</v>
      </c>
      <c r="P1339" s="2">
        <v>72.551394000000002</v>
      </c>
      <c r="Q1339" s="2">
        <v>23.035136000000001</v>
      </c>
    </row>
    <row r="1340" spans="1:17" x14ac:dyDescent="0.25">
      <c r="A1340" s="2">
        <v>1492</v>
      </c>
      <c r="B1340" s="2" t="s">
        <v>15</v>
      </c>
      <c r="C1340" s="2">
        <v>31</v>
      </c>
      <c r="D1340" s="2">
        <f t="shared" si="200"/>
        <v>78.739999999999995</v>
      </c>
      <c r="E1340" s="2">
        <f t="shared" si="201"/>
        <v>25.063720438111677</v>
      </c>
      <c r="F1340" s="2">
        <f t="shared" si="202"/>
        <v>9.8676064716975116</v>
      </c>
      <c r="G1340" s="2">
        <v>4.0522520000000002</v>
      </c>
      <c r="H1340" s="2">
        <f t="shared" si="203"/>
        <v>13.294790451680001</v>
      </c>
      <c r="I1340" s="2">
        <f>INDEX('Wood Density Lookup'!$B$2:$B$152,MATCH(B1340,'Wood Density Lookup'!$A$2:$A$152,0))</f>
        <v>0.75</v>
      </c>
      <c r="J1340" s="2">
        <f t="shared" si="204"/>
        <v>107.18240004185805</v>
      </c>
      <c r="K1340" s="2">
        <f t="shared" si="208"/>
        <v>30.011072011720255</v>
      </c>
      <c r="L1340" s="2">
        <f t="shared" si="209"/>
        <v>137.19347205357829</v>
      </c>
      <c r="M1340" s="2">
        <f t="shared" si="205"/>
        <v>99.465267238844262</v>
      </c>
      <c r="N1340" s="2">
        <f t="shared" si="206"/>
        <v>49.732633619422131</v>
      </c>
      <c r="O1340" s="2">
        <f t="shared" si="207"/>
        <v>182.51876538327923</v>
      </c>
      <c r="P1340" s="2">
        <v>72.551394000000002</v>
      </c>
      <c r="Q1340" s="2">
        <v>23.036653999999999</v>
      </c>
    </row>
    <row r="1341" spans="1:17" x14ac:dyDescent="0.25">
      <c r="A1341" s="2">
        <v>1493</v>
      </c>
      <c r="B1341" s="2" t="s">
        <v>111</v>
      </c>
      <c r="C1341" s="2">
        <v>6</v>
      </c>
      <c r="D1341" s="2">
        <f t="shared" si="200"/>
        <v>15.24</v>
      </c>
      <c r="E1341" s="2">
        <f t="shared" si="201"/>
        <v>4.8510426654409704</v>
      </c>
      <c r="F1341" s="2">
        <f t="shared" si="202"/>
        <v>1.909859317102744</v>
      </c>
      <c r="G1341" s="2">
        <v>2.5869610000000001</v>
      </c>
      <c r="H1341" s="2">
        <f t="shared" si="203"/>
        <v>8.4874051272400006</v>
      </c>
      <c r="I1341" s="2">
        <f>INDEX('Wood Density Lookup'!$B$2:$B$152,MATCH(B1341,'Wood Density Lookup'!$A$2:$A$152,0))</f>
        <v>0.4</v>
      </c>
      <c r="J1341" s="2">
        <f t="shared" si="204"/>
        <v>1.5179541163514769</v>
      </c>
      <c r="K1341" s="2">
        <f t="shared" si="208"/>
        <v>0.42502715257841356</v>
      </c>
      <c r="L1341" s="2">
        <f t="shared" si="209"/>
        <v>1.9429812689298904</v>
      </c>
      <c r="M1341" s="2">
        <f t="shared" si="205"/>
        <v>1.4086614199741705</v>
      </c>
      <c r="N1341" s="2">
        <f t="shared" si="206"/>
        <v>0.70433070998708525</v>
      </c>
      <c r="O1341" s="2">
        <f t="shared" si="207"/>
        <v>2.5848937056526027</v>
      </c>
      <c r="P1341" s="2">
        <v>72.551399000000004</v>
      </c>
      <c r="Q1341" s="2">
        <v>23.035128</v>
      </c>
    </row>
    <row r="1342" spans="1:17" x14ac:dyDescent="0.25">
      <c r="A1342" s="2">
        <v>1494</v>
      </c>
      <c r="B1342" s="2" t="s">
        <v>137</v>
      </c>
      <c r="C1342" s="2">
        <v>3</v>
      </c>
      <c r="D1342" s="2">
        <f t="shared" si="200"/>
        <v>7.62</v>
      </c>
      <c r="E1342" s="2">
        <f t="shared" si="201"/>
        <v>2.4255213327204852</v>
      </c>
      <c r="F1342" s="2">
        <f t="shared" si="202"/>
        <v>0.95492965855137202</v>
      </c>
      <c r="G1342" s="2">
        <v>2.1674959999999999</v>
      </c>
      <c r="H1342" s="2">
        <f t="shared" si="203"/>
        <v>7.1112075766399991</v>
      </c>
      <c r="I1342" s="2">
        <f>INDEX('Wood Density Lookup'!$B$2:$B$152,MATCH(B1342,'Wood Density Lookup'!$A$2:$A$152,0))</f>
        <v>0.55000000000000004</v>
      </c>
      <c r="J1342" s="2">
        <f t="shared" si="204"/>
        <v>0.45044721599996923</v>
      </c>
      <c r="K1342" s="2">
        <f t="shared" si="208"/>
        <v>0.12612522047999139</v>
      </c>
      <c r="L1342" s="2">
        <f t="shared" si="209"/>
        <v>0.57657243647996059</v>
      </c>
      <c r="M1342" s="2">
        <f t="shared" si="205"/>
        <v>0.4180150164479714</v>
      </c>
      <c r="N1342" s="2">
        <f t="shared" si="206"/>
        <v>0.2090075082239857</v>
      </c>
      <c r="O1342" s="2">
        <f t="shared" si="207"/>
        <v>0.76705755518202745</v>
      </c>
      <c r="P1342" s="2">
        <v>72.551399000000004</v>
      </c>
      <c r="Q1342" s="2">
        <v>23.035664000000001</v>
      </c>
    </row>
    <row r="1343" spans="1:17" x14ac:dyDescent="0.25">
      <c r="A1343" s="2">
        <v>1496</v>
      </c>
      <c r="B1343" s="2" t="s">
        <v>31</v>
      </c>
      <c r="C1343" s="2">
        <v>2</v>
      </c>
      <c r="D1343" s="2">
        <f t="shared" si="200"/>
        <v>5.08</v>
      </c>
      <c r="E1343" s="2">
        <f t="shared" si="201"/>
        <v>1.6170142218136567</v>
      </c>
      <c r="F1343" s="2">
        <f t="shared" si="202"/>
        <v>0.63661977236758138</v>
      </c>
      <c r="G1343" s="2">
        <v>2.0002599999999999</v>
      </c>
      <c r="H1343" s="2">
        <f t="shared" si="203"/>
        <v>6.5625330183999999</v>
      </c>
      <c r="I1343" s="2">
        <f>INDEX('Wood Density Lookup'!$B$2:$B$152,MATCH(B1343,'Wood Density Lookup'!$A$2:$A$152,0))</f>
        <v>0.78</v>
      </c>
      <c r="J1343" s="2">
        <f t="shared" si="204"/>
        <v>0.265441722435037</v>
      </c>
      <c r="K1343" s="2">
        <f t="shared" si="208"/>
        <v>7.4323682281810369E-2</v>
      </c>
      <c r="L1343" s="2">
        <f t="shared" si="209"/>
        <v>0.33976540471684735</v>
      </c>
      <c r="M1343" s="2">
        <f t="shared" si="205"/>
        <v>0.24632991841971433</v>
      </c>
      <c r="N1343" s="2">
        <f t="shared" si="206"/>
        <v>0.12316495920985716</v>
      </c>
      <c r="O1343" s="2">
        <f t="shared" si="207"/>
        <v>0.45201540030017578</v>
      </c>
      <c r="P1343" s="2">
        <v>72.551406</v>
      </c>
      <c r="Q1343" s="2">
        <v>23.036636999999999</v>
      </c>
    </row>
    <row r="1344" spans="1:17" x14ac:dyDescent="0.25">
      <c r="A1344" s="2">
        <v>1497</v>
      </c>
      <c r="B1344" s="2" t="s">
        <v>82</v>
      </c>
      <c r="C1344" s="2">
        <v>14</v>
      </c>
      <c r="D1344" s="2">
        <f t="shared" si="200"/>
        <v>35.56</v>
      </c>
      <c r="E1344" s="2">
        <f t="shared" si="201"/>
        <v>11.319099552695597</v>
      </c>
      <c r="F1344" s="2">
        <f t="shared" si="202"/>
        <v>4.45633840657307</v>
      </c>
      <c r="G1344" s="2">
        <v>3.7985509999999998</v>
      </c>
      <c r="H1344" s="2">
        <f t="shared" si="203"/>
        <v>12.462438062839999</v>
      </c>
      <c r="I1344" s="2">
        <f>INDEX('Wood Density Lookup'!$B$2:$B$152,MATCH(B1344,'Wood Density Lookup'!$A$2:$A$152,0))</f>
        <v>0.7</v>
      </c>
      <c r="J1344" s="2">
        <f t="shared" si="204"/>
        <v>19.933275575475385</v>
      </c>
      <c r="K1344" s="2">
        <f t="shared" si="208"/>
        <v>5.5813171611331081</v>
      </c>
      <c r="L1344" s="2">
        <f t="shared" si="209"/>
        <v>25.514592736608492</v>
      </c>
      <c r="M1344" s="2">
        <f t="shared" si="205"/>
        <v>18.498079734041156</v>
      </c>
      <c r="N1344" s="2">
        <f t="shared" si="206"/>
        <v>9.2490398670205778</v>
      </c>
      <c r="O1344" s="2">
        <f t="shared" si="207"/>
        <v>33.943976311965521</v>
      </c>
      <c r="P1344" s="2">
        <v>72.551410000000004</v>
      </c>
      <c r="Q1344" s="2">
        <v>23.037654</v>
      </c>
    </row>
    <row r="1345" spans="1:17" x14ac:dyDescent="0.25">
      <c r="A1345" s="2">
        <v>1498</v>
      </c>
      <c r="B1345" s="2" t="s">
        <v>140</v>
      </c>
      <c r="C1345" s="2">
        <v>3</v>
      </c>
      <c r="D1345" s="2">
        <f t="shared" ref="D1345:D1408" si="210">C1345*2.54</f>
        <v>7.62</v>
      </c>
      <c r="E1345" s="2">
        <f t="shared" ref="E1345:E1408" si="211">D1345/PI()</f>
        <v>2.4255213327204852</v>
      </c>
      <c r="F1345" s="2">
        <f t="shared" ref="F1345:F1408" si="212">C1345/PI()</f>
        <v>0.95492965855137202</v>
      </c>
      <c r="G1345" s="2">
        <v>2.208272</v>
      </c>
      <c r="H1345" s="2">
        <f t="shared" ref="H1345:H1408" si="213">G1345*3.28084</f>
        <v>7.2449871084800002</v>
      </c>
      <c r="I1345" s="2">
        <f>INDEX('Wood Density Lookup'!$B$2:$B$152,MATCH(B1345,'Wood Density Lookup'!$A$2:$A$152,0))</f>
        <v>0.6</v>
      </c>
      <c r="J1345" s="2">
        <f t="shared" ref="J1345:J1408" si="214">0.0673*POWER(I1345*E1345^2*G1345,0.976)</f>
        <v>0.49937355661860239</v>
      </c>
      <c r="K1345" s="2">
        <f t="shared" si="208"/>
        <v>0.13982459585320869</v>
      </c>
      <c r="L1345" s="2">
        <f t="shared" si="209"/>
        <v>0.63919815247181111</v>
      </c>
      <c r="M1345" s="2">
        <f t="shared" ref="M1345:M1408" si="215">0.725*L1345</f>
        <v>0.46341866054206304</v>
      </c>
      <c r="N1345" s="2">
        <f t="shared" ref="N1345:N1408" si="216">0.5*M1345</f>
        <v>0.23170933027103152</v>
      </c>
      <c r="O1345" s="2">
        <f t="shared" ref="O1345:O1408" si="217">3.67*N1345</f>
        <v>0.85037324209468568</v>
      </c>
      <c r="P1345" s="2">
        <v>72.551413999999994</v>
      </c>
      <c r="Q1345" s="2">
        <v>23.035651000000001</v>
      </c>
    </row>
    <row r="1346" spans="1:17" x14ac:dyDescent="0.25">
      <c r="A1346" s="2">
        <v>1499</v>
      </c>
      <c r="B1346" s="2" t="s">
        <v>30</v>
      </c>
      <c r="C1346" s="2">
        <v>8</v>
      </c>
      <c r="D1346" s="2">
        <f t="shared" si="210"/>
        <v>20.32</v>
      </c>
      <c r="E1346" s="2">
        <f t="shared" si="211"/>
        <v>6.4680568872546269</v>
      </c>
      <c r="F1346" s="2">
        <f t="shared" si="212"/>
        <v>2.5464790894703255</v>
      </c>
      <c r="G1346" s="2">
        <v>4.5264280000000001</v>
      </c>
      <c r="H1346" s="2">
        <f t="shared" si="213"/>
        <v>14.85048603952</v>
      </c>
      <c r="I1346" s="2">
        <f>INDEX('Wood Density Lookup'!$B$2:$B$152,MATCH(B1346,'Wood Density Lookup'!$A$2:$A$152,0))</f>
        <v>0.2</v>
      </c>
      <c r="J1346" s="2">
        <f t="shared" si="214"/>
        <v>2.3359758024761876</v>
      </c>
      <c r="K1346" s="2">
        <f t="shared" si="208"/>
        <v>0.65407322469333262</v>
      </c>
      <c r="L1346" s="2">
        <f t="shared" si="209"/>
        <v>2.9900490271695204</v>
      </c>
      <c r="M1346" s="2">
        <f t="shared" si="215"/>
        <v>2.1677855446979022</v>
      </c>
      <c r="N1346" s="2">
        <f t="shared" si="216"/>
        <v>1.0838927723489511</v>
      </c>
      <c r="O1346" s="2">
        <f t="shared" si="217"/>
        <v>3.9778864745206506</v>
      </c>
      <c r="P1346" s="2">
        <v>72.551415000000006</v>
      </c>
      <c r="Q1346" s="2">
        <v>23.035132000000001</v>
      </c>
    </row>
    <row r="1347" spans="1:17" x14ac:dyDescent="0.25">
      <c r="A1347" s="2">
        <v>1500</v>
      </c>
      <c r="B1347" s="2" t="s">
        <v>15</v>
      </c>
      <c r="C1347" s="2">
        <v>2</v>
      </c>
      <c r="D1347" s="2">
        <f t="shared" si="210"/>
        <v>5.08</v>
      </c>
      <c r="E1347" s="2">
        <f t="shared" si="211"/>
        <v>1.6170142218136567</v>
      </c>
      <c r="F1347" s="2">
        <f t="shared" si="212"/>
        <v>0.63661977236758138</v>
      </c>
      <c r="G1347" s="2">
        <v>2.6828539999999998</v>
      </c>
      <c r="H1347" s="2">
        <f t="shared" si="213"/>
        <v>8.8020147173599987</v>
      </c>
      <c r="I1347" s="2">
        <f>INDEX('Wood Density Lookup'!$B$2:$B$152,MATCH(B1347,'Wood Density Lookup'!$A$2:$A$152,0))</f>
        <v>0.75</v>
      </c>
      <c r="J1347" s="2">
        <f t="shared" si="214"/>
        <v>0.34024753096419286</v>
      </c>
      <c r="K1347" s="2">
        <f t="shared" ref="K1347:K1410" si="218">0.28*J1347</f>
        <v>9.5269308669974004E-2</v>
      </c>
      <c r="L1347" s="2">
        <f t="shared" ref="L1347:L1410" si="219">J1347+K1347</f>
        <v>0.43551683963416687</v>
      </c>
      <c r="M1347" s="2">
        <f t="shared" si="215"/>
        <v>0.31574970873477098</v>
      </c>
      <c r="N1347" s="2">
        <f t="shared" si="216"/>
        <v>0.15787485436738549</v>
      </c>
      <c r="O1347" s="2">
        <f t="shared" si="217"/>
        <v>0.57940071552830474</v>
      </c>
      <c r="P1347" s="2">
        <v>72.551415000000006</v>
      </c>
      <c r="Q1347" s="2">
        <v>23.035664000000001</v>
      </c>
    </row>
    <row r="1348" spans="1:17" x14ac:dyDescent="0.25">
      <c r="A1348" s="2">
        <v>1501</v>
      </c>
      <c r="B1348" s="2" t="s">
        <v>61</v>
      </c>
      <c r="C1348" s="2">
        <v>27</v>
      </c>
      <c r="D1348" s="2">
        <f t="shared" si="210"/>
        <v>68.58</v>
      </c>
      <c r="E1348" s="2">
        <f t="shared" si="211"/>
        <v>21.829691994484364</v>
      </c>
      <c r="F1348" s="2">
        <f t="shared" si="212"/>
        <v>8.5943669269623477</v>
      </c>
      <c r="G1348" s="2">
        <v>15.362717</v>
      </c>
      <c r="H1348" s="2">
        <f t="shared" si="213"/>
        <v>50.402616442279999</v>
      </c>
      <c r="I1348" s="2">
        <f>INDEX('Wood Density Lookup'!$B$2:$B$152,MATCH(B1348,'Wood Density Lookup'!$A$2:$A$152,0))</f>
        <v>0.5</v>
      </c>
      <c r="J1348" s="2">
        <f t="shared" si="214"/>
        <v>202.31287283893477</v>
      </c>
      <c r="K1348" s="2">
        <f t="shared" si="218"/>
        <v>56.647604394901741</v>
      </c>
      <c r="L1348" s="2">
        <f t="shared" si="219"/>
        <v>258.96047723383651</v>
      </c>
      <c r="M1348" s="2">
        <f t="shared" si="215"/>
        <v>187.74634599453145</v>
      </c>
      <c r="N1348" s="2">
        <f t="shared" si="216"/>
        <v>93.873172997265726</v>
      </c>
      <c r="O1348" s="2">
        <f t="shared" si="217"/>
        <v>344.51454489996519</v>
      </c>
      <c r="P1348" s="2">
        <v>72.551418999999996</v>
      </c>
      <c r="Q1348" s="2">
        <v>23.034531999999999</v>
      </c>
    </row>
    <row r="1349" spans="1:17" x14ac:dyDescent="0.25">
      <c r="A1349" s="2">
        <v>1502</v>
      </c>
      <c r="B1349" s="2" t="s">
        <v>9</v>
      </c>
      <c r="C1349" s="2">
        <v>24</v>
      </c>
      <c r="D1349" s="2">
        <f t="shared" si="210"/>
        <v>60.96</v>
      </c>
      <c r="E1349" s="2">
        <f t="shared" si="211"/>
        <v>19.404170661763882</v>
      </c>
      <c r="F1349" s="2">
        <f t="shared" si="212"/>
        <v>7.6394372684109761</v>
      </c>
      <c r="G1349" s="2">
        <v>10.158791000000001</v>
      </c>
      <c r="H1349" s="2">
        <f t="shared" si="213"/>
        <v>33.329367864440002</v>
      </c>
      <c r="I1349" s="2">
        <f>INDEX('Wood Density Lookup'!$B$2:$B$152,MATCH(B1349,'Wood Density Lookup'!$A$2:$A$152,0))</f>
        <v>0.42</v>
      </c>
      <c r="J1349" s="2">
        <f t="shared" si="214"/>
        <v>90.563958231999905</v>
      </c>
      <c r="K1349" s="2">
        <f t="shared" si="218"/>
        <v>25.357908304959977</v>
      </c>
      <c r="L1349" s="2">
        <f t="shared" si="219"/>
        <v>115.92186653695988</v>
      </c>
      <c r="M1349" s="2">
        <f t="shared" si="215"/>
        <v>84.043353239295911</v>
      </c>
      <c r="N1349" s="2">
        <f t="shared" si="216"/>
        <v>42.021676619647955</v>
      </c>
      <c r="O1349" s="2">
        <f t="shared" si="217"/>
        <v>154.21955319410799</v>
      </c>
      <c r="P1349" s="2">
        <v>72.551419999999993</v>
      </c>
      <c r="Q1349" s="2">
        <v>23.036816999999999</v>
      </c>
    </row>
    <row r="1350" spans="1:17" x14ac:dyDescent="0.25">
      <c r="A1350" s="2">
        <v>1503</v>
      </c>
      <c r="B1350" s="2" t="s">
        <v>125</v>
      </c>
      <c r="C1350" s="2">
        <v>21</v>
      </c>
      <c r="D1350" s="2">
        <f t="shared" si="210"/>
        <v>53.34</v>
      </c>
      <c r="E1350" s="2">
        <f t="shared" si="211"/>
        <v>16.978649329043396</v>
      </c>
      <c r="F1350" s="2">
        <f t="shared" si="212"/>
        <v>6.6845076098596046</v>
      </c>
      <c r="G1350" s="2">
        <v>3.9279790000000001</v>
      </c>
      <c r="H1350" s="2">
        <f t="shared" si="213"/>
        <v>12.88707062236</v>
      </c>
      <c r="I1350" s="2">
        <f>INDEX('Wood Density Lookup'!$B$2:$B$152,MATCH(B1350,'Wood Density Lookup'!$A$2:$A$152,0))</f>
        <v>1.05</v>
      </c>
      <c r="J1350" s="2">
        <f t="shared" si="214"/>
        <v>67.511202597227282</v>
      </c>
      <c r="K1350" s="2">
        <f t="shared" si="218"/>
        <v>18.903136727223639</v>
      </c>
      <c r="L1350" s="2">
        <f t="shared" si="219"/>
        <v>86.414339324450921</v>
      </c>
      <c r="M1350" s="2">
        <f t="shared" si="215"/>
        <v>62.650396010226913</v>
      </c>
      <c r="N1350" s="2">
        <f t="shared" si="216"/>
        <v>31.325198005113457</v>
      </c>
      <c r="O1350" s="2">
        <f t="shared" si="217"/>
        <v>114.96347667876638</v>
      </c>
      <c r="P1350" s="2">
        <v>72.551422000000002</v>
      </c>
      <c r="Q1350" s="2">
        <v>23.035364999999999</v>
      </c>
    </row>
    <row r="1351" spans="1:17" x14ac:dyDescent="0.25">
      <c r="A1351" s="2">
        <v>1504</v>
      </c>
      <c r="B1351" s="2" t="s">
        <v>111</v>
      </c>
      <c r="C1351" s="2">
        <v>6</v>
      </c>
      <c r="D1351" s="2">
        <f t="shared" si="210"/>
        <v>15.24</v>
      </c>
      <c r="E1351" s="2">
        <f t="shared" si="211"/>
        <v>4.8510426654409704</v>
      </c>
      <c r="F1351" s="2">
        <f t="shared" si="212"/>
        <v>1.909859317102744</v>
      </c>
      <c r="G1351" s="2">
        <v>4.6225069999999997</v>
      </c>
      <c r="H1351" s="2">
        <f t="shared" si="213"/>
        <v>15.16570586588</v>
      </c>
      <c r="I1351" s="2">
        <f>INDEX('Wood Density Lookup'!$B$2:$B$152,MATCH(B1351,'Wood Density Lookup'!$A$2:$A$152,0))</f>
        <v>0.4</v>
      </c>
      <c r="J1351" s="2">
        <f t="shared" si="214"/>
        <v>2.6748303081477478</v>
      </c>
      <c r="K1351" s="2">
        <f t="shared" si="218"/>
        <v>0.74895248628136946</v>
      </c>
      <c r="L1351" s="2">
        <f t="shared" si="219"/>
        <v>3.4237827944291173</v>
      </c>
      <c r="M1351" s="2">
        <f t="shared" si="215"/>
        <v>2.4822425259611101</v>
      </c>
      <c r="N1351" s="2">
        <f t="shared" si="216"/>
        <v>1.241121262980555</v>
      </c>
      <c r="O1351" s="2">
        <f t="shared" si="217"/>
        <v>4.5549150351386372</v>
      </c>
      <c r="P1351" s="2">
        <v>72.551423</v>
      </c>
      <c r="Q1351" s="2">
        <v>23.03492</v>
      </c>
    </row>
    <row r="1352" spans="1:17" x14ac:dyDescent="0.25">
      <c r="A1352" s="2">
        <v>1505</v>
      </c>
      <c r="B1352" s="2" t="s">
        <v>111</v>
      </c>
      <c r="C1352" s="2">
        <v>3</v>
      </c>
      <c r="D1352" s="2">
        <f t="shared" si="210"/>
        <v>7.62</v>
      </c>
      <c r="E1352" s="2">
        <f t="shared" si="211"/>
        <v>2.4255213327204852</v>
      </c>
      <c r="F1352" s="2">
        <f t="shared" si="212"/>
        <v>0.95492965855137202</v>
      </c>
      <c r="G1352" s="2">
        <v>2.132314</v>
      </c>
      <c r="H1352" s="2">
        <f t="shared" si="213"/>
        <v>6.99578106376</v>
      </c>
      <c r="I1352" s="2">
        <f>INDEX('Wood Density Lookup'!$B$2:$B$152,MATCH(B1352,'Wood Density Lookup'!$A$2:$A$152,0))</f>
        <v>0.4</v>
      </c>
      <c r="J1352" s="2">
        <f t="shared" si="214"/>
        <v>0.32488068999567604</v>
      </c>
      <c r="K1352" s="2">
        <f t="shared" si="218"/>
        <v>9.0966593198789303E-2</v>
      </c>
      <c r="L1352" s="2">
        <f t="shared" si="219"/>
        <v>0.41584728319446534</v>
      </c>
      <c r="M1352" s="2">
        <f t="shared" si="215"/>
        <v>0.30148928031598737</v>
      </c>
      <c r="N1352" s="2">
        <f t="shared" si="216"/>
        <v>0.15074464015799369</v>
      </c>
      <c r="O1352" s="2">
        <f t="shared" si="217"/>
        <v>0.55323282937983687</v>
      </c>
      <c r="P1352" s="2">
        <v>72.551426000000006</v>
      </c>
      <c r="Q1352" s="2">
        <v>23.035664000000001</v>
      </c>
    </row>
    <row r="1353" spans="1:17" x14ac:dyDescent="0.25">
      <c r="A1353" s="2">
        <v>1506</v>
      </c>
      <c r="B1353" s="2" t="s">
        <v>9</v>
      </c>
      <c r="C1353" s="2">
        <v>38</v>
      </c>
      <c r="D1353" s="2">
        <f t="shared" si="210"/>
        <v>96.52</v>
      </c>
      <c r="E1353" s="2">
        <f t="shared" si="211"/>
        <v>30.723270214459475</v>
      </c>
      <c r="F1353" s="2">
        <f t="shared" si="212"/>
        <v>12.095775674984045</v>
      </c>
      <c r="G1353" s="2">
        <v>4.0391760000000003</v>
      </c>
      <c r="H1353" s="2">
        <f t="shared" si="213"/>
        <v>13.251890187840001</v>
      </c>
      <c r="I1353" s="2">
        <f>INDEX('Wood Density Lookup'!$B$2:$B$152,MATCH(B1353,'Wood Density Lookup'!$A$2:$A$152,0))</f>
        <v>0.42</v>
      </c>
      <c r="J1353" s="2">
        <f t="shared" si="214"/>
        <v>90.278548140847249</v>
      </c>
      <c r="K1353" s="2">
        <f t="shared" si="218"/>
        <v>25.277993479437232</v>
      </c>
      <c r="L1353" s="2">
        <f t="shared" si="219"/>
        <v>115.55654162028448</v>
      </c>
      <c r="M1353" s="2">
        <f t="shared" si="215"/>
        <v>83.778492674706243</v>
      </c>
      <c r="N1353" s="2">
        <f t="shared" si="216"/>
        <v>41.889246337353121</v>
      </c>
      <c r="O1353" s="2">
        <f t="shared" si="217"/>
        <v>153.73353405808595</v>
      </c>
      <c r="P1353" s="2">
        <v>72.551433000000003</v>
      </c>
      <c r="Q1353" s="2">
        <v>23.038594</v>
      </c>
    </row>
    <row r="1354" spans="1:17" x14ac:dyDescent="0.25">
      <c r="A1354" s="2">
        <v>1507</v>
      </c>
      <c r="B1354" s="2" t="s">
        <v>72</v>
      </c>
      <c r="C1354" s="2">
        <v>4</v>
      </c>
      <c r="D1354" s="2">
        <f t="shared" si="210"/>
        <v>10.16</v>
      </c>
      <c r="E1354" s="2">
        <f t="shared" si="211"/>
        <v>3.2340284436273135</v>
      </c>
      <c r="F1354" s="2">
        <f t="shared" si="212"/>
        <v>1.2732395447351628</v>
      </c>
      <c r="G1354" s="2">
        <v>11.934564999999999</v>
      </c>
      <c r="H1354" s="2">
        <f t="shared" si="213"/>
        <v>39.1553982346</v>
      </c>
      <c r="I1354" s="2">
        <f>INDEX('Wood Density Lookup'!$B$2:$B$152,MATCH(B1354,'Wood Density Lookup'!$A$2:$A$152,0))</f>
        <v>0.65</v>
      </c>
      <c r="J1354" s="2">
        <f t="shared" si="214"/>
        <v>4.9136215362551123</v>
      </c>
      <c r="K1354" s="2">
        <f t="shared" si="218"/>
        <v>1.3758140301514317</v>
      </c>
      <c r="L1354" s="2">
        <f t="shared" si="219"/>
        <v>6.289435566406544</v>
      </c>
      <c r="M1354" s="2">
        <f t="shared" si="215"/>
        <v>4.5598407856447443</v>
      </c>
      <c r="N1354" s="2">
        <f t="shared" si="216"/>
        <v>2.2799203928223721</v>
      </c>
      <c r="O1354" s="2">
        <f t="shared" si="217"/>
        <v>8.3673078416581053</v>
      </c>
      <c r="P1354" s="2">
        <v>72.551433000000003</v>
      </c>
      <c r="Q1354" s="2">
        <v>23.036563000000001</v>
      </c>
    </row>
    <row r="1355" spans="1:17" x14ac:dyDescent="0.25">
      <c r="A1355" s="2">
        <v>1508</v>
      </c>
      <c r="B1355" s="2" t="s">
        <v>140</v>
      </c>
      <c r="C1355" s="2">
        <v>4</v>
      </c>
      <c r="D1355" s="2">
        <f t="shared" si="210"/>
        <v>10.16</v>
      </c>
      <c r="E1355" s="2">
        <f t="shared" si="211"/>
        <v>3.2340284436273135</v>
      </c>
      <c r="F1355" s="2">
        <f t="shared" si="212"/>
        <v>1.2732395447351628</v>
      </c>
      <c r="G1355" s="2">
        <v>2.6321699999999999</v>
      </c>
      <c r="H1355" s="2">
        <f t="shared" si="213"/>
        <v>8.6357286228000003</v>
      </c>
      <c r="I1355" s="2">
        <f>INDEX('Wood Density Lookup'!$B$2:$B$152,MATCH(B1355,'Wood Density Lookup'!$A$2:$A$152,0))</f>
        <v>0.6</v>
      </c>
      <c r="J1355" s="2">
        <f t="shared" si="214"/>
        <v>1.0392907250974583</v>
      </c>
      <c r="K1355" s="2">
        <f t="shared" si="218"/>
        <v>0.29100140302728839</v>
      </c>
      <c r="L1355" s="2">
        <f t="shared" si="219"/>
        <v>1.3302921281247468</v>
      </c>
      <c r="M1355" s="2">
        <f t="shared" si="215"/>
        <v>0.96446179289044143</v>
      </c>
      <c r="N1355" s="2">
        <f t="shared" si="216"/>
        <v>0.48223089644522071</v>
      </c>
      <c r="O1355" s="2">
        <f t="shared" si="217"/>
        <v>1.76978738995396</v>
      </c>
      <c r="P1355" s="2">
        <v>72.551434999999998</v>
      </c>
      <c r="Q1355" s="2">
        <v>23.035665999999999</v>
      </c>
    </row>
    <row r="1356" spans="1:17" x14ac:dyDescent="0.25">
      <c r="A1356" s="2">
        <v>1509</v>
      </c>
      <c r="B1356" s="2" t="s">
        <v>111</v>
      </c>
      <c r="C1356" s="2">
        <v>5</v>
      </c>
      <c r="D1356" s="2">
        <f t="shared" si="210"/>
        <v>12.7</v>
      </c>
      <c r="E1356" s="2">
        <f t="shared" si="211"/>
        <v>4.0425355545341413</v>
      </c>
      <c r="F1356" s="2">
        <f t="shared" si="212"/>
        <v>1.5915494309189535</v>
      </c>
      <c r="G1356" s="2">
        <v>3.9786800000000002</v>
      </c>
      <c r="H1356" s="2">
        <f t="shared" si="213"/>
        <v>13.053412491200001</v>
      </c>
      <c r="I1356" s="2">
        <f>INDEX('Wood Density Lookup'!$B$2:$B$152,MATCH(B1356,'Wood Density Lookup'!$A$2:$A$152,0))</f>
        <v>0.4</v>
      </c>
      <c r="J1356" s="2">
        <f t="shared" si="214"/>
        <v>1.6186732963913852</v>
      </c>
      <c r="K1356" s="2">
        <f t="shared" si="218"/>
        <v>0.45322852298958793</v>
      </c>
      <c r="L1356" s="2">
        <f t="shared" si="219"/>
        <v>2.0719018193809733</v>
      </c>
      <c r="M1356" s="2">
        <f t="shared" si="215"/>
        <v>1.5021288190512057</v>
      </c>
      <c r="N1356" s="2">
        <f t="shared" si="216"/>
        <v>0.75106440952560283</v>
      </c>
      <c r="O1356" s="2">
        <f t="shared" si="217"/>
        <v>2.7564063829589625</v>
      </c>
      <c r="P1356" s="2">
        <v>72.551439000000002</v>
      </c>
      <c r="Q1356" s="2">
        <v>23.034922999999999</v>
      </c>
    </row>
    <row r="1357" spans="1:17" x14ac:dyDescent="0.25">
      <c r="A1357" s="2">
        <v>1510</v>
      </c>
      <c r="B1357" s="2" t="s">
        <v>31</v>
      </c>
      <c r="C1357" s="2">
        <v>2</v>
      </c>
      <c r="D1357" s="2">
        <f t="shared" si="210"/>
        <v>5.08</v>
      </c>
      <c r="E1357" s="2">
        <f t="shared" si="211"/>
        <v>1.6170142218136567</v>
      </c>
      <c r="F1357" s="2">
        <f t="shared" si="212"/>
        <v>0.63661977236758138</v>
      </c>
      <c r="G1357" s="2">
        <v>1.0430680000000001</v>
      </c>
      <c r="H1357" s="2">
        <f t="shared" si="213"/>
        <v>3.4221392171200002</v>
      </c>
      <c r="I1357" s="2">
        <f>INDEX('Wood Density Lookup'!$B$2:$B$152,MATCH(B1357,'Wood Density Lookup'!$A$2:$A$152,0))</f>
        <v>0.78</v>
      </c>
      <c r="J1357" s="2">
        <f t="shared" si="214"/>
        <v>0.14059890242394377</v>
      </c>
      <c r="K1357" s="2">
        <f t="shared" si="218"/>
        <v>3.9367692678704255E-2</v>
      </c>
      <c r="L1357" s="2">
        <f t="shared" si="219"/>
        <v>0.17996659510264801</v>
      </c>
      <c r="M1357" s="2">
        <f t="shared" si="215"/>
        <v>0.13047578144941979</v>
      </c>
      <c r="N1357" s="2">
        <f t="shared" si="216"/>
        <v>6.5237890724709896E-2</v>
      </c>
      <c r="O1357" s="2">
        <f t="shared" si="217"/>
        <v>0.23942305895968533</v>
      </c>
      <c r="P1357" s="2">
        <v>72.551439999999999</v>
      </c>
      <c r="Q1357" s="2">
        <v>23.036639999999998</v>
      </c>
    </row>
    <row r="1358" spans="1:17" x14ac:dyDescent="0.25">
      <c r="A1358" s="2">
        <v>1511</v>
      </c>
      <c r="B1358" s="2" t="s">
        <v>15</v>
      </c>
      <c r="C1358" s="2">
        <v>87</v>
      </c>
      <c r="D1358" s="2">
        <f t="shared" si="210"/>
        <v>220.98</v>
      </c>
      <c r="E1358" s="2">
        <f t="shared" si="211"/>
        <v>70.340118648894062</v>
      </c>
      <c r="F1358" s="2">
        <f t="shared" si="212"/>
        <v>27.69296009798979</v>
      </c>
      <c r="G1358" s="2">
        <v>11.833182000000001</v>
      </c>
      <c r="H1358" s="2">
        <f t="shared" si="213"/>
        <v>38.822776832880002</v>
      </c>
      <c r="I1358" s="2">
        <f>INDEX('Wood Density Lookup'!$B$2:$B$152,MATCH(B1358,'Wood Density Lookup'!$A$2:$A$152,0))</f>
        <v>0.75</v>
      </c>
      <c r="J1358" s="2">
        <f t="shared" si="214"/>
        <v>2286.4536865146815</v>
      </c>
      <c r="K1358" s="2">
        <f t="shared" si="218"/>
        <v>640.20703222411089</v>
      </c>
      <c r="L1358" s="2">
        <f t="shared" si="219"/>
        <v>2926.6607187387926</v>
      </c>
      <c r="M1358" s="2">
        <f t="shared" si="215"/>
        <v>2121.8290210856244</v>
      </c>
      <c r="N1358" s="2">
        <f t="shared" si="216"/>
        <v>1060.9145105428122</v>
      </c>
      <c r="O1358" s="2">
        <f t="shared" si="217"/>
        <v>3893.5562536921207</v>
      </c>
      <c r="P1358" s="2">
        <v>72.551443000000006</v>
      </c>
      <c r="Q1358" s="2">
        <v>23.036549000000001</v>
      </c>
    </row>
    <row r="1359" spans="1:17" x14ac:dyDescent="0.25">
      <c r="A1359" s="2">
        <v>1512</v>
      </c>
      <c r="B1359" s="2" t="s">
        <v>137</v>
      </c>
      <c r="C1359" s="2">
        <v>4</v>
      </c>
      <c r="D1359" s="2">
        <f t="shared" si="210"/>
        <v>10.16</v>
      </c>
      <c r="E1359" s="2">
        <f t="shared" si="211"/>
        <v>3.2340284436273135</v>
      </c>
      <c r="F1359" s="2">
        <f t="shared" si="212"/>
        <v>1.2732395447351628</v>
      </c>
      <c r="G1359" s="2">
        <v>1.0636840000000001</v>
      </c>
      <c r="H1359" s="2">
        <f t="shared" si="213"/>
        <v>3.48977701456</v>
      </c>
      <c r="I1359" s="2">
        <f>INDEX('Wood Density Lookup'!$B$2:$B$152,MATCH(B1359,'Wood Density Lookup'!$A$2:$A$152,0))</f>
        <v>0.55000000000000004</v>
      </c>
      <c r="J1359" s="2">
        <f t="shared" si="214"/>
        <v>0.39427400022332393</v>
      </c>
      <c r="K1359" s="2">
        <f t="shared" si="218"/>
        <v>0.11039672006253071</v>
      </c>
      <c r="L1359" s="2">
        <f t="shared" si="219"/>
        <v>0.50467072028585469</v>
      </c>
      <c r="M1359" s="2">
        <f t="shared" si="215"/>
        <v>0.36588627220724462</v>
      </c>
      <c r="N1359" s="2">
        <f t="shared" si="216"/>
        <v>0.18294313610362231</v>
      </c>
      <c r="O1359" s="2">
        <f t="shared" si="217"/>
        <v>0.67140130950029386</v>
      </c>
      <c r="P1359" s="2">
        <v>72.551450000000003</v>
      </c>
      <c r="Q1359" s="2">
        <v>23.035136000000001</v>
      </c>
    </row>
    <row r="1360" spans="1:17" x14ac:dyDescent="0.25">
      <c r="A1360" s="2">
        <v>1513</v>
      </c>
      <c r="B1360" s="2" t="s">
        <v>111</v>
      </c>
      <c r="C1360" s="2">
        <v>8</v>
      </c>
      <c r="D1360" s="2">
        <f t="shared" si="210"/>
        <v>20.32</v>
      </c>
      <c r="E1360" s="2">
        <f t="shared" si="211"/>
        <v>6.4680568872546269</v>
      </c>
      <c r="F1360" s="2">
        <f t="shared" si="212"/>
        <v>2.5464790894703255</v>
      </c>
      <c r="G1360" s="2">
        <v>3.8715229999999998</v>
      </c>
      <c r="H1360" s="2">
        <f t="shared" si="213"/>
        <v>12.701847519319999</v>
      </c>
      <c r="I1360" s="2">
        <f>INDEX('Wood Density Lookup'!$B$2:$B$152,MATCH(B1360,'Wood Density Lookup'!$A$2:$A$152,0))</f>
        <v>0.4</v>
      </c>
      <c r="J1360" s="2">
        <f t="shared" si="214"/>
        <v>3.9448347309160039</v>
      </c>
      <c r="K1360" s="2">
        <f t="shared" si="218"/>
        <v>1.1045537246564812</v>
      </c>
      <c r="L1360" s="2">
        <f t="shared" si="219"/>
        <v>5.0493884555724851</v>
      </c>
      <c r="M1360" s="2">
        <f t="shared" si="215"/>
        <v>3.6608066302900517</v>
      </c>
      <c r="N1360" s="2">
        <f t="shared" si="216"/>
        <v>1.8304033151450259</v>
      </c>
      <c r="O1360" s="2">
        <f t="shared" si="217"/>
        <v>6.7175801665822448</v>
      </c>
      <c r="P1360" s="2">
        <v>72.551452999999995</v>
      </c>
      <c r="Q1360" s="2">
        <v>23.034925999999999</v>
      </c>
    </row>
    <row r="1361" spans="1:17" x14ac:dyDescent="0.25">
      <c r="A1361" s="2">
        <v>1514</v>
      </c>
      <c r="B1361" s="2" t="s">
        <v>75</v>
      </c>
      <c r="C1361" s="2">
        <v>12</v>
      </c>
      <c r="D1361" s="2">
        <f t="shared" si="210"/>
        <v>30.48</v>
      </c>
      <c r="E1361" s="2">
        <f t="shared" si="211"/>
        <v>9.7020853308819408</v>
      </c>
      <c r="F1361" s="2">
        <f t="shared" si="212"/>
        <v>3.8197186342054881</v>
      </c>
      <c r="G1361" s="2">
        <v>2.655462</v>
      </c>
      <c r="H1361" s="2">
        <f t="shared" si="213"/>
        <v>8.7121459480799999</v>
      </c>
      <c r="I1361" s="2">
        <f>INDEX('Wood Density Lookup'!$B$2:$B$152,MATCH(B1361,'Wood Density Lookup'!$A$2:$A$152,0))</f>
        <v>0.3</v>
      </c>
      <c r="J1361" s="2">
        <f t="shared" si="214"/>
        <v>4.5499517716103792</v>
      </c>
      <c r="K1361" s="2">
        <f t="shared" si="218"/>
        <v>1.2739864960509064</v>
      </c>
      <c r="L1361" s="2">
        <f t="shared" si="219"/>
        <v>5.8239382676612852</v>
      </c>
      <c r="M1361" s="2">
        <f t="shared" si="215"/>
        <v>4.2223552440544321</v>
      </c>
      <c r="N1361" s="2">
        <f t="shared" si="216"/>
        <v>2.111177622027216</v>
      </c>
      <c r="O1361" s="2">
        <f t="shared" si="217"/>
        <v>7.7480218728398826</v>
      </c>
      <c r="P1361" s="2">
        <v>72.551452999999995</v>
      </c>
      <c r="Q1361" s="2">
        <v>23.035668000000001</v>
      </c>
    </row>
    <row r="1362" spans="1:17" x14ac:dyDescent="0.25">
      <c r="A1362" s="2">
        <v>1515</v>
      </c>
      <c r="B1362" s="2" t="s">
        <v>19</v>
      </c>
      <c r="C1362" s="2">
        <v>14</v>
      </c>
      <c r="D1362" s="2">
        <f t="shared" si="210"/>
        <v>35.56</v>
      </c>
      <c r="E1362" s="2">
        <f t="shared" si="211"/>
        <v>11.319099552695597</v>
      </c>
      <c r="F1362" s="2">
        <f t="shared" si="212"/>
        <v>4.45633840657307</v>
      </c>
      <c r="G1362" s="2">
        <v>8.361936</v>
      </c>
      <c r="H1362" s="2">
        <f t="shared" si="213"/>
        <v>27.43417410624</v>
      </c>
      <c r="I1362" s="2">
        <f>INDEX('Wood Density Lookup'!$B$2:$B$152,MATCH(B1362,'Wood Density Lookup'!$A$2:$A$152,0))</f>
        <v>0.75</v>
      </c>
      <c r="J1362" s="2">
        <f t="shared" si="214"/>
        <v>46.056095967751148</v>
      </c>
      <c r="K1362" s="2">
        <f t="shared" si="218"/>
        <v>12.895706870970322</v>
      </c>
      <c r="L1362" s="2">
        <f t="shared" si="219"/>
        <v>58.95180283872147</v>
      </c>
      <c r="M1362" s="2">
        <f t="shared" si="215"/>
        <v>42.740057058073063</v>
      </c>
      <c r="N1362" s="2">
        <f t="shared" si="216"/>
        <v>21.370028529036531</v>
      </c>
      <c r="O1362" s="2">
        <f t="shared" si="217"/>
        <v>78.428004701564063</v>
      </c>
      <c r="P1362" s="2">
        <v>72.551457999999997</v>
      </c>
      <c r="Q1362" s="2">
        <v>23.035371000000001</v>
      </c>
    </row>
    <row r="1363" spans="1:17" x14ac:dyDescent="0.25">
      <c r="A1363" s="2">
        <v>1516</v>
      </c>
      <c r="B1363" s="2" t="s">
        <v>79</v>
      </c>
      <c r="C1363" s="2">
        <v>15</v>
      </c>
      <c r="D1363" s="2">
        <f t="shared" si="210"/>
        <v>38.1</v>
      </c>
      <c r="E1363" s="2">
        <f t="shared" si="211"/>
        <v>12.127606663602425</v>
      </c>
      <c r="F1363" s="2">
        <f t="shared" si="212"/>
        <v>4.7746482927568605</v>
      </c>
      <c r="G1363" s="2">
        <v>4.1480309999999996</v>
      </c>
      <c r="H1363" s="2">
        <f t="shared" si="213"/>
        <v>13.609026026039999</v>
      </c>
      <c r="I1363" s="2">
        <f>INDEX('Wood Density Lookup'!$B$2:$B$152,MATCH(B1363,'Wood Density Lookup'!$A$2:$A$152,0))</f>
        <v>0.45</v>
      </c>
      <c r="J1363" s="2">
        <f t="shared" si="214"/>
        <v>16.147052757087028</v>
      </c>
      <c r="K1363" s="2">
        <f t="shared" si="218"/>
        <v>4.5211747719843682</v>
      </c>
      <c r="L1363" s="2">
        <f t="shared" si="219"/>
        <v>20.668227529071395</v>
      </c>
      <c r="M1363" s="2">
        <f t="shared" si="215"/>
        <v>14.98446495857676</v>
      </c>
      <c r="N1363" s="2">
        <f t="shared" si="216"/>
        <v>7.4922324792883801</v>
      </c>
      <c r="O1363" s="2">
        <f t="shared" si="217"/>
        <v>27.496493198988354</v>
      </c>
      <c r="P1363" s="2">
        <v>72.551460000000006</v>
      </c>
      <c r="Q1363" s="2">
        <v>23.034929999999999</v>
      </c>
    </row>
    <row r="1364" spans="1:17" x14ac:dyDescent="0.25">
      <c r="A1364" s="2">
        <v>1517</v>
      </c>
      <c r="B1364" s="2" t="s">
        <v>82</v>
      </c>
      <c r="C1364" s="2">
        <v>5</v>
      </c>
      <c r="D1364" s="2">
        <f t="shared" si="210"/>
        <v>12.7</v>
      </c>
      <c r="E1364" s="2">
        <f t="shared" si="211"/>
        <v>4.0425355545341413</v>
      </c>
      <c r="F1364" s="2">
        <f t="shared" si="212"/>
        <v>1.5915494309189535</v>
      </c>
      <c r="G1364" s="2">
        <v>2.0059499999999999</v>
      </c>
      <c r="H1364" s="2">
        <f t="shared" si="213"/>
        <v>6.5812009979999999</v>
      </c>
      <c r="I1364" s="2">
        <f>INDEX('Wood Density Lookup'!$B$2:$B$152,MATCH(B1364,'Wood Density Lookup'!$A$2:$A$152,0))</f>
        <v>0.7</v>
      </c>
      <c r="J1364" s="2">
        <f t="shared" si="214"/>
        <v>1.4324632346588266</v>
      </c>
      <c r="K1364" s="2">
        <f t="shared" si="218"/>
        <v>0.4010897057044715</v>
      </c>
      <c r="L1364" s="2">
        <f t="shared" si="219"/>
        <v>1.8335529403632982</v>
      </c>
      <c r="M1364" s="2">
        <f t="shared" si="215"/>
        <v>1.3293258817633911</v>
      </c>
      <c r="N1364" s="2">
        <f t="shared" si="216"/>
        <v>0.66466294088169553</v>
      </c>
      <c r="O1364" s="2">
        <f t="shared" si="217"/>
        <v>2.4393129930358226</v>
      </c>
      <c r="P1364" s="2">
        <v>72.551462999999998</v>
      </c>
      <c r="Q1364" s="2">
        <v>23.038775999999999</v>
      </c>
    </row>
    <row r="1365" spans="1:17" x14ac:dyDescent="0.25">
      <c r="A1365" s="2">
        <v>1518</v>
      </c>
      <c r="B1365" s="2" t="s">
        <v>82</v>
      </c>
      <c r="C1365" s="2">
        <v>12</v>
      </c>
      <c r="D1365" s="2">
        <f t="shared" si="210"/>
        <v>30.48</v>
      </c>
      <c r="E1365" s="2">
        <f t="shared" si="211"/>
        <v>9.7020853308819408</v>
      </c>
      <c r="F1365" s="2">
        <f t="shared" si="212"/>
        <v>3.8197186342054881</v>
      </c>
      <c r="G1365" s="2">
        <v>2.3150569999999999</v>
      </c>
      <c r="H1365" s="2">
        <f t="shared" si="213"/>
        <v>7.5953316078799995</v>
      </c>
      <c r="I1365" s="2">
        <f>INDEX('Wood Density Lookup'!$B$2:$B$152,MATCH(B1365,'Wood Density Lookup'!$A$2:$A$152,0))</f>
        <v>0.7</v>
      </c>
      <c r="J1365" s="2">
        <f t="shared" si="214"/>
        <v>9.0992084625917879</v>
      </c>
      <c r="K1365" s="2">
        <f t="shared" si="218"/>
        <v>2.5477783695257008</v>
      </c>
      <c r="L1365" s="2">
        <f t="shared" si="219"/>
        <v>11.646986832117488</v>
      </c>
      <c r="M1365" s="2">
        <f t="shared" si="215"/>
        <v>8.4440654532851784</v>
      </c>
      <c r="N1365" s="2">
        <f t="shared" si="216"/>
        <v>4.2220327266425892</v>
      </c>
      <c r="O1365" s="2">
        <f t="shared" si="217"/>
        <v>15.494860106778303</v>
      </c>
      <c r="P1365" s="2">
        <v>72.551464999999993</v>
      </c>
      <c r="Q1365" s="2">
        <v>23.038734999999999</v>
      </c>
    </row>
    <row r="1366" spans="1:17" x14ac:dyDescent="0.25">
      <c r="A1366" s="2">
        <v>1519</v>
      </c>
      <c r="B1366" s="2" t="s">
        <v>9</v>
      </c>
      <c r="C1366" s="2">
        <v>28</v>
      </c>
      <c r="D1366" s="2">
        <f t="shared" si="210"/>
        <v>71.12</v>
      </c>
      <c r="E1366" s="2">
        <f t="shared" si="211"/>
        <v>22.638199105391195</v>
      </c>
      <c r="F1366" s="2">
        <f t="shared" si="212"/>
        <v>8.91267681314614</v>
      </c>
      <c r="G1366" s="2">
        <v>4.0396970000000003</v>
      </c>
      <c r="H1366" s="2">
        <f t="shared" si="213"/>
        <v>13.25359950548</v>
      </c>
      <c r="I1366" s="2">
        <f>INDEX('Wood Density Lookup'!$B$2:$B$152,MATCH(B1366,'Wood Density Lookup'!$A$2:$A$152,0))</f>
        <v>0.42</v>
      </c>
      <c r="J1366" s="2">
        <f t="shared" si="214"/>
        <v>49.745538095738254</v>
      </c>
      <c r="K1366" s="2">
        <f t="shared" si="218"/>
        <v>13.928750666806712</v>
      </c>
      <c r="L1366" s="2">
        <f t="shared" si="219"/>
        <v>63.674288762544968</v>
      </c>
      <c r="M1366" s="2">
        <f t="shared" si="215"/>
        <v>46.163859352845101</v>
      </c>
      <c r="N1366" s="2">
        <f t="shared" si="216"/>
        <v>23.081929676422551</v>
      </c>
      <c r="O1366" s="2">
        <f t="shared" si="217"/>
        <v>84.710681912470761</v>
      </c>
      <c r="P1366" s="2">
        <v>72.551468999999997</v>
      </c>
      <c r="Q1366" s="2">
        <v>23.038671999999998</v>
      </c>
    </row>
    <row r="1367" spans="1:17" x14ac:dyDescent="0.25">
      <c r="A1367" s="2">
        <v>1521</v>
      </c>
      <c r="B1367" s="2" t="s">
        <v>9</v>
      </c>
      <c r="C1367" s="2">
        <v>41</v>
      </c>
      <c r="D1367" s="2">
        <f t="shared" si="210"/>
        <v>104.14</v>
      </c>
      <c r="E1367" s="2">
        <f t="shared" si="211"/>
        <v>33.148791547179961</v>
      </c>
      <c r="F1367" s="2">
        <f t="shared" si="212"/>
        <v>13.050705333535419</v>
      </c>
      <c r="G1367" s="2">
        <v>4.0060229999999999</v>
      </c>
      <c r="H1367" s="2">
        <f t="shared" si="213"/>
        <v>13.14312049932</v>
      </c>
      <c r="I1367" s="2">
        <f>INDEX('Wood Density Lookup'!$B$2:$B$152,MATCH(B1367,'Wood Density Lookup'!$A$2:$A$152,0))</f>
        <v>0.42</v>
      </c>
      <c r="J1367" s="2">
        <f t="shared" si="214"/>
        <v>103.87418736221584</v>
      </c>
      <c r="K1367" s="2">
        <f t="shared" si="218"/>
        <v>29.084772461420435</v>
      </c>
      <c r="L1367" s="2">
        <f t="shared" si="219"/>
        <v>132.95895982363626</v>
      </c>
      <c r="M1367" s="2">
        <f t="shared" si="215"/>
        <v>96.395245872136286</v>
      </c>
      <c r="N1367" s="2">
        <f t="shared" si="216"/>
        <v>48.197622936068143</v>
      </c>
      <c r="O1367" s="2">
        <f t="shared" si="217"/>
        <v>176.88527617537008</v>
      </c>
      <c r="P1367" s="2">
        <v>72.551478000000003</v>
      </c>
      <c r="Q1367" s="2">
        <v>23.038592999999999</v>
      </c>
    </row>
    <row r="1368" spans="1:17" x14ac:dyDescent="0.25">
      <c r="A1368" s="2">
        <v>1522</v>
      </c>
      <c r="B1368" s="2" t="s">
        <v>30</v>
      </c>
      <c r="C1368" s="2">
        <v>9</v>
      </c>
      <c r="D1368" s="2">
        <f t="shared" si="210"/>
        <v>22.86</v>
      </c>
      <c r="E1368" s="2">
        <f t="shared" si="211"/>
        <v>7.2765639981614552</v>
      </c>
      <c r="F1368" s="2">
        <f t="shared" si="212"/>
        <v>2.8647889756541161</v>
      </c>
      <c r="G1368" s="2">
        <v>2.004505</v>
      </c>
      <c r="H1368" s="2">
        <f t="shared" si="213"/>
        <v>6.5764601842000001</v>
      </c>
      <c r="I1368" s="2">
        <f>INDEX('Wood Density Lookup'!$B$2:$B$152,MATCH(B1368,'Wood Density Lookup'!$A$2:$A$152,0))</f>
        <v>0.2</v>
      </c>
      <c r="J1368" s="2">
        <f t="shared" si="214"/>
        <v>1.3275764939457784</v>
      </c>
      <c r="K1368" s="2">
        <f t="shared" si="218"/>
        <v>0.37172141830481797</v>
      </c>
      <c r="L1368" s="2">
        <f t="shared" si="219"/>
        <v>1.6992979122505965</v>
      </c>
      <c r="M1368" s="2">
        <f t="shared" si="215"/>
        <v>1.2319909863816825</v>
      </c>
      <c r="N1368" s="2">
        <f t="shared" si="216"/>
        <v>0.61599549319084124</v>
      </c>
      <c r="O1368" s="2">
        <f t="shared" si="217"/>
        <v>2.2607034600103875</v>
      </c>
      <c r="P1368" s="2">
        <v>72.551479999999998</v>
      </c>
      <c r="Q1368" s="2">
        <v>23.035136000000001</v>
      </c>
    </row>
    <row r="1369" spans="1:17" x14ac:dyDescent="0.25">
      <c r="A1369" s="2">
        <v>1523</v>
      </c>
      <c r="B1369" s="2" t="s">
        <v>103</v>
      </c>
      <c r="C1369" s="2">
        <v>11</v>
      </c>
      <c r="D1369" s="2">
        <f t="shared" si="210"/>
        <v>27.94</v>
      </c>
      <c r="E1369" s="2">
        <f t="shared" si="211"/>
        <v>8.8935782199751117</v>
      </c>
      <c r="F1369" s="2">
        <f t="shared" si="212"/>
        <v>3.5014087480216975</v>
      </c>
      <c r="G1369" s="2">
        <v>2.6490659999999999</v>
      </c>
      <c r="H1369" s="2">
        <f t="shared" si="213"/>
        <v>8.6911616954399999</v>
      </c>
      <c r="I1369" s="2">
        <f>INDEX('Wood Density Lookup'!$B$2:$B$152,MATCH(B1369,'Wood Density Lookup'!$A$2:$A$152,0))</f>
        <v>0.6</v>
      </c>
      <c r="J1369" s="2">
        <f t="shared" si="214"/>
        <v>7.5340174422830604</v>
      </c>
      <c r="K1369" s="2">
        <f t="shared" si="218"/>
        <v>2.1095248838392573</v>
      </c>
      <c r="L1369" s="2">
        <f t="shared" si="219"/>
        <v>9.6435423261223185</v>
      </c>
      <c r="M1369" s="2">
        <f t="shared" si="215"/>
        <v>6.9915681864386805</v>
      </c>
      <c r="N1369" s="2">
        <f t="shared" si="216"/>
        <v>3.4957840932193402</v>
      </c>
      <c r="O1369" s="2">
        <f t="shared" si="217"/>
        <v>12.829527622114979</v>
      </c>
      <c r="P1369" s="2">
        <v>72.551490999999999</v>
      </c>
      <c r="Q1369" s="2">
        <v>23.035139999999998</v>
      </c>
    </row>
    <row r="1370" spans="1:17" x14ac:dyDescent="0.25">
      <c r="A1370" s="2">
        <v>1524</v>
      </c>
      <c r="B1370" s="2" t="s">
        <v>111</v>
      </c>
      <c r="C1370" s="2">
        <v>17</v>
      </c>
      <c r="D1370" s="2">
        <f t="shared" si="210"/>
        <v>43.18</v>
      </c>
      <c r="E1370" s="2">
        <f t="shared" si="211"/>
        <v>13.744620885416081</v>
      </c>
      <c r="F1370" s="2">
        <f t="shared" si="212"/>
        <v>5.4112680651244416</v>
      </c>
      <c r="G1370" s="2">
        <v>4.888611</v>
      </c>
      <c r="H1370" s="2">
        <f t="shared" si="213"/>
        <v>16.03875051324</v>
      </c>
      <c r="I1370" s="2">
        <f>INDEX('Wood Density Lookup'!$B$2:$B$152,MATCH(B1370,'Wood Density Lookup'!$A$2:$A$152,0))</f>
        <v>0.4</v>
      </c>
      <c r="J1370" s="2">
        <f t="shared" si="214"/>
        <v>21.572764512188503</v>
      </c>
      <c r="K1370" s="2">
        <f t="shared" si="218"/>
        <v>6.0403740634127816</v>
      </c>
      <c r="L1370" s="2">
        <f t="shared" si="219"/>
        <v>27.613138575601283</v>
      </c>
      <c r="M1370" s="2">
        <f t="shared" si="215"/>
        <v>20.019525467310931</v>
      </c>
      <c r="N1370" s="2">
        <f t="shared" si="216"/>
        <v>10.009762733655466</v>
      </c>
      <c r="O1370" s="2">
        <f t="shared" si="217"/>
        <v>36.735829232515556</v>
      </c>
      <c r="P1370" s="2">
        <v>72.551492999999994</v>
      </c>
      <c r="Q1370" s="2">
        <v>23.034925000000001</v>
      </c>
    </row>
    <row r="1371" spans="1:17" x14ac:dyDescent="0.25">
      <c r="A1371" s="2">
        <v>1525</v>
      </c>
      <c r="B1371" s="2" t="s">
        <v>114</v>
      </c>
      <c r="C1371" s="2">
        <v>3</v>
      </c>
      <c r="D1371" s="2">
        <f t="shared" si="210"/>
        <v>7.62</v>
      </c>
      <c r="E1371" s="2">
        <f t="shared" si="211"/>
        <v>2.4255213327204852</v>
      </c>
      <c r="F1371" s="2">
        <f t="shared" si="212"/>
        <v>0.95492965855137202</v>
      </c>
      <c r="G1371" s="2">
        <v>1.1759759999999999</v>
      </c>
      <c r="H1371" s="2">
        <f t="shared" si="213"/>
        <v>3.8581890998399997</v>
      </c>
      <c r="I1371" s="2">
        <f>INDEX('Wood Density Lookup'!$B$2:$B$152,MATCH(B1371,'Wood Density Lookup'!$A$2:$A$152,0))</f>
        <v>0.55000000000000004</v>
      </c>
      <c r="J1371" s="2">
        <f t="shared" si="214"/>
        <v>0.24800332142180284</v>
      </c>
      <c r="K1371" s="2">
        <f t="shared" si="218"/>
        <v>6.9440929998104806E-2</v>
      </c>
      <c r="L1371" s="2">
        <f t="shared" si="219"/>
        <v>0.31744425141990762</v>
      </c>
      <c r="M1371" s="2">
        <f t="shared" si="215"/>
        <v>0.23014708227943301</v>
      </c>
      <c r="N1371" s="2">
        <f t="shared" si="216"/>
        <v>0.1150735411397165</v>
      </c>
      <c r="O1371" s="2">
        <f t="shared" si="217"/>
        <v>0.42231989598275954</v>
      </c>
      <c r="P1371" s="2">
        <v>72.551492999999994</v>
      </c>
      <c r="Q1371" s="2">
        <v>23.035582000000002</v>
      </c>
    </row>
    <row r="1372" spans="1:17" x14ac:dyDescent="0.25">
      <c r="A1372" s="2">
        <v>1526</v>
      </c>
      <c r="B1372" s="2" t="s">
        <v>15</v>
      </c>
      <c r="C1372" s="2">
        <v>42</v>
      </c>
      <c r="D1372" s="2">
        <f t="shared" si="210"/>
        <v>106.68</v>
      </c>
      <c r="E1372" s="2">
        <f t="shared" si="211"/>
        <v>33.957298658086792</v>
      </c>
      <c r="F1372" s="2">
        <f t="shared" si="212"/>
        <v>13.369015219719209</v>
      </c>
      <c r="G1372" s="2">
        <v>13.835804</v>
      </c>
      <c r="H1372" s="2">
        <f t="shared" si="213"/>
        <v>45.393059195359996</v>
      </c>
      <c r="I1372" s="2">
        <f>INDEX('Wood Density Lookup'!$B$2:$B$152,MATCH(B1372,'Wood Density Lookup'!$A$2:$A$152,0))</f>
        <v>0.75</v>
      </c>
      <c r="J1372" s="2">
        <f t="shared" si="214"/>
        <v>642.80112914650465</v>
      </c>
      <c r="K1372" s="2">
        <f t="shared" si="218"/>
        <v>179.98431616102133</v>
      </c>
      <c r="L1372" s="2">
        <f t="shared" si="219"/>
        <v>822.78544530752595</v>
      </c>
      <c r="M1372" s="2">
        <f t="shared" si="215"/>
        <v>596.51944784795626</v>
      </c>
      <c r="N1372" s="2">
        <f t="shared" si="216"/>
        <v>298.25972392397813</v>
      </c>
      <c r="O1372" s="2">
        <f t="shared" si="217"/>
        <v>1094.6131868009998</v>
      </c>
      <c r="P1372" s="2">
        <v>72.551497999999995</v>
      </c>
      <c r="Q1372" s="2">
        <v>23.036674999999999</v>
      </c>
    </row>
    <row r="1373" spans="1:17" x14ac:dyDescent="0.25">
      <c r="A1373" s="2">
        <v>1527</v>
      </c>
      <c r="B1373" s="2" t="s">
        <v>31</v>
      </c>
      <c r="C1373" s="2">
        <v>2</v>
      </c>
      <c r="D1373" s="2">
        <f t="shared" si="210"/>
        <v>5.08</v>
      </c>
      <c r="E1373" s="2">
        <f t="shared" si="211"/>
        <v>1.6170142218136567</v>
      </c>
      <c r="F1373" s="2">
        <f t="shared" si="212"/>
        <v>0.63661977236758138</v>
      </c>
      <c r="G1373" s="2">
        <v>12.390288999999999</v>
      </c>
      <c r="H1373" s="2">
        <f t="shared" si="213"/>
        <v>40.65055576276</v>
      </c>
      <c r="I1373" s="2">
        <f>INDEX('Wood Density Lookup'!$B$2:$B$152,MATCH(B1373,'Wood Density Lookup'!$A$2:$A$152,0))</f>
        <v>0.78</v>
      </c>
      <c r="J1373" s="2">
        <f t="shared" si="214"/>
        <v>1.5738244687781258</v>
      </c>
      <c r="K1373" s="2">
        <f t="shared" si="218"/>
        <v>0.44067085125787525</v>
      </c>
      <c r="L1373" s="2">
        <f t="shared" si="219"/>
        <v>2.014495320036001</v>
      </c>
      <c r="M1373" s="2">
        <f t="shared" si="215"/>
        <v>1.4605091070261007</v>
      </c>
      <c r="N1373" s="2">
        <f t="shared" si="216"/>
        <v>0.73025455351305035</v>
      </c>
      <c r="O1373" s="2">
        <f t="shared" si="217"/>
        <v>2.6800342113928948</v>
      </c>
      <c r="P1373" s="2">
        <v>72.551506000000003</v>
      </c>
      <c r="Q1373" s="2">
        <v>23.03659</v>
      </c>
    </row>
    <row r="1374" spans="1:17" x14ac:dyDescent="0.25">
      <c r="A1374" s="2">
        <v>1528</v>
      </c>
      <c r="B1374" s="2" t="s">
        <v>30</v>
      </c>
      <c r="C1374" s="2">
        <v>7</v>
      </c>
      <c r="D1374" s="2">
        <f t="shared" si="210"/>
        <v>17.78</v>
      </c>
      <c r="E1374" s="2">
        <f t="shared" si="211"/>
        <v>5.6595497763477987</v>
      </c>
      <c r="F1374" s="2">
        <f t="shared" si="212"/>
        <v>2.228169203286535</v>
      </c>
      <c r="G1374" s="2">
        <v>3.4485679999999999</v>
      </c>
      <c r="H1374" s="2">
        <f t="shared" si="213"/>
        <v>11.31419983712</v>
      </c>
      <c r="I1374" s="2">
        <f>INDEX('Wood Density Lookup'!$B$2:$B$152,MATCH(B1374,'Wood Density Lookup'!$A$2:$A$152,0))</f>
        <v>0.2</v>
      </c>
      <c r="J1374" s="2">
        <f t="shared" si="214"/>
        <v>1.3803398952632233</v>
      </c>
      <c r="K1374" s="2">
        <f t="shared" si="218"/>
        <v>0.38649517067370259</v>
      </c>
      <c r="L1374" s="2">
        <f t="shared" si="219"/>
        <v>1.7668350659369259</v>
      </c>
      <c r="M1374" s="2">
        <f t="shared" si="215"/>
        <v>1.2809554228042712</v>
      </c>
      <c r="N1374" s="2">
        <f t="shared" si="216"/>
        <v>0.64047771140213561</v>
      </c>
      <c r="O1374" s="2">
        <f t="shared" si="217"/>
        <v>2.3505532008458379</v>
      </c>
      <c r="P1374" s="2">
        <v>72.551507000000001</v>
      </c>
      <c r="Q1374" s="2">
        <v>23.035138</v>
      </c>
    </row>
    <row r="1375" spans="1:17" x14ac:dyDescent="0.25">
      <c r="A1375" s="2">
        <v>1529</v>
      </c>
      <c r="B1375" s="2" t="s">
        <v>130</v>
      </c>
      <c r="C1375" s="2">
        <v>12</v>
      </c>
      <c r="D1375" s="2">
        <f t="shared" si="210"/>
        <v>30.48</v>
      </c>
      <c r="E1375" s="2">
        <f t="shared" si="211"/>
        <v>9.7020853308819408</v>
      </c>
      <c r="F1375" s="2">
        <f t="shared" si="212"/>
        <v>3.8197186342054881</v>
      </c>
      <c r="G1375" s="2">
        <v>9.3743440000000007</v>
      </c>
      <c r="H1375" s="2">
        <f t="shared" si="213"/>
        <v>30.755722768960002</v>
      </c>
      <c r="I1375" s="2">
        <f>INDEX('Wood Density Lookup'!$B$2:$B$152,MATCH(B1375,'Wood Density Lookup'!$A$2:$A$152,0))</f>
        <v>0.45</v>
      </c>
      <c r="J1375" s="2">
        <f t="shared" si="214"/>
        <v>23.148637726857725</v>
      </c>
      <c r="K1375" s="2">
        <f t="shared" si="218"/>
        <v>6.481618563520164</v>
      </c>
      <c r="L1375" s="2">
        <f t="shared" si="219"/>
        <v>29.63025629037789</v>
      </c>
      <c r="M1375" s="2">
        <f t="shared" si="215"/>
        <v>21.481935810523968</v>
      </c>
      <c r="N1375" s="2">
        <f t="shared" si="216"/>
        <v>10.740967905261984</v>
      </c>
      <c r="O1375" s="2">
        <f t="shared" si="217"/>
        <v>39.41935221231148</v>
      </c>
      <c r="P1375" s="2">
        <v>72.551509999999993</v>
      </c>
      <c r="Q1375" s="2">
        <v>23.035377</v>
      </c>
    </row>
    <row r="1376" spans="1:17" x14ac:dyDescent="0.25">
      <c r="A1376" s="2">
        <v>1531</v>
      </c>
      <c r="B1376" s="2" t="s">
        <v>145</v>
      </c>
      <c r="C1376" s="2">
        <v>8</v>
      </c>
      <c r="D1376" s="2">
        <f t="shared" si="210"/>
        <v>20.32</v>
      </c>
      <c r="E1376" s="2">
        <f t="shared" si="211"/>
        <v>6.4680568872546269</v>
      </c>
      <c r="F1376" s="2">
        <f t="shared" si="212"/>
        <v>2.5464790894703255</v>
      </c>
      <c r="G1376" s="2">
        <v>3.789895</v>
      </c>
      <c r="H1376" s="2">
        <f t="shared" si="213"/>
        <v>12.434039111800001</v>
      </c>
      <c r="I1376" s="2">
        <f>INDEX('Wood Density Lookup'!$B$2:$B$152,MATCH(B1376,'Wood Density Lookup'!$A$2:$A$152,0))</f>
        <v>0.55000000000000004</v>
      </c>
      <c r="J1376" s="2">
        <f t="shared" si="214"/>
        <v>5.2720520916607772</v>
      </c>
      <c r="K1376" s="2">
        <f t="shared" si="218"/>
        <v>1.4761745856650177</v>
      </c>
      <c r="L1376" s="2">
        <f t="shared" si="219"/>
        <v>6.7482266773257944</v>
      </c>
      <c r="M1376" s="2">
        <f t="shared" si="215"/>
        <v>4.892464341061201</v>
      </c>
      <c r="N1376" s="2">
        <f t="shared" si="216"/>
        <v>2.4462321705306005</v>
      </c>
      <c r="O1376" s="2">
        <f t="shared" si="217"/>
        <v>8.9776720658473028</v>
      </c>
      <c r="P1376" s="2">
        <v>72.551514999999995</v>
      </c>
      <c r="Q1376" s="2">
        <v>23.038636</v>
      </c>
    </row>
    <row r="1377" spans="1:17" x14ac:dyDescent="0.25">
      <c r="A1377" s="2">
        <v>1532</v>
      </c>
      <c r="B1377" s="2" t="s">
        <v>9</v>
      </c>
      <c r="C1377" s="2">
        <v>87</v>
      </c>
      <c r="D1377" s="2">
        <f t="shared" si="210"/>
        <v>220.98</v>
      </c>
      <c r="E1377" s="2">
        <f t="shared" si="211"/>
        <v>70.340118648894062</v>
      </c>
      <c r="F1377" s="2">
        <f t="shared" si="212"/>
        <v>27.69296009798979</v>
      </c>
      <c r="G1377" s="2">
        <v>8.039453</v>
      </c>
      <c r="H1377" s="2">
        <f t="shared" si="213"/>
        <v>26.37615898052</v>
      </c>
      <c r="I1377" s="2">
        <f>INDEX('Wood Density Lookup'!$B$2:$B$152,MATCH(B1377,'Wood Density Lookup'!$A$2:$A$152,0))</f>
        <v>0.42</v>
      </c>
      <c r="J1377" s="2">
        <f t="shared" si="214"/>
        <v>890.32359020129843</v>
      </c>
      <c r="K1377" s="2">
        <f t="shared" si="218"/>
        <v>249.29060525636359</v>
      </c>
      <c r="L1377" s="2">
        <f t="shared" si="219"/>
        <v>1139.6141954576619</v>
      </c>
      <c r="M1377" s="2">
        <f t="shared" si="215"/>
        <v>826.22029170680491</v>
      </c>
      <c r="N1377" s="2">
        <f t="shared" si="216"/>
        <v>413.11014585340246</v>
      </c>
      <c r="O1377" s="2">
        <f t="shared" si="217"/>
        <v>1516.114235281987</v>
      </c>
      <c r="P1377" s="2">
        <v>72.551516000000007</v>
      </c>
      <c r="Q1377" s="2">
        <v>23.037973000000001</v>
      </c>
    </row>
    <row r="1378" spans="1:17" x14ac:dyDescent="0.25">
      <c r="A1378" s="2">
        <v>1533</v>
      </c>
      <c r="B1378" s="2" t="s">
        <v>111</v>
      </c>
      <c r="C1378" s="2">
        <v>8</v>
      </c>
      <c r="D1378" s="2">
        <f t="shared" si="210"/>
        <v>20.32</v>
      </c>
      <c r="E1378" s="2">
        <f t="shared" si="211"/>
        <v>6.4680568872546269</v>
      </c>
      <c r="F1378" s="2">
        <f t="shared" si="212"/>
        <v>2.5464790894703255</v>
      </c>
      <c r="G1378" s="2">
        <v>8.9365190000000005</v>
      </c>
      <c r="H1378" s="2">
        <f t="shared" si="213"/>
        <v>29.319288995960001</v>
      </c>
      <c r="I1378" s="2">
        <f>INDEX('Wood Density Lookup'!$B$2:$B$152,MATCH(B1378,'Wood Density Lookup'!$A$2:$A$152,0))</f>
        <v>0.4</v>
      </c>
      <c r="J1378" s="2">
        <f t="shared" si="214"/>
        <v>8.9247585503319655</v>
      </c>
      <c r="K1378" s="2">
        <f t="shared" si="218"/>
        <v>2.4989323940929506</v>
      </c>
      <c r="L1378" s="2">
        <f t="shared" si="219"/>
        <v>11.423690944424916</v>
      </c>
      <c r="M1378" s="2">
        <f t="shared" si="215"/>
        <v>8.2821759347080643</v>
      </c>
      <c r="N1378" s="2">
        <f t="shared" si="216"/>
        <v>4.1410879673540322</v>
      </c>
      <c r="O1378" s="2">
        <f t="shared" si="217"/>
        <v>15.197792840189297</v>
      </c>
      <c r="P1378" s="2">
        <v>72.551519999999996</v>
      </c>
      <c r="Q1378" s="2">
        <v>23.035377</v>
      </c>
    </row>
    <row r="1379" spans="1:17" x14ac:dyDescent="0.25">
      <c r="A1379" s="2">
        <v>1534</v>
      </c>
      <c r="B1379" s="2" t="s">
        <v>130</v>
      </c>
      <c r="C1379" s="2">
        <v>8</v>
      </c>
      <c r="D1379" s="2">
        <f t="shared" si="210"/>
        <v>20.32</v>
      </c>
      <c r="E1379" s="2">
        <f t="shared" si="211"/>
        <v>6.4680568872546269</v>
      </c>
      <c r="F1379" s="2">
        <f t="shared" si="212"/>
        <v>2.5464790894703255</v>
      </c>
      <c r="G1379" s="2">
        <v>6.9343060000000003</v>
      </c>
      <c r="H1379" s="2">
        <f t="shared" si="213"/>
        <v>22.750348497040001</v>
      </c>
      <c r="I1379" s="2">
        <f>INDEX('Wood Density Lookup'!$B$2:$B$152,MATCH(B1379,'Wood Density Lookup'!$A$2:$A$152,0))</f>
        <v>0.45</v>
      </c>
      <c r="J1379" s="2">
        <f t="shared" si="214"/>
        <v>7.8162767146937471</v>
      </c>
      <c r="K1379" s="2">
        <f t="shared" si="218"/>
        <v>2.1885574801142496</v>
      </c>
      <c r="L1379" s="2">
        <f t="shared" si="219"/>
        <v>10.004834194807996</v>
      </c>
      <c r="M1379" s="2">
        <f t="shared" si="215"/>
        <v>7.2535047912357973</v>
      </c>
      <c r="N1379" s="2">
        <f t="shared" si="216"/>
        <v>3.6267523956178986</v>
      </c>
      <c r="O1379" s="2">
        <f t="shared" si="217"/>
        <v>13.310181291917688</v>
      </c>
      <c r="P1379" s="2">
        <v>72.551523000000003</v>
      </c>
      <c r="Q1379" s="2">
        <v>23.035357000000001</v>
      </c>
    </row>
    <row r="1380" spans="1:17" x14ac:dyDescent="0.25">
      <c r="A1380" s="2">
        <v>1535</v>
      </c>
      <c r="B1380" s="2" t="s">
        <v>111</v>
      </c>
      <c r="C1380" s="2">
        <v>7</v>
      </c>
      <c r="D1380" s="2">
        <f t="shared" si="210"/>
        <v>17.78</v>
      </c>
      <c r="E1380" s="2">
        <f t="shared" si="211"/>
        <v>5.6595497763477987</v>
      </c>
      <c r="F1380" s="2">
        <f t="shared" si="212"/>
        <v>2.228169203286535</v>
      </c>
      <c r="G1380" s="2">
        <v>4.0461619999999998</v>
      </c>
      <c r="H1380" s="2">
        <f t="shared" si="213"/>
        <v>13.274810136079999</v>
      </c>
      <c r="I1380" s="2">
        <f>INDEX('Wood Density Lookup'!$B$2:$B$152,MATCH(B1380,'Wood Density Lookup'!$A$2:$A$152,0))</f>
        <v>0.4</v>
      </c>
      <c r="J1380" s="2">
        <f t="shared" si="214"/>
        <v>3.1734384676179119</v>
      </c>
      <c r="K1380" s="2">
        <f t="shared" si="218"/>
        <v>0.88856277093301539</v>
      </c>
      <c r="L1380" s="2">
        <f t="shared" si="219"/>
        <v>4.062001238550927</v>
      </c>
      <c r="M1380" s="2">
        <f t="shared" si="215"/>
        <v>2.9449508979494219</v>
      </c>
      <c r="N1380" s="2">
        <f t="shared" si="216"/>
        <v>1.4724754489747109</v>
      </c>
      <c r="O1380" s="2">
        <f t="shared" si="217"/>
        <v>5.4039848977371889</v>
      </c>
      <c r="P1380" s="2">
        <v>72.551525999999996</v>
      </c>
      <c r="Q1380" s="2">
        <v>23.034929999999999</v>
      </c>
    </row>
    <row r="1381" spans="1:17" x14ac:dyDescent="0.25">
      <c r="A1381" s="2">
        <v>1536</v>
      </c>
      <c r="B1381" s="2" t="s">
        <v>133</v>
      </c>
      <c r="C1381" s="2">
        <v>13</v>
      </c>
      <c r="D1381" s="2">
        <f t="shared" si="210"/>
        <v>33.020000000000003</v>
      </c>
      <c r="E1381" s="2">
        <f t="shared" si="211"/>
        <v>10.51059244178877</v>
      </c>
      <c r="F1381" s="2">
        <f t="shared" si="212"/>
        <v>4.1380285203892786</v>
      </c>
      <c r="G1381" s="2">
        <v>10.039690999999999</v>
      </c>
      <c r="H1381" s="2">
        <f t="shared" si="213"/>
        <v>32.938619820439996</v>
      </c>
      <c r="I1381" s="2">
        <f>INDEX('Wood Density Lookup'!$B$2:$B$152,MATCH(B1381,'Wood Density Lookup'!$A$2:$A$152,0))</f>
        <v>0.55000000000000004</v>
      </c>
      <c r="J1381" s="2">
        <f t="shared" si="214"/>
        <v>35.196898379442189</v>
      </c>
      <c r="K1381" s="2">
        <f t="shared" si="218"/>
        <v>9.8551315462438129</v>
      </c>
      <c r="L1381" s="2">
        <f t="shared" si="219"/>
        <v>45.052029925686</v>
      </c>
      <c r="M1381" s="2">
        <f t="shared" si="215"/>
        <v>32.662721696122347</v>
      </c>
      <c r="N1381" s="2">
        <f t="shared" si="216"/>
        <v>16.331360848061173</v>
      </c>
      <c r="O1381" s="2">
        <f t="shared" si="217"/>
        <v>59.936094312384505</v>
      </c>
      <c r="P1381" s="2">
        <v>72.551528000000005</v>
      </c>
      <c r="Q1381" s="2">
        <v>23.035596999999999</v>
      </c>
    </row>
    <row r="1382" spans="1:17" x14ac:dyDescent="0.25">
      <c r="A1382" s="2">
        <v>1537</v>
      </c>
      <c r="B1382" s="2" t="s">
        <v>7</v>
      </c>
      <c r="C1382" s="2">
        <v>5</v>
      </c>
      <c r="D1382" s="2">
        <f t="shared" si="210"/>
        <v>12.7</v>
      </c>
      <c r="E1382" s="2">
        <f t="shared" si="211"/>
        <v>4.0425355545341413</v>
      </c>
      <c r="F1382" s="2">
        <f t="shared" si="212"/>
        <v>1.5915494309189535</v>
      </c>
      <c r="G1382" s="2">
        <v>2.3324569999999998</v>
      </c>
      <c r="H1382" s="2">
        <f t="shared" si="213"/>
        <v>7.6524182238799989</v>
      </c>
      <c r="I1382" s="2">
        <f>INDEX('Wood Density Lookup'!$B$2:$B$152,MATCH(B1382,'Wood Density Lookup'!$A$2:$A$152,0))</f>
        <v>0.5</v>
      </c>
      <c r="J1382" s="2">
        <f t="shared" si="214"/>
        <v>1.1950448889811001</v>
      </c>
      <c r="K1382" s="2">
        <f t="shared" si="218"/>
        <v>0.33461256891470803</v>
      </c>
      <c r="L1382" s="2">
        <f t="shared" si="219"/>
        <v>1.5296574578958082</v>
      </c>
      <c r="M1382" s="2">
        <f t="shared" si="215"/>
        <v>1.109001656974461</v>
      </c>
      <c r="N1382" s="2">
        <f t="shared" si="216"/>
        <v>0.55450082848723048</v>
      </c>
      <c r="O1382" s="2">
        <f t="shared" si="217"/>
        <v>2.035018040548136</v>
      </c>
      <c r="P1382" s="2">
        <v>72.551535000000001</v>
      </c>
      <c r="Q1382" s="2">
        <v>23.035143999999999</v>
      </c>
    </row>
    <row r="1383" spans="1:17" x14ac:dyDescent="0.25">
      <c r="A1383" s="2">
        <v>1538</v>
      </c>
      <c r="B1383" s="2" t="s">
        <v>137</v>
      </c>
      <c r="C1383" s="2">
        <v>26</v>
      </c>
      <c r="D1383" s="2">
        <f t="shared" si="210"/>
        <v>66.040000000000006</v>
      </c>
      <c r="E1383" s="2">
        <f t="shared" si="211"/>
        <v>21.02118488357754</v>
      </c>
      <c r="F1383" s="2">
        <f t="shared" si="212"/>
        <v>8.2760570407785572</v>
      </c>
      <c r="G1383" s="2">
        <v>9.1855370000000001</v>
      </c>
      <c r="H1383" s="2">
        <f t="shared" si="213"/>
        <v>30.136277211079999</v>
      </c>
      <c r="I1383" s="2">
        <f>INDEX('Wood Density Lookup'!$B$2:$B$152,MATCH(B1383,'Wood Density Lookup'!$A$2:$A$152,0))</f>
        <v>0.55000000000000004</v>
      </c>
      <c r="J1383" s="2">
        <f t="shared" si="214"/>
        <v>124.86074716334777</v>
      </c>
      <c r="K1383" s="2">
        <f t="shared" si="218"/>
        <v>34.961009205737376</v>
      </c>
      <c r="L1383" s="2">
        <f t="shared" si="219"/>
        <v>159.82175636908514</v>
      </c>
      <c r="M1383" s="2">
        <f t="shared" si="215"/>
        <v>115.87077336758672</v>
      </c>
      <c r="N1383" s="2">
        <f t="shared" si="216"/>
        <v>57.935386683793361</v>
      </c>
      <c r="O1383" s="2">
        <f t="shared" si="217"/>
        <v>212.62286912952163</v>
      </c>
      <c r="P1383" s="2">
        <v>72.551535999999999</v>
      </c>
      <c r="Q1383" s="2">
        <v>23.035309000000002</v>
      </c>
    </row>
    <row r="1384" spans="1:17" x14ac:dyDescent="0.25">
      <c r="A1384" s="2">
        <v>1539</v>
      </c>
      <c r="B1384" s="2" t="s">
        <v>59</v>
      </c>
      <c r="C1384" s="2">
        <v>107</v>
      </c>
      <c r="D1384" s="2">
        <f t="shared" si="210"/>
        <v>271.78000000000003</v>
      </c>
      <c r="E1384" s="2">
        <f t="shared" si="211"/>
        <v>86.510260867030638</v>
      </c>
      <c r="F1384" s="2">
        <f t="shared" si="212"/>
        <v>34.0591578216656</v>
      </c>
      <c r="G1384" s="2">
        <v>17.951125000000001</v>
      </c>
      <c r="H1384" s="2">
        <f t="shared" si="213"/>
        <v>58.894768945000003</v>
      </c>
      <c r="I1384" s="2">
        <f>INDEX('Wood Density Lookup'!$B$2:$B$152,MATCH(B1384,'Wood Density Lookup'!$A$2:$A$152,0))</f>
        <v>0.45</v>
      </c>
      <c r="J1384" s="2">
        <f t="shared" si="214"/>
        <v>3123.9203053990441</v>
      </c>
      <c r="K1384" s="2">
        <f t="shared" si="218"/>
        <v>874.6976855117324</v>
      </c>
      <c r="L1384" s="2">
        <f t="shared" si="219"/>
        <v>3998.6179909107764</v>
      </c>
      <c r="M1384" s="2">
        <f t="shared" si="215"/>
        <v>2898.9980434103127</v>
      </c>
      <c r="N1384" s="2">
        <f t="shared" si="216"/>
        <v>1449.4990217051563</v>
      </c>
      <c r="O1384" s="2">
        <f t="shared" si="217"/>
        <v>5319.6614096579233</v>
      </c>
      <c r="P1384" s="2">
        <v>72.551537999999994</v>
      </c>
      <c r="Q1384" s="2">
        <v>23.034465999999998</v>
      </c>
    </row>
    <row r="1385" spans="1:17" x14ac:dyDescent="0.25">
      <c r="A1385" s="2">
        <v>1540</v>
      </c>
      <c r="B1385" s="2" t="s">
        <v>9</v>
      </c>
      <c r="C1385" s="2">
        <v>17</v>
      </c>
      <c r="D1385" s="2">
        <f t="shared" si="210"/>
        <v>43.18</v>
      </c>
      <c r="E1385" s="2">
        <f t="shared" si="211"/>
        <v>13.744620885416081</v>
      </c>
      <c r="F1385" s="2">
        <f t="shared" si="212"/>
        <v>5.4112680651244416</v>
      </c>
      <c r="G1385" s="2">
        <v>6.1631239999999998</v>
      </c>
      <c r="H1385" s="2">
        <f t="shared" si="213"/>
        <v>20.220223744159998</v>
      </c>
      <c r="I1385" s="2">
        <f>INDEX('Wood Density Lookup'!$B$2:$B$152,MATCH(B1385,'Wood Density Lookup'!$A$2:$A$152,0))</f>
        <v>0.42</v>
      </c>
      <c r="J1385" s="2">
        <f t="shared" si="214"/>
        <v>28.365289047802051</v>
      </c>
      <c r="K1385" s="2">
        <f t="shared" si="218"/>
        <v>7.9422809333845752</v>
      </c>
      <c r="L1385" s="2">
        <f t="shared" si="219"/>
        <v>36.307569981186624</v>
      </c>
      <c r="M1385" s="2">
        <f t="shared" si="215"/>
        <v>26.322988236360302</v>
      </c>
      <c r="N1385" s="2">
        <f t="shared" si="216"/>
        <v>13.161494118180151</v>
      </c>
      <c r="O1385" s="2">
        <f t="shared" si="217"/>
        <v>48.302683413721155</v>
      </c>
      <c r="P1385" s="2">
        <v>72.551540000000003</v>
      </c>
      <c r="Q1385" s="2">
        <v>23.038729</v>
      </c>
    </row>
    <row r="1386" spans="1:17" x14ac:dyDescent="0.25">
      <c r="A1386" s="2">
        <v>1541</v>
      </c>
      <c r="B1386" s="2" t="s">
        <v>111</v>
      </c>
      <c r="C1386" s="2">
        <v>6</v>
      </c>
      <c r="D1386" s="2">
        <f t="shared" si="210"/>
        <v>15.24</v>
      </c>
      <c r="E1386" s="2">
        <f t="shared" si="211"/>
        <v>4.8510426654409704</v>
      </c>
      <c r="F1386" s="2">
        <f t="shared" si="212"/>
        <v>1.909859317102744</v>
      </c>
      <c r="G1386" s="2">
        <v>8.4640439999999995</v>
      </c>
      <c r="H1386" s="2">
        <f t="shared" si="213"/>
        <v>27.769174116959999</v>
      </c>
      <c r="I1386" s="2">
        <f>INDEX('Wood Density Lookup'!$B$2:$B$152,MATCH(B1386,'Wood Density Lookup'!$A$2:$A$152,0))</f>
        <v>0.4</v>
      </c>
      <c r="J1386" s="2">
        <f t="shared" si="214"/>
        <v>4.827160758341015</v>
      </c>
      <c r="K1386" s="2">
        <f t="shared" si="218"/>
        <v>1.3516050123354844</v>
      </c>
      <c r="L1386" s="2">
        <f t="shared" si="219"/>
        <v>6.1787657706764989</v>
      </c>
      <c r="M1386" s="2">
        <f t="shared" si="215"/>
        <v>4.4796051837404613</v>
      </c>
      <c r="N1386" s="2">
        <f t="shared" si="216"/>
        <v>2.2398025918702307</v>
      </c>
      <c r="O1386" s="2">
        <f t="shared" si="217"/>
        <v>8.2200755121637457</v>
      </c>
      <c r="P1386" s="2">
        <v>72.551541</v>
      </c>
      <c r="Q1386" s="2">
        <v>23.034932000000001</v>
      </c>
    </row>
    <row r="1387" spans="1:17" x14ac:dyDescent="0.25">
      <c r="A1387" s="2">
        <v>1542</v>
      </c>
      <c r="B1387" s="2" t="s">
        <v>135</v>
      </c>
      <c r="C1387" s="2">
        <v>8</v>
      </c>
      <c r="D1387" s="2">
        <f t="shared" si="210"/>
        <v>20.32</v>
      </c>
      <c r="E1387" s="2">
        <f t="shared" si="211"/>
        <v>6.4680568872546269</v>
      </c>
      <c r="F1387" s="2">
        <f t="shared" si="212"/>
        <v>2.5464790894703255</v>
      </c>
      <c r="G1387" s="2">
        <v>2.3034210000000002</v>
      </c>
      <c r="H1387" s="2">
        <f t="shared" si="213"/>
        <v>7.5571557536400009</v>
      </c>
      <c r="I1387" s="2">
        <f>INDEX('Wood Density Lookup'!$B$2:$B$152,MATCH(B1387,'Wood Density Lookup'!$A$2:$A$152,0))</f>
        <v>0.8</v>
      </c>
      <c r="J1387" s="2">
        <f t="shared" si="214"/>
        <v>4.6745280664258742</v>
      </c>
      <c r="K1387" s="2">
        <f t="shared" si="218"/>
        <v>1.3088678585992448</v>
      </c>
      <c r="L1387" s="2">
        <f t="shared" si="219"/>
        <v>5.9833959250251194</v>
      </c>
      <c r="M1387" s="2">
        <f t="shared" si="215"/>
        <v>4.3379620456432111</v>
      </c>
      <c r="N1387" s="2">
        <f t="shared" si="216"/>
        <v>2.1689810228216055</v>
      </c>
      <c r="O1387" s="2">
        <f t="shared" si="217"/>
        <v>7.9601603537552919</v>
      </c>
      <c r="P1387" s="2">
        <v>72.551541</v>
      </c>
      <c r="Q1387" s="2">
        <v>23.035146000000001</v>
      </c>
    </row>
    <row r="1388" spans="1:17" x14ac:dyDescent="0.25">
      <c r="A1388" s="2">
        <v>1543</v>
      </c>
      <c r="B1388" s="2" t="s">
        <v>31</v>
      </c>
      <c r="C1388" s="2">
        <v>3</v>
      </c>
      <c r="D1388" s="2">
        <f t="shared" si="210"/>
        <v>7.62</v>
      </c>
      <c r="E1388" s="2">
        <f t="shared" si="211"/>
        <v>2.4255213327204852</v>
      </c>
      <c r="F1388" s="2">
        <f t="shared" si="212"/>
        <v>0.95492965855137202</v>
      </c>
      <c r="G1388" s="2">
        <v>13.205572</v>
      </c>
      <c r="H1388" s="2">
        <f t="shared" si="213"/>
        <v>43.325368840480003</v>
      </c>
      <c r="I1388" s="2">
        <f>INDEX('Wood Density Lookup'!$B$2:$B$152,MATCH(B1388,'Wood Density Lookup'!$A$2:$A$152,0))</f>
        <v>0.78</v>
      </c>
      <c r="J1388" s="2">
        <f t="shared" si="214"/>
        <v>3.6957109203200922</v>
      </c>
      <c r="K1388" s="2">
        <f t="shared" si="218"/>
        <v>1.034799057689626</v>
      </c>
      <c r="L1388" s="2">
        <f t="shared" si="219"/>
        <v>4.7305099780097182</v>
      </c>
      <c r="M1388" s="2">
        <f t="shared" si="215"/>
        <v>3.4296197340570456</v>
      </c>
      <c r="N1388" s="2">
        <f t="shared" si="216"/>
        <v>1.7148098670285228</v>
      </c>
      <c r="O1388" s="2">
        <f t="shared" si="217"/>
        <v>6.2933522119946783</v>
      </c>
      <c r="P1388" s="2">
        <v>72.551541</v>
      </c>
      <c r="Q1388" s="2">
        <v>23.036594000000001</v>
      </c>
    </row>
    <row r="1389" spans="1:17" x14ac:dyDescent="0.25">
      <c r="A1389" s="2">
        <v>1544</v>
      </c>
      <c r="B1389" s="2" t="s">
        <v>9</v>
      </c>
      <c r="C1389" s="2">
        <v>57</v>
      </c>
      <c r="D1389" s="2">
        <f t="shared" si="210"/>
        <v>144.78</v>
      </c>
      <c r="E1389" s="2">
        <f t="shared" si="211"/>
        <v>46.084905321689213</v>
      </c>
      <c r="F1389" s="2">
        <f t="shared" si="212"/>
        <v>18.143663512476071</v>
      </c>
      <c r="G1389" s="2">
        <v>10.077871999999999</v>
      </c>
      <c r="H1389" s="2">
        <f t="shared" si="213"/>
        <v>33.063885572479997</v>
      </c>
      <c r="I1389" s="2">
        <f>INDEX('Wood Density Lookup'!$B$2:$B$152,MATCH(B1389,'Wood Density Lookup'!$A$2:$A$152,0))</f>
        <v>0.42</v>
      </c>
      <c r="J1389" s="2">
        <f t="shared" si="214"/>
        <v>486.25148335926605</v>
      </c>
      <c r="K1389" s="2">
        <f t="shared" si="218"/>
        <v>136.15041534059449</v>
      </c>
      <c r="L1389" s="2">
        <f t="shared" si="219"/>
        <v>622.40189869986057</v>
      </c>
      <c r="M1389" s="2">
        <f t="shared" si="215"/>
        <v>451.24137655739889</v>
      </c>
      <c r="N1389" s="2">
        <f t="shared" si="216"/>
        <v>225.62068827869945</v>
      </c>
      <c r="O1389" s="2">
        <f t="shared" si="217"/>
        <v>828.0279259828269</v>
      </c>
      <c r="P1389" s="2">
        <v>72.551541999999998</v>
      </c>
      <c r="Q1389" s="2">
        <v>23.037849999999999</v>
      </c>
    </row>
    <row r="1390" spans="1:17" x14ac:dyDescent="0.25">
      <c r="A1390" s="2">
        <v>1545</v>
      </c>
      <c r="B1390" s="2" t="s">
        <v>15</v>
      </c>
      <c r="C1390" s="2">
        <v>23</v>
      </c>
      <c r="D1390" s="2">
        <f t="shared" si="210"/>
        <v>58.42</v>
      </c>
      <c r="E1390" s="2">
        <f t="shared" si="211"/>
        <v>18.595663550857051</v>
      </c>
      <c r="F1390" s="2">
        <f t="shared" si="212"/>
        <v>7.3211273822271856</v>
      </c>
      <c r="G1390" s="2">
        <v>9.2447929999999996</v>
      </c>
      <c r="H1390" s="2">
        <f t="shared" si="213"/>
        <v>30.330686666119998</v>
      </c>
      <c r="I1390" s="2">
        <f>INDEX('Wood Density Lookup'!$B$2:$B$152,MATCH(B1390,'Wood Density Lookup'!$A$2:$A$152,0))</f>
        <v>0.75</v>
      </c>
      <c r="J1390" s="2">
        <f t="shared" si="214"/>
        <v>133.86964609817579</v>
      </c>
      <c r="K1390" s="2">
        <f t="shared" si="218"/>
        <v>37.483500907489223</v>
      </c>
      <c r="L1390" s="2">
        <f t="shared" si="219"/>
        <v>171.35314700566502</v>
      </c>
      <c r="M1390" s="2">
        <f t="shared" si="215"/>
        <v>124.23103157910714</v>
      </c>
      <c r="N1390" s="2">
        <f t="shared" si="216"/>
        <v>62.115515789553569</v>
      </c>
      <c r="O1390" s="2">
        <f t="shared" si="217"/>
        <v>227.96394294766159</v>
      </c>
      <c r="P1390" s="2">
        <v>72.551541999999998</v>
      </c>
      <c r="Q1390" s="2">
        <v>23.035250999999999</v>
      </c>
    </row>
    <row r="1391" spans="1:17" x14ac:dyDescent="0.25">
      <c r="A1391" s="2">
        <v>1546</v>
      </c>
      <c r="B1391" s="2" t="s">
        <v>9</v>
      </c>
      <c r="C1391" s="2">
        <v>34</v>
      </c>
      <c r="D1391" s="2">
        <f t="shared" si="210"/>
        <v>86.36</v>
      </c>
      <c r="E1391" s="2">
        <f t="shared" si="211"/>
        <v>27.489241770832162</v>
      </c>
      <c r="F1391" s="2">
        <f t="shared" si="212"/>
        <v>10.822536130248883</v>
      </c>
      <c r="G1391" s="2">
        <v>7.0703430000000003</v>
      </c>
      <c r="H1391" s="2">
        <f t="shared" si="213"/>
        <v>23.196664128120002</v>
      </c>
      <c r="I1391" s="2">
        <f>INDEX('Wood Density Lookup'!$B$2:$B$152,MATCH(B1391,'Wood Density Lookup'!$A$2:$A$152,0))</f>
        <v>0.42</v>
      </c>
      <c r="J1391" s="2">
        <f t="shared" si="214"/>
        <v>125.48909650635241</v>
      </c>
      <c r="K1391" s="2">
        <f t="shared" si="218"/>
        <v>35.136947021778681</v>
      </c>
      <c r="L1391" s="2">
        <f t="shared" si="219"/>
        <v>160.62604352813111</v>
      </c>
      <c r="M1391" s="2">
        <f t="shared" si="215"/>
        <v>116.45388155789504</v>
      </c>
      <c r="N1391" s="2">
        <f t="shared" si="216"/>
        <v>58.226940778947522</v>
      </c>
      <c r="O1391" s="2">
        <f t="shared" si="217"/>
        <v>213.6928726587374</v>
      </c>
      <c r="P1391" s="2">
        <v>72.551544000000007</v>
      </c>
      <c r="Q1391" s="2">
        <v>23.037903</v>
      </c>
    </row>
    <row r="1392" spans="1:17" x14ac:dyDescent="0.25">
      <c r="A1392" s="2">
        <v>1547</v>
      </c>
      <c r="B1392" s="2" t="s">
        <v>61</v>
      </c>
      <c r="C1392" s="2">
        <v>2</v>
      </c>
      <c r="D1392" s="2">
        <f t="shared" si="210"/>
        <v>5.08</v>
      </c>
      <c r="E1392" s="2">
        <f t="shared" si="211"/>
        <v>1.6170142218136567</v>
      </c>
      <c r="F1392" s="2">
        <f t="shared" si="212"/>
        <v>0.63661977236758138</v>
      </c>
      <c r="G1392" s="2">
        <v>13.348865</v>
      </c>
      <c r="H1392" s="2">
        <f t="shared" si="213"/>
        <v>43.795490246599996</v>
      </c>
      <c r="I1392" s="2">
        <f>INDEX('Wood Density Lookup'!$B$2:$B$152,MATCH(B1392,'Wood Density Lookup'!$A$2:$A$152,0))</f>
        <v>0.5</v>
      </c>
      <c r="J1392" s="2">
        <f t="shared" si="214"/>
        <v>1.0966117125246184</v>
      </c>
      <c r="K1392" s="2">
        <f t="shared" si="218"/>
        <v>0.3070512795068932</v>
      </c>
      <c r="L1392" s="2">
        <f t="shared" si="219"/>
        <v>1.4036629920315116</v>
      </c>
      <c r="M1392" s="2">
        <f t="shared" si="215"/>
        <v>1.0176556692228458</v>
      </c>
      <c r="N1392" s="2">
        <f t="shared" si="216"/>
        <v>0.50882783461142289</v>
      </c>
      <c r="O1392" s="2">
        <f t="shared" si="217"/>
        <v>1.8673981530239219</v>
      </c>
      <c r="P1392" s="2">
        <v>72.551544000000007</v>
      </c>
      <c r="Q1392" s="2">
        <v>23.035765999999999</v>
      </c>
    </row>
    <row r="1393" spans="1:17" x14ac:dyDescent="0.25">
      <c r="A1393" s="2">
        <v>1548</v>
      </c>
      <c r="B1393" s="2" t="s">
        <v>30</v>
      </c>
      <c r="C1393" s="2">
        <v>13</v>
      </c>
      <c r="D1393" s="2">
        <f t="shared" si="210"/>
        <v>33.020000000000003</v>
      </c>
      <c r="E1393" s="2">
        <f t="shared" si="211"/>
        <v>10.51059244178877</v>
      </c>
      <c r="F1393" s="2">
        <f t="shared" si="212"/>
        <v>4.1380285203892786</v>
      </c>
      <c r="G1393" s="2">
        <v>8.2346409999999999</v>
      </c>
      <c r="H1393" s="2">
        <f t="shared" si="213"/>
        <v>27.01653957844</v>
      </c>
      <c r="I1393" s="2">
        <f>INDEX('Wood Density Lookup'!$B$2:$B$152,MATCH(B1393,'Wood Density Lookup'!$A$2:$A$152,0))</f>
        <v>0.2</v>
      </c>
      <c r="J1393" s="2">
        <f t="shared" si="214"/>
        <v>10.807016765960837</v>
      </c>
      <c r="K1393" s="2">
        <f t="shared" si="218"/>
        <v>3.0259646944690348</v>
      </c>
      <c r="L1393" s="2">
        <f t="shared" si="219"/>
        <v>13.832981460429872</v>
      </c>
      <c r="M1393" s="2">
        <f t="shared" si="215"/>
        <v>10.028911558811657</v>
      </c>
      <c r="N1393" s="2">
        <f t="shared" si="216"/>
        <v>5.0144557794058287</v>
      </c>
      <c r="O1393" s="2">
        <f t="shared" si="217"/>
        <v>18.403052710419392</v>
      </c>
      <c r="P1393" s="2">
        <v>72.551545000000004</v>
      </c>
      <c r="Q1393" s="2">
        <v>23.035222999999998</v>
      </c>
    </row>
    <row r="1394" spans="1:17" x14ac:dyDescent="0.25">
      <c r="A1394" s="2">
        <v>1549</v>
      </c>
      <c r="B1394" s="2" t="s">
        <v>130</v>
      </c>
      <c r="C1394" s="2">
        <v>5</v>
      </c>
      <c r="D1394" s="2">
        <f t="shared" si="210"/>
        <v>12.7</v>
      </c>
      <c r="E1394" s="2">
        <f t="shared" si="211"/>
        <v>4.0425355545341413</v>
      </c>
      <c r="F1394" s="2">
        <f t="shared" si="212"/>
        <v>1.5915494309189535</v>
      </c>
      <c r="G1394" s="2">
        <v>4.6843830000000004</v>
      </c>
      <c r="H1394" s="2">
        <f t="shared" si="213"/>
        <v>15.368711121720001</v>
      </c>
      <c r="I1394" s="2">
        <f>INDEX('Wood Density Lookup'!$B$2:$B$152,MATCH(B1394,'Wood Density Lookup'!$A$2:$A$152,0))</f>
        <v>0.45</v>
      </c>
      <c r="J1394" s="2">
        <f t="shared" si="214"/>
        <v>2.1295876923018255</v>
      </c>
      <c r="K1394" s="2">
        <f t="shared" si="218"/>
        <v>0.59628455384451118</v>
      </c>
      <c r="L1394" s="2">
        <f t="shared" si="219"/>
        <v>2.7258722461463369</v>
      </c>
      <c r="M1394" s="2">
        <f t="shared" si="215"/>
        <v>1.9762573784560942</v>
      </c>
      <c r="N1394" s="2">
        <f t="shared" si="216"/>
        <v>0.98812868922804709</v>
      </c>
      <c r="O1394" s="2">
        <f t="shared" si="217"/>
        <v>3.6264322894669325</v>
      </c>
      <c r="P1394" s="2">
        <v>72.551546999999999</v>
      </c>
      <c r="Q1394" s="2">
        <v>23.03519</v>
      </c>
    </row>
    <row r="1395" spans="1:17" x14ac:dyDescent="0.25">
      <c r="A1395" s="2">
        <v>1550</v>
      </c>
      <c r="B1395" s="2" t="s">
        <v>115</v>
      </c>
      <c r="C1395" s="2">
        <v>24</v>
      </c>
      <c r="D1395" s="2">
        <f t="shared" si="210"/>
        <v>60.96</v>
      </c>
      <c r="E1395" s="2">
        <f t="shared" si="211"/>
        <v>19.404170661763882</v>
      </c>
      <c r="F1395" s="2">
        <f t="shared" si="212"/>
        <v>7.6394372684109761</v>
      </c>
      <c r="G1395" s="2">
        <v>6.2898849999999999</v>
      </c>
      <c r="H1395" s="2">
        <f t="shared" si="213"/>
        <v>20.636106303399998</v>
      </c>
      <c r="I1395" s="2">
        <f>INDEX('Wood Density Lookup'!$B$2:$B$152,MATCH(B1395,'Wood Density Lookup'!$A$2:$A$152,0))</f>
        <v>0.65</v>
      </c>
      <c r="J1395" s="2">
        <f t="shared" si="214"/>
        <v>86.869033123000861</v>
      </c>
      <c r="K1395" s="2">
        <f t="shared" si="218"/>
        <v>24.323329274440244</v>
      </c>
      <c r="L1395" s="2">
        <f t="shared" si="219"/>
        <v>111.1923623974411</v>
      </c>
      <c r="M1395" s="2">
        <f t="shared" si="215"/>
        <v>80.614462738144795</v>
      </c>
      <c r="N1395" s="2">
        <f t="shared" si="216"/>
        <v>40.307231369072397</v>
      </c>
      <c r="O1395" s="2">
        <f t="shared" si="217"/>
        <v>147.92753912449569</v>
      </c>
      <c r="P1395" s="2">
        <v>72.551547999999997</v>
      </c>
      <c r="Q1395" s="2">
        <v>23.038322000000001</v>
      </c>
    </row>
    <row r="1396" spans="1:17" x14ac:dyDescent="0.25">
      <c r="A1396" s="2">
        <v>1551</v>
      </c>
      <c r="B1396" s="2" t="s">
        <v>15</v>
      </c>
      <c r="C1396" s="2">
        <v>99</v>
      </c>
      <c r="D1396" s="2">
        <f t="shared" si="210"/>
        <v>251.46</v>
      </c>
      <c r="E1396" s="2">
        <f t="shared" si="211"/>
        <v>80.042203979776005</v>
      </c>
      <c r="F1396" s="2">
        <f t="shared" si="212"/>
        <v>31.512678732195276</v>
      </c>
      <c r="G1396" s="2">
        <v>16.697094</v>
      </c>
      <c r="H1396" s="2">
        <f t="shared" si="213"/>
        <v>54.780493878960002</v>
      </c>
      <c r="I1396" s="2">
        <f>INDEX('Wood Density Lookup'!$B$2:$B$152,MATCH(B1396,'Wood Density Lookup'!$A$2:$A$152,0))</f>
        <v>0.75</v>
      </c>
      <c r="J1396" s="2">
        <f t="shared" si="214"/>
        <v>4117.6661405628338</v>
      </c>
      <c r="K1396" s="2">
        <f t="shared" si="218"/>
        <v>1152.9465193575936</v>
      </c>
      <c r="L1396" s="2">
        <f t="shared" si="219"/>
        <v>5270.6126599204272</v>
      </c>
      <c r="M1396" s="2">
        <f t="shared" si="215"/>
        <v>3821.1941784423097</v>
      </c>
      <c r="N1396" s="2">
        <f t="shared" si="216"/>
        <v>1910.5970892211549</v>
      </c>
      <c r="O1396" s="2">
        <f t="shared" si="217"/>
        <v>7011.8913174416384</v>
      </c>
      <c r="P1396" s="2">
        <v>72.551550000000006</v>
      </c>
      <c r="Q1396" s="2">
        <v>23.038111000000001</v>
      </c>
    </row>
    <row r="1397" spans="1:17" x14ac:dyDescent="0.25">
      <c r="A1397" s="2">
        <v>1552</v>
      </c>
      <c r="B1397" s="2" t="s">
        <v>15</v>
      </c>
      <c r="C1397" s="2">
        <v>22</v>
      </c>
      <c r="D1397" s="2">
        <f t="shared" si="210"/>
        <v>55.88</v>
      </c>
      <c r="E1397" s="2">
        <f t="shared" si="211"/>
        <v>17.787156439950223</v>
      </c>
      <c r="F1397" s="2">
        <f t="shared" si="212"/>
        <v>7.0028174960433951</v>
      </c>
      <c r="G1397" s="2">
        <v>2.27074</v>
      </c>
      <c r="H1397" s="2">
        <f t="shared" si="213"/>
        <v>7.4499346215999998</v>
      </c>
      <c r="I1397" s="2">
        <f>INDEX('Wood Density Lookup'!$B$2:$B$152,MATCH(B1397,'Wood Density Lookup'!$A$2:$A$152,0))</f>
        <v>0.75</v>
      </c>
      <c r="J1397" s="2">
        <f t="shared" si="214"/>
        <v>31.181872114767167</v>
      </c>
      <c r="K1397" s="2">
        <f t="shared" si="218"/>
        <v>8.7309241921348075</v>
      </c>
      <c r="L1397" s="2">
        <f t="shared" si="219"/>
        <v>39.912796306901974</v>
      </c>
      <c r="M1397" s="2">
        <f t="shared" si="215"/>
        <v>28.936777322503932</v>
      </c>
      <c r="N1397" s="2">
        <f t="shared" si="216"/>
        <v>14.468388661251966</v>
      </c>
      <c r="O1397" s="2">
        <f t="shared" si="217"/>
        <v>53.098986386794714</v>
      </c>
      <c r="P1397" s="2">
        <v>72.551551000000003</v>
      </c>
      <c r="Q1397" s="2">
        <v>23.038561999999999</v>
      </c>
    </row>
    <row r="1398" spans="1:17" x14ac:dyDescent="0.25">
      <c r="A1398" s="2">
        <v>1553</v>
      </c>
      <c r="B1398" s="2" t="s">
        <v>103</v>
      </c>
      <c r="C1398" s="2">
        <v>24</v>
      </c>
      <c r="D1398" s="2">
        <f t="shared" si="210"/>
        <v>60.96</v>
      </c>
      <c r="E1398" s="2">
        <f t="shared" si="211"/>
        <v>19.404170661763882</v>
      </c>
      <c r="F1398" s="2">
        <f t="shared" si="212"/>
        <v>7.6394372684109761</v>
      </c>
      <c r="G1398" s="2">
        <v>4.5026999999999999</v>
      </c>
      <c r="H1398" s="2">
        <f t="shared" si="213"/>
        <v>14.772638268</v>
      </c>
      <c r="I1398" s="2">
        <f>INDEX('Wood Density Lookup'!$B$2:$B$152,MATCH(B1398,'Wood Density Lookup'!$A$2:$A$152,0))</f>
        <v>0.6</v>
      </c>
      <c r="J1398" s="2">
        <f t="shared" si="214"/>
        <v>57.976440998581246</v>
      </c>
      <c r="K1398" s="2">
        <f t="shared" si="218"/>
        <v>16.23340347960275</v>
      </c>
      <c r="L1398" s="2">
        <f t="shared" si="219"/>
        <v>74.209844478183996</v>
      </c>
      <c r="M1398" s="2">
        <f t="shared" si="215"/>
        <v>53.802137246683394</v>
      </c>
      <c r="N1398" s="2">
        <f t="shared" si="216"/>
        <v>26.901068623341697</v>
      </c>
      <c r="O1398" s="2">
        <f t="shared" si="217"/>
        <v>98.72692184766403</v>
      </c>
      <c r="P1398" s="2">
        <v>72.551552000000001</v>
      </c>
      <c r="Q1398" s="2">
        <v>23.035185999999999</v>
      </c>
    </row>
    <row r="1399" spans="1:17" x14ac:dyDescent="0.25">
      <c r="A1399" s="2">
        <v>1554</v>
      </c>
      <c r="B1399" s="2" t="s">
        <v>103</v>
      </c>
      <c r="C1399" s="2">
        <v>26</v>
      </c>
      <c r="D1399" s="2">
        <f t="shared" si="210"/>
        <v>66.040000000000006</v>
      </c>
      <c r="E1399" s="2">
        <f t="shared" si="211"/>
        <v>21.02118488357754</v>
      </c>
      <c r="F1399" s="2">
        <f t="shared" si="212"/>
        <v>8.2760570407785572</v>
      </c>
      <c r="G1399" s="2">
        <v>3.2865280000000001</v>
      </c>
      <c r="H1399" s="2">
        <f t="shared" si="213"/>
        <v>10.782572523520001</v>
      </c>
      <c r="I1399" s="2">
        <f>INDEX('Wood Density Lookup'!$B$2:$B$152,MATCH(B1399,'Wood Density Lookup'!$A$2:$A$152,0))</f>
        <v>0.6</v>
      </c>
      <c r="J1399" s="2">
        <f t="shared" si="214"/>
        <v>49.848622740401915</v>
      </c>
      <c r="K1399" s="2">
        <f t="shared" si="218"/>
        <v>13.957614367312537</v>
      </c>
      <c r="L1399" s="2">
        <f t="shared" si="219"/>
        <v>63.806237107714452</v>
      </c>
      <c r="M1399" s="2">
        <f t="shared" si="215"/>
        <v>46.259521903092974</v>
      </c>
      <c r="N1399" s="2">
        <f t="shared" si="216"/>
        <v>23.129760951546487</v>
      </c>
      <c r="O1399" s="2">
        <f t="shared" si="217"/>
        <v>84.886222692175608</v>
      </c>
      <c r="P1399" s="2">
        <v>72.551552999999998</v>
      </c>
      <c r="Q1399" s="2">
        <v>23.035170000000001</v>
      </c>
    </row>
    <row r="1400" spans="1:17" x14ac:dyDescent="0.25">
      <c r="A1400" s="2">
        <v>1555</v>
      </c>
      <c r="B1400" s="2" t="s">
        <v>111</v>
      </c>
      <c r="C1400" s="2">
        <v>6</v>
      </c>
      <c r="D1400" s="2">
        <f t="shared" si="210"/>
        <v>15.24</v>
      </c>
      <c r="E1400" s="2">
        <f t="shared" si="211"/>
        <v>4.8510426654409704</v>
      </c>
      <c r="F1400" s="2">
        <f t="shared" si="212"/>
        <v>1.909859317102744</v>
      </c>
      <c r="G1400" s="2">
        <v>3.1632440000000002</v>
      </c>
      <c r="H1400" s="2">
        <f t="shared" si="213"/>
        <v>10.37809744496</v>
      </c>
      <c r="I1400" s="2">
        <f>INDEX('Wood Density Lookup'!$B$2:$B$152,MATCH(B1400,'Wood Density Lookup'!$A$2:$A$152,0))</f>
        <v>0.4</v>
      </c>
      <c r="J1400" s="2">
        <f t="shared" si="214"/>
        <v>1.8471630314892606</v>
      </c>
      <c r="K1400" s="2">
        <f t="shared" si="218"/>
        <v>0.51720564881699305</v>
      </c>
      <c r="L1400" s="2">
        <f t="shared" si="219"/>
        <v>2.3643686803062538</v>
      </c>
      <c r="M1400" s="2">
        <f t="shared" si="215"/>
        <v>1.714167293222034</v>
      </c>
      <c r="N1400" s="2">
        <f t="shared" si="216"/>
        <v>0.85708364661101699</v>
      </c>
      <c r="O1400" s="2">
        <f t="shared" si="217"/>
        <v>3.1454969830624324</v>
      </c>
      <c r="P1400" s="2">
        <v>72.551557000000003</v>
      </c>
      <c r="Q1400" s="2">
        <v>23.035145</v>
      </c>
    </row>
    <row r="1401" spans="1:17" x14ac:dyDescent="0.25">
      <c r="A1401" s="2">
        <v>1557</v>
      </c>
      <c r="B1401" s="2" t="s">
        <v>111</v>
      </c>
      <c r="C1401" s="2">
        <v>3</v>
      </c>
      <c r="D1401" s="2">
        <f t="shared" si="210"/>
        <v>7.62</v>
      </c>
      <c r="E1401" s="2">
        <f t="shared" si="211"/>
        <v>2.4255213327204852</v>
      </c>
      <c r="F1401" s="2">
        <f t="shared" si="212"/>
        <v>0.95492965855137202</v>
      </c>
      <c r="G1401" s="2">
        <v>14.909133000000001</v>
      </c>
      <c r="H1401" s="2">
        <f t="shared" si="213"/>
        <v>48.914479911720001</v>
      </c>
      <c r="I1401" s="2">
        <f>INDEX('Wood Density Lookup'!$B$2:$B$152,MATCH(B1401,'Wood Density Lookup'!$A$2:$A$152,0))</f>
        <v>0.4</v>
      </c>
      <c r="J1401" s="2">
        <f t="shared" si="214"/>
        <v>2.1679771471706002</v>
      </c>
      <c r="K1401" s="2">
        <f t="shared" si="218"/>
        <v>0.60703360120776806</v>
      </c>
      <c r="L1401" s="2">
        <f t="shared" si="219"/>
        <v>2.7750107483783681</v>
      </c>
      <c r="M1401" s="2">
        <f t="shared" si="215"/>
        <v>2.0118827925743168</v>
      </c>
      <c r="N1401" s="2">
        <f t="shared" si="216"/>
        <v>1.0059413962871584</v>
      </c>
      <c r="O1401" s="2">
        <f t="shared" si="217"/>
        <v>3.6918049243738711</v>
      </c>
      <c r="P1401" s="2">
        <v>72.551559999999995</v>
      </c>
      <c r="Q1401" s="2">
        <v>23.035708</v>
      </c>
    </row>
    <row r="1402" spans="1:17" x14ac:dyDescent="0.25">
      <c r="A1402" s="2">
        <v>1558</v>
      </c>
      <c r="B1402" s="2" t="s">
        <v>116</v>
      </c>
      <c r="C1402" s="2">
        <v>27</v>
      </c>
      <c r="D1402" s="2">
        <f t="shared" si="210"/>
        <v>68.58</v>
      </c>
      <c r="E1402" s="2">
        <f t="shared" si="211"/>
        <v>21.829691994484364</v>
      </c>
      <c r="F1402" s="2">
        <f t="shared" si="212"/>
        <v>8.5943669269623477</v>
      </c>
      <c r="G1402" s="2">
        <v>8.7346869999999992</v>
      </c>
      <c r="H1402" s="2">
        <f t="shared" si="213"/>
        <v>28.657110497079998</v>
      </c>
      <c r="I1402" s="2">
        <f>INDEX('Wood Density Lookup'!$B$2:$B$152,MATCH(B1402,'Wood Density Lookup'!$A$2:$A$152,0))</f>
        <v>0.85</v>
      </c>
      <c r="J1402" s="2">
        <f t="shared" si="214"/>
        <v>195.70696292557764</v>
      </c>
      <c r="K1402" s="2">
        <f t="shared" si="218"/>
        <v>54.797949619161741</v>
      </c>
      <c r="L1402" s="2">
        <f t="shared" si="219"/>
        <v>250.5049125447394</v>
      </c>
      <c r="M1402" s="2">
        <f t="shared" si="215"/>
        <v>181.61606159493607</v>
      </c>
      <c r="N1402" s="2">
        <f t="shared" si="216"/>
        <v>90.808030797468035</v>
      </c>
      <c r="O1402" s="2">
        <f t="shared" si="217"/>
        <v>333.2654730267077</v>
      </c>
      <c r="P1402" s="2">
        <v>72.551561000000007</v>
      </c>
      <c r="Q1402" s="2">
        <v>23.037794000000002</v>
      </c>
    </row>
    <row r="1403" spans="1:17" x14ac:dyDescent="0.25">
      <c r="A1403" s="2">
        <v>1559</v>
      </c>
      <c r="B1403" s="2" t="s">
        <v>31</v>
      </c>
      <c r="C1403" s="2">
        <v>1</v>
      </c>
      <c r="D1403" s="2">
        <f t="shared" si="210"/>
        <v>2.54</v>
      </c>
      <c r="E1403" s="2">
        <f t="shared" si="211"/>
        <v>0.80850711090682836</v>
      </c>
      <c r="F1403" s="2">
        <f t="shared" si="212"/>
        <v>0.31830988618379069</v>
      </c>
      <c r="G1403" s="2">
        <v>13.664448999999999</v>
      </c>
      <c r="H1403" s="2">
        <f t="shared" si="213"/>
        <v>44.830870857160001</v>
      </c>
      <c r="I1403" s="2">
        <f>INDEX('Wood Density Lookup'!$B$2:$B$152,MATCH(B1403,'Wood Density Lookup'!$A$2:$A$152,0))</f>
        <v>0.78</v>
      </c>
      <c r="J1403" s="2">
        <f t="shared" si="214"/>
        <v>0.44754444697303758</v>
      </c>
      <c r="K1403" s="2">
        <f t="shared" si="218"/>
        <v>0.12531244515245055</v>
      </c>
      <c r="L1403" s="2">
        <f t="shared" si="219"/>
        <v>0.57285689212548818</v>
      </c>
      <c r="M1403" s="2">
        <f t="shared" si="215"/>
        <v>0.41532124679097893</v>
      </c>
      <c r="N1403" s="2">
        <f t="shared" si="216"/>
        <v>0.20766062339548946</v>
      </c>
      <c r="O1403" s="2">
        <f t="shared" si="217"/>
        <v>0.76211448786144631</v>
      </c>
      <c r="P1403" s="2">
        <v>72.551562000000004</v>
      </c>
      <c r="Q1403" s="2">
        <v>23.036593</v>
      </c>
    </row>
    <row r="1404" spans="1:17" x14ac:dyDescent="0.25">
      <c r="A1404" s="2">
        <v>1560</v>
      </c>
      <c r="B1404" s="2" t="s">
        <v>9</v>
      </c>
      <c r="C1404" s="2">
        <v>102</v>
      </c>
      <c r="D1404" s="2">
        <f t="shared" si="210"/>
        <v>259.08</v>
      </c>
      <c r="E1404" s="2">
        <f t="shared" si="211"/>
        <v>82.467725312496484</v>
      </c>
      <c r="F1404" s="2">
        <f t="shared" si="212"/>
        <v>32.467608390746648</v>
      </c>
      <c r="G1404" s="2">
        <v>5.1320920000000001</v>
      </c>
      <c r="H1404" s="2">
        <f t="shared" si="213"/>
        <v>16.83757271728</v>
      </c>
      <c r="I1404" s="2">
        <f>INDEX('Wood Density Lookup'!$B$2:$B$152,MATCH(B1404,'Wood Density Lookup'!$A$2:$A$152,0))</f>
        <v>0.42</v>
      </c>
      <c r="J1404" s="2">
        <f t="shared" si="214"/>
        <v>783.68247856143535</v>
      </c>
      <c r="K1404" s="2">
        <f t="shared" si="218"/>
        <v>219.43109399720191</v>
      </c>
      <c r="L1404" s="2">
        <f t="shared" si="219"/>
        <v>1003.1135725586373</v>
      </c>
      <c r="M1404" s="2">
        <f t="shared" si="215"/>
        <v>727.25734010501208</v>
      </c>
      <c r="N1404" s="2">
        <f t="shared" si="216"/>
        <v>363.62867005250604</v>
      </c>
      <c r="O1404" s="2">
        <f t="shared" si="217"/>
        <v>1334.5172190926971</v>
      </c>
      <c r="P1404" s="2">
        <v>72.551564999999997</v>
      </c>
      <c r="Q1404" s="2">
        <v>23.038371000000001</v>
      </c>
    </row>
    <row r="1405" spans="1:17" x14ac:dyDescent="0.25">
      <c r="A1405" s="2">
        <v>1562</v>
      </c>
      <c r="B1405" s="2" t="s">
        <v>15</v>
      </c>
      <c r="C1405" s="2">
        <v>23</v>
      </c>
      <c r="D1405" s="2">
        <f t="shared" si="210"/>
        <v>58.42</v>
      </c>
      <c r="E1405" s="2">
        <f t="shared" si="211"/>
        <v>18.595663550857051</v>
      </c>
      <c r="F1405" s="2">
        <f t="shared" si="212"/>
        <v>7.3211273822271856</v>
      </c>
      <c r="G1405" s="2">
        <v>9.245635</v>
      </c>
      <c r="H1405" s="2">
        <f t="shared" si="213"/>
        <v>30.333449133399998</v>
      </c>
      <c r="I1405" s="2">
        <f>INDEX('Wood Density Lookup'!$B$2:$B$152,MATCH(B1405,'Wood Density Lookup'!$A$2:$A$152,0))</f>
        <v>0.75</v>
      </c>
      <c r="J1405" s="2">
        <f t="shared" si="214"/>
        <v>133.88154608165536</v>
      </c>
      <c r="K1405" s="2">
        <f t="shared" si="218"/>
        <v>37.486832902863505</v>
      </c>
      <c r="L1405" s="2">
        <f t="shared" si="219"/>
        <v>171.36837898451887</v>
      </c>
      <c r="M1405" s="2">
        <f t="shared" si="215"/>
        <v>124.24207476377617</v>
      </c>
      <c r="N1405" s="2">
        <f t="shared" si="216"/>
        <v>62.121037381888087</v>
      </c>
      <c r="O1405" s="2">
        <f t="shared" si="217"/>
        <v>227.98420719152926</v>
      </c>
      <c r="P1405" s="2">
        <v>72.551568000000003</v>
      </c>
      <c r="Q1405" s="2">
        <v>23.034932999999999</v>
      </c>
    </row>
    <row r="1406" spans="1:17" x14ac:dyDescent="0.25">
      <c r="A1406" s="2">
        <v>1563</v>
      </c>
      <c r="B1406" s="2" t="s">
        <v>75</v>
      </c>
      <c r="C1406" s="2">
        <v>6</v>
      </c>
      <c r="D1406" s="2">
        <f t="shared" si="210"/>
        <v>15.24</v>
      </c>
      <c r="E1406" s="2">
        <f t="shared" si="211"/>
        <v>4.8510426654409704</v>
      </c>
      <c r="F1406" s="2">
        <f t="shared" si="212"/>
        <v>1.909859317102744</v>
      </c>
      <c r="G1406" s="2">
        <v>14.959441</v>
      </c>
      <c r="H1406" s="2">
        <f t="shared" si="213"/>
        <v>49.079532410440002</v>
      </c>
      <c r="I1406" s="2">
        <f>INDEX('Wood Density Lookup'!$B$2:$B$152,MATCH(B1406,'Wood Density Lookup'!$A$2:$A$152,0))</f>
        <v>0.3</v>
      </c>
      <c r="J1406" s="2">
        <f t="shared" si="214"/>
        <v>6.3555466293657039</v>
      </c>
      <c r="K1406" s="2">
        <f t="shared" si="218"/>
        <v>1.7795530562223973</v>
      </c>
      <c r="L1406" s="2">
        <f t="shared" si="219"/>
        <v>8.1350996855881021</v>
      </c>
      <c r="M1406" s="2">
        <f t="shared" si="215"/>
        <v>5.8979472720513737</v>
      </c>
      <c r="N1406" s="2">
        <f t="shared" si="216"/>
        <v>2.9489736360256869</v>
      </c>
      <c r="O1406" s="2">
        <f t="shared" si="217"/>
        <v>10.822733244214271</v>
      </c>
      <c r="P1406" s="2">
        <v>72.551570999999996</v>
      </c>
      <c r="Q1406" s="2">
        <v>23.035710000000002</v>
      </c>
    </row>
    <row r="1407" spans="1:17" x14ac:dyDescent="0.25">
      <c r="A1407" s="2">
        <v>1564</v>
      </c>
      <c r="B1407" s="2" t="s">
        <v>82</v>
      </c>
      <c r="C1407" s="2">
        <v>11</v>
      </c>
      <c r="D1407" s="2">
        <f t="shared" si="210"/>
        <v>27.94</v>
      </c>
      <c r="E1407" s="2">
        <f t="shared" si="211"/>
        <v>8.8935782199751117</v>
      </c>
      <c r="F1407" s="2">
        <f t="shared" si="212"/>
        <v>3.5014087480216975</v>
      </c>
      <c r="G1407" s="2">
        <v>3.085102</v>
      </c>
      <c r="H1407" s="2">
        <f t="shared" si="213"/>
        <v>10.121726045679999</v>
      </c>
      <c r="I1407" s="2">
        <f>INDEX('Wood Density Lookup'!$B$2:$B$152,MATCH(B1407,'Wood Density Lookup'!$A$2:$A$152,0))</f>
        <v>0.7</v>
      </c>
      <c r="J1407" s="2">
        <f t="shared" si="214"/>
        <v>10.161438539077762</v>
      </c>
      <c r="K1407" s="2">
        <f t="shared" si="218"/>
        <v>2.8452027909417739</v>
      </c>
      <c r="L1407" s="2">
        <f t="shared" si="219"/>
        <v>13.006641330019537</v>
      </c>
      <c r="M1407" s="2">
        <f t="shared" si="215"/>
        <v>9.429814964264164</v>
      </c>
      <c r="N1407" s="2">
        <f t="shared" si="216"/>
        <v>4.714907482132082</v>
      </c>
      <c r="O1407" s="2">
        <f t="shared" si="217"/>
        <v>17.303710459424739</v>
      </c>
      <c r="P1407" s="2">
        <v>72.551571999999993</v>
      </c>
      <c r="Q1407" s="2">
        <v>23.038550999999998</v>
      </c>
    </row>
    <row r="1408" spans="1:17" x14ac:dyDescent="0.25">
      <c r="A1408" s="2">
        <v>1565</v>
      </c>
      <c r="B1408" s="2" t="s">
        <v>15</v>
      </c>
      <c r="C1408" s="2">
        <v>82</v>
      </c>
      <c r="D1408" s="2">
        <f t="shared" si="210"/>
        <v>208.28</v>
      </c>
      <c r="E1408" s="2">
        <f t="shared" si="211"/>
        <v>66.297583094359922</v>
      </c>
      <c r="F1408" s="2">
        <f t="shared" si="212"/>
        <v>26.101410667070837</v>
      </c>
      <c r="G1408" s="2">
        <v>13.836719</v>
      </c>
      <c r="H1408" s="2">
        <f t="shared" si="213"/>
        <v>45.396061163959999</v>
      </c>
      <c r="I1408" s="2">
        <f>INDEX('Wood Density Lookup'!$B$2:$B$152,MATCH(B1408,'Wood Density Lookup'!$A$2:$A$152,0))</f>
        <v>0.75</v>
      </c>
      <c r="J1408" s="2">
        <f t="shared" si="214"/>
        <v>2372.9396156287467</v>
      </c>
      <c r="K1408" s="2">
        <f t="shared" si="218"/>
        <v>664.42309237604911</v>
      </c>
      <c r="L1408" s="2">
        <f t="shared" si="219"/>
        <v>3037.3627080047959</v>
      </c>
      <c r="M1408" s="2">
        <f t="shared" si="215"/>
        <v>2202.087963303477</v>
      </c>
      <c r="N1408" s="2">
        <f t="shared" si="216"/>
        <v>1101.0439816517385</v>
      </c>
      <c r="O1408" s="2">
        <f t="shared" si="217"/>
        <v>4040.8314126618802</v>
      </c>
      <c r="P1408" s="2">
        <v>72.551573000000005</v>
      </c>
      <c r="Q1408" s="2">
        <v>23.038211</v>
      </c>
    </row>
    <row r="1409" spans="1:17" x14ac:dyDescent="0.25">
      <c r="A1409" s="2">
        <v>1566</v>
      </c>
      <c r="B1409" s="2" t="s">
        <v>31</v>
      </c>
      <c r="C1409" s="2">
        <v>3</v>
      </c>
      <c r="D1409" s="2">
        <f t="shared" ref="D1409:D1472" si="220">C1409*2.54</f>
        <v>7.62</v>
      </c>
      <c r="E1409" s="2">
        <f t="shared" ref="E1409:E1472" si="221">D1409/PI()</f>
        <v>2.4255213327204852</v>
      </c>
      <c r="F1409" s="2">
        <f t="shared" ref="F1409:F1472" si="222">C1409/PI()</f>
        <v>0.95492965855137202</v>
      </c>
      <c r="G1409" s="2">
        <v>13.416285999999999</v>
      </c>
      <c r="H1409" s="2">
        <f t="shared" ref="H1409:H1472" si="223">G1409*3.28084</f>
        <v>44.016687760239996</v>
      </c>
      <c r="I1409" s="2">
        <f>INDEX('Wood Density Lookup'!$B$2:$B$152,MATCH(B1409,'Wood Density Lookup'!$A$2:$A$152,0))</f>
        <v>0.78</v>
      </c>
      <c r="J1409" s="2">
        <f t="shared" ref="J1409:J1472" si="224">0.0673*POWER(I1409*E1409^2*G1409,0.976)</f>
        <v>3.7532550821616781</v>
      </c>
      <c r="K1409" s="2">
        <f t="shared" si="218"/>
        <v>1.0509114230052701</v>
      </c>
      <c r="L1409" s="2">
        <f t="shared" si="219"/>
        <v>4.8041665051669487</v>
      </c>
      <c r="M1409" s="2">
        <f t="shared" ref="M1409:M1472" si="225">0.725*L1409</f>
        <v>3.4830207162460378</v>
      </c>
      <c r="N1409" s="2">
        <f t="shared" ref="N1409:N1472" si="226">0.5*M1409</f>
        <v>1.7415103581230189</v>
      </c>
      <c r="O1409" s="2">
        <f t="shared" ref="O1409:O1472" si="227">3.67*N1409</f>
        <v>6.3913430143114791</v>
      </c>
      <c r="P1409" s="2">
        <v>72.551575</v>
      </c>
      <c r="Q1409" s="2">
        <v>23.036597</v>
      </c>
    </row>
    <row r="1410" spans="1:17" x14ac:dyDescent="0.25">
      <c r="A1410" s="2">
        <v>1567</v>
      </c>
      <c r="B1410" s="2" t="s">
        <v>101</v>
      </c>
      <c r="C1410" s="2">
        <v>44</v>
      </c>
      <c r="D1410" s="2">
        <f t="shared" si="220"/>
        <v>111.76</v>
      </c>
      <c r="E1410" s="2">
        <f t="shared" si="221"/>
        <v>35.574312879900447</v>
      </c>
      <c r="F1410" s="2">
        <f t="shared" si="222"/>
        <v>14.00563499208679</v>
      </c>
      <c r="G1410" s="2">
        <v>9.2462370000000007</v>
      </c>
      <c r="H1410" s="2">
        <f t="shared" si="223"/>
        <v>30.335424199080002</v>
      </c>
      <c r="I1410" s="2">
        <f>INDEX('Wood Density Lookup'!$B$2:$B$152,MATCH(B1410,'Wood Density Lookup'!$A$2:$A$152,0))</f>
        <v>0.2</v>
      </c>
      <c r="J1410" s="2">
        <f t="shared" si="224"/>
        <v>130.74367508807919</v>
      </c>
      <c r="K1410" s="2">
        <f t="shared" si="218"/>
        <v>36.608229024662172</v>
      </c>
      <c r="L1410" s="2">
        <f t="shared" si="219"/>
        <v>167.35190411274135</v>
      </c>
      <c r="M1410" s="2">
        <f t="shared" si="225"/>
        <v>121.33013048173747</v>
      </c>
      <c r="N1410" s="2">
        <f t="shared" si="226"/>
        <v>60.665065240868735</v>
      </c>
      <c r="O1410" s="2">
        <f t="shared" si="227"/>
        <v>222.64078943398826</v>
      </c>
      <c r="P1410" s="2">
        <v>72.551576999999995</v>
      </c>
      <c r="Q1410" s="2">
        <v>23.036906999999999</v>
      </c>
    </row>
    <row r="1411" spans="1:17" x14ac:dyDescent="0.25">
      <c r="A1411" s="2">
        <v>1568</v>
      </c>
      <c r="B1411" s="2" t="s">
        <v>9</v>
      </c>
      <c r="C1411" s="2">
        <v>16</v>
      </c>
      <c r="D1411" s="2">
        <f t="shared" si="220"/>
        <v>40.64</v>
      </c>
      <c r="E1411" s="2">
        <f t="shared" si="221"/>
        <v>12.936113774509254</v>
      </c>
      <c r="F1411" s="2">
        <f t="shared" si="222"/>
        <v>5.0929581789406511</v>
      </c>
      <c r="G1411" s="2">
        <v>9.8230559999999993</v>
      </c>
      <c r="H1411" s="2">
        <f t="shared" si="223"/>
        <v>32.227875047039994</v>
      </c>
      <c r="I1411" s="2">
        <f>INDEX('Wood Density Lookup'!$B$2:$B$152,MATCH(B1411,'Wood Density Lookup'!$A$2:$A$152,0))</f>
        <v>0.42</v>
      </c>
      <c r="J1411" s="2">
        <f t="shared" si="224"/>
        <v>39.717338856527242</v>
      </c>
      <c r="K1411" s="2">
        <f t="shared" ref="K1411:K1474" si="228">0.28*J1411</f>
        <v>11.120854879827629</v>
      </c>
      <c r="L1411" s="2">
        <f t="shared" ref="L1411:L1474" si="229">J1411+K1411</f>
        <v>50.838193736354867</v>
      </c>
      <c r="M1411" s="2">
        <f t="shared" si="225"/>
        <v>36.857690458857277</v>
      </c>
      <c r="N1411" s="2">
        <f t="shared" si="226"/>
        <v>18.428845229428639</v>
      </c>
      <c r="O1411" s="2">
        <f t="shared" si="227"/>
        <v>67.633861992003105</v>
      </c>
      <c r="P1411" s="2">
        <v>72.551578000000006</v>
      </c>
      <c r="Q1411" s="2">
        <v>23.038762999999999</v>
      </c>
    </row>
    <row r="1412" spans="1:17" x14ac:dyDescent="0.25">
      <c r="A1412" s="2">
        <v>1569</v>
      </c>
      <c r="B1412" s="2" t="s">
        <v>15</v>
      </c>
      <c r="C1412" s="2">
        <v>84</v>
      </c>
      <c r="D1412" s="2">
        <f t="shared" si="220"/>
        <v>213.36</v>
      </c>
      <c r="E1412" s="2">
        <f t="shared" si="221"/>
        <v>67.914597316173584</v>
      </c>
      <c r="F1412" s="2">
        <f t="shared" si="222"/>
        <v>26.738030439438418</v>
      </c>
      <c r="G1412" s="2">
        <v>14.268530999999999</v>
      </c>
      <c r="H1412" s="2">
        <f t="shared" si="223"/>
        <v>46.812767246039996</v>
      </c>
      <c r="I1412" s="2">
        <f>INDEX('Wood Density Lookup'!$B$2:$B$152,MATCH(B1412,'Wood Density Lookup'!$A$2:$A$152,0))</f>
        <v>0.75</v>
      </c>
      <c r="J1412" s="2">
        <f t="shared" si="224"/>
        <v>2562.9553946753144</v>
      </c>
      <c r="K1412" s="2">
        <f t="shared" si="228"/>
        <v>717.6275105090881</v>
      </c>
      <c r="L1412" s="2">
        <f t="shared" si="229"/>
        <v>3280.5829051844025</v>
      </c>
      <c r="M1412" s="2">
        <f t="shared" si="225"/>
        <v>2378.4226062586918</v>
      </c>
      <c r="N1412" s="2">
        <f t="shared" si="226"/>
        <v>1189.2113031293459</v>
      </c>
      <c r="O1412" s="2">
        <f t="shared" si="227"/>
        <v>4364.405482484699</v>
      </c>
      <c r="P1412" s="2">
        <v>72.551580999999999</v>
      </c>
      <c r="Q1412" s="2">
        <v>23.035703000000002</v>
      </c>
    </row>
    <row r="1413" spans="1:17" x14ac:dyDescent="0.25">
      <c r="A1413" s="2">
        <v>1570</v>
      </c>
      <c r="B1413" s="2" t="s">
        <v>15</v>
      </c>
      <c r="C1413" s="2">
        <v>109</v>
      </c>
      <c r="D1413" s="2">
        <f t="shared" si="220"/>
        <v>276.86</v>
      </c>
      <c r="E1413" s="2">
        <f t="shared" si="221"/>
        <v>88.1272750888443</v>
      </c>
      <c r="F1413" s="2">
        <f t="shared" si="222"/>
        <v>34.695777594033181</v>
      </c>
      <c r="G1413" s="2">
        <v>13.129875999999999</v>
      </c>
      <c r="H1413" s="2">
        <f t="shared" si="223"/>
        <v>43.077022375839995</v>
      </c>
      <c r="I1413" s="2">
        <f>INDEX('Wood Density Lookup'!$B$2:$B$152,MATCH(B1413,'Wood Density Lookup'!$A$2:$A$152,0))</f>
        <v>0.75</v>
      </c>
      <c r="J1413" s="2">
        <f t="shared" si="224"/>
        <v>3929.6386278998416</v>
      </c>
      <c r="K1413" s="2">
        <f t="shared" si="228"/>
        <v>1100.2988158119558</v>
      </c>
      <c r="L1413" s="2">
        <f t="shared" si="229"/>
        <v>5029.9374437117976</v>
      </c>
      <c r="M1413" s="2">
        <f t="shared" si="225"/>
        <v>3646.7046466910533</v>
      </c>
      <c r="N1413" s="2">
        <f t="shared" si="226"/>
        <v>1823.3523233455267</v>
      </c>
      <c r="O1413" s="2">
        <f t="shared" si="227"/>
        <v>6691.703026678083</v>
      </c>
      <c r="P1413" s="2">
        <v>72.551584000000005</v>
      </c>
      <c r="Q1413" s="2">
        <v>23.036584000000001</v>
      </c>
    </row>
    <row r="1414" spans="1:17" x14ac:dyDescent="0.25">
      <c r="A1414" s="2">
        <v>1571</v>
      </c>
      <c r="B1414" s="2" t="s">
        <v>9</v>
      </c>
      <c r="C1414" s="2">
        <v>106</v>
      </c>
      <c r="D1414" s="2">
        <f t="shared" si="220"/>
        <v>269.24</v>
      </c>
      <c r="E1414" s="2">
        <f t="shared" si="221"/>
        <v>85.701753756123807</v>
      </c>
      <c r="F1414" s="2">
        <f t="shared" si="222"/>
        <v>33.74084793548181</v>
      </c>
      <c r="G1414" s="2">
        <v>11.021188</v>
      </c>
      <c r="H1414" s="2">
        <f t="shared" si="223"/>
        <v>36.158754437920003</v>
      </c>
      <c r="I1414" s="2">
        <f>INDEX('Wood Density Lookup'!$B$2:$B$152,MATCH(B1414,'Wood Density Lookup'!$A$2:$A$152,0))</f>
        <v>0.42</v>
      </c>
      <c r="J1414" s="2">
        <f t="shared" si="224"/>
        <v>1781.2185643022199</v>
      </c>
      <c r="K1414" s="2">
        <f t="shared" si="228"/>
        <v>498.74119800462159</v>
      </c>
      <c r="L1414" s="2">
        <f t="shared" si="229"/>
        <v>2279.9597623068416</v>
      </c>
      <c r="M1414" s="2">
        <f t="shared" si="225"/>
        <v>1652.9708276724602</v>
      </c>
      <c r="N1414" s="2">
        <f t="shared" si="226"/>
        <v>826.48541383623012</v>
      </c>
      <c r="O1414" s="2">
        <f t="shared" si="227"/>
        <v>3033.2014687789647</v>
      </c>
      <c r="P1414" s="2">
        <v>72.551592999999997</v>
      </c>
      <c r="Q1414" s="2">
        <v>23.037666000000002</v>
      </c>
    </row>
    <row r="1415" spans="1:17" x14ac:dyDescent="0.25">
      <c r="A1415" s="2">
        <v>1572</v>
      </c>
      <c r="B1415" s="2" t="s">
        <v>10</v>
      </c>
      <c r="C1415" s="2">
        <v>94</v>
      </c>
      <c r="D1415" s="2">
        <f t="shared" si="220"/>
        <v>238.76</v>
      </c>
      <c r="E1415" s="2">
        <f t="shared" si="221"/>
        <v>75.999668425241865</v>
      </c>
      <c r="F1415" s="2">
        <f t="shared" si="222"/>
        <v>29.921129301276324</v>
      </c>
      <c r="G1415" s="2">
        <v>10.310522000000001</v>
      </c>
      <c r="H1415" s="2">
        <f t="shared" si="223"/>
        <v>33.827172998480002</v>
      </c>
      <c r="I1415" s="2">
        <f>INDEX('Wood Density Lookup'!$B$2:$B$152,MATCH(B1415,'Wood Density Lookup'!$A$2:$A$152,0))</f>
        <v>0.65</v>
      </c>
      <c r="J1415" s="2">
        <f t="shared" si="224"/>
        <v>2021.7378948505941</v>
      </c>
      <c r="K1415" s="2">
        <f t="shared" si="228"/>
        <v>566.0866105581664</v>
      </c>
      <c r="L1415" s="2">
        <f t="shared" si="229"/>
        <v>2587.8245054087606</v>
      </c>
      <c r="M1415" s="2">
        <f t="shared" si="225"/>
        <v>1876.1727664213513</v>
      </c>
      <c r="N1415" s="2">
        <f t="shared" si="226"/>
        <v>938.08638321067565</v>
      </c>
      <c r="O1415" s="2">
        <f t="shared" si="227"/>
        <v>3442.7770263831794</v>
      </c>
      <c r="P1415" s="2">
        <v>72.551596000000004</v>
      </c>
      <c r="Q1415" s="2">
        <v>23.034766000000001</v>
      </c>
    </row>
    <row r="1416" spans="1:17" x14ac:dyDescent="0.25">
      <c r="A1416" s="2">
        <v>1573</v>
      </c>
      <c r="B1416" s="2" t="s">
        <v>9</v>
      </c>
      <c r="C1416" s="2">
        <v>69</v>
      </c>
      <c r="D1416" s="2">
        <f t="shared" si="220"/>
        <v>175.26</v>
      </c>
      <c r="E1416" s="2">
        <f t="shared" si="221"/>
        <v>55.786990652571156</v>
      </c>
      <c r="F1416" s="2">
        <f t="shared" si="222"/>
        <v>21.963382146681557</v>
      </c>
      <c r="G1416" s="2">
        <v>12.344389</v>
      </c>
      <c r="H1416" s="2">
        <f t="shared" si="223"/>
        <v>40.499965206759995</v>
      </c>
      <c r="I1416" s="2">
        <f>INDEX('Wood Density Lookup'!$B$2:$B$152,MATCH(B1416,'Wood Density Lookup'!$A$2:$A$152,0))</f>
        <v>0.42</v>
      </c>
      <c r="J1416" s="2">
        <f t="shared" si="224"/>
        <v>860.62307982279981</v>
      </c>
      <c r="K1416" s="2">
        <f t="shared" si="228"/>
        <v>240.97446235038396</v>
      </c>
      <c r="L1416" s="2">
        <f t="shared" si="229"/>
        <v>1101.5975421731837</v>
      </c>
      <c r="M1416" s="2">
        <f t="shared" si="225"/>
        <v>798.65821807555812</v>
      </c>
      <c r="N1416" s="2">
        <f t="shared" si="226"/>
        <v>399.32910903777906</v>
      </c>
      <c r="O1416" s="2">
        <f t="shared" si="227"/>
        <v>1465.5378301686492</v>
      </c>
      <c r="P1416" s="2">
        <v>72.551599999999993</v>
      </c>
      <c r="Q1416" s="2">
        <v>23.037645999999999</v>
      </c>
    </row>
    <row r="1417" spans="1:17" x14ac:dyDescent="0.25">
      <c r="A1417" s="2">
        <v>1574</v>
      </c>
      <c r="B1417" s="2" t="s">
        <v>31</v>
      </c>
      <c r="C1417" s="2">
        <v>3</v>
      </c>
      <c r="D1417" s="2">
        <f t="shared" si="220"/>
        <v>7.62</v>
      </c>
      <c r="E1417" s="2">
        <f t="shared" si="221"/>
        <v>2.4255213327204852</v>
      </c>
      <c r="F1417" s="2">
        <f t="shared" si="222"/>
        <v>0.95492965855137202</v>
      </c>
      <c r="G1417" s="2">
        <v>13.05092</v>
      </c>
      <c r="H1417" s="2">
        <f t="shared" si="223"/>
        <v>42.817980372800001</v>
      </c>
      <c r="I1417" s="2">
        <f>INDEX('Wood Density Lookup'!$B$2:$B$152,MATCH(B1417,'Wood Density Lookup'!$A$2:$A$152,0))</f>
        <v>0.78</v>
      </c>
      <c r="J1417" s="2">
        <f t="shared" si="224"/>
        <v>3.6534627983559065</v>
      </c>
      <c r="K1417" s="2">
        <f t="shared" si="228"/>
        <v>1.0229695835396539</v>
      </c>
      <c r="L1417" s="2">
        <f t="shared" si="229"/>
        <v>4.6764323818955607</v>
      </c>
      <c r="M1417" s="2">
        <f t="shared" si="225"/>
        <v>3.3904134768742815</v>
      </c>
      <c r="N1417" s="2">
        <f t="shared" si="226"/>
        <v>1.6952067384371408</v>
      </c>
      <c r="O1417" s="2">
        <f t="shared" si="227"/>
        <v>6.2214087300643062</v>
      </c>
      <c r="P1417" s="2">
        <v>72.551607000000004</v>
      </c>
      <c r="Q1417" s="2">
        <v>23.036594999999998</v>
      </c>
    </row>
    <row r="1418" spans="1:17" x14ac:dyDescent="0.25">
      <c r="A1418" s="2">
        <v>1575</v>
      </c>
      <c r="B1418" s="2" t="s">
        <v>9</v>
      </c>
      <c r="C1418" s="2">
        <v>46</v>
      </c>
      <c r="D1418" s="2">
        <f t="shared" si="220"/>
        <v>116.84</v>
      </c>
      <c r="E1418" s="2">
        <f t="shared" si="221"/>
        <v>37.191327101714101</v>
      </c>
      <c r="F1418" s="2">
        <f t="shared" si="222"/>
        <v>14.642254764454371</v>
      </c>
      <c r="G1418" s="2">
        <v>7.2317220000000004</v>
      </c>
      <c r="H1418" s="2">
        <f t="shared" si="223"/>
        <v>23.726122806480003</v>
      </c>
      <c r="I1418" s="2">
        <f>INDEX('Wood Density Lookup'!$B$2:$B$152,MATCH(B1418,'Wood Density Lookup'!$A$2:$A$152,0))</f>
        <v>0.42</v>
      </c>
      <c r="J1418" s="2">
        <f t="shared" si="224"/>
        <v>231.43468332336391</v>
      </c>
      <c r="K1418" s="2">
        <f t="shared" si="228"/>
        <v>64.801711330541906</v>
      </c>
      <c r="L1418" s="2">
        <f t="shared" si="229"/>
        <v>296.23639465390579</v>
      </c>
      <c r="M1418" s="2">
        <f t="shared" si="225"/>
        <v>214.77138612408169</v>
      </c>
      <c r="N1418" s="2">
        <f t="shared" si="226"/>
        <v>107.38569306204084</v>
      </c>
      <c r="O1418" s="2">
        <f t="shared" si="227"/>
        <v>394.10549353768988</v>
      </c>
      <c r="P1418" s="2">
        <v>72.551609999999997</v>
      </c>
      <c r="Q1418" s="2">
        <v>23.037801999999999</v>
      </c>
    </row>
    <row r="1419" spans="1:17" x14ac:dyDescent="0.25">
      <c r="A1419" s="2">
        <v>1576</v>
      </c>
      <c r="B1419" s="2" t="s">
        <v>140</v>
      </c>
      <c r="C1419" s="2">
        <v>4</v>
      </c>
      <c r="D1419" s="2">
        <f t="shared" si="220"/>
        <v>10.16</v>
      </c>
      <c r="E1419" s="2">
        <f t="shared" si="221"/>
        <v>3.2340284436273135</v>
      </c>
      <c r="F1419" s="2">
        <f t="shared" si="222"/>
        <v>1.2732395447351628</v>
      </c>
      <c r="G1419" s="2">
        <v>12.296602</v>
      </c>
      <c r="H1419" s="2">
        <f t="shared" si="223"/>
        <v>40.343183705679998</v>
      </c>
      <c r="I1419" s="2">
        <f>INDEX('Wood Density Lookup'!$B$2:$B$152,MATCH(B1419,'Wood Density Lookup'!$A$2:$A$152,0))</f>
        <v>0.6</v>
      </c>
      <c r="J1419" s="2">
        <f t="shared" si="224"/>
        <v>4.6788694193544096</v>
      </c>
      <c r="K1419" s="2">
        <f t="shared" si="228"/>
        <v>1.3100834374192347</v>
      </c>
      <c r="L1419" s="2">
        <f t="shared" si="229"/>
        <v>5.9889528567736443</v>
      </c>
      <c r="M1419" s="2">
        <f t="shared" si="225"/>
        <v>4.3419908211608922</v>
      </c>
      <c r="N1419" s="2">
        <f t="shared" si="226"/>
        <v>2.1709954105804461</v>
      </c>
      <c r="O1419" s="2">
        <f t="shared" si="227"/>
        <v>7.9675531568302373</v>
      </c>
      <c r="P1419" s="2">
        <v>72.551616999999993</v>
      </c>
      <c r="Q1419" s="2">
        <v>23.035715</v>
      </c>
    </row>
    <row r="1420" spans="1:17" x14ac:dyDescent="0.25">
      <c r="A1420" s="2">
        <v>1577</v>
      </c>
      <c r="B1420" s="2" t="s">
        <v>9</v>
      </c>
      <c r="C1420" s="2">
        <v>113</v>
      </c>
      <c r="D1420" s="2">
        <f t="shared" si="220"/>
        <v>287.02</v>
      </c>
      <c r="E1420" s="2">
        <f t="shared" si="221"/>
        <v>91.361303532471595</v>
      </c>
      <c r="F1420" s="2">
        <f t="shared" si="222"/>
        <v>35.969017138768351</v>
      </c>
      <c r="G1420" s="2">
        <v>10.246097000000001</v>
      </c>
      <c r="H1420" s="2">
        <f t="shared" si="223"/>
        <v>33.615804881480003</v>
      </c>
      <c r="I1420" s="2">
        <f>INDEX('Wood Density Lookup'!$B$2:$B$152,MATCH(B1420,'Wood Density Lookup'!$A$2:$A$152,0))</f>
        <v>0.42</v>
      </c>
      <c r="J1420" s="2">
        <f t="shared" si="224"/>
        <v>1879.4008398646179</v>
      </c>
      <c r="K1420" s="2">
        <f t="shared" si="228"/>
        <v>526.23223516209305</v>
      </c>
      <c r="L1420" s="2">
        <f t="shared" si="229"/>
        <v>2405.6330750267107</v>
      </c>
      <c r="M1420" s="2">
        <f t="shared" si="225"/>
        <v>1744.0839793943651</v>
      </c>
      <c r="N1420" s="2">
        <f t="shared" si="226"/>
        <v>872.04198969718254</v>
      </c>
      <c r="O1420" s="2">
        <f t="shared" si="227"/>
        <v>3200.3941021886599</v>
      </c>
      <c r="P1420" s="2">
        <v>72.551620999999997</v>
      </c>
      <c r="Q1420" s="2">
        <v>23.037538999999999</v>
      </c>
    </row>
    <row r="1421" spans="1:17" x14ac:dyDescent="0.25">
      <c r="A1421" s="2">
        <v>1578</v>
      </c>
      <c r="B1421" s="2" t="s">
        <v>139</v>
      </c>
      <c r="C1421" s="2">
        <v>67</v>
      </c>
      <c r="D1421" s="2">
        <f t="shared" si="220"/>
        <v>170.18</v>
      </c>
      <c r="E1421" s="2">
        <f t="shared" si="221"/>
        <v>54.169976430757501</v>
      </c>
      <c r="F1421" s="2">
        <f t="shared" si="222"/>
        <v>21.326762374313976</v>
      </c>
      <c r="G1421" s="2">
        <v>21.690719999999999</v>
      </c>
      <c r="H1421" s="2">
        <f t="shared" si="223"/>
        <v>71.163781804799996</v>
      </c>
      <c r="I1421" s="2">
        <f>INDEX('Wood Density Lookup'!$B$2:$B$152,MATCH(B1421,'Wood Density Lookup'!$A$2:$A$152,0))</f>
        <v>0.9</v>
      </c>
      <c r="J1421" s="2">
        <f t="shared" si="224"/>
        <v>2963.8486645734179</v>
      </c>
      <c r="K1421" s="2">
        <f t="shared" si="228"/>
        <v>829.87762608055709</v>
      </c>
      <c r="L1421" s="2">
        <f t="shared" si="229"/>
        <v>3793.726290653975</v>
      </c>
      <c r="M1421" s="2">
        <f t="shared" si="225"/>
        <v>2750.4515607241319</v>
      </c>
      <c r="N1421" s="2">
        <f t="shared" si="226"/>
        <v>1375.225780362066</v>
      </c>
      <c r="O1421" s="2">
        <f t="shared" si="227"/>
        <v>5047.078613928782</v>
      </c>
      <c r="P1421" s="2">
        <v>72.551627999999994</v>
      </c>
      <c r="Q1421" s="2">
        <v>23.034514000000001</v>
      </c>
    </row>
    <row r="1422" spans="1:17" x14ac:dyDescent="0.25">
      <c r="A1422" s="2">
        <v>1579</v>
      </c>
      <c r="B1422" s="2" t="s">
        <v>21</v>
      </c>
      <c r="C1422" s="2">
        <v>4</v>
      </c>
      <c r="D1422" s="2">
        <f t="shared" si="220"/>
        <v>10.16</v>
      </c>
      <c r="E1422" s="2">
        <f t="shared" si="221"/>
        <v>3.2340284436273135</v>
      </c>
      <c r="F1422" s="2">
        <f t="shared" si="222"/>
        <v>1.2732395447351628</v>
      </c>
      <c r="G1422" s="2">
        <v>13.584949999999999</v>
      </c>
      <c r="H1422" s="2">
        <f t="shared" si="223"/>
        <v>44.570047357999997</v>
      </c>
      <c r="I1422" s="2">
        <f>INDEX('Wood Density Lookup'!$B$2:$B$152,MATCH(B1422,'Wood Density Lookup'!$A$2:$A$152,0))</f>
        <v>0.45</v>
      </c>
      <c r="J1422" s="2">
        <f t="shared" si="224"/>
        <v>3.8943510285928107</v>
      </c>
      <c r="K1422" s="2">
        <f t="shared" si="228"/>
        <v>1.0904182880059872</v>
      </c>
      <c r="L1422" s="2">
        <f t="shared" si="229"/>
        <v>4.9847693165987979</v>
      </c>
      <c r="M1422" s="2">
        <f t="shared" si="225"/>
        <v>3.6139577545341282</v>
      </c>
      <c r="N1422" s="2">
        <f t="shared" si="226"/>
        <v>1.8069788772670641</v>
      </c>
      <c r="O1422" s="2">
        <f t="shared" si="227"/>
        <v>6.6316124795701255</v>
      </c>
      <c r="P1422" s="2">
        <v>72.551631999999998</v>
      </c>
      <c r="Q1422" s="2">
        <v>23.035691</v>
      </c>
    </row>
    <row r="1423" spans="1:17" x14ac:dyDescent="0.25">
      <c r="A1423" s="2">
        <v>1580</v>
      </c>
      <c r="B1423" s="2" t="s">
        <v>31</v>
      </c>
      <c r="C1423" s="2">
        <v>2</v>
      </c>
      <c r="D1423" s="2">
        <f t="shared" si="220"/>
        <v>5.08</v>
      </c>
      <c r="E1423" s="2">
        <f t="shared" si="221"/>
        <v>1.6170142218136567</v>
      </c>
      <c r="F1423" s="2">
        <f t="shared" si="222"/>
        <v>0.63661977236758138</v>
      </c>
      <c r="G1423" s="2">
        <v>13.285607000000001</v>
      </c>
      <c r="H1423" s="2">
        <f t="shared" si="223"/>
        <v>43.587950869880004</v>
      </c>
      <c r="I1423" s="2">
        <f>INDEX('Wood Density Lookup'!$B$2:$B$152,MATCH(B1423,'Wood Density Lookup'!$A$2:$A$152,0))</f>
        <v>0.78</v>
      </c>
      <c r="J1423" s="2">
        <f t="shared" si="224"/>
        <v>1.6847251500210949</v>
      </c>
      <c r="K1423" s="2">
        <f t="shared" si="228"/>
        <v>0.47172304200590665</v>
      </c>
      <c r="L1423" s="2">
        <f t="shared" si="229"/>
        <v>2.1564481920270016</v>
      </c>
      <c r="M1423" s="2">
        <f t="shared" si="225"/>
        <v>1.563424939219576</v>
      </c>
      <c r="N1423" s="2">
        <f t="shared" si="226"/>
        <v>0.78171246960978802</v>
      </c>
      <c r="O1423" s="2">
        <f t="shared" si="227"/>
        <v>2.8688847634679218</v>
      </c>
      <c r="P1423" s="2">
        <v>72.551635000000005</v>
      </c>
      <c r="Q1423" s="2">
        <v>23.036593</v>
      </c>
    </row>
    <row r="1424" spans="1:17" x14ac:dyDescent="0.25">
      <c r="A1424" s="2">
        <v>1581</v>
      </c>
      <c r="B1424" s="2" t="s">
        <v>101</v>
      </c>
      <c r="C1424" s="2">
        <v>39</v>
      </c>
      <c r="D1424" s="2">
        <f t="shared" si="220"/>
        <v>99.06</v>
      </c>
      <c r="E1424" s="2">
        <f t="shared" si="221"/>
        <v>31.531777325366306</v>
      </c>
      <c r="F1424" s="2">
        <f t="shared" si="222"/>
        <v>12.414085561167836</v>
      </c>
      <c r="G1424" s="2">
        <v>9.9735150000000008</v>
      </c>
      <c r="H1424" s="2">
        <f t="shared" si="223"/>
        <v>32.721506952600002</v>
      </c>
      <c r="I1424" s="2">
        <f>INDEX('Wood Density Lookup'!$B$2:$B$152,MATCH(B1424,'Wood Density Lookup'!$A$2:$A$152,0))</f>
        <v>0.2</v>
      </c>
      <c r="J1424" s="2">
        <f t="shared" si="224"/>
        <v>111.23800811102934</v>
      </c>
      <c r="K1424" s="2">
        <f t="shared" si="228"/>
        <v>31.146642271088218</v>
      </c>
      <c r="L1424" s="2">
        <f t="shared" si="229"/>
        <v>142.38465038211757</v>
      </c>
      <c r="M1424" s="2">
        <f t="shared" si="225"/>
        <v>103.22887152703524</v>
      </c>
      <c r="N1424" s="2">
        <f t="shared" si="226"/>
        <v>51.614435763517619</v>
      </c>
      <c r="O1424" s="2">
        <f t="shared" si="227"/>
        <v>189.42497925210967</v>
      </c>
      <c r="P1424" s="2">
        <v>72.551636000000002</v>
      </c>
      <c r="Q1424" s="2">
        <v>23.036916000000002</v>
      </c>
    </row>
    <row r="1425" spans="1:17" x14ac:dyDescent="0.25">
      <c r="A1425" s="2">
        <v>1582</v>
      </c>
      <c r="B1425" s="2" t="s">
        <v>9</v>
      </c>
      <c r="C1425" s="2">
        <v>43</v>
      </c>
      <c r="D1425" s="2">
        <f t="shared" si="220"/>
        <v>109.22</v>
      </c>
      <c r="E1425" s="2">
        <f t="shared" si="221"/>
        <v>34.765805768993616</v>
      </c>
      <c r="F1425" s="2">
        <f t="shared" si="222"/>
        <v>13.687325105903</v>
      </c>
      <c r="G1425" s="2">
        <v>6.2639180000000003</v>
      </c>
      <c r="H1425" s="2">
        <f t="shared" si="223"/>
        <v>20.55091273112</v>
      </c>
      <c r="I1425" s="2">
        <f>INDEX('Wood Density Lookup'!$B$2:$B$152,MATCH(B1425,'Wood Density Lookup'!$A$2:$A$152,0))</f>
        <v>0.42</v>
      </c>
      <c r="J1425" s="2">
        <f t="shared" si="224"/>
        <v>176.34267260333553</v>
      </c>
      <c r="K1425" s="2">
        <f t="shared" si="228"/>
        <v>49.375948328933951</v>
      </c>
      <c r="L1425" s="2">
        <f t="shared" si="229"/>
        <v>225.71862093226949</v>
      </c>
      <c r="M1425" s="2">
        <f t="shared" si="225"/>
        <v>163.64600017589538</v>
      </c>
      <c r="N1425" s="2">
        <f t="shared" si="226"/>
        <v>81.82300008794769</v>
      </c>
      <c r="O1425" s="2">
        <f t="shared" si="227"/>
        <v>300.29041032276803</v>
      </c>
      <c r="P1425" s="2">
        <v>72.551638999999994</v>
      </c>
      <c r="Q1425" s="2">
        <v>23.037420999999998</v>
      </c>
    </row>
    <row r="1426" spans="1:17" x14ac:dyDescent="0.25">
      <c r="A1426" s="2">
        <v>1583</v>
      </c>
      <c r="B1426" s="2" t="s">
        <v>62</v>
      </c>
      <c r="C1426" s="2">
        <v>2</v>
      </c>
      <c r="D1426" s="2">
        <f t="shared" si="220"/>
        <v>5.08</v>
      </c>
      <c r="E1426" s="2">
        <f t="shared" si="221"/>
        <v>1.6170142218136567</v>
      </c>
      <c r="F1426" s="2">
        <f t="shared" si="222"/>
        <v>0.63661977236758138</v>
      </c>
      <c r="G1426" s="2">
        <v>11.951965</v>
      </c>
      <c r="H1426" s="2">
        <f t="shared" si="223"/>
        <v>39.212484850599999</v>
      </c>
      <c r="I1426" s="2">
        <f>INDEX('Wood Density Lookup'!$B$2:$B$152,MATCH(B1426,'Wood Density Lookup'!$A$2:$A$152,0))</f>
        <v>0.47</v>
      </c>
      <c r="J1426" s="2">
        <f t="shared" si="224"/>
        <v>0.92677168714600999</v>
      </c>
      <c r="K1426" s="2">
        <f t="shared" si="228"/>
        <v>0.25949607240088285</v>
      </c>
      <c r="L1426" s="2">
        <f t="shared" si="229"/>
        <v>1.1862677595468929</v>
      </c>
      <c r="M1426" s="2">
        <f t="shared" si="225"/>
        <v>0.86004412567149735</v>
      </c>
      <c r="N1426" s="2">
        <f t="shared" si="226"/>
        <v>0.43002206283574868</v>
      </c>
      <c r="O1426" s="2">
        <f t="shared" si="227"/>
        <v>1.5781809706071976</v>
      </c>
      <c r="P1426" s="2">
        <v>72.551641000000004</v>
      </c>
      <c r="Q1426" s="2">
        <v>23.035720000000001</v>
      </c>
    </row>
    <row r="1427" spans="1:17" x14ac:dyDescent="0.25">
      <c r="A1427" s="2">
        <v>1584</v>
      </c>
      <c r="B1427" s="2" t="s">
        <v>107</v>
      </c>
      <c r="C1427" s="2">
        <v>44</v>
      </c>
      <c r="D1427" s="2">
        <f t="shared" si="220"/>
        <v>111.76</v>
      </c>
      <c r="E1427" s="2">
        <f t="shared" si="221"/>
        <v>35.574312879900447</v>
      </c>
      <c r="F1427" s="2">
        <f t="shared" si="222"/>
        <v>14.00563499208679</v>
      </c>
      <c r="G1427" s="2">
        <v>11.220668999999999</v>
      </c>
      <c r="H1427" s="2">
        <f t="shared" si="223"/>
        <v>36.81321968196</v>
      </c>
      <c r="I1427" s="2">
        <f>INDEX('Wood Density Lookup'!$B$2:$B$152,MATCH(B1427,'Wood Density Lookup'!$A$2:$A$152,0))</f>
        <v>0.65</v>
      </c>
      <c r="J1427" s="2">
        <f t="shared" si="224"/>
        <v>498.94800372681902</v>
      </c>
      <c r="K1427" s="2">
        <f t="shared" si="228"/>
        <v>139.70544104350935</v>
      </c>
      <c r="L1427" s="2">
        <f t="shared" si="229"/>
        <v>638.65344477032841</v>
      </c>
      <c r="M1427" s="2">
        <f t="shared" si="225"/>
        <v>463.02374745848806</v>
      </c>
      <c r="N1427" s="2">
        <f t="shared" si="226"/>
        <v>231.51187372924403</v>
      </c>
      <c r="O1427" s="2">
        <f t="shared" si="227"/>
        <v>849.64857658632559</v>
      </c>
      <c r="P1427" s="2">
        <v>72.551642000000001</v>
      </c>
      <c r="Q1427" s="2">
        <v>23.034649000000002</v>
      </c>
    </row>
    <row r="1428" spans="1:17" x14ac:dyDescent="0.25">
      <c r="A1428" s="2">
        <v>1585</v>
      </c>
      <c r="B1428" s="2" t="s">
        <v>9</v>
      </c>
      <c r="C1428" s="2">
        <v>78</v>
      </c>
      <c r="D1428" s="2">
        <f t="shared" si="220"/>
        <v>198.12</v>
      </c>
      <c r="E1428" s="2">
        <f t="shared" si="221"/>
        <v>63.063554650732613</v>
      </c>
      <c r="F1428" s="2">
        <f t="shared" si="222"/>
        <v>24.828171122335672</v>
      </c>
      <c r="G1428" s="2">
        <v>10.046595999999999</v>
      </c>
      <c r="H1428" s="2">
        <f t="shared" si="223"/>
        <v>32.961274020639998</v>
      </c>
      <c r="I1428" s="2">
        <f>INDEX('Wood Density Lookup'!$B$2:$B$152,MATCH(B1428,'Wood Density Lookup'!$A$2:$A$152,0))</f>
        <v>0.42</v>
      </c>
      <c r="J1428" s="2">
        <f t="shared" si="224"/>
        <v>894.22000906468827</v>
      </c>
      <c r="K1428" s="2">
        <f t="shared" si="228"/>
        <v>250.38160253811273</v>
      </c>
      <c r="L1428" s="2">
        <f t="shared" si="229"/>
        <v>1144.6016116028011</v>
      </c>
      <c r="M1428" s="2">
        <f t="shared" si="225"/>
        <v>829.83616841203082</v>
      </c>
      <c r="N1428" s="2">
        <f t="shared" si="226"/>
        <v>414.91808420601541</v>
      </c>
      <c r="O1428" s="2">
        <f t="shared" si="227"/>
        <v>1522.7493690360766</v>
      </c>
      <c r="P1428" s="2">
        <v>72.551648999999998</v>
      </c>
      <c r="Q1428" s="2">
        <v>23.036715999999998</v>
      </c>
    </row>
    <row r="1429" spans="1:17" x14ac:dyDescent="0.25">
      <c r="A1429" s="2">
        <v>1586</v>
      </c>
      <c r="B1429" s="2" t="s">
        <v>31</v>
      </c>
      <c r="C1429" s="2">
        <v>2</v>
      </c>
      <c r="D1429" s="2">
        <f t="shared" si="220"/>
        <v>5.08</v>
      </c>
      <c r="E1429" s="2">
        <f t="shared" si="221"/>
        <v>1.6170142218136567</v>
      </c>
      <c r="F1429" s="2">
        <f t="shared" si="222"/>
        <v>0.63661977236758138</v>
      </c>
      <c r="G1429" s="2">
        <v>12.600318</v>
      </c>
      <c r="H1429" s="2">
        <f t="shared" si="223"/>
        <v>41.339627307119997</v>
      </c>
      <c r="I1429" s="2">
        <f>INDEX('Wood Density Lookup'!$B$2:$B$152,MATCH(B1429,'Wood Density Lookup'!$A$2:$A$152,0))</f>
        <v>0.78</v>
      </c>
      <c r="J1429" s="2">
        <f t="shared" si="224"/>
        <v>1.5998569818906507</v>
      </c>
      <c r="K1429" s="2">
        <f t="shared" si="228"/>
        <v>0.44795995492938223</v>
      </c>
      <c r="L1429" s="2">
        <f t="shared" si="229"/>
        <v>2.0478169368200332</v>
      </c>
      <c r="M1429" s="2">
        <f t="shared" si="225"/>
        <v>1.4846672791945239</v>
      </c>
      <c r="N1429" s="2">
        <f t="shared" si="226"/>
        <v>0.74233363959726195</v>
      </c>
      <c r="O1429" s="2">
        <f t="shared" si="227"/>
        <v>2.7243644573219514</v>
      </c>
      <c r="P1429" s="2">
        <v>72.551661999999993</v>
      </c>
      <c r="Q1429" s="2">
        <v>23.036591000000001</v>
      </c>
    </row>
    <row r="1430" spans="1:17" x14ac:dyDescent="0.25">
      <c r="A1430" s="2">
        <v>1588</v>
      </c>
      <c r="B1430" s="2" t="s">
        <v>61</v>
      </c>
      <c r="C1430" s="2">
        <v>2</v>
      </c>
      <c r="D1430" s="2">
        <f t="shared" si="220"/>
        <v>5.08</v>
      </c>
      <c r="E1430" s="2">
        <f t="shared" si="221"/>
        <v>1.6170142218136567</v>
      </c>
      <c r="F1430" s="2">
        <f t="shared" si="222"/>
        <v>0.63661977236758138</v>
      </c>
      <c r="G1430" s="2">
        <v>1.1285849999999999</v>
      </c>
      <c r="H1430" s="2">
        <f t="shared" si="223"/>
        <v>3.7027068113999997</v>
      </c>
      <c r="I1430" s="2">
        <f>INDEX('Wood Density Lookup'!$B$2:$B$152,MATCH(B1430,'Wood Density Lookup'!$A$2:$A$152,0))</f>
        <v>0.5</v>
      </c>
      <c r="J1430" s="2">
        <f t="shared" si="224"/>
        <v>9.8376791576458081E-2</v>
      </c>
      <c r="K1430" s="2">
        <f t="shared" si="228"/>
        <v>2.7545501641408267E-2</v>
      </c>
      <c r="L1430" s="2">
        <f t="shared" si="229"/>
        <v>0.12592229321786635</v>
      </c>
      <c r="M1430" s="2">
        <f t="shared" si="225"/>
        <v>9.12936625829531E-2</v>
      </c>
      <c r="N1430" s="2">
        <f t="shared" si="226"/>
        <v>4.564683129147655E-2</v>
      </c>
      <c r="O1430" s="2">
        <f t="shared" si="227"/>
        <v>0.16752387083971892</v>
      </c>
      <c r="P1430" s="2">
        <v>72.551671999999996</v>
      </c>
      <c r="Q1430" s="2">
        <v>23.035775999999998</v>
      </c>
    </row>
    <row r="1431" spans="1:17" x14ac:dyDescent="0.25">
      <c r="A1431" s="2">
        <v>1589</v>
      </c>
      <c r="B1431" s="2" t="s">
        <v>9</v>
      </c>
      <c r="C1431" s="2">
        <v>9</v>
      </c>
      <c r="D1431" s="2">
        <f t="shared" si="220"/>
        <v>22.86</v>
      </c>
      <c r="E1431" s="2">
        <f t="shared" si="221"/>
        <v>7.2765639981614552</v>
      </c>
      <c r="F1431" s="2">
        <f t="shared" si="222"/>
        <v>2.8647889756541161</v>
      </c>
      <c r="G1431" s="2">
        <v>8.8612079999999995</v>
      </c>
      <c r="H1431" s="2">
        <f t="shared" si="223"/>
        <v>29.072205654719998</v>
      </c>
      <c r="I1431" s="2">
        <f>INDEX('Wood Density Lookup'!$B$2:$B$152,MATCH(B1431,'Wood Density Lookup'!$A$2:$A$152,0))</f>
        <v>0.42</v>
      </c>
      <c r="J1431" s="2">
        <f t="shared" si="224"/>
        <v>11.682605563847288</v>
      </c>
      <c r="K1431" s="2">
        <f t="shared" si="228"/>
        <v>3.271129557877241</v>
      </c>
      <c r="L1431" s="2">
        <f t="shared" si="229"/>
        <v>14.953735121724529</v>
      </c>
      <c r="M1431" s="2">
        <f t="shared" si="225"/>
        <v>10.841457963250283</v>
      </c>
      <c r="N1431" s="2">
        <f t="shared" si="226"/>
        <v>5.4207289816251416</v>
      </c>
      <c r="O1431" s="2">
        <f t="shared" si="227"/>
        <v>19.894075362564269</v>
      </c>
      <c r="P1431" s="2">
        <v>72.551672999999994</v>
      </c>
      <c r="Q1431" s="2">
        <v>23.037361000000001</v>
      </c>
    </row>
    <row r="1432" spans="1:17" x14ac:dyDescent="0.25">
      <c r="A1432" s="2">
        <v>1590</v>
      </c>
      <c r="B1432" s="2" t="s">
        <v>82</v>
      </c>
      <c r="C1432" s="2">
        <v>8</v>
      </c>
      <c r="D1432" s="2">
        <f t="shared" si="220"/>
        <v>20.32</v>
      </c>
      <c r="E1432" s="2">
        <f t="shared" si="221"/>
        <v>6.4680568872546269</v>
      </c>
      <c r="F1432" s="2">
        <f t="shared" si="222"/>
        <v>2.5464790894703255</v>
      </c>
      <c r="G1432" s="2">
        <v>6.2644840000000004</v>
      </c>
      <c r="H1432" s="2">
        <f t="shared" si="223"/>
        <v>20.552769686560001</v>
      </c>
      <c r="I1432" s="2">
        <f>INDEX('Wood Density Lookup'!$B$2:$B$152,MATCH(B1432,'Wood Density Lookup'!$A$2:$A$152,0))</f>
        <v>0.7</v>
      </c>
      <c r="J1432" s="2">
        <f t="shared" si="224"/>
        <v>10.894851781319103</v>
      </c>
      <c r="K1432" s="2">
        <f t="shared" si="228"/>
        <v>3.050558498769349</v>
      </c>
      <c r="L1432" s="2">
        <f t="shared" si="229"/>
        <v>13.945410280088453</v>
      </c>
      <c r="M1432" s="2">
        <f t="shared" si="225"/>
        <v>10.110422453064128</v>
      </c>
      <c r="N1432" s="2">
        <f t="shared" si="226"/>
        <v>5.0552112265320641</v>
      </c>
      <c r="O1432" s="2">
        <f t="shared" si="227"/>
        <v>18.552625201372674</v>
      </c>
      <c r="P1432" s="2">
        <v>72.551675000000003</v>
      </c>
      <c r="Q1432" s="2">
        <v>23.037305</v>
      </c>
    </row>
    <row r="1433" spans="1:17" x14ac:dyDescent="0.25">
      <c r="A1433" s="2">
        <v>1591</v>
      </c>
      <c r="B1433" s="2" t="s">
        <v>128</v>
      </c>
      <c r="C1433" s="2">
        <v>22</v>
      </c>
      <c r="D1433" s="2">
        <f t="shared" si="220"/>
        <v>55.88</v>
      </c>
      <c r="E1433" s="2">
        <f t="shared" si="221"/>
        <v>17.787156439950223</v>
      </c>
      <c r="F1433" s="2">
        <f t="shared" si="222"/>
        <v>7.0028174960433951</v>
      </c>
      <c r="G1433" s="2">
        <v>12.155697</v>
      </c>
      <c r="H1433" s="2">
        <f t="shared" si="223"/>
        <v>39.880896945479996</v>
      </c>
      <c r="I1433" s="2">
        <f>INDEX('Wood Density Lookup'!$B$2:$B$152,MATCH(B1433,'Wood Density Lookup'!$A$2:$A$152,0))</f>
        <v>0.75</v>
      </c>
      <c r="J1433" s="2">
        <f t="shared" si="224"/>
        <v>160.33485482010133</v>
      </c>
      <c r="K1433" s="2">
        <f t="shared" si="228"/>
        <v>44.893759349628375</v>
      </c>
      <c r="L1433" s="2">
        <f t="shared" si="229"/>
        <v>205.2286141697297</v>
      </c>
      <c r="M1433" s="2">
        <f t="shared" si="225"/>
        <v>148.79074527305403</v>
      </c>
      <c r="N1433" s="2">
        <f t="shared" si="226"/>
        <v>74.395372636527014</v>
      </c>
      <c r="O1433" s="2">
        <f t="shared" si="227"/>
        <v>273.03101757605413</v>
      </c>
      <c r="P1433" s="2">
        <v>72.551676</v>
      </c>
      <c r="Q1433" s="2">
        <v>23.035706000000001</v>
      </c>
    </row>
    <row r="1434" spans="1:17" x14ac:dyDescent="0.25">
      <c r="A1434" s="2">
        <v>1592</v>
      </c>
      <c r="B1434" s="2" t="s">
        <v>9</v>
      </c>
      <c r="C1434" s="2">
        <v>110</v>
      </c>
      <c r="D1434" s="2">
        <f t="shared" si="220"/>
        <v>279.39999999999998</v>
      </c>
      <c r="E1434" s="2">
        <f t="shared" si="221"/>
        <v>88.935782199751117</v>
      </c>
      <c r="F1434" s="2">
        <f t="shared" si="222"/>
        <v>35.014087480216972</v>
      </c>
      <c r="G1434" s="2">
        <v>12.244429999999999</v>
      </c>
      <c r="H1434" s="2">
        <f t="shared" si="223"/>
        <v>40.172015721199998</v>
      </c>
      <c r="I1434" s="2">
        <f>INDEX('Wood Density Lookup'!$B$2:$B$152,MATCH(B1434,'Wood Density Lookup'!$A$2:$A$152,0))</f>
        <v>0.42</v>
      </c>
      <c r="J1434" s="2">
        <f t="shared" si="224"/>
        <v>2121.9336668723977</v>
      </c>
      <c r="K1434" s="2">
        <f t="shared" si="228"/>
        <v>594.14142672427135</v>
      </c>
      <c r="L1434" s="2">
        <f t="shared" si="229"/>
        <v>2716.0750935966689</v>
      </c>
      <c r="M1434" s="2">
        <f t="shared" si="225"/>
        <v>1969.1544428575849</v>
      </c>
      <c r="N1434" s="2">
        <f t="shared" si="226"/>
        <v>984.57722142879243</v>
      </c>
      <c r="O1434" s="2">
        <f t="shared" si="227"/>
        <v>3613.3984026436683</v>
      </c>
      <c r="P1434" s="2">
        <v>72.551681000000002</v>
      </c>
      <c r="Q1434" s="2">
        <v>23.037614000000001</v>
      </c>
    </row>
    <row r="1435" spans="1:17" x14ac:dyDescent="0.25">
      <c r="A1435" s="2">
        <v>1593</v>
      </c>
      <c r="B1435" s="2" t="s">
        <v>126</v>
      </c>
      <c r="C1435" s="2">
        <v>16</v>
      </c>
      <c r="D1435" s="2">
        <f t="shared" si="220"/>
        <v>40.64</v>
      </c>
      <c r="E1435" s="2">
        <f t="shared" si="221"/>
        <v>12.936113774509254</v>
      </c>
      <c r="F1435" s="2">
        <f t="shared" si="222"/>
        <v>5.0929581789406511</v>
      </c>
      <c r="G1435" s="2">
        <v>21.386206999999999</v>
      </c>
      <c r="H1435" s="2">
        <f t="shared" si="223"/>
        <v>70.164723373879994</v>
      </c>
      <c r="I1435" s="2">
        <f>INDEX('Wood Density Lookup'!$B$2:$B$152,MATCH(B1435,'Wood Density Lookup'!$A$2:$A$152,0))</f>
        <v>0.7</v>
      </c>
      <c r="J1435" s="2">
        <f t="shared" si="224"/>
        <v>139.72765692333311</v>
      </c>
      <c r="K1435" s="2">
        <f t="shared" si="228"/>
        <v>39.123743938533273</v>
      </c>
      <c r="L1435" s="2">
        <f t="shared" si="229"/>
        <v>178.85140086186638</v>
      </c>
      <c r="M1435" s="2">
        <f t="shared" si="225"/>
        <v>129.66726562485312</v>
      </c>
      <c r="N1435" s="2">
        <f t="shared" si="226"/>
        <v>64.833632812426558</v>
      </c>
      <c r="O1435" s="2">
        <f t="shared" si="227"/>
        <v>237.93943242160546</v>
      </c>
      <c r="P1435" s="2">
        <v>72.551683999999995</v>
      </c>
      <c r="Q1435" s="2">
        <v>23.034527000000001</v>
      </c>
    </row>
    <row r="1436" spans="1:17" x14ac:dyDescent="0.25">
      <c r="A1436" s="2">
        <v>1594</v>
      </c>
      <c r="B1436" s="2" t="s">
        <v>9</v>
      </c>
      <c r="C1436" s="2">
        <v>85</v>
      </c>
      <c r="D1436" s="2">
        <f t="shared" si="220"/>
        <v>215.9</v>
      </c>
      <c r="E1436" s="2">
        <f t="shared" si="221"/>
        <v>68.723104427080415</v>
      </c>
      <c r="F1436" s="2">
        <f t="shared" si="222"/>
        <v>27.056340325622209</v>
      </c>
      <c r="G1436" s="2">
        <v>10.117201</v>
      </c>
      <c r="H1436" s="2">
        <f t="shared" si="223"/>
        <v>33.192917728840001</v>
      </c>
      <c r="I1436" s="2">
        <f>INDEX('Wood Density Lookup'!$B$2:$B$152,MATCH(B1436,'Wood Density Lookup'!$A$2:$A$152,0))</f>
        <v>0.42</v>
      </c>
      <c r="J1436" s="2">
        <f t="shared" si="224"/>
        <v>1064.804571916628</v>
      </c>
      <c r="K1436" s="2">
        <f t="shared" si="228"/>
        <v>298.14528013665586</v>
      </c>
      <c r="L1436" s="2">
        <f t="shared" si="229"/>
        <v>1362.9498520532838</v>
      </c>
      <c r="M1436" s="2">
        <f t="shared" si="225"/>
        <v>988.13864273863078</v>
      </c>
      <c r="N1436" s="2">
        <f t="shared" si="226"/>
        <v>494.06932136931539</v>
      </c>
      <c r="O1436" s="2">
        <f t="shared" si="227"/>
        <v>1813.2344094253874</v>
      </c>
      <c r="P1436" s="2">
        <v>72.551685000000006</v>
      </c>
      <c r="Q1436" s="2">
        <v>23.037690999999999</v>
      </c>
    </row>
    <row r="1437" spans="1:17" x14ac:dyDescent="0.25">
      <c r="A1437" s="2">
        <v>1595</v>
      </c>
      <c r="B1437" s="2" t="s">
        <v>31</v>
      </c>
      <c r="C1437" s="2">
        <v>2</v>
      </c>
      <c r="D1437" s="2">
        <f t="shared" si="220"/>
        <v>5.08</v>
      </c>
      <c r="E1437" s="2">
        <f t="shared" si="221"/>
        <v>1.6170142218136567</v>
      </c>
      <c r="F1437" s="2">
        <f t="shared" si="222"/>
        <v>0.63661977236758138</v>
      </c>
      <c r="G1437" s="2">
        <v>1.015828</v>
      </c>
      <c r="H1437" s="2">
        <f t="shared" si="223"/>
        <v>3.33276913552</v>
      </c>
      <c r="I1437" s="2">
        <f>INDEX('Wood Density Lookup'!$B$2:$B$152,MATCH(B1437,'Wood Density Lookup'!$A$2:$A$152,0))</f>
        <v>0.78</v>
      </c>
      <c r="J1437" s="2">
        <f t="shared" si="224"/>
        <v>0.13701411392393742</v>
      </c>
      <c r="K1437" s="2">
        <f t="shared" si="228"/>
        <v>3.8363951898702481E-2</v>
      </c>
      <c r="L1437" s="2">
        <f t="shared" si="229"/>
        <v>0.1753780658226399</v>
      </c>
      <c r="M1437" s="2">
        <f t="shared" si="225"/>
        <v>0.12714909772141392</v>
      </c>
      <c r="N1437" s="2">
        <f t="shared" si="226"/>
        <v>6.3574548860706959E-2</v>
      </c>
      <c r="O1437" s="2">
        <f t="shared" si="227"/>
        <v>0.23331859431879454</v>
      </c>
      <c r="P1437" s="2">
        <v>72.551685000000006</v>
      </c>
      <c r="Q1437" s="2">
        <v>23.036595999999999</v>
      </c>
    </row>
    <row r="1438" spans="1:17" x14ac:dyDescent="0.25">
      <c r="A1438" s="2">
        <v>1596</v>
      </c>
      <c r="B1438" s="2" t="s">
        <v>126</v>
      </c>
      <c r="C1438" s="2">
        <v>9</v>
      </c>
      <c r="D1438" s="2">
        <f t="shared" si="220"/>
        <v>22.86</v>
      </c>
      <c r="E1438" s="2">
        <f t="shared" si="221"/>
        <v>7.2765639981614552</v>
      </c>
      <c r="F1438" s="2">
        <f t="shared" si="222"/>
        <v>2.8647889756541161</v>
      </c>
      <c r="G1438" s="2">
        <v>20.346159</v>
      </c>
      <c r="H1438" s="2">
        <f t="shared" si="223"/>
        <v>66.752492293559996</v>
      </c>
      <c r="I1438" s="2">
        <f>INDEX('Wood Density Lookup'!$B$2:$B$152,MATCH(B1438,'Wood Density Lookup'!$A$2:$A$152,0))</f>
        <v>0.7</v>
      </c>
      <c r="J1438" s="2">
        <f t="shared" si="224"/>
        <v>43.29022556302828</v>
      </c>
      <c r="K1438" s="2">
        <f t="shared" si="228"/>
        <v>12.121263157647919</v>
      </c>
      <c r="L1438" s="2">
        <f t="shared" si="229"/>
        <v>55.411488720676196</v>
      </c>
      <c r="M1438" s="2">
        <f t="shared" si="225"/>
        <v>40.17332932249024</v>
      </c>
      <c r="N1438" s="2">
        <f t="shared" si="226"/>
        <v>20.08666466124512</v>
      </c>
      <c r="O1438" s="2">
        <f t="shared" si="227"/>
        <v>73.71805930676959</v>
      </c>
      <c r="P1438" s="2">
        <v>72.551687000000001</v>
      </c>
      <c r="Q1438" s="2">
        <v>23.034564</v>
      </c>
    </row>
    <row r="1439" spans="1:17" x14ac:dyDescent="0.25">
      <c r="A1439" s="2">
        <v>1597</v>
      </c>
      <c r="B1439" s="2" t="s">
        <v>115</v>
      </c>
      <c r="C1439" s="2">
        <v>8</v>
      </c>
      <c r="D1439" s="2">
        <f t="shared" si="220"/>
        <v>20.32</v>
      </c>
      <c r="E1439" s="2">
        <f t="shared" si="221"/>
        <v>6.4680568872546269</v>
      </c>
      <c r="F1439" s="2">
        <f t="shared" si="222"/>
        <v>2.5464790894703255</v>
      </c>
      <c r="G1439" s="2">
        <v>5.9016780000000004</v>
      </c>
      <c r="H1439" s="2">
        <f t="shared" si="223"/>
        <v>19.362461249520003</v>
      </c>
      <c r="I1439" s="2">
        <f>INDEX('Wood Density Lookup'!$B$2:$B$152,MATCH(B1439,'Wood Density Lookup'!$A$2:$A$152,0))</f>
        <v>0.65</v>
      </c>
      <c r="J1439" s="2">
        <f t="shared" si="224"/>
        <v>9.5613918355227252</v>
      </c>
      <c r="K1439" s="2">
        <f t="shared" si="228"/>
        <v>2.6771897139463632</v>
      </c>
      <c r="L1439" s="2">
        <f t="shared" si="229"/>
        <v>12.238581549469089</v>
      </c>
      <c r="M1439" s="2">
        <f t="shared" si="225"/>
        <v>8.872971623365089</v>
      </c>
      <c r="N1439" s="2">
        <f t="shared" si="226"/>
        <v>4.4364858116825445</v>
      </c>
      <c r="O1439" s="2">
        <f t="shared" si="227"/>
        <v>16.281902928874938</v>
      </c>
      <c r="P1439" s="2">
        <v>72.551687000000001</v>
      </c>
      <c r="Q1439" s="2">
        <v>23.037828999999999</v>
      </c>
    </row>
    <row r="1440" spans="1:17" x14ac:dyDescent="0.25">
      <c r="A1440" s="2">
        <v>1598</v>
      </c>
      <c r="B1440" s="2" t="s">
        <v>15</v>
      </c>
      <c r="C1440" s="2">
        <v>41</v>
      </c>
      <c r="D1440" s="2">
        <f t="shared" si="220"/>
        <v>104.14</v>
      </c>
      <c r="E1440" s="2">
        <f t="shared" si="221"/>
        <v>33.148791547179961</v>
      </c>
      <c r="F1440" s="2">
        <f t="shared" si="222"/>
        <v>13.050705333535419</v>
      </c>
      <c r="G1440" s="2">
        <v>5.9745780000000002</v>
      </c>
      <c r="H1440" s="2">
        <f t="shared" si="223"/>
        <v>19.601634485520002</v>
      </c>
      <c r="I1440" s="2">
        <f>INDEX('Wood Density Lookup'!$B$2:$B$152,MATCH(B1440,'Wood Density Lookup'!$A$2:$A$152,0))</f>
        <v>0.75</v>
      </c>
      <c r="J1440" s="2">
        <f t="shared" si="224"/>
        <v>270.21140190049005</v>
      </c>
      <c r="K1440" s="2">
        <f t="shared" si="228"/>
        <v>75.659192532137226</v>
      </c>
      <c r="L1440" s="2">
        <f t="shared" si="229"/>
        <v>345.87059443262729</v>
      </c>
      <c r="M1440" s="2">
        <f t="shared" si="225"/>
        <v>250.75618096365477</v>
      </c>
      <c r="N1440" s="2">
        <f t="shared" si="226"/>
        <v>125.37809048182739</v>
      </c>
      <c r="O1440" s="2">
        <f t="shared" si="227"/>
        <v>460.1375920683065</v>
      </c>
      <c r="P1440" s="2">
        <v>72.551687000000001</v>
      </c>
      <c r="Q1440" s="2">
        <v>23.037303000000001</v>
      </c>
    </row>
    <row r="1441" spans="1:17" x14ac:dyDescent="0.25">
      <c r="A1441" s="2">
        <v>1599</v>
      </c>
      <c r="B1441" s="2" t="s">
        <v>31</v>
      </c>
      <c r="C1441" s="2">
        <v>17</v>
      </c>
      <c r="D1441" s="2">
        <f t="shared" si="220"/>
        <v>43.18</v>
      </c>
      <c r="E1441" s="2">
        <f t="shared" si="221"/>
        <v>13.744620885416081</v>
      </c>
      <c r="F1441" s="2">
        <f t="shared" si="222"/>
        <v>5.4112680651244416</v>
      </c>
      <c r="G1441" s="2">
        <v>2.9568270000000001</v>
      </c>
      <c r="H1441" s="2">
        <f t="shared" si="223"/>
        <v>9.7008762946800005</v>
      </c>
      <c r="I1441" s="2">
        <f>INDEX('Wood Density Lookup'!$B$2:$B$152,MATCH(B1441,'Wood Density Lookup'!$A$2:$A$152,0))</f>
        <v>0.78</v>
      </c>
      <c r="J1441" s="2">
        <f t="shared" si="224"/>
        <v>25.343153125517418</v>
      </c>
      <c r="K1441" s="2">
        <f t="shared" si="228"/>
        <v>7.0960828751448775</v>
      </c>
      <c r="L1441" s="2">
        <f t="shared" si="229"/>
        <v>32.439236000662298</v>
      </c>
      <c r="M1441" s="2">
        <f t="shared" si="225"/>
        <v>23.518446100480165</v>
      </c>
      <c r="N1441" s="2">
        <f t="shared" si="226"/>
        <v>11.759223050240083</v>
      </c>
      <c r="O1441" s="2">
        <f t="shared" si="227"/>
        <v>43.1563485943811</v>
      </c>
      <c r="P1441" s="2">
        <v>72.551688999999996</v>
      </c>
      <c r="Q1441" s="2">
        <v>23.038764</v>
      </c>
    </row>
    <row r="1442" spans="1:17" x14ac:dyDescent="0.25">
      <c r="A1442" s="2">
        <v>1601</v>
      </c>
      <c r="B1442" s="2" t="s">
        <v>115</v>
      </c>
      <c r="C1442" s="2">
        <v>24</v>
      </c>
      <c r="D1442" s="2">
        <f t="shared" si="220"/>
        <v>60.96</v>
      </c>
      <c r="E1442" s="2">
        <f t="shared" si="221"/>
        <v>19.404170661763882</v>
      </c>
      <c r="F1442" s="2">
        <f t="shared" si="222"/>
        <v>7.6394372684109761</v>
      </c>
      <c r="G1442" s="2">
        <v>3.3285300000000002</v>
      </c>
      <c r="H1442" s="2">
        <f t="shared" si="223"/>
        <v>10.920374365200001</v>
      </c>
      <c r="I1442" s="2">
        <f>INDEX('Wood Density Lookup'!$B$2:$B$152,MATCH(B1442,'Wood Density Lookup'!$A$2:$A$152,0))</f>
        <v>0.65</v>
      </c>
      <c r="J1442" s="2">
        <f t="shared" si="224"/>
        <v>46.677557612319333</v>
      </c>
      <c r="K1442" s="2">
        <f t="shared" si="228"/>
        <v>13.069716131449415</v>
      </c>
      <c r="L1442" s="2">
        <f t="shared" si="229"/>
        <v>59.747273743768744</v>
      </c>
      <c r="M1442" s="2">
        <f t="shared" si="225"/>
        <v>43.316773464232341</v>
      </c>
      <c r="N1442" s="2">
        <f t="shared" si="226"/>
        <v>21.65838673211617</v>
      </c>
      <c r="O1442" s="2">
        <f t="shared" si="227"/>
        <v>79.486279306866351</v>
      </c>
      <c r="P1442" s="2">
        <v>72.551688999999996</v>
      </c>
      <c r="Q1442" s="2">
        <v>23.038771000000001</v>
      </c>
    </row>
    <row r="1443" spans="1:17" x14ac:dyDescent="0.25">
      <c r="A1443" s="2">
        <v>1602</v>
      </c>
      <c r="B1443" s="2" t="s">
        <v>9</v>
      </c>
      <c r="C1443" s="2">
        <v>113</v>
      </c>
      <c r="D1443" s="2">
        <f t="shared" si="220"/>
        <v>287.02</v>
      </c>
      <c r="E1443" s="2">
        <f t="shared" si="221"/>
        <v>91.361303532471595</v>
      </c>
      <c r="F1443" s="2">
        <f t="shared" si="222"/>
        <v>35.969017138768351</v>
      </c>
      <c r="G1443" s="2">
        <v>8.5003139999999995</v>
      </c>
      <c r="H1443" s="2">
        <f t="shared" si="223"/>
        <v>27.88817018376</v>
      </c>
      <c r="I1443" s="2">
        <f>INDEX('Wood Density Lookup'!$B$2:$B$152,MATCH(B1443,'Wood Density Lookup'!$A$2:$A$152,0))</f>
        <v>0.42</v>
      </c>
      <c r="J1443" s="2">
        <f t="shared" si="224"/>
        <v>1566.184372356523</v>
      </c>
      <c r="K1443" s="2">
        <f t="shared" si="228"/>
        <v>438.53162425982646</v>
      </c>
      <c r="L1443" s="2">
        <f t="shared" si="229"/>
        <v>2004.7159966163495</v>
      </c>
      <c r="M1443" s="2">
        <f t="shared" si="225"/>
        <v>1453.4190975468532</v>
      </c>
      <c r="N1443" s="2">
        <f t="shared" si="226"/>
        <v>726.7095487734266</v>
      </c>
      <c r="O1443" s="2">
        <f t="shared" si="227"/>
        <v>2667.0240439984755</v>
      </c>
      <c r="P1443" s="2">
        <v>72.551689999999994</v>
      </c>
      <c r="Q1443" s="2">
        <v>23.036722999999999</v>
      </c>
    </row>
    <row r="1444" spans="1:17" x14ac:dyDescent="0.25">
      <c r="A1444" s="2">
        <v>1603</v>
      </c>
      <c r="B1444" s="2" t="s">
        <v>115</v>
      </c>
      <c r="C1444" s="2">
        <v>18</v>
      </c>
      <c r="D1444" s="2">
        <f t="shared" si="220"/>
        <v>45.72</v>
      </c>
      <c r="E1444" s="2">
        <f t="shared" si="221"/>
        <v>14.55312799632291</v>
      </c>
      <c r="F1444" s="2">
        <f t="shared" si="222"/>
        <v>5.7295779513082321</v>
      </c>
      <c r="G1444" s="2">
        <v>2.7486630000000001</v>
      </c>
      <c r="H1444" s="2">
        <f t="shared" si="223"/>
        <v>9.0179235169199998</v>
      </c>
      <c r="I1444" s="2">
        <f>INDEX('Wood Density Lookup'!$B$2:$B$152,MATCH(B1444,'Wood Density Lookup'!$A$2:$A$152,0))</f>
        <v>0.65</v>
      </c>
      <c r="J1444" s="2">
        <f t="shared" si="224"/>
        <v>22.08471881285087</v>
      </c>
      <c r="K1444" s="2">
        <f t="shared" si="228"/>
        <v>6.1837212675982443</v>
      </c>
      <c r="L1444" s="2">
        <f t="shared" si="229"/>
        <v>28.268440080449114</v>
      </c>
      <c r="M1444" s="2">
        <f t="shared" si="225"/>
        <v>20.494619058325608</v>
      </c>
      <c r="N1444" s="2">
        <f t="shared" si="226"/>
        <v>10.247309529162804</v>
      </c>
      <c r="O1444" s="2">
        <f t="shared" si="227"/>
        <v>37.607625972027492</v>
      </c>
      <c r="P1444" s="2">
        <v>72.551696000000007</v>
      </c>
      <c r="Q1444" s="2">
        <v>23.038755999999999</v>
      </c>
    </row>
    <row r="1445" spans="1:17" x14ac:dyDescent="0.25">
      <c r="A1445" s="2">
        <v>1604</v>
      </c>
      <c r="B1445" s="2" t="s">
        <v>31</v>
      </c>
      <c r="C1445" s="2">
        <v>29</v>
      </c>
      <c r="D1445" s="2">
        <f t="shared" si="220"/>
        <v>73.66</v>
      </c>
      <c r="E1445" s="2">
        <f t="shared" si="221"/>
        <v>23.446706216298022</v>
      </c>
      <c r="F1445" s="2">
        <f t="shared" si="222"/>
        <v>9.2309866993299305</v>
      </c>
      <c r="G1445" s="2">
        <v>1.059183</v>
      </c>
      <c r="H1445" s="2">
        <f t="shared" si="223"/>
        <v>3.4750099537199999</v>
      </c>
      <c r="I1445" s="2">
        <f>INDEX('Wood Density Lookup'!$B$2:$B$152,MATCH(B1445,'Wood Density Lookup'!$A$2:$A$152,0))</f>
        <v>0.78</v>
      </c>
      <c r="J1445" s="2">
        <f t="shared" si="224"/>
        <v>26.391911689017263</v>
      </c>
      <c r="K1445" s="2">
        <f t="shared" si="228"/>
        <v>7.3897352729248347</v>
      </c>
      <c r="L1445" s="2">
        <f t="shared" si="229"/>
        <v>33.781646961942101</v>
      </c>
      <c r="M1445" s="2">
        <f t="shared" si="225"/>
        <v>24.491694047408021</v>
      </c>
      <c r="N1445" s="2">
        <f t="shared" si="226"/>
        <v>12.245847023704011</v>
      </c>
      <c r="O1445" s="2">
        <f t="shared" si="227"/>
        <v>44.942258576993716</v>
      </c>
      <c r="P1445" s="2">
        <v>72.551697000000004</v>
      </c>
      <c r="Q1445" s="2">
        <v>23.036586</v>
      </c>
    </row>
    <row r="1446" spans="1:17" x14ac:dyDescent="0.25">
      <c r="A1446" s="2">
        <v>1605</v>
      </c>
      <c r="B1446" s="2" t="s">
        <v>115</v>
      </c>
      <c r="C1446" s="2">
        <v>20</v>
      </c>
      <c r="D1446" s="2">
        <f t="shared" si="220"/>
        <v>50.8</v>
      </c>
      <c r="E1446" s="2">
        <f t="shared" si="221"/>
        <v>16.170142218136565</v>
      </c>
      <c r="F1446" s="2">
        <f t="shared" si="222"/>
        <v>6.366197723675814</v>
      </c>
      <c r="G1446" s="2">
        <v>4.1805019999999997</v>
      </c>
      <c r="H1446" s="2">
        <f t="shared" si="223"/>
        <v>13.715558181679999</v>
      </c>
      <c r="I1446" s="2">
        <f>INDEX('Wood Density Lookup'!$B$2:$B$152,MATCH(B1446,'Wood Density Lookup'!$A$2:$A$152,0))</f>
        <v>0.65</v>
      </c>
      <c r="J1446" s="2">
        <f t="shared" si="224"/>
        <v>40.845749378584593</v>
      </c>
      <c r="K1446" s="2">
        <f t="shared" si="228"/>
        <v>11.436809826003687</v>
      </c>
      <c r="L1446" s="2">
        <f t="shared" si="229"/>
        <v>52.282559204588281</v>
      </c>
      <c r="M1446" s="2">
        <f t="shared" si="225"/>
        <v>37.904855423326502</v>
      </c>
      <c r="N1446" s="2">
        <f t="shared" si="226"/>
        <v>18.952427711663251</v>
      </c>
      <c r="O1446" s="2">
        <f t="shared" si="227"/>
        <v>69.555409701804123</v>
      </c>
      <c r="P1446" s="2">
        <v>72.551697000000004</v>
      </c>
      <c r="Q1446" s="2">
        <v>23.038765000000001</v>
      </c>
    </row>
    <row r="1447" spans="1:17" x14ac:dyDescent="0.25">
      <c r="A1447" s="2">
        <v>1606</v>
      </c>
      <c r="B1447" s="2" t="s">
        <v>72</v>
      </c>
      <c r="C1447" s="2">
        <v>40</v>
      </c>
      <c r="D1447" s="2">
        <f t="shared" si="220"/>
        <v>101.6</v>
      </c>
      <c r="E1447" s="2">
        <f t="shared" si="221"/>
        <v>32.34028443627313</v>
      </c>
      <c r="F1447" s="2">
        <f t="shared" si="222"/>
        <v>12.732395447351628</v>
      </c>
      <c r="G1447" s="2">
        <v>14.289911</v>
      </c>
      <c r="H1447" s="2">
        <f t="shared" si="223"/>
        <v>46.882911605239997</v>
      </c>
      <c r="I1447" s="2">
        <f>INDEX('Wood Density Lookup'!$B$2:$B$152,MATCH(B1447,'Wood Density Lookup'!$A$2:$A$152,0))</f>
        <v>0.65</v>
      </c>
      <c r="J1447" s="2">
        <f t="shared" si="224"/>
        <v>524.502161264189</v>
      </c>
      <c r="K1447" s="2">
        <f t="shared" si="228"/>
        <v>146.86060515397293</v>
      </c>
      <c r="L1447" s="2">
        <f t="shared" si="229"/>
        <v>671.36276641816198</v>
      </c>
      <c r="M1447" s="2">
        <f t="shared" si="225"/>
        <v>486.73800565316742</v>
      </c>
      <c r="N1447" s="2">
        <f t="shared" si="226"/>
        <v>243.36900282658371</v>
      </c>
      <c r="O1447" s="2">
        <f t="shared" si="227"/>
        <v>893.16424037356217</v>
      </c>
      <c r="P1447" s="2">
        <v>72.551698999999999</v>
      </c>
      <c r="Q1447" s="2">
        <v>23.037523</v>
      </c>
    </row>
    <row r="1448" spans="1:17" x14ac:dyDescent="0.25">
      <c r="A1448" s="2">
        <v>1607</v>
      </c>
      <c r="B1448" s="2" t="s">
        <v>101</v>
      </c>
      <c r="C1448" s="2">
        <v>12</v>
      </c>
      <c r="D1448" s="2">
        <f t="shared" si="220"/>
        <v>30.48</v>
      </c>
      <c r="E1448" s="2">
        <f t="shared" si="221"/>
        <v>9.7020853308819408</v>
      </c>
      <c r="F1448" s="2">
        <f t="shared" si="222"/>
        <v>3.8197186342054881</v>
      </c>
      <c r="G1448" s="2">
        <v>10.279472</v>
      </c>
      <c r="H1448" s="2">
        <f t="shared" si="223"/>
        <v>33.725302916479997</v>
      </c>
      <c r="I1448" s="2">
        <f>INDEX('Wood Density Lookup'!$B$2:$B$152,MATCH(B1448,'Wood Density Lookup'!$A$2:$A$152,0))</f>
        <v>0.2</v>
      </c>
      <c r="J1448" s="2">
        <f t="shared" si="224"/>
        <v>11.477954640667546</v>
      </c>
      <c r="K1448" s="2">
        <f t="shared" si="228"/>
        <v>3.2138272993869132</v>
      </c>
      <c r="L1448" s="2">
        <f t="shared" si="229"/>
        <v>14.69178194005446</v>
      </c>
      <c r="M1448" s="2">
        <f t="shared" si="225"/>
        <v>10.651541906539483</v>
      </c>
      <c r="N1448" s="2">
        <f t="shared" si="226"/>
        <v>5.3257709532697417</v>
      </c>
      <c r="O1448" s="2">
        <f t="shared" si="227"/>
        <v>19.545579398499953</v>
      </c>
      <c r="P1448" s="2">
        <v>72.55171</v>
      </c>
      <c r="Q1448" s="2">
        <v>23.036940000000001</v>
      </c>
    </row>
    <row r="1449" spans="1:17" x14ac:dyDescent="0.25">
      <c r="A1449" s="2">
        <v>1608</v>
      </c>
      <c r="B1449" s="2" t="s">
        <v>31</v>
      </c>
      <c r="C1449" s="2">
        <v>17</v>
      </c>
      <c r="D1449" s="2">
        <f t="shared" si="220"/>
        <v>43.18</v>
      </c>
      <c r="E1449" s="2">
        <f t="shared" si="221"/>
        <v>13.744620885416081</v>
      </c>
      <c r="F1449" s="2">
        <f t="shared" si="222"/>
        <v>5.4112680651244416</v>
      </c>
      <c r="G1449" s="2">
        <v>7.0079760000000002</v>
      </c>
      <c r="H1449" s="2">
        <f t="shared" si="223"/>
        <v>22.992047979839999</v>
      </c>
      <c r="I1449" s="2">
        <f>INDEX('Wood Density Lookup'!$B$2:$B$152,MATCH(B1449,'Wood Density Lookup'!$A$2:$A$152,0))</f>
        <v>0.78</v>
      </c>
      <c r="J1449" s="2">
        <f t="shared" si="224"/>
        <v>58.834617946980678</v>
      </c>
      <c r="K1449" s="2">
        <f t="shared" si="228"/>
        <v>16.473693025154592</v>
      </c>
      <c r="L1449" s="2">
        <f t="shared" si="229"/>
        <v>75.308310972135274</v>
      </c>
      <c r="M1449" s="2">
        <f t="shared" si="225"/>
        <v>54.598525454798072</v>
      </c>
      <c r="N1449" s="2">
        <f t="shared" si="226"/>
        <v>27.299262727399036</v>
      </c>
      <c r="O1449" s="2">
        <f t="shared" si="227"/>
        <v>100.18829420955446</v>
      </c>
      <c r="P1449" s="2">
        <v>72.551715999999999</v>
      </c>
      <c r="Q1449" s="2">
        <v>23.038778000000001</v>
      </c>
    </row>
    <row r="1450" spans="1:17" x14ac:dyDescent="0.25">
      <c r="A1450" s="2">
        <v>1609</v>
      </c>
      <c r="B1450" s="2" t="s">
        <v>15</v>
      </c>
      <c r="C1450" s="2">
        <v>1</v>
      </c>
      <c r="D1450" s="2">
        <f t="shared" si="220"/>
        <v>2.54</v>
      </c>
      <c r="E1450" s="2">
        <f t="shared" si="221"/>
        <v>0.80850711090682836</v>
      </c>
      <c r="F1450" s="2">
        <f t="shared" si="222"/>
        <v>0.31830988618379069</v>
      </c>
      <c r="G1450" s="2">
        <v>1.661626</v>
      </c>
      <c r="H1450" s="2">
        <f t="shared" si="223"/>
        <v>5.4515290458400001</v>
      </c>
      <c r="I1450" s="2">
        <f>INDEX('Wood Density Lookup'!$B$2:$B$152,MATCH(B1450,'Wood Density Lookup'!$A$2:$A$152,0))</f>
        <v>0.75</v>
      </c>
      <c r="J1450" s="2">
        <f t="shared" si="224"/>
        <v>5.5095255455872648E-2</v>
      </c>
      <c r="K1450" s="2">
        <f t="shared" si="228"/>
        <v>1.5426671527644343E-2</v>
      </c>
      <c r="L1450" s="2">
        <f t="shared" si="229"/>
        <v>7.0521926983516989E-2</v>
      </c>
      <c r="M1450" s="2">
        <f t="shared" si="225"/>
        <v>5.1128397063049814E-2</v>
      </c>
      <c r="N1450" s="2">
        <f t="shared" si="226"/>
        <v>2.5564198531524907E-2</v>
      </c>
      <c r="O1450" s="2">
        <f t="shared" si="227"/>
        <v>9.382060861069641E-2</v>
      </c>
      <c r="P1450" s="2">
        <v>72.551720000000003</v>
      </c>
      <c r="Q1450" s="2">
        <v>23.038302000000002</v>
      </c>
    </row>
    <row r="1451" spans="1:17" x14ac:dyDescent="0.25">
      <c r="A1451" s="2">
        <v>1610</v>
      </c>
      <c r="B1451" s="2" t="s">
        <v>15</v>
      </c>
      <c r="C1451" s="2">
        <v>14</v>
      </c>
      <c r="D1451" s="2">
        <f t="shared" si="220"/>
        <v>35.56</v>
      </c>
      <c r="E1451" s="2">
        <f t="shared" si="221"/>
        <v>11.319099552695597</v>
      </c>
      <c r="F1451" s="2">
        <f t="shared" si="222"/>
        <v>4.45633840657307</v>
      </c>
      <c r="G1451" s="2">
        <v>10.648898000000001</v>
      </c>
      <c r="H1451" s="2">
        <f t="shared" si="223"/>
        <v>34.937330514320003</v>
      </c>
      <c r="I1451" s="2">
        <f>INDEX('Wood Density Lookup'!$B$2:$B$152,MATCH(B1451,'Wood Density Lookup'!$A$2:$A$152,0))</f>
        <v>0.75</v>
      </c>
      <c r="J1451" s="2">
        <f t="shared" si="224"/>
        <v>58.312948510608912</v>
      </c>
      <c r="K1451" s="2">
        <f t="shared" si="228"/>
        <v>16.327625582970498</v>
      </c>
      <c r="L1451" s="2">
        <f t="shared" si="229"/>
        <v>74.640574093579403</v>
      </c>
      <c r="M1451" s="2">
        <f t="shared" si="225"/>
        <v>54.114416217845069</v>
      </c>
      <c r="N1451" s="2">
        <f t="shared" si="226"/>
        <v>27.057208108922534</v>
      </c>
      <c r="O1451" s="2">
        <f t="shared" si="227"/>
        <v>99.299953759745705</v>
      </c>
      <c r="P1451" s="2">
        <v>72.551723999999993</v>
      </c>
      <c r="Q1451" s="2">
        <v>23.037358000000001</v>
      </c>
    </row>
    <row r="1452" spans="1:17" x14ac:dyDescent="0.25">
      <c r="A1452" s="2">
        <v>1611</v>
      </c>
      <c r="B1452" s="2" t="s">
        <v>9</v>
      </c>
      <c r="C1452" s="2">
        <v>37</v>
      </c>
      <c r="D1452" s="2">
        <f t="shared" si="220"/>
        <v>93.98</v>
      </c>
      <c r="E1452" s="2">
        <f t="shared" si="221"/>
        <v>29.914763103552648</v>
      </c>
      <c r="F1452" s="2">
        <f t="shared" si="222"/>
        <v>11.777465788800255</v>
      </c>
      <c r="G1452" s="2">
        <v>10.648898000000001</v>
      </c>
      <c r="H1452" s="2">
        <f t="shared" si="223"/>
        <v>34.937330514320003</v>
      </c>
      <c r="I1452" s="2">
        <f>INDEX('Wood Density Lookup'!$B$2:$B$152,MATCH(B1452,'Wood Density Lookup'!$A$2:$A$152,0))</f>
        <v>0.42</v>
      </c>
      <c r="J1452" s="2">
        <f t="shared" si="224"/>
        <v>220.74168611550292</v>
      </c>
      <c r="K1452" s="2">
        <f t="shared" si="228"/>
        <v>61.807672112340825</v>
      </c>
      <c r="L1452" s="2">
        <f t="shared" si="229"/>
        <v>282.54935822784375</v>
      </c>
      <c r="M1452" s="2">
        <f t="shared" si="225"/>
        <v>204.84828471518671</v>
      </c>
      <c r="N1452" s="2">
        <f t="shared" si="226"/>
        <v>102.42414235759335</v>
      </c>
      <c r="O1452" s="2">
        <f t="shared" si="227"/>
        <v>375.89660245236757</v>
      </c>
      <c r="P1452" s="2">
        <v>72.551721000000001</v>
      </c>
      <c r="Q1452" s="2">
        <v>23.037369000000002</v>
      </c>
    </row>
    <row r="1453" spans="1:17" x14ac:dyDescent="0.25">
      <c r="A1453" s="2">
        <v>1612</v>
      </c>
      <c r="B1453" s="2" t="s">
        <v>10</v>
      </c>
      <c r="C1453" s="2">
        <v>94</v>
      </c>
      <c r="D1453" s="2">
        <f t="shared" si="220"/>
        <v>238.76</v>
      </c>
      <c r="E1453" s="2">
        <f t="shared" si="221"/>
        <v>75.999668425241865</v>
      </c>
      <c r="F1453" s="2">
        <f t="shared" si="222"/>
        <v>29.921129301276324</v>
      </c>
      <c r="G1453" s="2">
        <v>3.781752</v>
      </c>
      <c r="H1453" s="2">
        <f t="shared" si="223"/>
        <v>12.40732323168</v>
      </c>
      <c r="I1453" s="2">
        <f>INDEX('Wood Density Lookup'!$B$2:$B$152,MATCH(B1453,'Wood Density Lookup'!$A$2:$A$152,0))</f>
        <v>0.65</v>
      </c>
      <c r="J1453" s="2">
        <f t="shared" si="224"/>
        <v>759.61117642702152</v>
      </c>
      <c r="K1453" s="2">
        <f t="shared" si="228"/>
        <v>212.69112939956605</v>
      </c>
      <c r="L1453" s="2">
        <f t="shared" si="229"/>
        <v>972.3023058265876</v>
      </c>
      <c r="M1453" s="2">
        <f t="shared" si="225"/>
        <v>704.919171724276</v>
      </c>
      <c r="N1453" s="2">
        <f t="shared" si="226"/>
        <v>352.459585862138</v>
      </c>
      <c r="O1453" s="2">
        <f t="shared" si="227"/>
        <v>1293.5266801140465</v>
      </c>
      <c r="P1453" s="2">
        <v>72.551721000000001</v>
      </c>
      <c r="Q1453" s="2">
        <v>23.034704999999999</v>
      </c>
    </row>
    <row r="1454" spans="1:17" x14ac:dyDescent="0.25">
      <c r="A1454" s="2">
        <v>1613</v>
      </c>
      <c r="B1454" s="2" t="s">
        <v>31</v>
      </c>
      <c r="C1454" s="2">
        <v>1</v>
      </c>
      <c r="D1454" s="2">
        <f t="shared" si="220"/>
        <v>2.54</v>
      </c>
      <c r="E1454" s="2">
        <f t="shared" si="221"/>
        <v>0.80850711090682836</v>
      </c>
      <c r="F1454" s="2">
        <f t="shared" si="222"/>
        <v>0.31830988618379069</v>
      </c>
      <c r="G1454" s="2">
        <v>1.006183</v>
      </c>
      <c r="H1454" s="2">
        <f t="shared" si="223"/>
        <v>3.3011254337200002</v>
      </c>
      <c r="I1454" s="2">
        <f>INDEX('Wood Density Lookup'!$B$2:$B$152,MATCH(B1454,'Wood Density Lookup'!$A$2:$A$152,0))</f>
        <v>0.78</v>
      </c>
      <c r="J1454" s="2">
        <f t="shared" si="224"/>
        <v>3.5084152315205418E-2</v>
      </c>
      <c r="K1454" s="2">
        <f t="shared" si="228"/>
        <v>9.8235626482575181E-3</v>
      </c>
      <c r="L1454" s="2">
        <f t="shared" si="229"/>
        <v>4.4907714963462936E-2</v>
      </c>
      <c r="M1454" s="2">
        <f t="shared" si="225"/>
        <v>3.2558093348510626E-2</v>
      </c>
      <c r="N1454" s="2">
        <f t="shared" si="226"/>
        <v>1.6279046674255313E-2</v>
      </c>
      <c r="O1454" s="2">
        <f t="shared" si="227"/>
        <v>5.9744101294516995E-2</v>
      </c>
      <c r="P1454" s="2">
        <v>72.551721000000001</v>
      </c>
      <c r="Q1454" s="2">
        <v>23.036593</v>
      </c>
    </row>
    <row r="1455" spans="1:17" x14ac:dyDescent="0.25">
      <c r="A1455" s="2">
        <v>1614</v>
      </c>
      <c r="B1455" s="2" t="s">
        <v>9</v>
      </c>
      <c r="C1455" s="2">
        <v>146</v>
      </c>
      <c r="D1455" s="2">
        <f t="shared" si="220"/>
        <v>370.84000000000003</v>
      </c>
      <c r="E1455" s="2">
        <f t="shared" si="221"/>
        <v>118.04203819239694</v>
      </c>
      <c r="F1455" s="2">
        <f t="shared" si="222"/>
        <v>46.473243382833438</v>
      </c>
      <c r="G1455" s="2">
        <v>6.1141589999999999</v>
      </c>
      <c r="H1455" s="2">
        <f t="shared" si="223"/>
        <v>20.05957741356</v>
      </c>
      <c r="I1455" s="2">
        <f>INDEX('Wood Density Lookup'!$B$2:$B$152,MATCH(B1455,'Wood Density Lookup'!$A$2:$A$152,0))</f>
        <v>0.42</v>
      </c>
      <c r="J1455" s="2">
        <f t="shared" si="224"/>
        <v>1872.3483678833395</v>
      </c>
      <c r="K1455" s="2">
        <f t="shared" si="228"/>
        <v>524.25754300733513</v>
      </c>
      <c r="L1455" s="2">
        <f t="shared" si="229"/>
        <v>2396.6059108906747</v>
      </c>
      <c r="M1455" s="2">
        <f t="shared" si="225"/>
        <v>1737.5392853957392</v>
      </c>
      <c r="N1455" s="2">
        <f t="shared" si="226"/>
        <v>868.76964269786959</v>
      </c>
      <c r="O1455" s="2">
        <f t="shared" si="227"/>
        <v>3188.3845887011812</v>
      </c>
      <c r="P1455" s="2">
        <v>72.551721999999998</v>
      </c>
      <c r="Q1455" s="2">
        <v>23.037268000000001</v>
      </c>
    </row>
    <row r="1456" spans="1:17" x14ac:dyDescent="0.25">
      <c r="A1456" s="2">
        <v>1615</v>
      </c>
      <c r="B1456" s="2" t="s">
        <v>9</v>
      </c>
      <c r="C1456" s="2">
        <v>36</v>
      </c>
      <c r="D1456" s="2">
        <f t="shared" si="220"/>
        <v>91.44</v>
      </c>
      <c r="E1456" s="2">
        <f t="shared" si="221"/>
        <v>29.106255992645821</v>
      </c>
      <c r="F1456" s="2">
        <f t="shared" si="222"/>
        <v>11.459155902616464</v>
      </c>
      <c r="G1456" s="2">
        <v>6.4380750000000004</v>
      </c>
      <c r="H1456" s="2">
        <f t="shared" si="223"/>
        <v>21.122293983000002</v>
      </c>
      <c r="I1456" s="2">
        <f>INDEX('Wood Density Lookup'!$B$2:$B$152,MATCH(B1456,'Wood Density Lookup'!$A$2:$A$152,0))</f>
        <v>0.42</v>
      </c>
      <c r="J1456" s="2">
        <f t="shared" si="224"/>
        <v>128.0423403056283</v>
      </c>
      <c r="K1456" s="2">
        <f t="shared" si="228"/>
        <v>35.85185528557593</v>
      </c>
      <c r="L1456" s="2">
        <f t="shared" si="229"/>
        <v>163.89419559120424</v>
      </c>
      <c r="M1456" s="2">
        <f t="shared" si="225"/>
        <v>118.82329180362306</v>
      </c>
      <c r="N1456" s="2">
        <f t="shared" si="226"/>
        <v>59.411645901811532</v>
      </c>
      <c r="O1456" s="2">
        <f t="shared" si="227"/>
        <v>218.0407404596483</v>
      </c>
      <c r="P1456" s="2">
        <v>72.551723999999993</v>
      </c>
      <c r="Q1456" s="2">
        <v>23.037240000000001</v>
      </c>
    </row>
    <row r="1457" spans="1:17" x14ac:dyDescent="0.25">
      <c r="A1457" s="2">
        <v>1616</v>
      </c>
      <c r="B1457" s="2" t="s">
        <v>9</v>
      </c>
      <c r="C1457" s="2">
        <v>42</v>
      </c>
      <c r="D1457" s="2">
        <f t="shared" si="220"/>
        <v>106.68</v>
      </c>
      <c r="E1457" s="2">
        <f t="shared" si="221"/>
        <v>33.957298658086792</v>
      </c>
      <c r="F1457" s="2">
        <f t="shared" si="222"/>
        <v>13.369015219719209</v>
      </c>
      <c r="G1457" s="2">
        <v>9.0559360000000009</v>
      </c>
      <c r="H1457" s="2">
        <f t="shared" si="223"/>
        <v>29.711077066240001</v>
      </c>
      <c r="I1457" s="2">
        <f>INDEX('Wood Density Lookup'!$B$2:$B$152,MATCH(B1457,'Wood Density Lookup'!$A$2:$A$152,0))</f>
        <v>0.42</v>
      </c>
      <c r="J1457" s="2">
        <f t="shared" si="224"/>
        <v>241.35416302404732</v>
      </c>
      <c r="K1457" s="2">
        <f t="shared" si="228"/>
        <v>67.579165646733259</v>
      </c>
      <c r="L1457" s="2">
        <f t="shared" si="229"/>
        <v>308.93332867078061</v>
      </c>
      <c r="M1457" s="2">
        <f t="shared" si="225"/>
        <v>223.97666328631593</v>
      </c>
      <c r="N1457" s="2">
        <f t="shared" si="226"/>
        <v>111.98833164315796</v>
      </c>
      <c r="O1457" s="2">
        <f t="shared" si="227"/>
        <v>410.99717713038973</v>
      </c>
      <c r="P1457" s="2">
        <v>72.551730000000006</v>
      </c>
      <c r="Q1457" s="2">
        <v>23.036868999999999</v>
      </c>
    </row>
    <row r="1458" spans="1:17" x14ac:dyDescent="0.25">
      <c r="A1458" s="2">
        <v>1617</v>
      </c>
      <c r="B1458" s="2" t="s">
        <v>59</v>
      </c>
      <c r="C1458" s="2">
        <v>48</v>
      </c>
      <c r="D1458" s="2">
        <f t="shared" si="220"/>
        <v>121.92</v>
      </c>
      <c r="E1458" s="2">
        <f t="shared" si="221"/>
        <v>38.808341323527763</v>
      </c>
      <c r="F1458" s="2">
        <f t="shared" si="222"/>
        <v>15.278874536821952</v>
      </c>
      <c r="G1458" s="2">
        <v>10.835799</v>
      </c>
      <c r="H1458" s="2">
        <f t="shared" si="223"/>
        <v>35.550522791159999</v>
      </c>
      <c r="I1458" s="2">
        <f>INDEX('Wood Density Lookup'!$B$2:$B$152,MATCH(B1458,'Wood Density Lookup'!$A$2:$A$152,0))</f>
        <v>0.45</v>
      </c>
      <c r="J1458" s="2">
        <f t="shared" si="224"/>
        <v>399.16873180258324</v>
      </c>
      <c r="K1458" s="2">
        <f t="shared" si="228"/>
        <v>111.76724490472331</v>
      </c>
      <c r="L1458" s="2">
        <f t="shared" si="229"/>
        <v>510.93597670730657</v>
      </c>
      <c r="M1458" s="2">
        <f t="shared" si="225"/>
        <v>370.42858311279724</v>
      </c>
      <c r="N1458" s="2">
        <f t="shared" si="226"/>
        <v>185.21429155639862</v>
      </c>
      <c r="O1458" s="2">
        <f t="shared" si="227"/>
        <v>679.73645001198292</v>
      </c>
      <c r="P1458" s="2">
        <v>72.551730000000006</v>
      </c>
      <c r="Q1458" s="2">
        <v>23.036971000000001</v>
      </c>
    </row>
    <row r="1459" spans="1:17" x14ac:dyDescent="0.25">
      <c r="A1459" s="2">
        <v>1618</v>
      </c>
      <c r="B1459" s="2" t="s">
        <v>10</v>
      </c>
      <c r="C1459" s="2">
        <v>31</v>
      </c>
      <c r="D1459" s="2">
        <f t="shared" si="220"/>
        <v>78.739999999999995</v>
      </c>
      <c r="E1459" s="2">
        <f t="shared" si="221"/>
        <v>25.063720438111677</v>
      </c>
      <c r="F1459" s="2">
        <f t="shared" si="222"/>
        <v>9.8676064716975116</v>
      </c>
      <c r="G1459" s="2">
        <v>10.043741000000001</v>
      </c>
      <c r="H1459" s="2">
        <f t="shared" si="223"/>
        <v>32.951907222439999</v>
      </c>
      <c r="I1459" s="2">
        <f>INDEX('Wood Density Lookup'!$B$2:$B$152,MATCH(B1459,'Wood Density Lookup'!$A$2:$A$152,0))</f>
        <v>0.65</v>
      </c>
      <c r="J1459" s="2">
        <f t="shared" si="224"/>
        <v>226.05046401050049</v>
      </c>
      <c r="K1459" s="2">
        <f t="shared" si="228"/>
        <v>63.294129922940144</v>
      </c>
      <c r="L1459" s="2">
        <f t="shared" si="229"/>
        <v>289.34459393344065</v>
      </c>
      <c r="M1459" s="2">
        <f t="shared" si="225"/>
        <v>209.77483060174447</v>
      </c>
      <c r="N1459" s="2">
        <f t="shared" si="226"/>
        <v>104.88741530087223</v>
      </c>
      <c r="O1459" s="2">
        <f t="shared" si="227"/>
        <v>384.9368141542011</v>
      </c>
      <c r="P1459" s="2">
        <v>72.551732999999999</v>
      </c>
      <c r="Q1459" s="2">
        <v>23.036987</v>
      </c>
    </row>
    <row r="1460" spans="1:17" x14ac:dyDescent="0.25">
      <c r="A1460" s="2">
        <v>1619</v>
      </c>
      <c r="B1460" s="2" t="s">
        <v>9</v>
      </c>
      <c r="C1460" s="2">
        <v>82</v>
      </c>
      <c r="D1460" s="2">
        <f t="shared" si="220"/>
        <v>208.28</v>
      </c>
      <c r="E1460" s="2">
        <f t="shared" si="221"/>
        <v>66.297583094359922</v>
      </c>
      <c r="F1460" s="2">
        <f t="shared" si="222"/>
        <v>26.101410667070837</v>
      </c>
      <c r="G1460" s="2">
        <v>5.2333020000000001</v>
      </c>
      <c r="H1460" s="2">
        <f t="shared" si="223"/>
        <v>17.169626533679999</v>
      </c>
      <c r="I1460" s="2">
        <f>INDEX('Wood Density Lookup'!$B$2:$B$152,MATCH(B1460,'Wood Density Lookup'!$A$2:$A$152,0))</f>
        <v>0.42</v>
      </c>
      <c r="J1460" s="2">
        <f t="shared" si="224"/>
        <v>521.66902818873882</v>
      </c>
      <c r="K1460" s="2">
        <f t="shared" si="228"/>
        <v>146.06732789284689</v>
      </c>
      <c r="L1460" s="2">
        <f t="shared" si="229"/>
        <v>667.73635608158565</v>
      </c>
      <c r="M1460" s="2">
        <f t="shared" si="225"/>
        <v>484.10885815914958</v>
      </c>
      <c r="N1460" s="2">
        <f t="shared" si="226"/>
        <v>242.05442907957479</v>
      </c>
      <c r="O1460" s="2">
        <f t="shared" si="227"/>
        <v>888.3397547220394</v>
      </c>
      <c r="P1460" s="2">
        <v>72.551737000000003</v>
      </c>
      <c r="Q1460" s="2">
        <v>23.038727999999999</v>
      </c>
    </row>
    <row r="1461" spans="1:17" x14ac:dyDescent="0.25">
      <c r="A1461" s="2">
        <v>1620</v>
      </c>
      <c r="B1461" s="2" t="s">
        <v>9</v>
      </c>
      <c r="C1461" s="2">
        <v>102</v>
      </c>
      <c r="D1461" s="2">
        <f t="shared" si="220"/>
        <v>259.08</v>
      </c>
      <c r="E1461" s="2">
        <f t="shared" si="221"/>
        <v>82.467725312496484</v>
      </c>
      <c r="F1461" s="2">
        <f t="shared" si="222"/>
        <v>32.467608390746648</v>
      </c>
      <c r="G1461" s="2">
        <v>6.2122919999999997</v>
      </c>
      <c r="H1461" s="2">
        <f t="shared" si="223"/>
        <v>20.38153608528</v>
      </c>
      <c r="I1461" s="2">
        <f>INDEX('Wood Density Lookup'!$B$2:$B$152,MATCH(B1461,'Wood Density Lookup'!$A$2:$A$152,0))</f>
        <v>0.42</v>
      </c>
      <c r="J1461" s="2">
        <f t="shared" si="224"/>
        <v>944.29260047672085</v>
      </c>
      <c r="K1461" s="2">
        <f t="shared" si="228"/>
        <v>264.40192813348187</v>
      </c>
      <c r="L1461" s="2">
        <f t="shared" si="229"/>
        <v>1208.6945286102027</v>
      </c>
      <c r="M1461" s="2">
        <f t="shared" si="225"/>
        <v>876.30353324239695</v>
      </c>
      <c r="N1461" s="2">
        <f t="shared" si="226"/>
        <v>438.15176662119848</v>
      </c>
      <c r="O1461" s="2">
        <f t="shared" si="227"/>
        <v>1608.0169834997985</v>
      </c>
      <c r="P1461" s="2">
        <v>72.551738999999998</v>
      </c>
      <c r="Q1461" s="2">
        <v>23.037226</v>
      </c>
    </row>
    <row r="1462" spans="1:17" x14ac:dyDescent="0.25">
      <c r="A1462" s="2">
        <v>1621</v>
      </c>
      <c r="B1462" s="2" t="s">
        <v>15</v>
      </c>
      <c r="C1462" s="2">
        <v>62</v>
      </c>
      <c r="D1462" s="2">
        <f t="shared" si="220"/>
        <v>157.47999999999999</v>
      </c>
      <c r="E1462" s="2">
        <f t="shared" si="221"/>
        <v>50.127440876223353</v>
      </c>
      <c r="F1462" s="2">
        <f t="shared" si="222"/>
        <v>19.735212943395023</v>
      </c>
      <c r="G1462" s="2">
        <v>5.3504160000000001</v>
      </c>
      <c r="H1462" s="2">
        <f t="shared" si="223"/>
        <v>17.553858829439999</v>
      </c>
      <c r="I1462" s="2">
        <f>INDEX('Wood Density Lookup'!$B$2:$B$152,MATCH(B1462,'Wood Density Lookup'!$A$2:$A$152,0))</f>
        <v>0.75</v>
      </c>
      <c r="J1462" s="2">
        <f t="shared" si="224"/>
        <v>543.91188350992434</v>
      </c>
      <c r="K1462" s="2">
        <f t="shared" si="228"/>
        <v>152.29532738277882</v>
      </c>
      <c r="L1462" s="2">
        <f t="shared" si="229"/>
        <v>696.20721089270319</v>
      </c>
      <c r="M1462" s="2">
        <f t="shared" si="225"/>
        <v>504.75022789720981</v>
      </c>
      <c r="N1462" s="2">
        <f t="shared" si="226"/>
        <v>252.37511394860491</v>
      </c>
      <c r="O1462" s="2">
        <f t="shared" si="227"/>
        <v>926.21666819137999</v>
      </c>
      <c r="P1462" s="2">
        <v>72.551742000000004</v>
      </c>
      <c r="Q1462" s="2">
        <v>23.037044000000002</v>
      </c>
    </row>
    <row r="1463" spans="1:17" x14ac:dyDescent="0.25">
      <c r="A1463" s="2">
        <v>1622</v>
      </c>
      <c r="B1463" s="2" t="s">
        <v>31</v>
      </c>
      <c r="C1463" s="2">
        <v>2</v>
      </c>
      <c r="D1463" s="2">
        <f t="shared" si="220"/>
        <v>5.08</v>
      </c>
      <c r="E1463" s="2">
        <f t="shared" si="221"/>
        <v>1.6170142218136567</v>
      </c>
      <c r="F1463" s="2">
        <f t="shared" si="222"/>
        <v>0.63661977236758138</v>
      </c>
      <c r="G1463" s="2">
        <v>1.0206630000000001</v>
      </c>
      <c r="H1463" s="2">
        <f t="shared" si="223"/>
        <v>3.3486319969200005</v>
      </c>
      <c r="I1463" s="2">
        <f>INDEX('Wood Density Lookup'!$B$2:$B$152,MATCH(B1463,'Wood Density Lookup'!$A$2:$A$152,0))</f>
        <v>0.78</v>
      </c>
      <c r="J1463" s="2">
        <f t="shared" si="224"/>
        <v>0.13765056739220038</v>
      </c>
      <c r="K1463" s="2">
        <f t="shared" si="228"/>
        <v>3.8542158869816108E-2</v>
      </c>
      <c r="L1463" s="2">
        <f t="shared" si="229"/>
        <v>0.17619272626201649</v>
      </c>
      <c r="M1463" s="2">
        <f t="shared" si="225"/>
        <v>0.12773972653996196</v>
      </c>
      <c r="N1463" s="2">
        <f t="shared" si="226"/>
        <v>6.3869863269980981E-2</v>
      </c>
      <c r="O1463" s="2">
        <f t="shared" si="227"/>
        <v>0.2344023982008302</v>
      </c>
      <c r="P1463" s="2">
        <v>72.551742000000004</v>
      </c>
      <c r="Q1463" s="2">
        <v>23.036595999999999</v>
      </c>
    </row>
    <row r="1464" spans="1:17" x14ac:dyDescent="0.25">
      <c r="A1464" s="2">
        <v>1623</v>
      </c>
      <c r="B1464" s="2" t="s">
        <v>114</v>
      </c>
      <c r="C1464" s="2">
        <v>88</v>
      </c>
      <c r="D1464" s="2">
        <f t="shared" si="220"/>
        <v>223.52</v>
      </c>
      <c r="E1464" s="2">
        <f t="shared" si="221"/>
        <v>71.148625759800893</v>
      </c>
      <c r="F1464" s="2">
        <f t="shared" si="222"/>
        <v>28.01126998417358</v>
      </c>
      <c r="G1464" s="2">
        <v>18.629501999999999</v>
      </c>
      <c r="H1464" s="2">
        <f t="shared" si="223"/>
        <v>61.120415341679994</v>
      </c>
      <c r="I1464" s="2">
        <f>INDEX('Wood Density Lookup'!$B$2:$B$152,MATCH(B1464,'Wood Density Lookup'!$A$2:$A$152,0))</f>
        <v>0.55000000000000004</v>
      </c>
      <c r="J1464" s="2">
        <f t="shared" si="224"/>
        <v>2690.0137768463087</v>
      </c>
      <c r="K1464" s="2">
        <f t="shared" si="228"/>
        <v>753.20385751696654</v>
      </c>
      <c r="L1464" s="2">
        <f t="shared" si="229"/>
        <v>3443.2176343632755</v>
      </c>
      <c r="M1464" s="2">
        <f t="shared" si="225"/>
        <v>2496.3327849133748</v>
      </c>
      <c r="N1464" s="2">
        <f t="shared" si="226"/>
        <v>1248.1663924566874</v>
      </c>
      <c r="O1464" s="2">
        <f t="shared" si="227"/>
        <v>4580.7706603160423</v>
      </c>
      <c r="P1464" s="2">
        <v>72.551743999999999</v>
      </c>
      <c r="Q1464" s="2">
        <v>23.035705</v>
      </c>
    </row>
    <row r="1465" spans="1:17" x14ac:dyDescent="0.25">
      <c r="A1465" s="2">
        <v>1624</v>
      </c>
      <c r="B1465" s="2" t="s">
        <v>10</v>
      </c>
      <c r="C1465" s="2">
        <v>22</v>
      </c>
      <c r="D1465" s="2">
        <f t="shared" si="220"/>
        <v>55.88</v>
      </c>
      <c r="E1465" s="2">
        <f t="shared" si="221"/>
        <v>17.787156439950223</v>
      </c>
      <c r="F1465" s="2">
        <f t="shared" si="222"/>
        <v>7.0028174960433951</v>
      </c>
      <c r="G1465" s="2">
        <v>8.9820189999999993</v>
      </c>
      <c r="H1465" s="2">
        <f t="shared" si="223"/>
        <v>29.468567215959997</v>
      </c>
      <c r="I1465" s="2">
        <f>INDEX('Wood Density Lookup'!$B$2:$B$152,MATCH(B1465,'Wood Density Lookup'!$A$2:$A$152,0))</f>
        <v>0.65</v>
      </c>
      <c r="J1465" s="2">
        <f t="shared" si="224"/>
        <v>103.78137748279711</v>
      </c>
      <c r="K1465" s="2">
        <f t="shared" si="228"/>
        <v>29.058785695183193</v>
      </c>
      <c r="L1465" s="2">
        <f t="shared" si="229"/>
        <v>132.84016317798032</v>
      </c>
      <c r="M1465" s="2">
        <f t="shared" si="225"/>
        <v>96.309118304035721</v>
      </c>
      <c r="N1465" s="2">
        <f t="shared" si="226"/>
        <v>48.15455915201786</v>
      </c>
      <c r="O1465" s="2">
        <f t="shared" si="227"/>
        <v>176.72723208790555</v>
      </c>
      <c r="P1465" s="2">
        <v>72.551745999999994</v>
      </c>
      <c r="Q1465" s="2">
        <v>23.037027999999999</v>
      </c>
    </row>
    <row r="1466" spans="1:17" x14ac:dyDescent="0.25">
      <c r="A1466" s="2">
        <v>1625</v>
      </c>
      <c r="B1466" s="2" t="s">
        <v>114</v>
      </c>
      <c r="C1466" s="2">
        <v>5</v>
      </c>
      <c r="D1466" s="2">
        <f t="shared" si="220"/>
        <v>12.7</v>
      </c>
      <c r="E1466" s="2">
        <f t="shared" si="221"/>
        <v>4.0425355545341413</v>
      </c>
      <c r="F1466" s="2">
        <f t="shared" si="222"/>
        <v>1.5915494309189535</v>
      </c>
      <c r="G1466" s="2">
        <v>8.8753569999999993</v>
      </c>
      <c r="H1466" s="2">
        <f t="shared" si="223"/>
        <v>29.118626259879999</v>
      </c>
      <c r="I1466" s="2">
        <f>INDEX('Wood Density Lookup'!$B$2:$B$152,MATCH(B1466,'Wood Density Lookup'!$A$2:$A$152,0))</f>
        <v>0.55000000000000004</v>
      </c>
      <c r="J1466" s="2">
        <f t="shared" si="224"/>
        <v>4.8331105832036503</v>
      </c>
      <c r="K1466" s="2">
        <f t="shared" si="228"/>
        <v>1.3532709632970221</v>
      </c>
      <c r="L1466" s="2">
        <f t="shared" si="229"/>
        <v>6.1863815465006722</v>
      </c>
      <c r="M1466" s="2">
        <f t="shared" si="225"/>
        <v>4.485126621212987</v>
      </c>
      <c r="N1466" s="2">
        <f t="shared" si="226"/>
        <v>2.2425633106064935</v>
      </c>
      <c r="O1466" s="2">
        <f t="shared" si="227"/>
        <v>8.2302073499258306</v>
      </c>
      <c r="P1466" s="2">
        <v>72.551755999999997</v>
      </c>
      <c r="Q1466" s="2">
        <v>23.036932</v>
      </c>
    </row>
    <row r="1467" spans="1:17" x14ac:dyDescent="0.25">
      <c r="A1467" s="2">
        <v>1626</v>
      </c>
      <c r="B1467" s="2" t="s">
        <v>114</v>
      </c>
      <c r="C1467" s="2">
        <v>4</v>
      </c>
      <c r="D1467" s="2">
        <f t="shared" si="220"/>
        <v>10.16</v>
      </c>
      <c r="E1467" s="2">
        <f t="shared" si="221"/>
        <v>3.2340284436273135</v>
      </c>
      <c r="F1467" s="2">
        <f t="shared" si="222"/>
        <v>1.2732395447351628</v>
      </c>
      <c r="G1467" s="2">
        <v>9.9146579999999993</v>
      </c>
      <c r="H1467" s="2">
        <f t="shared" si="223"/>
        <v>32.52840655272</v>
      </c>
      <c r="I1467" s="2">
        <f>INDEX('Wood Density Lookup'!$B$2:$B$152,MATCH(B1467,'Wood Density Lookup'!$A$2:$A$152,0))</f>
        <v>0.55000000000000004</v>
      </c>
      <c r="J1467" s="2">
        <f t="shared" si="224"/>
        <v>3.4833417728891845</v>
      </c>
      <c r="K1467" s="2">
        <f t="shared" si="228"/>
        <v>0.97533569640897178</v>
      </c>
      <c r="L1467" s="2">
        <f t="shared" si="229"/>
        <v>4.4586774692981566</v>
      </c>
      <c r="M1467" s="2">
        <f t="shared" si="225"/>
        <v>3.2325411652411633</v>
      </c>
      <c r="N1467" s="2">
        <f t="shared" si="226"/>
        <v>1.6162705826205817</v>
      </c>
      <c r="O1467" s="2">
        <f t="shared" si="227"/>
        <v>5.9317130382175343</v>
      </c>
      <c r="P1467" s="2">
        <v>72.551755999999997</v>
      </c>
      <c r="Q1467" s="2">
        <v>23.036909000000001</v>
      </c>
    </row>
    <row r="1468" spans="1:17" x14ac:dyDescent="0.25">
      <c r="A1468" s="2">
        <v>1627</v>
      </c>
      <c r="B1468" s="2" t="s">
        <v>114</v>
      </c>
      <c r="C1468" s="2">
        <v>5</v>
      </c>
      <c r="D1468" s="2">
        <f t="shared" si="220"/>
        <v>12.7</v>
      </c>
      <c r="E1468" s="2">
        <f t="shared" si="221"/>
        <v>4.0425355545341413</v>
      </c>
      <c r="F1468" s="2">
        <f t="shared" si="222"/>
        <v>1.5915494309189535</v>
      </c>
      <c r="G1468" s="2">
        <v>12.713787</v>
      </c>
      <c r="H1468" s="2">
        <f t="shared" si="223"/>
        <v>41.711900941079996</v>
      </c>
      <c r="I1468" s="2">
        <f>INDEX('Wood Density Lookup'!$B$2:$B$152,MATCH(B1468,'Wood Density Lookup'!$A$2:$A$152,0))</f>
        <v>0.55000000000000004</v>
      </c>
      <c r="J1468" s="2">
        <f t="shared" si="224"/>
        <v>6.8638801838446311</v>
      </c>
      <c r="K1468" s="2">
        <f t="shared" si="228"/>
        <v>1.9218864514764968</v>
      </c>
      <c r="L1468" s="2">
        <f t="shared" si="229"/>
        <v>8.7857666353211279</v>
      </c>
      <c r="M1468" s="2">
        <f t="shared" si="225"/>
        <v>6.3696808106078171</v>
      </c>
      <c r="N1468" s="2">
        <f t="shared" si="226"/>
        <v>3.1848404053039086</v>
      </c>
      <c r="O1468" s="2">
        <f t="shared" si="227"/>
        <v>11.688364287465344</v>
      </c>
      <c r="P1468" s="2">
        <v>72.551756999999995</v>
      </c>
      <c r="Q1468" s="2">
        <v>23.036898999999998</v>
      </c>
    </row>
    <row r="1469" spans="1:17" x14ac:dyDescent="0.25">
      <c r="A1469" s="2">
        <v>1628</v>
      </c>
      <c r="B1469" s="2" t="s">
        <v>114</v>
      </c>
      <c r="C1469" s="2">
        <v>5</v>
      </c>
      <c r="D1469" s="2">
        <f t="shared" si="220"/>
        <v>12.7</v>
      </c>
      <c r="E1469" s="2">
        <f t="shared" si="221"/>
        <v>4.0425355545341413</v>
      </c>
      <c r="F1469" s="2">
        <f t="shared" si="222"/>
        <v>1.5915494309189535</v>
      </c>
      <c r="G1469" s="2">
        <v>6.9026160000000001</v>
      </c>
      <c r="H1469" s="2">
        <f t="shared" si="223"/>
        <v>22.646378677440001</v>
      </c>
      <c r="I1469" s="2">
        <f>INDEX('Wood Density Lookup'!$B$2:$B$152,MATCH(B1469,'Wood Density Lookup'!$A$2:$A$152,0))</f>
        <v>0.55000000000000004</v>
      </c>
      <c r="J1469" s="2">
        <f t="shared" si="224"/>
        <v>3.7815926538735374</v>
      </c>
      <c r="K1469" s="2">
        <f t="shared" si="228"/>
        <v>1.0588459430845905</v>
      </c>
      <c r="L1469" s="2">
        <f t="shared" si="229"/>
        <v>4.8404385969581281</v>
      </c>
      <c r="M1469" s="2">
        <f t="shared" si="225"/>
        <v>3.5093179827946428</v>
      </c>
      <c r="N1469" s="2">
        <f t="shared" si="226"/>
        <v>1.7546589913973214</v>
      </c>
      <c r="O1469" s="2">
        <f t="shared" si="227"/>
        <v>6.4395984984281691</v>
      </c>
      <c r="P1469" s="2">
        <v>72.551758000000007</v>
      </c>
      <c r="Q1469" s="2">
        <v>23.036888999999999</v>
      </c>
    </row>
    <row r="1470" spans="1:17" x14ac:dyDescent="0.25">
      <c r="A1470" s="2">
        <v>1629</v>
      </c>
      <c r="B1470" s="2" t="s">
        <v>9</v>
      </c>
      <c r="C1470" s="2">
        <v>88</v>
      </c>
      <c r="D1470" s="2">
        <f t="shared" si="220"/>
        <v>223.52</v>
      </c>
      <c r="E1470" s="2">
        <f t="shared" si="221"/>
        <v>71.148625759800893</v>
      </c>
      <c r="F1470" s="2">
        <f t="shared" si="222"/>
        <v>28.01126998417358</v>
      </c>
      <c r="G1470" s="2">
        <v>2.6213959999999998</v>
      </c>
      <c r="H1470" s="2">
        <f t="shared" si="223"/>
        <v>8.600380852639999</v>
      </c>
      <c r="I1470" s="2">
        <f>INDEX('Wood Density Lookup'!$B$2:$B$152,MATCH(B1470,'Wood Density Lookup'!$A$2:$A$152,0))</f>
        <v>0.42</v>
      </c>
      <c r="J1470" s="2">
        <f t="shared" si="224"/>
        <v>304.9462241306116</v>
      </c>
      <c r="K1470" s="2">
        <f t="shared" si="228"/>
        <v>85.384942756571249</v>
      </c>
      <c r="L1470" s="2">
        <f t="shared" si="229"/>
        <v>390.33116688718286</v>
      </c>
      <c r="M1470" s="2">
        <f t="shared" si="225"/>
        <v>282.99009599320755</v>
      </c>
      <c r="N1470" s="2">
        <f t="shared" si="226"/>
        <v>141.49504799660377</v>
      </c>
      <c r="O1470" s="2">
        <f t="shared" si="227"/>
        <v>519.28682614753586</v>
      </c>
      <c r="P1470" s="2">
        <v>72.551759000000004</v>
      </c>
      <c r="Q1470" s="2">
        <v>23.036875999999999</v>
      </c>
    </row>
    <row r="1471" spans="1:17" x14ac:dyDescent="0.25">
      <c r="A1471" s="2">
        <v>1630</v>
      </c>
      <c r="B1471" s="2" t="s">
        <v>31</v>
      </c>
      <c r="C1471" s="2">
        <v>27</v>
      </c>
      <c r="D1471" s="2">
        <f t="shared" si="220"/>
        <v>68.58</v>
      </c>
      <c r="E1471" s="2">
        <f t="shared" si="221"/>
        <v>21.829691994484364</v>
      </c>
      <c r="F1471" s="2">
        <f t="shared" si="222"/>
        <v>8.5943669269623477</v>
      </c>
      <c r="G1471" s="2">
        <v>9.4084179999999993</v>
      </c>
      <c r="H1471" s="2">
        <f t="shared" si="223"/>
        <v>30.867514111119998</v>
      </c>
      <c r="I1471" s="2">
        <f>INDEX('Wood Density Lookup'!$B$2:$B$152,MATCH(B1471,'Wood Density Lookup'!$A$2:$A$152,0))</f>
        <v>0.78</v>
      </c>
      <c r="J1471" s="2">
        <f t="shared" si="224"/>
        <v>193.49624124250838</v>
      </c>
      <c r="K1471" s="2">
        <f t="shared" si="228"/>
        <v>54.178947547902354</v>
      </c>
      <c r="L1471" s="2">
        <f t="shared" si="229"/>
        <v>247.67518879041074</v>
      </c>
      <c r="M1471" s="2">
        <f t="shared" si="225"/>
        <v>179.56451187304779</v>
      </c>
      <c r="N1471" s="2">
        <f t="shared" si="226"/>
        <v>89.782255936523896</v>
      </c>
      <c r="O1471" s="2">
        <f t="shared" si="227"/>
        <v>329.50087928704266</v>
      </c>
      <c r="P1471" s="2">
        <v>72.551760000000002</v>
      </c>
      <c r="Q1471" s="2">
        <v>23.037108</v>
      </c>
    </row>
    <row r="1472" spans="1:17" x14ac:dyDescent="0.25">
      <c r="A1472" s="2">
        <v>1631</v>
      </c>
      <c r="B1472" s="2" t="s">
        <v>9</v>
      </c>
      <c r="C1472" s="2">
        <v>43</v>
      </c>
      <c r="D1472" s="2">
        <f t="shared" si="220"/>
        <v>109.22</v>
      </c>
      <c r="E1472" s="2">
        <f t="shared" si="221"/>
        <v>34.765805768993616</v>
      </c>
      <c r="F1472" s="2">
        <f t="shared" si="222"/>
        <v>13.687325105903</v>
      </c>
      <c r="G1472" s="2">
        <v>6.047002</v>
      </c>
      <c r="H1472" s="2">
        <f t="shared" si="223"/>
        <v>19.839246041679999</v>
      </c>
      <c r="I1472" s="2">
        <f>INDEX('Wood Density Lookup'!$B$2:$B$152,MATCH(B1472,'Wood Density Lookup'!$A$2:$A$152,0))</f>
        <v>0.42</v>
      </c>
      <c r="J1472" s="2">
        <f t="shared" si="224"/>
        <v>170.38007686627418</v>
      </c>
      <c r="K1472" s="2">
        <f t="shared" si="228"/>
        <v>47.706421522556774</v>
      </c>
      <c r="L1472" s="2">
        <f t="shared" si="229"/>
        <v>218.08649838883096</v>
      </c>
      <c r="M1472" s="2">
        <f t="shared" si="225"/>
        <v>158.11271133190243</v>
      </c>
      <c r="N1472" s="2">
        <f t="shared" si="226"/>
        <v>79.056355665951216</v>
      </c>
      <c r="O1472" s="2">
        <f t="shared" si="227"/>
        <v>290.13682529404093</v>
      </c>
      <c r="P1472" s="2">
        <v>72.551766000000001</v>
      </c>
      <c r="Q1472" s="2">
        <v>23.036868999999999</v>
      </c>
    </row>
    <row r="1473" spans="1:17" x14ac:dyDescent="0.25">
      <c r="A1473" s="2">
        <v>1632</v>
      </c>
      <c r="B1473" s="2" t="s">
        <v>31</v>
      </c>
      <c r="C1473" s="2">
        <v>2</v>
      </c>
      <c r="D1473" s="2">
        <f t="shared" ref="D1473:D1536" si="230">C1473*2.54</f>
        <v>5.08</v>
      </c>
      <c r="E1473" s="2">
        <f t="shared" ref="E1473:E1536" si="231">D1473/PI()</f>
        <v>1.6170142218136567</v>
      </c>
      <c r="F1473" s="2">
        <f t="shared" ref="F1473:F1536" si="232">C1473/PI()</f>
        <v>0.63661977236758138</v>
      </c>
      <c r="G1473" s="2">
        <v>1.000667</v>
      </c>
      <c r="H1473" s="2">
        <f t="shared" ref="H1473:H1536" si="233">G1473*3.28084</f>
        <v>3.2830283202799997</v>
      </c>
      <c r="I1473" s="2">
        <f>INDEX('Wood Density Lookup'!$B$2:$B$152,MATCH(B1473,'Wood Density Lookup'!$A$2:$A$152,0))</f>
        <v>0.78</v>
      </c>
      <c r="J1473" s="2">
        <f t="shared" ref="J1473:J1536" si="234">0.0673*POWER(I1473*E1473^2*G1473,0.976)</f>
        <v>0.13501792810681665</v>
      </c>
      <c r="K1473" s="2">
        <f t="shared" si="228"/>
        <v>3.7805019869908668E-2</v>
      </c>
      <c r="L1473" s="2">
        <f t="shared" si="229"/>
        <v>0.17282294797672532</v>
      </c>
      <c r="M1473" s="2">
        <f t="shared" ref="M1473:M1536" si="235">0.725*L1473</f>
        <v>0.12529663728312584</v>
      </c>
      <c r="N1473" s="2">
        <f t="shared" ref="N1473:N1536" si="236">0.5*M1473</f>
        <v>6.2648318641562922E-2</v>
      </c>
      <c r="O1473" s="2">
        <f t="shared" ref="O1473:O1536" si="237">3.67*N1473</f>
        <v>0.22991932941453591</v>
      </c>
      <c r="P1473" s="2">
        <v>72.551767999999996</v>
      </c>
      <c r="Q1473" s="2">
        <v>23.036597</v>
      </c>
    </row>
    <row r="1474" spans="1:17" x14ac:dyDescent="0.25">
      <c r="A1474" s="2">
        <v>1633</v>
      </c>
      <c r="B1474" s="2" t="s">
        <v>15</v>
      </c>
      <c r="C1474" s="2">
        <v>43</v>
      </c>
      <c r="D1474" s="2">
        <f t="shared" si="230"/>
        <v>109.22</v>
      </c>
      <c r="E1474" s="2">
        <f t="shared" si="231"/>
        <v>34.765805768993616</v>
      </c>
      <c r="F1474" s="2">
        <f t="shared" si="232"/>
        <v>13.687325105903</v>
      </c>
      <c r="G1474" s="2">
        <v>15.509365000000001</v>
      </c>
      <c r="H1474" s="2">
        <f t="shared" si="233"/>
        <v>50.8837450666</v>
      </c>
      <c r="I1474" s="2">
        <f>INDEX('Wood Density Lookup'!$B$2:$B$152,MATCH(B1474,'Wood Density Lookup'!$A$2:$A$152,0))</f>
        <v>0.75</v>
      </c>
      <c r="J1474" s="2">
        <f t="shared" si="234"/>
        <v>752.3568966431759</v>
      </c>
      <c r="K1474" s="2">
        <f t="shared" si="228"/>
        <v>210.65993106008926</v>
      </c>
      <c r="L1474" s="2">
        <f t="shared" si="229"/>
        <v>963.01682770326511</v>
      </c>
      <c r="M1474" s="2">
        <f t="shared" si="235"/>
        <v>698.18720008486719</v>
      </c>
      <c r="N1474" s="2">
        <f t="shared" si="236"/>
        <v>349.09360004243359</v>
      </c>
      <c r="O1474" s="2">
        <f t="shared" si="237"/>
        <v>1281.1735121557313</v>
      </c>
      <c r="P1474" s="2">
        <v>72.551771000000002</v>
      </c>
      <c r="Q1474" s="2">
        <v>23.034531000000001</v>
      </c>
    </row>
    <row r="1475" spans="1:17" x14ac:dyDescent="0.25">
      <c r="A1475" s="2">
        <v>1634</v>
      </c>
      <c r="B1475" s="2" t="s">
        <v>114</v>
      </c>
      <c r="C1475" s="2">
        <v>26</v>
      </c>
      <c r="D1475" s="2">
        <f t="shared" si="230"/>
        <v>66.040000000000006</v>
      </c>
      <c r="E1475" s="2">
        <f t="shared" si="231"/>
        <v>21.02118488357754</v>
      </c>
      <c r="F1475" s="2">
        <f t="shared" si="232"/>
        <v>8.2760570407785572</v>
      </c>
      <c r="G1475" s="2">
        <v>2.079717</v>
      </c>
      <c r="H1475" s="2">
        <f t="shared" si="233"/>
        <v>6.82321872228</v>
      </c>
      <c r="I1475" s="2">
        <f>INDEX('Wood Density Lookup'!$B$2:$B$152,MATCH(B1475,'Wood Density Lookup'!$A$2:$A$152,0))</f>
        <v>0.55000000000000004</v>
      </c>
      <c r="J1475" s="2">
        <f t="shared" si="234"/>
        <v>29.295979818933777</v>
      </c>
      <c r="K1475" s="2">
        <f t="shared" ref="K1475:K1538" si="238">0.28*J1475</f>
        <v>8.2028743493014584</v>
      </c>
      <c r="L1475" s="2">
        <f t="shared" ref="L1475:L1538" si="239">J1475+K1475</f>
        <v>37.498854168235233</v>
      </c>
      <c r="M1475" s="2">
        <f t="shared" si="235"/>
        <v>27.186669271970544</v>
      </c>
      <c r="N1475" s="2">
        <f t="shared" si="236"/>
        <v>13.593334635985272</v>
      </c>
      <c r="O1475" s="2">
        <f t="shared" si="237"/>
        <v>49.887538114065947</v>
      </c>
      <c r="P1475" s="2">
        <v>72.551772999999997</v>
      </c>
      <c r="Q1475" s="2">
        <v>23.034672</v>
      </c>
    </row>
    <row r="1476" spans="1:17" x14ac:dyDescent="0.25">
      <c r="A1476" s="2">
        <v>1635</v>
      </c>
      <c r="B1476" s="2" t="s">
        <v>15</v>
      </c>
      <c r="C1476" s="2">
        <v>16</v>
      </c>
      <c r="D1476" s="2">
        <f t="shared" si="230"/>
        <v>40.64</v>
      </c>
      <c r="E1476" s="2">
        <f t="shared" si="231"/>
        <v>12.936113774509254</v>
      </c>
      <c r="F1476" s="2">
        <f t="shared" si="232"/>
        <v>5.0929581789406511</v>
      </c>
      <c r="G1476" s="2">
        <v>6.6923320000000004</v>
      </c>
      <c r="H1476" s="2">
        <f t="shared" si="233"/>
        <v>21.95647051888</v>
      </c>
      <c r="I1476" s="2">
        <f>INDEX('Wood Density Lookup'!$B$2:$B$152,MATCH(B1476,'Wood Density Lookup'!$A$2:$A$152,0))</f>
        <v>0.75</v>
      </c>
      <c r="J1476" s="2">
        <f t="shared" si="234"/>
        <v>48.092742670189132</v>
      </c>
      <c r="K1476" s="2">
        <f t="shared" si="238"/>
        <v>13.465967947652958</v>
      </c>
      <c r="L1476" s="2">
        <f t="shared" si="239"/>
        <v>61.558710617842088</v>
      </c>
      <c r="M1476" s="2">
        <f t="shared" si="235"/>
        <v>44.630065197935515</v>
      </c>
      <c r="N1476" s="2">
        <f t="shared" si="236"/>
        <v>22.315032598967758</v>
      </c>
      <c r="O1476" s="2">
        <f t="shared" si="237"/>
        <v>81.896169638211674</v>
      </c>
      <c r="P1476" s="2">
        <v>72.551786000000007</v>
      </c>
      <c r="Q1476" s="2">
        <v>23.036773</v>
      </c>
    </row>
    <row r="1477" spans="1:17" x14ac:dyDescent="0.25">
      <c r="A1477" s="2">
        <v>1636</v>
      </c>
      <c r="B1477" s="2" t="s">
        <v>4</v>
      </c>
      <c r="C1477" s="2">
        <v>13</v>
      </c>
      <c r="D1477" s="2">
        <f t="shared" si="230"/>
        <v>33.020000000000003</v>
      </c>
      <c r="E1477" s="2">
        <f t="shared" si="231"/>
        <v>10.51059244178877</v>
      </c>
      <c r="F1477" s="2">
        <f t="shared" si="232"/>
        <v>4.1380285203892786</v>
      </c>
      <c r="G1477" s="2">
        <v>15.101508000000001</v>
      </c>
      <c r="H1477" s="2">
        <f t="shared" si="233"/>
        <v>49.545631506719999</v>
      </c>
      <c r="I1477" s="2">
        <f>INDEX('Wood Density Lookup'!$B$2:$B$152,MATCH(B1477,'Wood Density Lookup'!$A$2:$A$152,0))</f>
        <v>0.6</v>
      </c>
      <c r="J1477" s="2">
        <f t="shared" si="234"/>
        <v>57.073013085252747</v>
      </c>
      <c r="K1477" s="2">
        <f t="shared" si="238"/>
        <v>15.980443663870771</v>
      </c>
      <c r="L1477" s="2">
        <f t="shared" si="239"/>
        <v>73.053456749123512</v>
      </c>
      <c r="M1477" s="2">
        <f t="shared" si="235"/>
        <v>52.963756143114544</v>
      </c>
      <c r="N1477" s="2">
        <f t="shared" si="236"/>
        <v>26.481878071557272</v>
      </c>
      <c r="O1477" s="2">
        <f t="shared" si="237"/>
        <v>97.188492522615192</v>
      </c>
      <c r="P1477" s="2">
        <v>72.551789999999997</v>
      </c>
      <c r="Q1477" s="2">
        <v>23.034708999999999</v>
      </c>
    </row>
    <row r="1478" spans="1:17" x14ac:dyDescent="0.25">
      <c r="A1478" s="2">
        <v>1637</v>
      </c>
      <c r="B1478" s="2" t="s">
        <v>15</v>
      </c>
      <c r="C1478" s="2">
        <v>48</v>
      </c>
      <c r="D1478" s="2">
        <f t="shared" si="230"/>
        <v>121.92</v>
      </c>
      <c r="E1478" s="2">
        <f t="shared" si="231"/>
        <v>38.808341323527763</v>
      </c>
      <c r="F1478" s="2">
        <f t="shared" si="232"/>
        <v>15.278874536821952</v>
      </c>
      <c r="G1478" s="2">
        <v>1.1004620000000001</v>
      </c>
      <c r="H1478" s="2">
        <f t="shared" si="233"/>
        <v>3.6104397480800001</v>
      </c>
      <c r="I1478" s="2">
        <f>INDEX('Wood Density Lookup'!$B$2:$B$152,MATCH(B1478,'Wood Density Lookup'!$A$2:$A$152,0))</f>
        <v>0.75</v>
      </c>
      <c r="J1478" s="2">
        <f t="shared" si="234"/>
        <v>70.5072644723775</v>
      </c>
      <c r="K1478" s="2">
        <f t="shared" si="238"/>
        <v>19.742034052265701</v>
      </c>
      <c r="L1478" s="2">
        <f t="shared" si="239"/>
        <v>90.249298524643194</v>
      </c>
      <c r="M1478" s="2">
        <f t="shared" si="235"/>
        <v>65.430741430366311</v>
      </c>
      <c r="N1478" s="2">
        <f t="shared" si="236"/>
        <v>32.715370715183155</v>
      </c>
      <c r="O1478" s="2">
        <f t="shared" si="237"/>
        <v>120.06541052472218</v>
      </c>
      <c r="P1478" s="2">
        <v>72.551793000000004</v>
      </c>
      <c r="Q1478" s="2">
        <v>23.036576</v>
      </c>
    </row>
    <row r="1479" spans="1:17" x14ac:dyDescent="0.25">
      <c r="A1479" s="2">
        <v>1638</v>
      </c>
      <c r="B1479" s="2" t="s">
        <v>31</v>
      </c>
      <c r="C1479" s="2">
        <v>57</v>
      </c>
      <c r="D1479" s="2">
        <f t="shared" si="230"/>
        <v>144.78</v>
      </c>
      <c r="E1479" s="2">
        <f t="shared" si="231"/>
        <v>46.084905321689213</v>
      </c>
      <c r="F1479" s="2">
        <f t="shared" si="232"/>
        <v>18.143663512476071</v>
      </c>
      <c r="G1479" s="2">
        <v>5.263846</v>
      </c>
      <c r="H1479" s="2">
        <f t="shared" si="233"/>
        <v>17.269836510640001</v>
      </c>
      <c r="I1479" s="2">
        <f>INDEX('Wood Density Lookup'!$B$2:$B$152,MATCH(B1479,'Wood Density Lookup'!$A$2:$A$152,0))</f>
        <v>0.78</v>
      </c>
      <c r="J1479" s="2">
        <f t="shared" si="234"/>
        <v>472.01725709396447</v>
      </c>
      <c r="K1479" s="2">
        <f t="shared" si="238"/>
        <v>132.16483198631008</v>
      </c>
      <c r="L1479" s="2">
        <f t="shared" si="239"/>
        <v>604.18208908027452</v>
      </c>
      <c r="M1479" s="2">
        <f t="shared" si="235"/>
        <v>438.03201458319904</v>
      </c>
      <c r="N1479" s="2">
        <f t="shared" si="236"/>
        <v>219.01600729159952</v>
      </c>
      <c r="O1479" s="2">
        <f t="shared" si="237"/>
        <v>803.78874676017028</v>
      </c>
      <c r="P1479" s="2">
        <v>72.551794000000001</v>
      </c>
      <c r="Q1479" s="2">
        <v>23.036746999999998</v>
      </c>
    </row>
    <row r="1480" spans="1:17" x14ac:dyDescent="0.25">
      <c r="A1480" s="2">
        <v>1639</v>
      </c>
      <c r="B1480" s="2" t="s">
        <v>31</v>
      </c>
      <c r="C1480" s="2">
        <v>11</v>
      </c>
      <c r="D1480" s="2">
        <f t="shared" si="230"/>
        <v>27.94</v>
      </c>
      <c r="E1480" s="2">
        <f t="shared" si="231"/>
        <v>8.8935782199751117</v>
      </c>
      <c r="F1480" s="2">
        <f t="shared" si="232"/>
        <v>3.5014087480216975</v>
      </c>
      <c r="G1480" s="2">
        <v>12.043013</v>
      </c>
      <c r="H1480" s="2">
        <f t="shared" si="233"/>
        <v>39.511198770920004</v>
      </c>
      <c r="I1480" s="2">
        <f>INDEX('Wood Density Lookup'!$B$2:$B$152,MATCH(B1480,'Wood Density Lookup'!$A$2:$A$152,0))</f>
        <v>0.78</v>
      </c>
      <c r="J1480" s="2">
        <f t="shared" si="234"/>
        <v>42.667214646492724</v>
      </c>
      <c r="K1480" s="2">
        <f t="shared" si="238"/>
        <v>11.946820101017964</v>
      </c>
      <c r="L1480" s="2">
        <f t="shared" si="239"/>
        <v>54.614034747510686</v>
      </c>
      <c r="M1480" s="2">
        <f t="shared" si="235"/>
        <v>39.595175191945245</v>
      </c>
      <c r="N1480" s="2">
        <f t="shared" si="236"/>
        <v>19.797587595972622</v>
      </c>
      <c r="O1480" s="2">
        <f t="shared" si="237"/>
        <v>72.657146477219527</v>
      </c>
      <c r="P1480" s="2">
        <v>72.551803000000007</v>
      </c>
      <c r="Q1480" s="2">
        <v>23.035606999999999</v>
      </c>
    </row>
    <row r="1481" spans="1:17" x14ac:dyDescent="0.25">
      <c r="A1481" s="2">
        <v>1640</v>
      </c>
      <c r="B1481" s="2" t="s">
        <v>31</v>
      </c>
      <c r="C1481" s="2">
        <v>1</v>
      </c>
      <c r="D1481" s="2">
        <f t="shared" si="230"/>
        <v>2.54</v>
      </c>
      <c r="E1481" s="2">
        <f t="shared" si="231"/>
        <v>0.80850711090682836</v>
      </c>
      <c r="F1481" s="2">
        <f t="shared" si="232"/>
        <v>0.31830988618379069</v>
      </c>
      <c r="G1481" s="2">
        <v>1.3624229999999999</v>
      </c>
      <c r="H1481" s="2">
        <f t="shared" si="233"/>
        <v>4.4698918753200001</v>
      </c>
      <c r="I1481" s="2">
        <f>INDEX('Wood Density Lookup'!$B$2:$B$152,MATCH(B1481,'Wood Density Lookup'!$A$2:$A$152,0))</f>
        <v>0.78</v>
      </c>
      <c r="J1481" s="2">
        <f t="shared" si="234"/>
        <v>4.7161405479663826E-2</v>
      </c>
      <c r="K1481" s="2">
        <f t="shared" si="238"/>
        <v>1.3205193534305873E-2</v>
      </c>
      <c r="L1481" s="2">
        <f t="shared" si="239"/>
        <v>6.03665990139697E-2</v>
      </c>
      <c r="M1481" s="2">
        <f t="shared" si="235"/>
        <v>4.3765784285128034E-2</v>
      </c>
      <c r="N1481" s="2">
        <f t="shared" si="236"/>
        <v>2.1882892142564017E-2</v>
      </c>
      <c r="O1481" s="2">
        <f t="shared" si="237"/>
        <v>8.0310214163209936E-2</v>
      </c>
      <c r="P1481" s="2">
        <v>72.551804000000004</v>
      </c>
      <c r="Q1481" s="2">
        <v>23.0366</v>
      </c>
    </row>
    <row r="1482" spans="1:17" x14ac:dyDescent="0.25">
      <c r="A1482" s="2">
        <v>1642</v>
      </c>
      <c r="B1482" s="2" t="s">
        <v>93</v>
      </c>
      <c r="C1482" s="2">
        <v>6</v>
      </c>
      <c r="D1482" s="2">
        <f t="shared" si="230"/>
        <v>15.24</v>
      </c>
      <c r="E1482" s="2">
        <f t="shared" si="231"/>
        <v>4.8510426654409704</v>
      </c>
      <c r="F1482" s="2">
        <f t="shared" si="232"/>
        <v>1.909859317102744</v>
      </c>
      <c r="G1482" s="2">
        <v>2.7075770000000001</v>
      </c>
      <c r="H1482" s="2">
        <f t="shared" si="233"/>
        <v>8.8831269246800009</v>
      </c>
      <c r="I1482" s="2">
        <f>INDEX('Wood Density Lookup'!$B$2:$B$152,MATCH(B1482,'Wood Density Lookup'!$A$2:$A$152,0))</f>
        <v>0.9</v>
      </c>
      <c r="J1482" s="2">
        <f t="shared" si="234"/>
        <v>3.5019080146001871</v>
      </c>
      <c r="K1482" s="2">
        <f t="shared" si="238"/>
        <v>0.98053424408805245</v>
      </c>
      <c r="L1482" s="2">
        <f t="shared" si="239"/>
        <v>4.4824422586882395</v>
      </c>
      <c r="M1482" s="2">
        <f t="shared" si="235"/>
        <v>3.2497706375489734</v>
      </c>
      <c r="N1482" s="2">
        <f t="shared" si="236"/>
        <v>1.6248853187744867</v>
      </c>
      <c r="O1482" s="2">
        <f t="shared" si="237"/>
        <v>5.9633291199023661</v>
      </c>
      <c r="P1482" s="2">
        <v>72.551810000000003</v>
      </c>
      <c r="Q1482" s="2">
        <v>23.037799</v>
      </c>
    </row>
    <row r="1483" spans="1:17" x14ac:dyDescent="0.25">
      <c r="A1483" s="2">
        <v>1643</v>
      </c>
      <c r="B1483" s="2" t="s">
        <v>15</v>
      </c>
      <c r="C1483" s="2">
        <v>74</v>
      </c>
      <c r="D1483" s="2">
        <f t="shared" si="230"/>
        <v>187.96</v>
      </c>
      <c r="E1483" s="2">
        <f t="shared" si="231"/>
        <v>59.829526207105296</v>
      </c>
      <c r="F1483" s="2">
        <f t="shared" si="232"/>
        <v>23.554931577600509</v>
      </c>
      <c r="G1483" s="2">
        <v>18.018158</v>
      </c>
      <c r="H1483" s="2">
        <f t="shared" si="233"/>
        <v>59.114693492720001</v>
      </c>
      <c r="I1483" s="2">
        <f>INDEX('Wood Density Lookup'!$B$2:$B$152,MATCH(B1483,'Wood Density Lookup'!$A$2:$A$152,0))</f>
        <v>0.75</v>
      </c>
      <c r="J1483" s="2">
        <f t="shared" si="234"/>
        <v>2512.9704344442862</v>
      </c>
      <c r="K1483" s="2">
        <f t="shared" si="238"/>
        <v>703.63172164440016</v>
      </c>
      <c r="L1483" s="2">
        <f t="shared" si="239"/>
        <v>3216.6021560886866</v>
      </c>
      <c r="M1483" s="2">
        <f t="shared" si="235"/>
        <v>2332.0365631642976</v>
      </c>
      <c r="N1483" s="2">
        <f t="shared" si="236"/>
        <v>1166.0182815821488</v>
      </c>
      <c r="O1483" s="2">
        <f t="shared" si="237"/>
        <v>4279.2870934064858</v>
      </c>
      <c r="P1483" s="2">
        <v>72.551811000000001</v>
      </c>
      <c r="Q1483" s="2">
        <v>23.034528999999999</v>
      </c>
    </row>
    <row r="1484" spans="1:17" x14ac:dyDescent="0.25">
      <c r="A1484" s="2">
        <v>1644</v>
      </c>
      <c r="B1484" s="2" t="s">
        <v>75</v>
      </c>
      <c r="C1484" s="2">
        <v>4</v>
      </c>
      <c r="D1484" s="2">
        <f t="shared" si="230"/>
        <v>10.16</v>
      </c>
      <c r="E1484" s="2">
        <f t="shared" si="231"/>
        <v>3.2340284436273135</v>
      </c>
      <c r="F1484" s="2">
        <f t="shared" si="232"/>
        <v>1.2732395447351628</v>
      </c>
      <c r="G1484" s="2">
        <v>10.657079</v>
      </c>
      <c r="H1484" s="2">
        <f t="shared" si="233"/>
        <v>34.964171066359995</v>
      </c>
      <c r="I1484" s="2">
        <f>INDEX('Wood Density Lookup'!$B$2:$B$152,MATCH(B1484,'Wood Density Lookup'!$A$2:$A$152,0))</f>
        <v>0.3</v>
      </c>
      <c r="J1484" s="2">
        <f t="shared" si="234"/>
        <v>2.068617736201408</v>
      </c>
      <c r="K1484" s="2">
        <f t="shared" si="238"/>
        <v>0.57921296613639428</v>
      </c>
      <c r="L1484" s="2">
        <f t="shared" si="239"/>
        <v>2.647830702337802</v>
      </c>
      <c r="M1484" s="2">
        <f t="shared" si="235"/>
        <v>1.9196772591949065</v>
      </c>
      <c r="N1484" s="2">
        <f t="shared" si="236"/>
        <v>0.95983862959745325</v>
      </c>
      <c r="O1484" s="2">
        <f t="shared" si="237"/>
        <v>3.5226077706226535</v>
      </c>
      <c r="P1484" s="2">
        <v>72.551811999999998</v>
      </c>
      <c r="Q1484" s="2">
        <v>23.035737999999998</v>
      </c>
    </row>
    <row r="1485" spans="1:17" x14ac:dyDescent="0.25">
      <c r="A1485" s="2">
        <v>1645</v>
      </c>
      <c r="B1485" s="2" t="s">
        <v>31</v>
      </c>
      <c r="C1485" s="2">
        <v>18</v>
      </c>
      <c r="D1485" s="2">
        <f t="shared" si="230"/>
        <v>45.72</v>
      </c>
      <c r="E1485" s="2">
        <f t="shared" si="231"/>
        <v>14.55312799632291</v>
      </c>
      <c r="F1485" s="2">
        <f t="shared" si="232"/>
        <v>5.7295779513082321</v>
      </c>
      <c r="G1485" s="2">
        <v>10.231629999999999</v>
      </c>
      <c r="H1485" s="2">
        <f t="shared" si="233"/>
        <v>33.568340969199994</v>
      </c>
      <c r="I1485" s="2">
        <f>INDEX('Wood Density Lookup'!$B$2:$B$152,MATCH(B1485,'Wood Density Lookup'!$A$2:$A$152,0))</f>
        <v>0.78</v>
      </c>
      <c r="J1485" s="2">
        <f t="shared" si="234"/>
        <v>95.169182894218864</v>
      </c>
      <c r="K1485" s="2">
        <f t="shared" si="238"/>
        <v>26.647371210381284</v>
      </c>
      <c r="L1485" s="2">
        <f t="shared" si="239"/>
        <v>121.81655410460014</v>
      </c>
      <c r="M1485" s="2">
        <f t="shared" si="235"/>
        <v>88.317001725835098</v>
      </c>
      <c r="N1485" s="2">
        <f t="shared" si="236"/>
        <v>44.158500862917549</v>
      </c>
      <c r="O1485" s="2">
        <f t="shared" si="237"/>
        <v>162.06169816690741</v>
      </c>
      <c r="P1485" s="2">
        <v>72.551817</v>
      </c>
      <c r="Q1485" s="2">
        <v>23.038779000000002</v>
      </c>
    </row>
    <row r="1486" spans="1:17" x14ac:dyDescent="0.25">
      <c r="A1486" s="2">
        <v>1646</v>
      </c>
      <c r="B1486" s="2" t="s">
        <v>93</v>
      </c>
      <c r="C1486" s="2">
        <v>43</v>
      </c>
      <c r="D1486" s="2">
        <f t="shared" si="230"/>
        <v>109.22</v>
      </c>
      <c r="E1486" s="2">
        <f t="shared" si="231"/>
        <v>34.765805768993616</v>
      </c>
      <c r="F1486" s="2">
        <f t="shared" si="232"/>
        <v>13.687325105903</v>
      </c>
      <c r="G1486" s="2">
        <v>10.963554</v>
      </c>
      <c r="H1486" s="2">
        <f t="shared" si="233"/>
        <v>35.969666505360003</v>
      </c>
      <c r="I1486" s="2">
        <f>INDEX('Wood Density Lookup'!$B$2:$B$152,MATCH(B1486,'Wood Density Lookup'!$A$2:$A$152,0))</f>
        <v>0.9</v>
      </c>
      <c r="J1486" s="2">
        <f t="shared" si="234"/>
        <v>640.73370402629121</v>
      </c>
      <c r="K1486" s="2">
        <f t="shared" si="238"/>
        <v>179.40543712736155</v>
      </c>
      <c r="L1486" s="2">
        <f t="shared" si="239"/>
        <v>820.13914115365276</v>
      </c>
      <c r="M1486" s="2">
        <f t="shared" si="235"/>
        <v>594.60087733639818</v>
      </c>
      <c r="N1486" s="2">
        <f t="shared" si="236"/>
        <v>297.30043866819909</v>
      </c>
      <c r="O1486" s="2">
        <f t="shared" si="237"/>
        <v>1091.0926099122908</v>
      </c>
      <c r="P1486" s="2">
        <v>72.551818999999995</v>
      </c>
      <c r="Q1486" s="2">
        <v>23.035741000000002</v>
      </c>
    </row>
    <row r="1487" spans="1:17" x14ac:dyDescent="0.25">
      <c r="A1487" s="2">
        <v>1647</v>
      </c>
      <c r="B1487" s="2" t="s">
        <v>15</v>
      </c>
      <c r="C1487" s="2">
        <v>3</v>
      </c>
      <c r="D1487" s="2">
        <f t="shared" si="230"/>
        <v>7.62</v>
      </c>
      <c r="E1487" s="2">
        <f t="shared" si="231"/>
        <v>2.4255213327204852</v>
      </c>
      <c r="F1487" s="2">
        <f t="shared" si="232"/>
        <v>0.95492965855137202</v>
      </c>
      <c r="G1487" s="2">
        <v>3.3035559999999999</v>
      </c>
      <c r="H1487" s="2">
        <f t="shared" si="233"/>
        <v>10.83843866704</v>
      </c>
      <c r="I1487" s="2">
        <f>INDEX('Wood Density Lookup'!$B$2:$B$152,MATCH(B1487,'Wood Density Lookup'!$A$2:$A$152,0))</f>
        <v>0.75</v>
      </c>
      <c r="J1487" s="2">
        <f t="shared" si="234"/>
        <v>0.91989979656661547</v>
      </c>
      <c r="K1487" s="2">
        <f t="shared" si="238"/>
        <v>0.25757194303865233</v>
      </c>
      <c r="L1487" s="2">
        <f t="shared" si="239"/>
        <v>1.1774717396052679</v>
      </c>
      <c r="M1487" s="2">
        <f t="shared" si="235"/>
        <v>0.85366701121381916</v>
      </c>
      <c r="N1487" s="2">
        <f t="shared" si="236"/>
        <v>0.42683350560690958</v>
      </c>
      <c r="O1487" s="2">
        <f t="shared" si="237"/>
        <v>1.5664789655773581</v>
      </c>
      <c r="P1487" s="2">
        <v>72.551828</v>
      </c>
      <c r="Q1487" s="2">
        <v>23.034967999999999</v>
      </c>
    </row>
    <row r="1488" spans="1:17" x14ac:dyDescent="0.25">
      <c r="A1488" s="2">
        <v>1649</v>
      </c>
      <c r="B1488" s="2" t="s">
        <v>10</v>
      </c>
      <c r="C1488" s="2">
        <v>29</v>
      </c>
      <c r="D1488" s="2">
        <f t="shared" si="230"/>
        <v>73.66</v>
      </c>
      <c r="E1488" s="2">
        <f t="shared" si="231"/>
        <v>23.446706216298022</v>
      </c>
      <c r="F1488" s="2">
        <f t="shared" si="232"/>
        <v>9.2309866993299305</v>
      </c>
      <c r="G1488" s="2">
        <v>10.536712</v>
      </c>
      <c r="H1488" s="2">
        <f t="shared" si="233"/>
        <v>34.569266198080001</v>
      </c>
      <c r="I1488" s="2">
        <f>INDEX('Wood Density Lookup'!$B$2:$B$152,MATCH(B1488,'Wood Density Lookup'!$A$2:$A$152,0))</f>
        <v>0.65</v>
      </c>
      <c r="J1488" s="2">
        <f t="shared" si="234"/>
        <v>207.95934580050783</v>
      </c>
      <c r="K1488" s="2">
        <f t="shared" si="238"/>
        <v>58.2286168241422</v>
      </c>
      <c r="L1488" s="2">
        <f t="shared" si="239"/>
        <v>266.18796262465003</v>
      </c>
      <c r="M1488" s="2">
        <f t="shared" si="235"/>
        <v>192.98627290287126</v>
      </c>
      <c r="N1488" s="2">
        <f t="shared" si="236"/>
        <v>96.493136451435632</v>
      </c>
      <c r="O1488" s="2">
        <f t="shared" si="237"/>
        <v>354.12981077676875</v>
      </c>
      <c r="P1488" s="2">
        <v>72.551833000000002</v>
      </c>
      <c r="Q1488" s="2">
        <v>23.036555</v>
      </c>
    </row>
    <row r="1489" spans="1:17" x14ac:dyDescent="0.25">
      <c r="A1489" s="2">
        <v>1650</v>
      </c>
      <c r="B1489" s="2" t="s">
        <v>72</v>
      </c>
      <c r="C1489" s="2">
        <v>17</v>
      </c>
      <c r="D1489" s="2">
        <f t="shared" si="230"/>
        <v>43.18</v>
      </c>
      <c r="E1489" s="2">
        <f t="shared" si="231"/>
        <v>13.744620885416081</v>
      </c>
      <c r="F1489" s="2">
        <f t="shared" si="232"/>
        <v>5.4112680651244416</v>
      </c>
      <c r="G1489" s="2">
        <v>8.2952189999999995</v>
      </c>
      <c r="H1489" s="2">
        <f t="shared" si="233"/>
        <v>27.215286303959999</v>
      </c>
      <c r="I1489" s="2">
        <f>INDEX('Wood Density Lookup'!$B$2:$B$152,MATCH(B1489,'Wood Density Lookup'!$A$2:$A$152,0))</f>
        <v>0.65</v>
      </c>
      <c r="J1489" s="2">
        <f t="shared" si="234"/>
        <v>58.053665448233083</v>
      </c>
      <c r="K1489" s="2">
        <f t="shared" si="238"/>
        <v>16.255026325505266</v>
      </c>
      <c r="L1489" s="2">
        <f t="shared" si="239"/>
        <v>74.308691773738346</v>
      </c>
      <c r="M1489" s="2">
        <f t="shared" si="235"/>
        <v>53.873801535960297</v>
      </c>
      <c r="N1489" s="2">
        <f t="shared" si="236"/>
        <v>26.936900767980148</v>
      </c>
      <c r="O1489" s="2">
        <f t="shared" si="237"/>
        <v>98.858425818487149</v>
      </c>
      <c r="P1489" s="2">
        <v>72.551833999999999</v>
      </c>
      <c r="Q1489" s="2">
        <v>23.038736</v>
      </c>
    </row>
    <row r="1490" spans="1:17" x14ac:dyDescent="0.25">
      <c r="A1490" s="2">
        <v>1651</v>
      </c>
      <c r="B1490" s="2" t="s">
        <v>75</v>
      </c>
      <c r="C1490" s="2">
        <v>4</v>
      </c>
      <c r="D1490" s="2">
        <f t="shared" si="230"/>
        <v>10.16</v>
      </c>
      <c r="E1490" s="2">
        <f t="shared" si="231"/>
        <v>3.2340284436273135</v>
      </c>
      <c r="F1490" s="2">
        <f t="shared" si="232"/>
        <v>1.2732395447351628</v>
      </c>
      <c r="G1490" s="2">
        <v>11.068132</v>
      </c>
      <c r="H1490" s="2">
        <f t="shared" si="233"/>
        <v>36.312770190880002</v>
      </c>
      <c r="I1490" s="2">
        <f>INDEX('Wood Density Lookup'!$B$2:$B$152,MATCH(B1490,'Wood Density Lookup'!$A$2:$A$152,0))</f>
        <v>0.3</v>
      </c>
      <c r="J1490" s="2">
        <f t="shared" si="234"/>
        <v>2.1464556586530543</v>
      </c>
      <c r="K1490" s="2">
        <f t="shared" si="238"/>
        <v>0.60100758442285529</v>
      </c>
      <c r="L1490" s="2">
        <f t="shared" si="239"/>
        <v>2.7474632430759094</v>
      </c>
      <c r="M1490" s="2">
        <f t="shared" si="235"/>
        <v>1.9919108512300343</v>
      </c>
      <c r="N1490" s="2">
        <f t="shared" si="236"/>
        <v>0.99595542561501715</v>
      </c>
      <c r="O1490" s="2">
        <f t="shared" si="237"/>
        <v>3.6551564120071127</v>
      </c>
      <c r="P1490" s="2">
        <v>72.551840999999996</v>
      </c>
      <c r="Q1490" s="2">
        <v>23.035726</v>
      </c>
    </row>
    <row r="1491" spans="1:17" x14ac:dyDescent="0.25">
      <c r="A1491" s="2">
        <v>1652</v>
      </c>
      <c r="B1491" s="2" t="s">
        <v>31</v>
      </c>
      <c r="C1491" s="2">
        <v>2</v>
      </c>
      <c r="D1491" s="2">
        <f t="shared" si="230"/>
        <v>5.08</v>
      </c>
      <c r="E1491" s="2">
        <f t="shared" si="231"/>
        <v>1.6170142218136567</v>
      </c>
      <c r="F1491" s="2">
        <f t="shared" si="232"/>
        <v>0.63661977236758138</v>
      </c>
      <c r="G1491" s="2">
        <v>7.323798</v>
      </c>
      <c r="H1491" s="2">
        <f t="shared" si="233"/>
        <v>24.02820943032</v>
      </c>
      <c r="I1491" s="2">
        <f>INDEX('Wood Density Lookup'!$B$2:$B$152,MATCH(B1491,'Wood Density Lookup'!$A$2:$A$152,0))</f>
        <v>0.78</v>
      </c>
      <c r="J1491" s="2">
        <f t="shared" si="234"/>
        <v>0.94208805249637817</v>
      </c>
      <c r="K1491" s="2">
        <f t="shared" si="238"/>
        <v>0.26378465469898593</v>
      </c>
      <c r="L1491" s="2">
        <f t="shared" si="239"/>
        <v>1.2058727071953641</v>
      </c>
      <c r="M1491" s="2">
        <f t="shared" si="235"/>
        <v>0.87425771271663899</v>
      </c>
      <c r="N1491" s="2">
        <f t="shared" si="236"/>
        <v>0.4371288563583195</v>
      </c>
      <c r="O1491" s="2">
        <f t="shared" si="237"/>
        <v>1.6042629028350326</v>
      </c>
      <c r="P1491" s="2">
        <v>72.551844000000003</v>
      </c>
      <c r="Q1491" s="2">
        <v>23.036601999999998</v>
      </c>
    </row>
    <row r="1492" spans="1:17" x14ac:dyDescent="0.25">
      <c r="A1492" s="2">
        <v>1653</v>
      </c>
      <c r="B1492" s="2" t="s">
        <v>58</v>
      </c>
      <c r="C1492" s="2">
        <v>18</v>
      </c>
      <c r="D1492" s="2">
        <f t="shared" si="230"/>
        <v>45.72</v>
      </c>
      <c r="E1492" s="2">
        <f t="shared" si="231"/>
        <v>14.55312799632291</v>
      </c>
      <c r="F1492" s="2">
        <f t="shared" si="232"/>
        <v>5.7295779513082321</v>
      </c>
      <c r="G1492" s="2">
        <v>4.1911300000000002</v>
      </c>
      <c r="H1492" s="2">
        <f t="shared" si="233"/>
        <v>13.750426949200001</v>
      </c>
      <c r="I1492" s="2">
        <f>INDEX('Wood Density Lookup'!$B$2:$B$152,MATCH(B1492,'Wood Density Lookup'!$A$2:$A$152,0))</f>
        <v>0.5</v>
      </c>
      <c r="J1492" s="2">
        <f t="shared" si="234"/>
        <v>25.804518902886418</v>
      </c>
      <c r="K1492" s="2">
        <f t="shared" si="238"/>
        <v>7.2252652928081975</v>
      </c>
      <c r="L1492" s="2">
        <f t="shared" si="239"/>
        <v>33.029784195694617</v>
      </c>
      <c r="M1492" s="2">
        <f t="shared" si="235"/>
        <v>23.946593541878595</v>
      </c>
      <c r="N1492" s="2">
        <f t="shared" si="236"/>
        <v>11.973296770939298</v>
      </c>
      <c r="O1492" s="2">
        <f t="shared" si="237"/>
        <v>43.941999149347218</v>
      </c>
      <c r="P1492" s="2">
        <v>72.551845999999998</v>
      </c>
      <c r="Q1492" s="2">
        <v>23.037804000000001</v>
      </c>
    </row>
    <row r="1493" spans="1:17" x14ac:dyDescent="0.25">
      <c r="A1493" s="2">
        <v>1654</v>
      </c>
      <c r="B1493" s="2" t="s">
        <v>63</v>
      </c>
      <c r="C1493" s="2">
        <v>8</v>
      </c>
      <c r="D1493" s="2">
        <f t="shared" si="230"/>
        <v>20.32</v>
      </c>
      <c r="E1493" s="2">
        <f t="shared" si="231"/>
        <v>6.4680568872546269</v>
      </c>
      <c r="F1493" s="2">
        <f t="shared" si="232"/>
        <v>2.5464790894703255</v>
      </c>
      <c r="G1493" s="2">
        <v>4.1911300000000002</v>
      </c>
      <c r="H1493" s="2">
        <f t="shared" si="233"/>
        <v>13.750426949200001</v>
      </c>
      <c r="I1493" s="2">
        <f>INDEX('Wood Density Lookup'!$B$2:$B$152,MATCH(B1493,'Wood Density Lookup'!$A$2:$A$152,0))</f>
        <v>0.5</v>
      </c>
      <c r="J1493" s="2">
        <f t="shared" si="234"/>
        <v>5.2995072567459811</v>
      </c>
      <c r="K1493" s="2">
        <f t="shared" si="238"/>
        <v>1.4838620318888749</v>
      </c>
      <c r="L1493" s="2">
        <f t="shared" si="239"/>
        <v>6.783369288634856</v>
      </c>
      <c r="M1493" s="2">
        <f t="shared" si="235"/>
        <v>4.9179427342602704</v>
      </c>
      <c r="N1493" s="2">
        <f t="shared" si="236"/>
        <v>2.4589713671301352</v>
      </c>
      <c r="O1493" s="2">
        <f t="shared" si="237"/>
        <v>9.0244249173675968</v>
      </c>
      <c r="P1493" s="2">
        <v>72.551845999999998</v>
      </c>
      <c r="Q1493" s="2">
        <v>23.037804000000001</v>
      </c>
    </row>
    <row r="1494" spans="1:17" x14ac:dyDescent="0.25">
      <c r="A1494" s="2">
        <v>1655</v>
      </c>
      <c r="B1494" s="2" t="s">
        <v>15</v>
      </c>
      <c r="C1494" s="2">
        <v>4</v>
      </c>
      <c r="D1494" s="2">
        <f t="shared" si="230"/>
        <v>10.16</v>
      </c>
      <c r="E1494" s="2">
        <f t="shared" si="231"/>
        <v>3.2340284436273135</v>
      </c>
      <c r="F1494" s="2">
        <f t="shared" si="232"/>
        <v>1.2732395447351628</v>
      </c>
      <c r="G1494" s="2">
        <v>3.0450460000000001</v>
      </c>
      <c r="H1494" s="2">
        <f t="shared" si="233"/>
        <v>9.9903087186399997</v>
      </c>
      <c r="I1494" s="2">
        <f>INDEX('Wood Density Lookup'!$B$2:$B$152,MATCH(B1494,'Wood Density Lookup'!$A$2:$A$152,0))</f>
        <v>0.75</v>
      </c>
      <c r="J1494" s="2">
        <f t="shared" si="234"/>
        <v>1.4896437843188526</v>
      </c>
      <c r="K1494" s="2">
        <f t="shared" si="238"/>
        <v>0.41710025960927877</v>
      </c>
      <c r="L1494" s="2">
        <f t="shared" si="239"/>
        <v>1.9067440439281313</v>
      </c>
      <c r="M1494" s="2">
        <f t="shared" si="235"/>
        <v>1.3823894318478951</v>
      </c>
      <c r="N1494" s="2">
        <f t="shared" si="236"/>
        <v>0.69119471592394754</v>
      </c>
      <c r="O1494" s="2">
        <f t="shared" si="237"/>
        <v>2.5366846074408875</v>
      </c>
      <c r="P1494" s="2">
        <v>72.551845999999998</v>
      </c>
      <c r="Q1494" s="2">
        <v>23.034970000000001</v>
      </c>
    </row>
    <row r="1495" spans="1:17" x14ac:dyDescent="0.25">
      <c r="A1495" s="2">
        <v>1656</v>
      </c>
      <c r="B1495" s="2" t="s">
        <v>75</v>
      </c>
      <c r="C1495" s="2">
        <v>5</v>
      </c>
      <c r="D1495" s="2">
        <f t="shared" si="230"/>
        <v>12.7</v>
      </c>
      <c r="E1495" s="2">
        <f t="shared" si="231"/>
        <v>4.0425355545341413</v>
      </c>
      <c r="F1495" s="2">
        <f t="shared" si="232"/>
        <v>1.5915494309189535</v>
      </c>
      <c r="G1495" s="2">
        <v>10.937561000000001</v>
      </c>
      <c r="H1495" s="2">
        <f t="shared" si="233"/>
        <v>35.884387631240003</v>
      </c>
      <c r="I1495" s="2">
        <f>INDEX('Wood Density Lookup'!$B$2:$B$152,MATCH(B1495,'Wood Density Lookup'!$A$2:$A$152,0))</f>
        <v>0.3</v>
      </c>
      <c r="J1495" s="2">
        <f t="shared" si="234"/>
        <v>3.2798963314481901</v>
      </c>
      <c r="K1495" s="2">
        <f t="shared" si="238"/>
        <v>0.91837097280549329</v>
      </c>
      <c r="L1495" s="2">
        <f t="shared" si="239"/>
        <v>4.1982673042536831</v>
      </c>
      <c r="M1495" s="2">
        <f t="shared" si="235"/>
        <v>3.0437437955839202</v>
      </c>
      <c r="N1495" s="2">
        <f t="shared" si="236"/>
        <v>1.5218718977919601</v>
      </c>
      <c r="O1495" s="2">
        <f t="shared" si="237"/>
        <v>5.5852698648964934</v>
      </c>
      <c r="P1495" s="2">
        <v>72.551852999999994</v>
      </c>
      <c r="Q1495" s="2">
        <v>23.035727999999999</v>
      </c>
    </row>
    <row r="1496" spans="1:17" x14ac:dyDescent="0.25">
      <c r="A1496" s="2">
        <v>1658</v>
      </c>
      <c r="B1496" s="2" t="s">
        <v>75</v>
      </c>
      <c r="C1496" s="2">
        <v>4</v>
      </c>
      <c r="D1496" s="2">
        <f t="shared" si="230"/>
        <v>10.16</v>
      </c>
      <c r="E1496" s="2">
        <f t="shared" si="231"/>
        <v>3.2340284436273135</v>
      </c>
      <c r="F1496" s="2">
        <f t="shared" si="232"/>
        <v>1.2732395447351628</v>
      </c>
      <c r="G1496" s="2">
        <v>12.656105</v>
      </c>
      <c r="H1496" s="2">
        <f t="shared" si="233"/>
        <v>41.522655528199998</v>
      </c>
      <c r="I1496" s="2">
        <f>INDEX('Wood Density Lookup'!$B$2:$B$152,MATCH(B1496,'Wood Density Lookup'!$A$2:$A$152,0))</f>
        <v>0.3</v>
      </c>
      <c r="J1496" s="2">
        <f t="shared" si="234"/>
        <v>2.4465282945992426</v>
      </c>
      <c r="K1496" s="2">
        <f t="shared" si="238"/>
        <v>0.68502792248778799</v>
      </c>
      <c r="L1496" s="2">
        <f t="shared" si="239"/>
        <v>3.1315562170870308</v>
      </c>
      <c r="M1496" s="2">
        <f t="shared" si="235"/>
        <v>2.2703782573880971</v>
      </c>
      <c r="N1496" s="2">
        <f t="shared" si="236"/>
        <v>1.1351891286940485</v>
      </c>
      <c r="O1496" s="2">
        <f t="shared" si="237"/>
        <v>4.1661441023071584</v>
      </c>
      <c r="P1496" s="2">
        <v>72.551868999999996</v>
      </c>
      <c r="Q1496" s="2">
        <v>23.035730999999998</v>
      </c>
    </row>
    <row r="1497" spans="1:17" x14ac:dyDescent="0.25">
      <c r="A1497" s="2">
        <v>1659</v>
      </c>
      <c r="B1497" s="2" t="s">
        <v>31</v>
      </c>
      <c r="C1497" s="2">
        <v>4</v>
      </c>
      <c r="D1497" s="2">
        <f t="shared" si="230"/>
        <v>10.16</v>
      </c>
      <c r="E1497" s="2">
        <f t="shared" si="231"/>
        <v>3.2340284436273135</v>
      </c>
      <c r="F1497" s="2">
        <f t="shared" si="232"/>
        <v>1.2732395447351628</v>
      </c>
      <c r="G1497" s="2">
        <v>2.045318</v>
      </c>
      <c r="H1497" s="2">
        <f t="shared" si="233"/>
        <v>6.7103611071199998</v>
      </c>
      <c r="I1497" s="2">
        <f>INDEX('Wood Density Lookup'!$B$2:$B$152,MATCH(B1497,'Wood Density Lookup'!$A$2:$A$152,0))</f>
        <v>0.78</v>
      </c>
      <c r="J1497" s="2">
        <f t="shared" si="234"/>
        <v>1.0495954590477448</v>
      </c>
      <c r="K1497" s="2">
        <f t="shared" si="238"/>
        <v>0.29388672853336856</v>
      </c>
      <c r="L1497" s="2">
        <f t="shared" si="239"/>
        <v>1.3434821875811134</v>
      </c>
      <c r="M1497" s="2">
        <f t="shared" si="235"/>
        <v>0.97402458599630715</v>
      </c>
      <c r="N1497" s="2">
        <f t="shared" si="236"/>
        <v>0.48701229299815357</v>
      </c>
      <c r="O1497" s="2">
        <f t="shared" si="237"/>
        <v>1.7873351153032235</v>
      </c>
      <c r="P1497" s="2">
        <v>72.551868999999996</v>
      </c>
      <c r="Q1497" s="2">
        <v>23.036829000000001</v>
      </c>
    </row>
    <row r="1498" spans="1:17" x14ac:dyDescent="0.25">
      <c r="A1498" s="2">
        <v>1660</v>
      </c>
      <c r="B1498" s="2" t="s">
        <v>62</v>
      </c>
      <c r="C1498" s="2">
        <v>92</v>
      </c>
      <c r="D1498" s="2">
        <f t="shared" si="230"/>
        <v>233.68</v>
      </c>
      <c r="E1498" s="2">
        <f t="shared" si="231"/>
        <v>74.382654203428203</v>
      </c>
      <c r="F1498" s="2">
        <f t="shared" si="232"/>
        <v>29.284509528908742</v>
      </c>
      <c r="G1498" s="2">
        <v>15.820465</v>
      </c>
      <c r="H1498" s="2">
        <f t="shared" si="233"/>
        <v>51.904414390600003</v>
      </c>
      <c r="I1498" s="2">
        <f>INDEX('Wood Density Lookup'!$B$2:$B$152,MATCH(B1498,'Wood Density Lookup'!$A$2:$A$152,0))</f>
        <v>0.47</v>
      </c>
      <c r="J1498" s="2">
        <f t="shared" si="234"/>
        <v>2145.523413826646</v>
      </c>
      <c r="K1498" s="2">
        <f t="shared" si="238"/>
        <v>600.74655587146094</v>
      </c>
      <c r="L1498" s="2">
        <f t="shared" si="239"/>
        <v>2746.2699696981072</v>
      </c>
      <c r="M1498" s="2">
        <f t="shared" si="235"/>
        <v>1991.0457280311277</v>
      </c>
      <c r="N1498" s="2">
        <f t="shared" si="236"/>
        <v>995.52286401556387</v>
      </c>
      <c r="O1498" s="2">
        <f t="shared" si="237"/>
        <v>3653.5689109371192</v>
      </c>
      <c r="P1498" s="2">
        <v>72.551872000000003</v>
      </c>
      <c r="Q1498" s="2">
        <v>23.035696000000002</v>
      </c>
    </row>
    <row r="1499" spans="1:17" x14ac:dyDescent="0.25">
      <c r="A1499" s="2">
        <v>1661</v>
      </c>
      <c r="B1499" s="2" t="s">
        <v>75</v>
      </c>
      <c r="C1499" s="2">
        <v>4</v>
      </c>
      <c r="D1499" s="2">
        <f t="shared" si="230"/>
        <v>10.16</v>
      </c>
      <c r="E1499" s="2">
        <f t="shared" si="231"/>
        <v>3.2340284436273135</v>
      </c>
      <c r="F1499" s="2">
        <f t="shared" si="232"/>
        <v>1.2732395447351628</v>
      </c>
      <c r="G1499" s="2">
        <v>12.507758000000001</v>
      </c>
      <c r="H1499" s="2">
        <f t="shared" si="233"/>
        <v>41.03595275672</v>
      </c>
      <c r="I1499" s="2">
        <f>INDEX('Wood Density Lookup'!$B$2:$B$152,MATCH(B1499,'Wood Density Lookup'!$A$2:$A$152,0))</f>
        <v>0.3</v>
      </c>
      <c r="J1499" s="2">
        <f t="shared" si="234"/>
        <v>2.4185358977060969</v>
      </c>
      <c r="K1499" s="2">
        <f t="shared" si="238"/>
        <v>0.67719005135770716</v>
      </c>
      <c r="L1499" s="2">
        <f t="shared" si="239"/>
        <v>3.0957259490638043</v>
      </c>
      <c r="M1499" s="2">
        <f t="shared" si="235"/>
        <v>2.2444013130712581</v>
      </c>
      <c r="N1499" s="2">
        <f t="shared" si="236"/>
        <v>1.1222006565356291</v>
      </c>
      <c r="O1499" s="2">
        <f t="shared" si="237"/>
        <v>4.1184764094857584</v>
      </c>
      <c r="P1499" s="2">
        <v>72.551879</v>
      </c>
      <c r="Q1499" s="2">
        <v>23.035730999999998</v>
      </c>
    </row>
    <row r="1500" spans="1:17" x14ac:dyDescent="0.25">
      <c r="A1500" s="2">
        <v>1662</v>
      </c>
      <c r="B1500" s="2" t="s">
        <v>45</v>
      </c>
      <c r="C1500" s="2">
        <v>5</v>
      </c>
      <c r="D1500" s="2">
        <f t="shared" si="230"/>
        <v>12.7</v>
      </c>
      <c r="E1500" s="2">
        <f t="shared" si="231"/>
        <v>4.0425355545341413</v>
      </c>
      <c r="F1500" s="2">
        <f t="shared" si="232"/>
        <v>1.5915494309189535</v>
      </c>
      <c r="G1500" s="2">
        <v>10.035269</v>
      </c>
      <c r="H1500" s="2">
        <f t="shared" si="233"/>
        <v>32.92411194596</v>
      </c>
      <c r="I1500" s="2">
        <f>INDEX('Wood Density Lookup'!$B$2:$B$152,MATCH(B1500,'Wood Density Lookup'!$A$2:$A$152,0))</f>
        <v>0.6</v>
      </c>
      <c r="J1500" s="2">
        <f t="shared" si="234"/>
        <v>5.9315926505902494</v>
      </c>
      <c r="K1500" s="2">
        <f t="shared" si="238"/>
        <v>1.6608459421652699</v>
      </c>
      <c r="L1500" s="2">
        <f t="shared" si="239"/>
        <v>7.5924385927555189</v>
      </c>
      <c r="M1500" s="2">
        <f t="shared" si="235"/>
        <v>5.5045179797477513</v>
      </c>
      <c r="N1500" s="2">
        <f t="shared" si="236"/>
        <v>2.7522589898738756</v>
      </c>
      <c r="O1500" s="2">
        <f t="shared" si="237"/>
        <v>10.100790492837124</v>
      </c>
      <c r="P1500" s="2">
        <v>72.551879999999997</v>
      </c>
      <c r="Q1500" s="2">
        <v>23.036555</v>
      </c>
    </row>
    <row r="1501" spans="1:17" x14ac:dyDescent="0.25">
      <c r="A1501" s="2">
        <v>1663</v>
      </c>
      <c r="B1501" s="2" t="s">
        <v>115</v>
      </c>
      <c r="C1501" s="2">
        <v>88</v>
      </c>
      <c r="D1501" s="2">
        <f t="shared" si="230"/>
        <v>223.52</v>
      </c>
      <c r="E1501" s="2">
        <f t="shared" si="231"/>
        <v>71.148625759800893</v>
      </c>
      <c r="F1501" s="2">
        <f t="shared" si="232"/>
        <v>28.01126998417358</v>
      </c>
      <c r="G1501" s="2">
        <v>8.3670679999999997</v>
      </c>
      <c r="H1501" s="2">
        <f t="shared" si="233"/>
        <v>27.45101137712</v>
      </c>
      <c r="I1501" s="2">
        <f>INDEX('Wood Density Lookup'!$B$2:$B$152,MATCH(B1501,'Wood Density Lookup'!$A$2:$A$152,0))</f>
        <v>0.65</v>
      </c>
      <c r="J1501" s="2">
        <f t="shared" si="234"/>
        <v>1449.7031383433578</v>
      </c>
      <c r="K1501" s="2">
        <f t="shared" si="238"/>
        <v>405.91687873614023</v>
      </c>
      <c r="L1501" s="2">
        <f t="shared" si="239"/>
        <v>1855.620017079498</v>
      </c>
      <c r="M1501" s="2">
        <f t="shared" si="235"/>
        <v>1345.3245123826359</v>
      </c>
      <c r="N1501" s="2">
        <f t="shared" si="236"/>
        <v>672.66225619131797</v>
      </c>
      <c r="O1501" s="2">
        <f t="shared" si="237"/>
        <v>2468.670480222137</v>
      </c>
      <c r="P1501" s="2">
        <v>72.551882000000006</v>
      </c>
      <c r="Q1501" s="2">
        <v>23.036754999999999</v>
      </c>
    </row>
    <row r="1502" spans="1:17" x14ac:dyDescent="0.25">
      <c r="A1502" s="2">
        <v>1664</v>
      </c>
      <c r="B1502" s="2" t="s">
        <v>31</v>
      </c>
      <c r="C1502" s="2">
        <v>2</v>
      </c>
      <c r="D1502" s="2">
        <f t="shared" si="230"/>
        <v>5.08</v>
      </c>
      <c r="E1502" s="2">
        <f t="shared" si="231"/>
        <v>1.6170142218136567</v>
      </c>
      <c r="F1502" s="2">
        <f t="shared" si="232"/>
        <v>0.63661977236758138</v>
      </c>
      <c r="G1502" s="2">
        <v>1.3983460000000001</v>
      </c>
      <c r="H1502" s="2">
        <f t="shared" si="233"/>
        <v>4.5877494906400003</v>
      </c>
      <c r="I1502" s="2">
        <f>INDEX('Wood Density Lookup'!$B$2:$B$152,MATCH(B1502,'Wood Density Lookup'!$A$2:$A$152,0))</f>
        <v>0.78</v>
      </c>
      <c r="J1502" s="2">
        <f t="shared" si="234"/>
        <v>0.18716675218193002</v>
      </c>
      <c r="K1502" s="2">
        <f t="shared" si="238"/>
        <v>5.2406690610940408E-2</v>
      </c>
      <c r="L1502" s="2">
        <f t="shared" si="239"/>
        <v>0.23957344279287043</v>
      </c>
      <c r="M1502" s="2">
        <f t="shared" si="235"/>
        <v>0.17369074602483106</v>
      </c>
      <c r="N1502" s="2">
        <f t="shared" si="236"/>
        <v>8.684537301241553E-2</v>
      </c>
      <c r="O1502" s="2">
        <f t="shared" si="237"/>
        <v>0.31872251895556497</v>
      </c>
      <c r="P1502" s="2">
        <v>72.551884999999999</v>
      </c>
      <c r="Q1502" s="2">
        <v>23.036602999999999</v>
      </c>
    </row>
    <row r="1503" spans="1:17" x14ac:dyDescent="0.25">
      <c r="A1503" s="2">
        <v>1666</v>
      </c>
      <c r="B1503" s="2" t="s">
        <v>9</v>
      </c>
      <c r="C1503" s="2">
        <v>48</v>
      </c>
      <c r="D1503" s="2">
        <f t="shared" si="230"/>
        <v>121.92</v>
      </c>
      <c r="E1503" s="2">
        <f t="shared" si="231"/>
        <v>38.808341323527763</v>
      </c>
      <c r="F1503" s="2">
        <f t="shared" si="232"/>
        <v>15.278874536821952</v>
      </c>
      <c r="G1503" s="2">
        <v>10.734442</v>
      </c>
      <c r="H1503" s="2">
        <f t="shared" si="233"/>
        <v>35.217986691279997</v>
      </c>
      <c r="I1503" s="2">
        <f>INDEX('Wood Density Lookup'!$B$2:$B$152,MATCH(B1503,'Wood Density Lookup'!$A$2:$A$152,0))</f>
        <v>0.42</v>
      </c>
      <c r="J1503" s="2">
        <f t="shared" si="234"/>
        <v>369.76763599644306</v>
      </c>
      <c r="K1503" s="2">
        <f t="shared" si="238"/>
        <v>103.53493807900406</v>
      </c>
      <c r="L1503" s="2">
        <f t="shared" si="239"/>
        <v>473.30257407544713</v>
      </c>
      <c r="M1503" s="2">
        <f t="shared" si="235"/>
        <v>343.14436620469917</v>
      </c>
      <c r="N1503" s="2">
        <f t="shared" si="236"/>
        <v>171.57218310234958</v>
      </c>
      <c r="O1503" s="2">
        <f t="shared" si="237"/>
        <v>629.669911985623</v>
      </c>
      <c r="P1503" s="2">
        <v>72.551894000000004</v>
      </c>
      <c r="Q1503" s="2">
        <v>23.036557999999999</v>
      </c>
    </row>
    <row r="1504" spans="1:17" x14ac:dyDescent="0.25">
      <c r="A1504" s="2">
        <v>1667</v>
      </c>
      <c r="B1504" s="2" t="s">
        <v>75</v>
      </c>
      <c r="C1504" s="2">
        <v>3</v>
      </c>
      <c r="D1504" s="2">
        <f t="shared" si="230"/>
        <v>7.62</v>
      </c>
      <c r="E1504" s="2">
        <f t="shared" si="231"/>
        <v>2.4255213327204852</v>
      </c>
      <c r="F1504" s="2">
        <f t="shared" si="232"/>
        <v>0.95492965855137202</v>
      </c>
      <c r="G1504" s="2">
        <v>11.609622</v>
      </c>
      <c r="H1504" s="2">
        <f t="shared" si="233"/>
        <v>38.089312242479998</v>
      </c>
      <c r="I1504" s="2">
        <f>INDEX('Wood Density Lookup'!$B$2:$B$152,MATCH(B1504,'Wood Density Lookup'!$A$2:$A$152,0))</f>
        <v>0.3</v>
      </c>
      <c r="J1504" s="2">
        <f t="shared" si="234"/>
        <v>1.2825886935955988</v>
      </c>
      <c r="K1504" s="2">
        <f t="shared" si="238"/>
        <v>0.35912483420676772</v>
      </c>
      <c r="L1504" s="2">
        <f t="shared" si="239"/>
        <v>1.6417135278023665</v>
      </c>
      <c r="M1504" s="2">
        <f t="shared" si="235"/>
        <v>1.1902423076567157</v>
      </c>
      <c r="N1504" s="2">
        <f t="shared" si="236"/>
        <v>0.59512115382835784</v>
      </c>
      <c r="O1504" s="2">
        <f t="shared" si="237"/>
        <v>2.1840946345500734</v>
      </c>
      <c r="P1504" s="2">
        <v>72.551894000000004</v>
      </c>
      <c r="Q1504" s="2">
        <v>23.035733</v>
      </c>
    </row>
    <row r="1505" spans="1:17" x14ac:dyDescent="0.25">
      <c r="A1505" s="2">
        <v>1668</v>
      </c>
      <c r="B1505" s="2" t="s">
        <v>15</v>
      </c>
      <c r="C1505" s="2">
        <v>22</v>
      </c>
      <c r="D1505" s="2">
        <f t="shared" si="230"/>
        <v>55.88</v>
      </c>
      <c r="E1505" s="2">
        <f t="shared" si="231"/>
        <v>17.787156439950223</v>
      </c>
      <c r="F1505" s="2">
        <f t="shared" si="232"/>
        <v>7.0028174960433951</v>
      </c>
      <c r="G1505" s="2">
        <v>15.892887999999999</v>
      </c>
      <c r="H1505" s="2">
        <f t="shared" si="233"/>
        <v>52.142022665919995</v>
      </c>
      <c r="I1505" s="2">
        <f>INDEX('Wood Density Lookup'!$B$2:$B$152,MATCH(B1505,'Wood Density Lookup'!$A$2:$A$152,0))</f>
        <v>0.75</v>
      </c>
      <c r="J1505" s="2">
        <f t="shared" si="234"/>
        <v>208.28440247055869</v>
      </c>
      <c r="K1505" s="2">
        <f t="shared" si="238"/>
        <v>58.319632691756439</v>
      </c>
      <c r="L1505" s="2">
        <f t="shared" si="239"/>
        <v>266.60403516231514</v>
      </c>
      <c r="M1505" s="2">
        <f t="shared" si="235"/>
        <v>193.28792549267848</v>
      </c>
      <c r="N1505" s="2">
        <f t="shared" si="236"/>
        <v>96.643962746339241</v>
      </c>
      <c r="O1505" s="2">
        <f t="shared" si="237"/>
        <v>354.68334327906501</v>
      </c>
      <c r="P1505" s="2">
        <v>72.551897999999994</v>
      </c>
      <c r="Q1505" s="2">
        <v>23.035706000000001</v>
      </c>
    </row>
    <row r="1506" spans="1:17" x14ac:dyDescent="0.25">
      <c r="A1506" s="2">
        <v>1669</v>
      </c>
      <c r="B1506" s="2" t="s">
        <v>75</v>
      </c>
      <c r="C1506" s="2">
        <v>5</v>
      </c>
      <c r="D1506" s="2">
        <f t="shared" si="230"/>
        <v>12.7</v>
      </c>
      <c r="E1506" s="2">
        <f t="shared" si="231"/>
        <v>4.0425355545341413</v>
      </c>
      <c r="F1506" s="2">
        <f t="shared" si="232"/>
        <v>1.5915494309189535</v>
      </c>
      <c r="G1506" s="2">
        <v>11.270714</v>
      </c>
      <c r="H1506" s="2">
        <f t="shared" si="233"/>
        <v>36.97740931976</v>
      </c>
      <c r="I1506" s="2">
        <f>INDEX('Wood Density Lookup'!$B$2:$B$152,MATCH(B1506,'Wood Density Lookup'!$A$2:$A$152,0))</f>
        <v>0.3</v>
      </c>
      <c r="J1506" s="2">
        <f t="shared" si="234"/>
        <v>3.3773674682140817</v>
      </c>
      <c r="K1506" s="2">
        <f t="shared" si="238"/>
        <v>0.94566289109994295</v>
      </c>
      <c r="L1506" s="2">
        <f t="shared" si="239"/>
        <v>4.3230303593140249</v>
      </c>
      <c r="M1506" s="2">
        <f t="shared" si="235"/>
        <v>3.134197010502668</v>
      </c>
      <c r="N1506" s="2">
        <f t="shared" si="236"/>
        <v>1.567098505251334</v>
      </c>
      <c r="O1506" s="2">
        <f t="shared" si="237"/>
        <v>5.7512515142723952</v>
      </c>
      <c r="P1506" s="2">
        <v>72.551906000000002</v>
      </c>
      <c r="Q1506" s="2">
        <v>23.035734000000001</v>
      </c>
    </row>
    <row r="1507" spans="1:17" x14ac:dyDescent="0.25">
      <c r="A1507" s="2">
        <v>1670</v>
      </c>
      <c r="B1507" s="2" t="s">
        <v>85</v>
      </c>
      <c r="C1507" s="2">
        <v>17</v>
      </c>
      <c r="D1507" s="2">
        <f t="shared" si="230"/>
        <v>43.18</v>
      </c>
      <c r="E1507" s="2">
        <f t="shared" si="231"/>
        <v>13.744620885416081</v>
      </c>
      <c r="F1507" s="2">
        <f t="shared" si="232"/>
        <v>5.4112680651244416</v>
      </c>
      <c r="G1507" s="2">
        <v>10.750203000000001</v>
      </c>
      <c r="H1507" s="2">
        <f t="shared" si="233"/>
        <v>35.269696010520001</v>
      </c>
      <c r="I1507" s="2">
        <f>INDEX('Wood Density Lookup'!$B$2:$B$152,MATCH(B1507,'Wood Density Lookup'!$A$2:$A$152,0))</f>
        <v>0.6</v>
      </c>
      <c r="J1507" s="2">
        <f t="shared" si="234"/>
        <v>69.149414589283836</v>
      </c>
      <c r="K1507" s="2">
        <f t="shared" si="238"/>
        <v>19.361836084999474</v>
      </c>
      <c r="L1507" s="2">
        <f t="shared" si="239"/>
        <v>88.511250674283303</v>
      </c>
      <c r="M1507" s="2">
        <f t="shared" si="235"/>
        <v>64.170656738855399</v>
      </c>
      <c r="N1507" s="2">
        <f t="shared" si="236"/>
        <v>32.0853283694277</v>
      </c>
      <c r="O1507" s="2">
        <f t="shared" si="237"/>
        <v>117.75315511579966</v>
      </c>
      <c r="P1507" s="2">
        <v>72.551910000000007</v>
      </c>
      <c r="Q1507" s="2">
        <v>23.035627000000002</v>
      </c>
    </row>
    <row r="1508" spans="1:17" x14ac:dyDescent="0.25">
      <c r="A1508" s="2">
        <v>1671</v>
      </c>
      <c r="B1508" s="2" t="s">
        <v>115</v>
      </c>
      <c r="C1508" s="2">
        <v>29</v>
      </c>
      <c r="D1508" s="2">
        <f t="shared" si="230"/>
        <v>73.66</v>
      </c>
      <c r="E1508" s="2">
        <f t="shared" si="231"/>
        <v>23.446706216298022</v>
      </c>
      <c r="F1508" s="2">
        <f t="shared" si="232"/>
        <v>9.2309866993299305</v>
      </c>
      <c r="G1508" s="2">
        <v>9.8424779999999998</v>
      </c>
      <c r="H1508" s="2">
        <f t="shared" si="233"/>
        <v>32.291595521520001</v>
      </c>
      <c r="I1508" s="2">
        <f>INDEX('Wood Density Lookup'!$B$2:$B$152,MATCH(B1508,'Wood Density Lookup'!$A$2:$A$152,0))</f>
        <v>0.65</v>
      </c>
      <c r="J1508" s="2">
        <f t="shared" si="234"/>
        <v>194.5755207350665</v>
      </c>
      <c r="K1508" s="2">
        <f t="shared" si="238"/>
        <v>54.481145805818628</v>
      </c>
      <c r="L1508" s="2">
        <f t="shared" si="239"/>
        <v>249.05666654088515</v>
      </c>
      <c r="M1508" s="2">
        <f t="shared" si="235"/>
        <v>180.56608324214173</v>
      </c>
      <c r="N1508" s="2">
        <f t="shared" si="236"/>
        <v>90.283041621070865</v>
      </c>
      <c r="O1508" s="2">
        <f t="shared" si="237"/>
        <v>331.33876274933004</v>
      </c>
      <c r="P1508" s="2">
        <v>72.551913999999996</v>
      </c>
      <c r="Q1508" s="2">
        <v>23.038753</v>
      </c>
    </row>
    <row r="1509" spans="1:17" x14ac:dyDescent="0.25">
      <c r="A1509" s="2">
        <v>1672</v>
      </c>
      <c r="B1509" s="2" t="s">
        <v>46</v>
      </c>
      <c r="C1509" s="2">
        <v>12</v>
      </c>
      <c r="D1509" s="2">
        <f t="shared" si="230"/>
        <v>30.48</v>
      </c>
      <c r="E1509" s="2">
        <f t="shared" si="231"/>
        <v>9.7020853308819408</v>
      </c>
      <c r="F1509" s="2">
        <f t="shared" si="232"/>
        <v>3.8197186342054881</v>
      </c>
      <c r="G1509" s="2">
        <v>9.4885199999999994</v>
      </c>
      <c r="H1509" s="2">
        <f t="shared" si="233"/>
        <v>31.130315956799997</v>
      </c>
      <c r="I1509" s="2">
        <f>INDEX('Wood Density Lookup'!$B$2:$B$152,MATCH(B1509,'Wood Density Lookup'!$A$2:$A$152,0))</f>
        <v>0.6</v>
      </c>
      <c r="J1509" s="2">
        <f t="shared" si="234"/>
        <v>31.016804602214538</v>
      </c>
      <c r="K1509" s="2">
        <f t="shared" si="238"/>
        <v>8.6847052886200711</v>
      </c>
      <c r="L1509" s="2">
        <f t="shared" si="239"/>
        <v>39.701509890834608</v>
      </c>
      <c r="M1509" s="2">
        <f t="shared" si="235"/>
        <v>28.783594670855091</v>
      </c>
      <c r="N1509" s="2">
        <f t="shared" si="236"/>
        <v>14.391797335427546</v>
      </c>
      <c r="O1509" s="2">
        <f t="shared" si="237"/>
        <v>52.81789622101909</v>
      </c>
      <c r="P1509" s="2">
        <v>72.551927000000006</v>
      </c>
      <c r="Q1509" s="2">
        <v>23.035737000000001</v>
      </c>
    </row>
    <row r="1510" spans="1:17" x14ac:dyDescent="0.25">
      <c r="A1510" s="2">
        <v>1673</v>
      </c>
      <c r="B1510" s="2" t="s">
        <v>140</v>
      </c>
      <c r="C1510" s="2">
        <v>3</v>
      </c>
      <c r="D1510" s="2">
        <f t="shared" si="230"/>
        <v>7.62</v>
      </c>
      <c r="E1510" s="2">
        <f t="shared" si="231"/>
        <v>2.4255213327204852</v>
      </c>
      <c r="F1510" s="2">
        <f t="shared" si="232"/>
        <v>0.95492965855137202</v>
      </c>
      <c r="G1510" s="2">
        <v>10.059616999999999</v>
      </c>
      <c r="H1510" s="2">
        <f t="shared" si="233"/>
        <v>33.003993838279996</v>
      </c>
      <c r="I1510" s="2">
        <f>INDEX('Wood Density Lookup'!$B$2:$B$152,MATCH(B1510,'Wood Density Lookup'!$A$2:$A$152,0))</f>
        <v>0.6</v>
      </c>
      <c r="J1510" s="2">
        <f t="shared" si="234"/>
        <v>2.1935610632432256</v>
      </c>
      <c r="K1510" s="2">
        <f t="shared" si="238"/>
        <v>0.61419709770810327</v>
      </c>
      <c r="L1510" s="2">
        <f t="shared" si="239"/>
        <v>2.8077581609513289</v>
      </c>
      <c r="M1510" s="2">
        <f t="shared" si="235"/>
        <v>2.0356246666897135</v>
      </c>
      <c r="N1510" s="2">
        <f t="shared" si="236"/>
        <v>1.0178123333448568</v>
      </c>
      <c r="O1510" s="2">
        <f t="shared" si="237"/>
        <v>3.7353712633756242</v>
      </c>
      <c r="P1510" s="2">
        <v>72.551931999999994</v>
      </c>
      <c r="Q1510" s="2">
        <v>23.035724999999999</v>
      </c>
    </row>
    <row r="1511" spans="1:17" x14ac:dyDescent="0.25">
      <c r="A1511" s="2">
        <v>1674</v>
      </c>
      <c r="B1511" s="2" t="s">
        <v>140</v>
      </c>
      <c r="C1511" s="2">
        <v>2</v>
      </c>
      <c r="D1511" s="2">
        <f t="shared" si="230"/>
        <v>5.08</v>
      </c>
      <c r="E1511" s="2">
        <f t="shared" si="231"/>
        <v>1.6170142218136567</v>
      </c>
      <c r="F1511" s="2">
        <f t="shared" si="232"/>
        <v>0.63661977236758138</v>
      </c>
      <c r="G1511" s="2">
        <v>9.9753419999999995</v>
      </c>
      <c r="H1511" s="2">
        <f t="shared" si="233"/>
        <v>32.727501047280001</v>
      </c>
      <c r="I1511" s="2">
        <f>INDEX('Wood Density Lookup'!$B$2:$B$152,MATCH(B1511,'Wood Density Lookup'!$A$2:$A$152,0))</f>
        <v>0.6</v>
      </c>
      <c r="J1511" s="2">
        <f t="shared" si="234"/>
        <v>0.98594712879611934</v>
      </c>
      <c r="K1511" s="2">
        <f t="shared" si="238"/>
        <v>0.27606519606291346</v>
      </c>
      <c r="L1511" s="2">
        <f t="shared" si="239"/>
        <v>1.2620123248590329</v>
      </c>
      <c r="M1511" s="2">
        <f t="shared" si="235"/>
        <v>0.91495893552279883</v>
      </c>
      <c r="N1511" s="2">
        <f t="shared" si="236"/>
        <v>0.45747946776139942</v>
      </c>
      <c r="O1511" s="2">
        <f t="shared" si="237"/>
        <v>1.6789496466843359</v>
      </c>
      <c r="P1511" s="2">
        <v>72.551934000000003</v>
      </c>
      <c r="Q1511" s="2">
        <v>23.035713999999999</v>
      </c>
    </row>
    <row r="1512" spans="1:17" x14ac:dyDescent="0.25">
      <c r="A1512" s="2">
        <v>1675</v>
      </c>
      <c r="B1512" s="2" t="s">
        <v>115</v>
      </c>
      <c r="C1512" s="2">
        <v>19</v>
      </c>
      <c r="D1512" s="2">
        <f t="shared" si="230"/>
        <v>48.26</v>
      </c>
      <c r="E1512" s="2">
        <f t="shared" si="231"/>
        <v>15.361635107229738</v>
      </c>
      <c r="F1512" s="2">
        <f t="shared" si="232"/>
        <v>6.0478878374920226</v>
      </c>
      <c r="G1512" s="2">
        <v>8.6313899999999997</v>
      </c>
      <c r="H1512" s="2">
        <f t="shared" si="233"/>
        <v>28.3182095676</v>
      </c>
      <c r="I1512" s="2">
        <f>INDEX('Wood Density Lookup'!$B$2:$B$152,MATCH(B1512,'Wood Density Lookup'!$A$2:$A$152,0))</f>
        <v>0.65</v>
      </c>
      <c r="J1512" s="2">
        <f t="shared" si="234"/>
        <v>74.982375505920785</v>
      </c>
      <c r="K1512" s="2">
        <f t="shared" si="238"/>
        <v>20.995065141657822</v>
      </c>
      <c r="L1512" s="2">
        <f t="shared" si="239"/>
        <v>95.977440647578604</v>
      </c>
      <c r="M1512" s="2">
        <f t="shared" si="235"/>
        <v>69.583644469494487</v>
      </c>
      <c r="N1512" s="2">
        <f t="shared" si="236"/>
        <v>34.791822234747244</v>
      </c>
      <c r="O1512" s="2">
        <f t="shared" si="237"/>
        <v>127.68598760152238</v>
      </c>
      <c r="P1512" s="2">
        <v>72.551934000000003</v>
      </c>
      <c r="Q1512" s="2">
        <v>23.038688</v>
      </c>
    </row>
    <row r="1513" spans="1:17" x14ac:dyDescent="0.25">
      <c r="A1513" s="2">
        <v>1676</v>
      </c>
      <c r="B1513" s="2" t="s">
        <v>31</v>
      </c>
      <c r="C1513" s="2">
        <v>2</v>
      </c>
      <c r="D1513" s="2">
        <f t="shared" si="230"/>
        <v>5.08</v>
      </c>
      <c r="E1513" s="2">
        <f t="shared" si="231"/>
        <v>1.6170142218136567</v>
      </c>
      <c r="F1513" s="2">
        <f t="shared" si="232"/>
        <v>0.63661977236758138</v>
      </c>
      <c r="G1513" s="2">
        <v>1.0394559999999999</v>
      </c>
      <c r="H1513" s="2">
        <f t="shared" si="233"/>
        <v>3.4102888230399997</v>
      </c>
      <c r="I1513" s="2">
        <f>INDEX('Wood Density Lookup'!$B$2:$B$152,MATCH(B1513,'Wood Density Lookup'!$A$2:$A$152,0))</f>
        <v>0.78</v>
      </c>
      <c r="J1513" s="2">
        <f t="shared" si="234"/>
        <v>0.14012369311936831</v>
      </c>
      <c r="K1513" s="2">
        <f t="shared" si="238"/>
        <v>3.9234634073423133E-2</v>
      </c>
      <c r="L1513" s="2">
        <f t="shared" si="239"/>
        <v>0.17935832719279143</v>
      </c>
      <c r="M1513" s="2">
        <f t="shared" si="235"/>
        <v>0.13003478721477379</v>
      </c>
      <c r="N1513" s="2">
        <f t="shared" si="236"/>
        <v>6.5017393607386897E-2</v>
      </c>
      <c r="O1513" s="2">
        <f t="shared" si="237"/>
        <v>0.23861383453910992</v>
      </c>
      <c r="P1513" s="2">
        <v>72.551935</v>
      </c>
      <c r="Q1513" s="2">
        <v>23.03661</v>
      </c>
    </row>
    <row r="1514" spans="1:17" x14ac:dyDescent="0.25">
      <c r="A1514" s="2">
        <v>1677</v>
      </c>
      <c r="B1514" s="2" t="s">
        <v>138</v>
      </c>
      <c r="C1514" s="2">
        <v>5</v>
      </c>
      <c r="D1514" s="2">
        <f t="shared" si="230"/>
        <v>12.7</v>
      </c>
      <c r="E1514" s="2">
        <f t="shared" si="231"/>
        <v>4.0425355545341413</v>
      </c>
      <c r="F1514" s="2">
        <f t="shared" si="232"/>
        <v>1.5915494309189535</v>
      </c>
      <c r="G1514" s="2">
        <v>7.8574859999999997</v>
      </c>
      <c r="H1514" s="2">
        <f t="shared" si="233"/>
        <v>25.77915436824</v>
      </c>
      <c r="I1514" s="2">
        <f>INDEX('Wood Density Lookup'!$B$2:$B$152,MATCH(B1514,'Wood Density Lookup'!$A$2:$A$152,0))</f>
        <v>0.5</v>
      </c>
      <c r="J1514" s="2">
        <f t="shared" si="234"/>
        <v>3.9101634276111223</v>
      </c>
      <c r="K1514" s="2">
        <f t="shared" si="238"/>
        <v>1.0948457597311143</v>
      </c>
      <c r="L1514" s="2">
        <f t="shared" si="239"/>
        <v>5.0050091873422371</v>
      </c>
      <c r="M1514" s="2">
        <f t="shared" si="235"/>
        <v>3.6286316608231219</v>
      </c>
      <c r="N1514" s="2">
        <f t="shared" si="236"/>
        <v>1.814315830411561</v>
      </c>
      <c r="O1514" s="2">
        <f t="shared" si="237"/>
        <v>6.6585390976104284</v>
      </c>
      <c r="P1514" s="2">
        <v>72.551940000000002</v>
      </c>
      <c r="Q1514" s="2">
        <v>23.035627999999999</v>
      </c>
    </row>
    <row r="1515" spans="1:17" x14ac:dyDescent="0.25">
      <c r="A1515" s="2">
        <v>1678</v>
      </c>
      <c r="B1515" s="2" t="s">
        <v>114</v>
      </c>
      <c r="C1515" s="2">
        <v>14</v>
      </c>
      <c r="D1515" s="2">
        <f t="shared" si="230"/>
        <v>35.56</v>
      </c>
      <c r="E1515" s="2">
        <f t="shared" si="231"/>
        <v>11.319099552695597</v>
      </c>
      <c r="F1515" s="2">
        <f t="shared" si="232"/>
        <v>4.45633840657307</v>
      </c>
      <c r="G1515" s="2">
        <v>12.944122</v>
      </c>
      <c r="H1515" s="2">
        <f t="shared" si="233"/>
        <v>42.467593222479998</v>
      </c>
      <c r="I1515" s="2">
        <f>INDEX('Wood Density Lookup'!$B$2:$B$152,MATCH(B1515,'Wood Density Lookup'!$A$2:$A$152,0))</f>
        <v>0.55000000000000004</v>
      </c>
      <c r="J1515" s="2">
        <f t="shared" si="234"/>
        <v>52.123394775440538</v>
      </c>
      <c r="K1515" s="2">
        <f t="shared" si="238"/>
        <v>14.594550537123352</v>
      </c>
      <c r="L1515" s="2">
        <f t="shared" si="239"/>
        <v>66.717945312563884</v>
      </c>
      <c r="M1515" s="2">
        <f t="shared" si="235"/>
        <v>48.370510351608814</v>
      </c>
      <c r="N1515" s="2">
        <f t="shared" si="236"/>
        <v>24.185255175804407</v>
      </c>
      <c r="O1515" s="2">
        <f t="shared" si="237"/>
        <v>88.759886495202167</v>
      </c>
      <c r="P1515" s="2">
        <v>72.551942999999994</v>
      </c>
      <c r="Q1515" s="2">
        <v>23.034565000000001</v>
      </c>
    </row>
    <row r="1516" spans="1:17" x14ac:dyDescent="0.25">
      <c r="A1516" s="2">
        <v>1679</v>
      </c>
      <c r="B1516" s="2" t="s">
        <v>115</v>
      </c>
      <c r="C1516" s="2">
        <v>32</v>
      </c>
      <c r="D1516" s="2">
        <f t="shared" si="230"/>
        <v>81.28</v>
      </c>
      <c r="E1516" s="2">
        <f t="shared" si="231"/>
        <v>25.872227549018508</v>
      </c>
      <c r="F1516" s="2">
        <f t="shared" si="232"/>
        <v>10.185916357881302</v>
      </c>
      <c r="G1516" s="2">
        <v>9.4812770000000004</v>
      </c>
      <c r="H1516" s="2">
        <f t="shared" si="233"/>
        <v>31.106552832680002</v>
      </c>
      <c r="I1516" s="2">
        <f>INDEX('Wood Density Lookup'!$B$2:$B$152,MATCH(B1516,'Wood Density Lookup'!$A$2:$A$152,0))</f>
        <v>0.65</v>
      </c>
      <c r="J1516" s="2">
        <f t="shared" si="234"/>
        <v>227.34853089226092</v>
      </c>
      <c r="K1516" s="2">
        <f t="shared" si="238"/>
        <v>63.657588649833066</v>
      </c>
      <c r="L1516" s="2">
        <f t="shared" si="239"/>
        <v>291.00611954209398</v>
      </c>
      <c r="M1516" s="2">
        <f t="shared" si="235"/>
        <v>210.97943666801814</v>
      </c>
      <c r="N1516" s="2">
        <f t="shared" si="236"/>
        <v>105.48971833400907</v>
      </c>
      <c r="O1516" s="2">
        <f t="shared" si="237"/>
        <v>387.14726628581326</v>
      </c>
      <c r="P1516" s="2">
        <v>72.551944000000006</v>
      </c>
      <c r="Q1516" s="2">
        <v>23.038709999999998</v>
      </c>
    </row>
    <row r="1517" spans="1:17" x14ac:dyDescent="0.25">
      <c r="A1517" s="2">
        <v>1680</v>
      </c>
      <c r="B1517" s="2" t="s">
        <v>15</v>
      </c>
      <c r="C1517" s="2">
        <v>21</v>
      </c>
      <c r="D1517" s="2">
        <f t="shared" si="230"/>
        <v>53.34</v>
      </c>
      <c r="E1517" s="2">
        <f t="shared" si="231"/>
        <v>16.978649329043396</v>
      </c>
      <c r="F1517" s="2">
        <f t="shared" si="232"/>
        <v>6.6845076098596046</v>
      </c>
      <c r="G1517" s="2">
        <v>10.314738</v>
      </c>
      <c r="H1517" s="2">
        <f t="shared" si="233"/>
        <v>33.841005019919997</v>
      </c>
      <c r="I1517" s="2">
        <f>INDEX('Wood Density Lookup'!$B$2:$B$152,MATCH(B1517,'Wood Density Lookup'!$A$2:$A$152,0))</f>
        <v>0.75</v>
      </c>
      <c r="J1517" s="2">
        <f t="shared" si="234"/>
        <v>124.73289097978511</v>
      </c>
      <c r="K1517" s="2">
        <f t="shared" si="238"/>
        <v>34.925209474339837</v>
      </c>
      <c r="L1517" s="2">
        <f t="shared" si="239"/>
        <v>159.65810045412496</v>
      </c>
      <c r="M1517" s="2">
        <f t="shared" si="235"/>
        <v>115.75212282924059</v>
      </c>
      <c r="N1517" s="2">
        <f t="shared" si="236"/>
        <v>57.876061414620295</v>
      </c>
      <c r="O1517" s="2">
        <f t="shared" si="237"/>
        <v>212.40514539165648</v>
      </c>
      <c r="P1517" s="2">
        <v>72.551946999999998</v>
      </c>
      <c r="Q1517" s="2">
        <v>23.035688</v>
      </c>
    </row>
    <row r="1518" spans="1:17" x14ac:dyDescent="0.25">
      <c r="A1518" s="2">
        <v>1681</v>
      </c>
      <c r="B1518" s="2" t="s">
        <v>68</v>
      </c>
      <c r="C1518" s="2">
        <v>18</v>
      </c>
      <c r="D1518" s="2">
        <f t="shared" si="230"/>
        <v>45.72</v>
      </c>
      <c r="E1518" s="2">
        <f t="shared" si="231"/>
        <v>14.55312799632291</v>
      </c>
      <c r="F1518" s="2">
        <f t="shared" si="232"/>
        <v>5.7295779513082321</v>
      </c>
      <c r="G1518" s="2">
        <v>6.1888800000000002</v>
      </c>
      <c r="H1518" s="2">
        <f t="shared" si="233"/>
        <v>20.304725059199999</v>
      </c>
      <c r="I1518" s="2">
        <f>INDEX('Wood Density Lookup'!$B$2:$B$152,MATCH(B1518,'Wood Density Lookup'!$A$2:$A$152,0))</f>
        <v>0.6</v>
      </c>
      <c r="J1518" s="2">
        <f t="shared" si="234"/>
        <v>45.101901316328338</v>
      </c>
      <c r="K1518" s="2">
        <f t="shared" si="238"/>
        <v>12.628532368571936</v>
      </c>
      <c r="L1518" s="2">
        <f t="shared" si="239"/>
        <v>57.730433684900277</v>
      </c>
      <c r="M1518" s="2">
        <f t="shared" si="235"/>
        <v>41.854564421552702</v>
      </c>
      <c r="N1518" s="2">
        <f t="shared" si="236"/>
        <v>20.927282210776351</v>
      </c>
      <c r="O1518" s="2">
        <f t="shared" si="237"/>
        <v>76.803125713549207</v>
      </c>
      <c r="P1518" s="2">
        <v>72.551946999999998</v>
      </c>
      <c r="Q1518" s="2">
        <v>23.034789</v>
      </c>
    </row>
    <row r="1519" spans="1:17" x14ac:dyDescent="0.25">
      <c r="A1519" s="2">
        <v>1682</v>
      </c>
      <c r="B1519" s="2" t="s">
        <v>25</v>
      </c>
      <c r="C1519" s="2">
        <v>6</v>
      </c>
      <c r="D1519" s="2">
        <f t="shared" si="230"/>
        <v>15.24</v>
      </c>
      <c r="E1519" s="2">
        <f t="shared" si="231"/>
        <v>4.8510426654409704</v>
      </c>
      <c r="F1519" s="2">
        <f t="shared" si="232"/>
        <v>1.909859317102744</v>
      </c>
      <c r="G1519" s="2">
        <v>8.2571049999999993</v>
      </c>
      <c r="H1519" s="2">
        <f t="shared" si="233"/>
        <v>27.090240368199996</v>
      </c>
      <c r="I1519" s="2">
        <f>INDEX('Wood Density Lookup'!$B$2:$B$152,MATCH(B1519,'Wood Density Lookup'!$A$2:$A$152,0))</f>
        <v>0.65</v>
      </c>
      <c r="J1519" s="2">
        <f t="shared" si="234"/>
        <v>7.5681990226464837</v>
      </c>
      <c r="K1519" s="2">
        <f t="shared" si="238"/>
        <v>2.1190957263410155</v>
      </c>
      <c r="L1519" s="2">
        <f t="shared" si="239"/>
        <v>9.6872947489874992</v>
      </c>
      <c r="M1519" s="2">
        <f t="shared" si="235"/>
        <v>7.0232886930159371</v>
      </c>
      <c r="N1519" s="2">
        <f t="shared" si="236"/>
        <v>3.5116443465079685</v>
      </c>
      <c r="O1519" s="2">
        <f t="shared" si="237"/>
        <v>12.887734751684244</v>
      </c>
      <c r="P1519" s="2">
        <v>72.551948999999993</v>
      </c>
      <c r="Q1519" s="2">
        <v>23.035706999999999</v>
      </c>
    </row>
    <row r="1520" spans="1:17" x14ac:dyDescent="0.25">
      <c r="A1520" s="2">
        <v>1683</v>
      </c>
      <c r="B1520" s="2" t="s">
        <v>140</v>
      </c>
      <c r="C1520" s="2">
        <v>2</v>
      </c>
      <c r="D1520" s="2">
        <f t="shared" si="230"/>
        <v>5.08</v>
      </c>
      <c r="E1520" s="2">
        <f t="shared" si="231"/>
        <v>1.6170142218136567</v>
      </c>
      <c r="F1520" s="2">
        <f t="shared" si="232"/>
        <v>0.63661977236758138</v>
      </c>
      <c r="G1520" s="2">
        <v>1.2802279999999999</v>
      </c>
      <c r="H1520" s="2">
        <f t="shared" si="233"/>
        <v>4.2002232315199999</v>
      </c>
      <c r="I1520" s="2">
        <f>INDEX('Wood Density Lookup'!$B$2:$B$152,MATCH(B1520,'Wood Density Lookup'!$A$2:$A$152,0))</f>
        <v>0.6</v>
      </c>
      <c r="J1520" s="2">
        <f t="shared" si="234"/>
        <v>0.13292679243799513</v>
      </c>
      <c r="K1520" s="2">
        <f t="shared" si="238"/>
        <v>3.7219501882638638E-2</v>
      </c>
      <c r="L1520" s="2">
        <f t="shared" si="239"/>
        <v>0.17014629432063377</v>
      </c>
      <c r="M1520" s="2">
        <f t="shared" si="235"/>
        <v>0.12335606338245948</v>
      </c>
      <c r="N1520" s="2">
        <f t="shared" si="236"/>
        <v>6.1678031691229741E-2</v>
      </c>
      <c r="O1520" s="2">
        <f t="shared" si="237"/>
        <v>0.22635837630681316</v>
      </c>
      <c r="P1520" s="2">
        <v>72.551950000000005</v>
      </c>
      <c r="Q1520" s="2">
        <v>23.035727999999999</v>
      </c>
    </row>
    <row r="1521" spans="1:17" x14ac:dyDescent="0.25">
      <c r="A1521" s="2">
        <v>1684</v>
      </c>
      <c r="B1521" s="2" t="s">
        <v>138</v>
      </c>
      <c r="C1521" s="2">
        <v>3</v>
      </c>
      <c r="D1521" s="2">
        <f t="shared" si="230"/>
        <v>7.62</v>
      </c>
      <c r="E1521" s="2">
        <f t="shared" si="231"/>
        <v>2.4255213327204852</v>
      </c>
      <c r="F1521" s="2">
        <f t="shared" si="232"/>
        <v>0.95492965855137202</v>
      </c>
      <c r="G1521" s="2">
        <v>2.3244889999999998</v>
      </c>
      <c r="H1521" s="2">
        <f t="shared" si="233"/>
        <v>7.6262764907599996</v>
      </c>
      <c r="I1521" s="2">
        <f>INDEX('Wood Density Lookup'!$B$2:$B$152,MATCH(B1521,'Wood Density Lookup'!$A$2:$A$152,0))</f>
        <v>0.5</v>
      </c>
      <c r="J1521" s="2">
        <f t="shared" si="234"/>
        <v>0.43942521761083336</v>
      </c>
      <c r="K1521" s="2">
        <f t="shared" si="238"/>
        <v>0.12303906093103335</v>
      </c>
      <c r="L1521" s="2">
        <f t="shared" si="239"/>
        <v>0.56246427854186676</v>
      </c>
      <c r="M1521" s="2">
        <f t="shared" si="235"/>
        <v>0.40778660194285338</v>
      </c>
      <c r="N1521" s="2">
        <f t="shared" si="236"/>
        <v>0.20389330097142669</v>
      </c>
      <c r="O1521" s="2">
        <f t="shared" si="237"/>
        <v>0.74828841456513595</v>
      </c>
      <c r="P1521" s="2">
        <v>72.551952</v>
      </c>
      <c r="Q1521" s="2">
        <v>23.035627999999999</v>
      </c>
    </row>
    <row r="1522" spans="1:17" x14ac:dyDescent="0.25">
      <c r="A1522" s="2">
        <v>1685</v>
      </c>
      <c r="B1522" s="2" t="s">
        <v>9</v>
      </c>
      <c r="C1522" s="2">
        <v>16</v>
      </c>
      <c r="D1522" s="2">
        <f t="shared" si="230"/>
        <v>40.64</v>
      </c>
      <c r="E1522" s="2">
        <f t="shared" si="231"/>
        <v>12.936113774509254</v>
      </c>
      <c r="F1522" s="2">
        <f t="shared" si="232"/>
        <v>5.0929581789406511</v>
      </c>
      <c r="G1522" s="2">
        <v>4.155875</v>
      </c>
      <c r="H1522" s="2">
        <f t="shared" si="233"/>
        <v>13.634760934999999</v>
      </c>
      <c r="I1522" s="2">
        <f>INDEX('Wood Density Lookup'!$B$2:$B$152,MATCH(B1522,'Wood Density Lookup'!$A$2:$A$152,0))</f>
        <v>0.42</v>
      </c>
      <c r="J1522" s="2">
        <f t="shared" si="234"/>
        <v>17.153866194426183</v>
      </c>
      <c r="K1522" s="2">
        <f t="shared" si="238"/>
        <v>4.8030825344393318</v>
      </c>
      <c r="L1522" s="2">
        <f t="shared" si="239"/>
        <v>21.956948728865513</v>
      </c>
      <c r="M1522" s="2">
        <f t="shared" si="235"/>
        <v>15.918787828427496</v>
      </c>
      <c r="N1522" s="2">
        <f t="shared" si="236"/>
        <v>7.9593939142137478</v>
      </c>
      <c r="O1522" s="2">
        <f t="shared" si="237"/>
        <v>29.210975665164455</v>
      </c>
      <c r="P1522" s="2">
        <v>72.551957000000002</v>
      </c>
      <c r="Q1522" s="2">
        <v>23.038121</v>
      </c>
    </row>
    <row r="1523" spans="1:17" x14ac:dyDescent="0.25">
      <c r="A1523" s="2">
        <v>1686</v>
      </c>
      <c r="B1523" s="2" t="s">
        <v>111</v>
      </c>
      <c r="C1523" s="2">
        <v>8</v>
      </c>
      <c r="D1523" s="2">
        <f t="shared" si="230"/>
        <v>20.32</v>
      </c>
      <c r="E1523" s="2">
        <f t="shared" si="231"/>
        <v>6.4680568872546269</v>
      </c>
      <c r="F1523" s="2">
        <f t="shared" si="232"/>
        <v>2.5464790894703255</v>
      </c>
      <c r="G1523" s="2">
        <v>2.8482189999999998</v>
      </c>
      <c r="H1523" s="2">
        <f t="shared" si="233"/>
        <v>9.3445508239599988</v>
      </c>
      <c r="I1523" s="2">
        <f>INDEX('Wood Density Lookup'!$B$2:$B$152,MATCH(B1523,'Wood Density Lookup'!$A$2:$A$152,0))</f>
        <v>0.4</v>
      </c>
      <c r="J1523" s="2">
        <f t="shared" si="234"/>
        <v>2.9236121080228021</v>
      </c>
      <c r="K1523" s="2">
        <f t="shared" si="238"/>
        <v>0.81861139024638463</v>
      </c>
      <c r="L1523" s="2">
        <f t="shared" si="239"/>
        <v>3.7422234982691869</v>
      </c>
      <c r="M1523" s="2">
        <f t="shared" si="235"/>
        <v>2.7131120362451604</v>
      </c>
      <c r="N1523" s="2">
        <f t="shared" si="236"/>
        <v>1.3565560181225802</v>
      </c>
      <c r="O1523" s="2">
        <f t="shared" si="237"/>
        <v>4.978560586509869</v>
      </c>
      <c r="P1523" s="2">
        <v>72.551957999999999</v>
      </c>
      <c r="Q1523" s="2">
        <v>23.037389999999998</v>
      </c>
    </row>
    <row r="1524" spans="1:17" x14ac:dyDescent="0.25">
      <c r="A1524" s="2">
        <v>1687</v>
      </c>
      <c r="B1524" s="2" t="s">
        <v>111</v>
      </c>
      <c r="C1524" s="2">
        <v>8</v>
      </c>
      <c r="D1524" s="2">
        <f t="shared" si="230"/>
        <v>20.32</v>
      </c>
      <c r="E1524" s="2">
        <f t="shared" si="231"/>
        <v>6.4680568872546269</v>
      </c>
      <c r="F1524" s="2">
        <f t="shared" si="232"/>
        <v>2.5464790894703255</v>
      </c>
      <c r="G1524" s="2">
        <v>2.95574</v>
      </c>
      <c r="H1524" s="2">
        <f t="shared" si="233"/>
        <v>9.6973100215999999</v>
      </c>
      <c r="I1524" s="2">
        <f>INDEX('Wood Density Lookup'!$B$2:$B$152,MATCH(B1524,'Wood Density Lookup'!$A$2:$A$152,0))</f>
        <v>0.4</v>
      </c>
      <c r="J1524" s="2">
        <f t="shared" si="234"/>
        <v>3.0312822269268662</v>
      </c>
      <c r="K1524" s="2">
        <f t="shared" si="238"/>
        <v>0.84875902353952259</v>
      </c>
      <c r="L1524" s="2">
        <f t="shared" si="239"/>
        <v>3.8800412504663888</v>
      </c>
      <c r="M1524" s="2">
        <f t="shared" si="235"/>
        <v>2.8130299065881319</v>
      </c>
      <c r="N1524" s="2">
        <f t="shared" si="236"/>
        <v>1.406514953294066</v>
      </c>
      <c r="O1524" s="2">
        <f t="shared" si="237"/>
        <v>5.1619098785892223</v>
      </c>
      <c r="P1524" s="2">
        <v>72.551957999999999</v>
      </c>
      <c r="Q1524" s="2">
        <v>23.037396999999999</v>
      </c>
    </row>
    <row r="1525" spans="1:17" x14ac:dyDescent="0.25">
      <c r="A1525" s="2">
        <v>1688</v>
      </c>
      <c r="B1525" s="2" t="s">
        <v>31</v>
      </c>
      <c r="C1525" s="2">
        <v>3</v>
      </c>
      <c r="D1525" s="2">
        <f t="shared" si="230"/>
        <v>7.62</v>
      </c>
      <c r="E1525" s="2">
        <f t="shared" si="231"/>
        <v>2.4255213327204852</v>
      </c>
      <c r="F1525" s="2">
        <f t="shared" si="232"/>
        <v>0.95492965855137202</v>
      </c>
      <c r="G1525" s="2">
        <v>1.0351630000000001</v>
      </c>
      <c r="H1525" s="2">
        <f t="shared" si="233"/>
        <v>3.39620417692</v>
      </c>
      <c r="I1525" s="2">
        <f>INDEX('Wood Density Lookup'!$B$2:$B$152,MATCH(B1525,'Wood Density Lookup'!$A$2:$A$152,0))</f>
        <v>0.78</v>
      </c>
      <c r="J1525" s="2">
        <f t="shared" si="234"/>
        <v>0.30795515601989532</v>
      </c>
      <c r="K1525" s="2">
        <f t="shared" si="238"/>
        <v>8.6227443685570698E-2</v>
      </c>
      <c r="L1525" s="2">
        <f t="shared" si="239"/>
        <v>0.39418259970546599</v>
      </c>
      <c r="M1525" s="2">
        <f t="shared" si="235"/>
        <v>0.28578238478646284</v>
      </c>
      <c r="N1525" s="2">
        <f t="shared" si="236"/>
        <v>0.14289119239323142</v>
      </c>
      <c r="O1525" s="2">
        <f t="shared" si="237"/>
        <v>0.52441067608315928</v>
      </c>
      <c r="P1525" s="2">
        <v>72.551961000000006</v>
      </c>
      <c r="Q1525" s="2">
        <v>23.036612999999999</v>
      </c>
    </row>
    <row r="1526" spans="1:17" x14ac:dyDescent="0.25">
      <c r="A1526" s="2">
        <v>1689</v>
      </c>
      <c r="B1526" s="2" t="s">
        <v>140</v>
      </c>
      <c r="C1526" s="2">
        <v>4</v>
      </c>
      <c r="D1526" s="2">
        <f t="shared" si="230"/>
        <v>10.16</v>
      </c>
      <c r="E1526" s="2">
        <f t="shared" si="231"/>
        <v>3.2340284436273135</v>
      </c>
      <c r="F1526" s="2">
        <f t="shared" si="232"/>
        <v>1.2732395447351628</v>
      </c>
      <c r="G1526" s="2">
        <v>6.477112</v>
      </c>
      <c r="H1526" s="2">
        <f t="shared" si="233"/>
        <v>21.250368134079999</v>
      </c>
      <c r="I1526" s="2">
        <f>INDEX('Wood Density Lookup'!$B$2:$B$152,MATCH(B1526,'Wood Density Lookup'!$A$2:$A$152,0))</f>
        <v>0.6</v>
      </c>
      <c r="J1526" s="2">
        <f t="shared" si="234"/>
        <v>2.5027582638292492</v>
      </c>
      <c r="K1526" s="2">
        <f t="shared" si="238"/>
        <v>0.70077231387218986</v>
      </c>
      <c r="L1526" s="2">
        <f t="shared" si="239"/>
        <v>3.2035305777014389</v>
      </c>
      <c r="M1526" s="2">
        <f t="shared" si="235"/>
        <v>2.3225596688335433</v>
      </c>
      <c r="N1526" s="2">
        <f t="shared" si="236"/>
        <v>1.1612798344167716</v>
      </c>
      <c r="O1526" s="2">
        <f t="shared" si="237"/>
        <v>4.261896992309552</v>
      </c>
      <c r="P1526" s="2">
        <v>72.551963000000001</v>
      </c>
      <c r="Q1526" s="2">
        <v>23.035733</v>
      </c>
    </row>
    <row r="1527" spans="1:17" x14ac:dyDescent="0.25">
      <c r="A1527" s="2">
        <v>1690</v>
      </c>
      <c r="B1527" s="2" t="s">
        <v>9</v>
      </c>
      <c r="C1527" s="2">
        <v>7</v>
      </c>
      <c r="D1527" s="2">
        <f t="shared" si="230"/>
        <v>17.78</v>
      </c>
      <c r="E1527" s="2">
        <f t="shared" si="231"/>
        <v>5.6595497763477987</v>
      </c>
      <c r="F1527" s="2">
        <f t="shared" si="232"/>
        <v>2.228169203286535</v>
      </c>
      <c r="G1527" s="2">
        <v>2.1655250000000001</v>
      </c>
      <c r="H1527" s="2">
        <f t="shared" si="233"/>
        <v>7.1047410410000005</v>
      </c>
      <c r="I1527" s="2">
        <f>INDEX('Wood Density Lookup'!$B$2:$B$152,MATCH(B1527,'Wood Density Lookup'!$A$2:$A$152,0))</f>
        <v>0.42</v>
      </c>
      <c r="J1527" s="2">
        <f t="shared" si="234"/>
        <v>1.8081992887807894</v>
      </c>
      <c r="K1527" s="2">
        <f t="shared" si="238"/>
        <v>0.50629580085862103</v>
      </c>
      <c r="L1527" s="2">
        <f t="shared" si="239"/>
        <v>2.3144950896394105</v>
      </c>
      <c r="M1527" s="2">
        <f t="shared" si="235"/>
        <v>1.6780089399885725</v>
      </c>
      <c r="N1527" s="2">
        <f t="shared" si="236"/>
        <v>0.83900446999428624</v>
      </c>
      <c r="O1527" s="2">
        <f t="shared" si="237"/>
        <v>3.0791464048790305</v>
      </c>
      <c r="P1527" s="2">
        <v>72.551963000000001</v>
      </c>
      <c r="Q1527" s="2">
        <v>23.038084000000001</v>
      </c>
    </row>
    <row r="1528" spans="1:17" x14ac:dyDescent="0.25">
      <c r="A1528" s="2">
        <v>1691</v>
      </c>
      <c r="B1528" s="2" t="s">
        <v>9</v>
      </c>
      <c r="C1528" s="2">
        <v>4</v>
      </c>
      <c r="D1528" s="2">
        <f t="shared" si="230"/>
        <v>10.16</v>
      </c>
      <c r="E1528" s="2">
        <f t="shared" si="231"/>
        <v>3.2340284436273135</v>
      </c>
      <c r="F1528" s="2">
        <f t="shared" si="232"/>
        <v>1.2732395447351628</v>
      </c>
      <c r="G1528" s="2">
        <v>3.4858950000000002</v>
      </c>
      <c r="H1528" s="2">
        <f t="shared" si="233"/>
        <v>11.436663751800001</v>
      </c>
      <c r="I1528" s="2">
        <f>INDEX('Wood Density Lookup'!$B$2:$B$152,MATCH(B1528,'Wood Density Lookup'!$A$2:$A$152,0))</f>
        <v>0.42</v>
      </c>
      <c r="J1528" s="2">
        <f t="shared" si="234"/>
        <v>0.96521729755612118</v>
      </c>
      <c r="K1528" s="2">
        <f t="shared" si="238"/>
        <v>0.27026084331571398</v>
      </c>
      <c r="L1528" s="2">
        <f t="shared" si="239"/>
        <v>1.2354781408718352</v>
      </c>
      <c r="M1528" s="2">
        <f t="shared" si="235"/>
        <v>0.89572165213208044</v>
      </c>
      <c r="N1528" s="2">
        <f t="shared" si="236"/>
        <v>0.44786082606604022</v>
      </c>
      <c r="O1528" s="2">
        <f t="shared" si="237"/>
        <v>1.6436492316623676</v>
      </c>
      <c r="P1528" s="2">
        <v>72.551963999999998</v>
      </c>
      <c r="Q1528" s="2">
        <v>23.038063000000001</v>
      </c>
    </row>
    <row r="1529" spans="1:17" x14ac:dyDescent="0.25">
      <c r="A1529" s="2">
        <v>1692</v>
      </c>
      <c r="B1529" s="2" t="s">
        <v>138</v>
      </c>
      <c r="C1529" s="2">
        <v>2</v>
      </c>
      <c r="D1529" s="2">
        <f t="shared" si="230"/>
        <v>5.08</v>
      </c>
      <c r="E1529" s="2">
        <f t="shared" si="231"/>
        <v>1.6170142218136567</v>
      </c>
      <c r="F1529" s="2">
        <f t="shared" si="232"/>
        <v>0.63661977236758138</v>
      </c>
      <c r="G1529" s="2">
        <v>1.93743</v>
      </c>
      <c r="H1529" s="2">
        <f t="shared" si="233"/>
        <v>6.3563978411999997</v>
      </c>
      <c r="I1529" s="2">
        <f>INDEX('Wood Density Lookup'!$B$2:$B$152,MATCH(B1529,'Wood Density Lookup'!$A$2:$A$152,0))</f>
        <v>0.5</v>
      </c>
      <c r="J1529" s="2">
        <f t="shared" si="234"/>
        <v>0.16670621806144514</v>
      </c>
      <c r="K1529" s="2">
        <f t="shared" si="238"/>
        <v>4.6677741057204646E-2</v>
      </c>
      <c r="L1529" s="2">
        <f t="shared" si="239"/>
        <v>0.2133839591186498</v>
      </c>
      <c r="M1529" s="2">
        <f t="shared" si="235"/>
        <v>0.15470337036102111</v>
      </c>
      <c r="N1529" s="2">
        <f t="shared" si="236"/>
        <v>7.7351685180510554E-2</v>
      </c>
      <c r="O1529" s="2">
        <f t="shared" si="237"/>
        <v>0.28388068461247373</v>
      </c>
      <c r="P1529" s="2">
        <v>72.551965999999993</v>
      </c>
      <c r="Q1529" s="2">
        <v>23.035630000000001</v>
      </c>
    </row>
    <row r="1530" spans="1:17" x14ac:dyDescent="0.25">
      <c r="A1530" s="2">
        <v>1693</v>
      </c>
      <c r="B1530" s="2" t="s">
        <v>72</v>
      </c>
      <c r="C1530" s="2">
        <v>3</v>
      </c>
      <c r="D1530" s="2">
        <f t="shared" si="230"/>
        <v>7.62</v>
      </c>
      <c r="E1530" s="2">
        <f t="shared" si="231"/>
        <v>2.4255213327204852</v>
      </c>
      <c r="F1530" s="2">
        <f t="shared" si="232"/>
        <v>0.95492965855137202</v>
      </c>
      <c r="G1530" s="2">
        <v>1.008132</v>
      </c>
      <c r="H1530" s="2">
        <f t="shared" si="233"/>
        <v>3.3075197908800003</v>
      </c>
      <c r="I1530" s="2">
        <f>INDEX('Wood Density Lookup'!$B$2:$B$152,MATCH(B1530,'Wood Density Lookup'!$A$2:$A$152,0))</f>
        <v>0.65</v>
      </c>
      <c r="J1530" s="2">
        <f t="shared" si="234"/>
        <v>0.25118345831065608</v>
      </c>
      <c r="K1530" s="2">
        <f t="shared" si="238"/>
        <v>7.0331368326983709E-2</v>
      </c>
      <c r="L1530" s="2">
        <f t="shared" si="239"/>
        <v>0.32151482663763981</v>
      </c>
      <c r="M1530" s="2">
        <f t="shared" si="235"/>
        <v>0.23309824931228884</v>
      </c>
      <c r="N1530" s="2">
        <f t="shared" si="236"/>
        <v>0.11654912465614442</v>
      </c>
      <c r="O1530" s="2">
        <f t="shared" si="237"/>
        <v>0.42773528748805001</v>
      </c>
      <c r="P1530" s="2">
        <v>72.551965999999993</v>
      </c>
      <c r="Q1530" s="2">
        <v>23.037987999999999</v>
      </c>
    </row>
    <row r="1531" spans="1:17" x14ac:dyDescent="0.25">
      <c r="A1531" s="2">
        <v>1694</v>
      </c>
      <c r="B1531" s="2" t="s">
        <v>111</v>
      </c>
      <c r="C1531" s="2">
        <v>7</v>
      </c>
      <c r="D1531" s="2">
        <f t="shared" si="230"/>
        <v>17.78</v>
      </c>
      <c r="E1531" s="2">
        <f t="shared" si="231"/>
        <v>5.6595497763477987</v>
      </c>
      <c r="F1531" s="2">
        <f t="shared" si="232"/>
        <v>2.228169203286535</v>
      </c>
      <c r="G1531" s="2">
        <v>2.874393</v>
      </c>
      <c r="H1531" s="2">
        <f t="shared" si="233"/>
        <v>9.4304235301200006</v>
      </c>
      <c r="I1531" s="2">
        <f>INDEX('Wood Density Lookup'!$B$2:$B$152,MATCH(B1531,'Wood Density Lookup'!$A$2:$A$152,0))</f>
        <v>0.4</v>
      </c>
      <c r="J1531" s="2">
        <f t="shared" si="234"/>
        <v>2.2729866880897793</v>
      </c>
      <c r="K1531" s="2">
        <f t="shared" si="238"/>
        <v>0.63643627266513825</v>
      </c>
      <c r="L1531" s="2">
        <f t="shared" si="239"/>
        <v>2.9094229607549176</v>
      </c>
      <c r="M1531" s="2">
        <f t="shared" si="235"/>
        <v>2.1093316465473153</v>
      </c>
      <c r="N1531" s="2">
        <f t="shared" si="236"/>
        <v>1.0546658232736577</v>
      </c>
      <c r="O1531" s="2">
        <f t="shared" si="237"/>
        <v>3.8706235714143236</v>
      </c>
      <c r="P1531" s="2">
        <v>72.551967000000005</v>
      </c>
      <c r="Q1531" s="2">
        <v>23.037389999999998</v>
      </c>
    </row>
    <row r="1532" spans="1:17" x14ac:dyDescent="0.25">
      <c r="A1532" s="2">
        <v>1695</v>
      </c>
      <c r="B1532" s="2" t="s">
        <v>111</v>
      </c>
      <c r="C1532" s="2">
        <v>6</v>
      </c>
      <c r="D1532" s="2">
        <f t="shared" si="230"/>
        <v>15.24</v>
      </c>
      <c r="E1532" s="2">
        <f t="shared" si="231"/>
        <v>4.8510426654409704</v>
      </c>
      <c r="F1532" s="2">
        <f t="shared" si="232"/>
        <v>1.909859317102744</v>
      </c>
      <c r="G1532" s="2">
        <v>2.7837610000000002</v>
      </c>
      <c r="H1532" s="2">
        <f t="shared" si="233"/>
        <v>9.1330744392399996</v>
      </c>
      <c r="I1532" s="2">
        <f>INDEX('Wood Density Lookup'!$B$2:$B$152,MATCH(B1532,'Wood Density Lookup'!$A$2:$A$152,0))</f>
        <v>0.4</v>
      </c>
      <c r="J1532" s="2">
        <f t="shared" si="234"/>
        <v>1.6305589301695929</v>
      </c>
      <c r="K1532" s="2">
        <f t="shared" si="238"/>
        <v>0.45655650044748602</v>
      </c>
      <c r="L1532" s="2">
        <f t="shared" si="239"/>
        <v>2.0871154306170787</v>
      </c>
      <c r="M1532" s="2">
        <f t="shared" si="235"/>
        <v>1.5131586871973821</v>
      </c>
      <c r="N1532" s="2">
        <f t="shared" si="236"/>
        <v>0.75657934359869106</v>
      </c>
      <c r="O1532" s="2">
        <f t="shared" si="237"/>
        <v>2.7766461910071962</v>
      </c>
      <c r="P1532" s="2">
        <v>72.551967000000005</v>
      </c>
      <c r="Q1532" s="2">
        <v>23.037396000000001</v>
      </c>
    </row>
    <row r="1533" spans="1:17" x14ac:dyDescent="0.25">
      <c r="A1533" s="2">
        <v>1696</v>
      </c>
      <c r="B1533" s="2" t="s">
        <v>101</v>
      </c>
      <c r="C1533" s="2">
        <v>10</v>
      </c>
      <c r="D1533" s="2">
        <f t="shared" si="230"/>
        <v>25.4</v>
      </c>
      <c r="E1533" s="2">
        <f t="shared" si="231"/>
        <v>8.0850711090682825</v>
      </c>
      <c r="F1533" s="2">
        <f t="shared" si="232"/>
        <v>3.183098861837907</v>
      </c>
      <c r="G1533" s="2">
        <v>3.4451299999999998</v>
      </c>
      <c r="H1533" s="2">
        <f t="shared" si="233"/>
        <v>11.302920309199999</v>
      </c>
      <c r="I1533" s="2">
        <f>INDEX('Wood Density Lookup'!$B$2:$B$152,MATCH(B1533,'Wood Density Lookup'!$A$2:$A$152,0))</f>
        <v>0.2</v>
      </c>
      <c r="J1533" s="2">
        <f t="shared" si="234"/>
        <v>2.7665076979265617</v>
      </c>
      <c r="K1533" s="2">
        <f t="shared" si="238"/>
        <v>0.77462215541943735</v>
      </c>
      <c r="L1533" s="2">
        <f t="shared" si="239"/>
        <v>3.5411298533459989</v>
      </c>
      <c r="M1533" s="2">
        <f t="shared" si="235"/>
        <v>2.5673191436758493</v>
      </c>
      <c r="N1533" s="2">
        <f t="shared" si="236"/>
        <v>1.2836595718379247</v>
      </c>
      <c r="O1533" s="2">
        <f t="shared" si="237"/>
        <v>4.7110306286451831</v>
      </c>
      <c r="P1533" s="2">
        <v>72.551967000000005</v>
      </c>
      <c r="Q1533" s="2">
        <v>23.037338999999999</v>
      </c>
    </row>
    <row r="1534" spans="1:17" x14ac:dyDescent="0.25">
      <c r="A1534" s="2">
        <v>1697</v>
      </c>
      <c r="B1534" s="2" t="s">
        <v>9</v>
      </c>
      <c r="C1534" s="2">
        <v>20</v>
      </c>
      <c r="D1534" s="2">
        <f t="shared" si="230"/>
        <v>50.8</v>
      </c>
      <c r="E1534" s="2">
        <f t="shared" si="231"/>
        <v>16.170142218136565</v>
      </c>
      <c r="F1534" s="2">
        <f t="shared" si="232"/>
        <v>6.366197723675814</v>
      </c>
      <c r="G1534" s="2">
        <v>1.2583580000000001</v>
      </c>
      <c r="H1534" s="2">
        <f t="shared" si="233"/>
        <v>4.1284712607200005</v>
      </c>
      <c r="I1534" s="2">
        <f>INDEX('Wood Density Lookup'!$B$2:$B$152,MATCH(B1534,'Wood Density Lookup'!$A$2:$A$152,0))</f>
        <v>0.42</v>
      </c>
      <c r="J1534" s="2">
        <f t="shared" si="234"/>
        <v>8.2627516560814964</v>
      </c>
      <c r="K1534" s="2">
        <f t="shared" si="238"/>
        <v>2.3135704637028192</v>
      </c>
      <c r="L1534" s="2">
        <f t="shared" si="239"/>
        <v>10.576322119784315</v>
      </c>
      <c r="M1534" s="2">
        <f t="shared" si="235"/>
        <v>7.6678335368436281</v>
      </c>
      <c r="N1534" s="2">
        <f t="shared" si="236"/>
        <v>3.8339167684218141</v>
      </c>
      <c r="O1534" s="2">
        <f t="shared" si="237"/>
        <v>14.070474540108057</v>
      </c>
      <c r="P1534" s="2">
        <v>72.551968000000002</v>
      </c>
      <c r="Q1534" s="2">
        <v>23.038059000000001</v>
      </c>
    </row>
    <row r="1535" spans="1:17" x14ac:dyDescent="0.25">
      <c r="A1535" s="2">
        <v>1698</v>
      </c>
      <c r="B1535" s="2" t="s">
        <v>62</v>
      </c>
      <c r="C1535" s="2">
        <v>7</v>
      </c>
      <c r="D1535" s="2">
        <f t="shared" si="230"/>
        <v>17.78</v>
      </c>
      <c r="E1535" s="2">
        <f t="shared" si="231"/>
        <v>5.6595497763477987</v>
      </c>
      <c r="F1535" s="2">
        <f t="shared" si="232"/>
        <v>2.228169203286535</v>
      </c>
      <c r="G1535" s="2">
        <v>1.0507329999999999</v>
      </c>
      <c r="H1535" s="2">
        <f t="shared" si="233"/>
        <v>3.4472868557199998</v>
      </c>
      <c r="I1535" s="2">
        <f>INDEX('Wood Density Lookup'!$B$2:$B$152,MATCH(B1535,'Wood Density Lookup'!$A$2:$A$152,0))</f>
        <v>0.47</v>
      </c>
      <c r="J1535" s="2">
        <f t="shared" si="234"/>
        <v>0.9962982472765235</v>
      </c>
      <c r="K1535" s="2">
        <f t="shared" si="238"/>
        <v>0.27896350923742663</v>
      </c>
      <c r="L1535" s="2">
        <f t="shared" si="239"/>
        <v>1.2752617565139501</v>
      </c>
      <c r="M1535" s="2">
        <f t="shared" si="235"/>
        <v>0.92456477347261379</v>
      </c>
      <c r="N1535" s="2">
        <f t="shared" si="236"/>
        <v>0.46228238673630689</v>
      </c>
      <c r="O1535" s="2">
        <f t="shared" si="237"/>
        <v>1.6965763593222463</v>
      </c>
      <c r="P1535" s="2">
        <v>72.551969</v>
      </c>
      <c r="Q1535" s="2">
        <v>23.037938</v>
      </c>
    </row>
    <row r="1536" spans="1:17" x14ac:dyDescent="0.25">
      <c r="A1536" s="2">
        <v>1699</v>
      </c>
      <c r="B1536" s="2" t="s">
        <v>102</v>
      </c>
      <c r="C1536" s="2">
        <v>1</v>
      </c>
      <c r="D1536" s="2">
        <f t="shared" si="230"/>
        <v>2.54</v>
      </c>
      <c r="E1536" s="2">
        <f t="shared" si="231"/>
        <v>0.80850711090682836</v>
      </c>
      <c r="F1536" s="2">
        <f t="shared" si="232"/>
        <v>0.31830988618379069</v>
      </c>
      <c r="G1536" s="2">
        <v>1.0262800000000001</v>
      </c>
      <c r="H1536" s="2">
        <f t="shared" si="233"/>
        <v>3.3670604752000002</v>
      </c>
      <c r="I1536" s="2">
        <f>INDEX('Wood Density Lookup'!$B$2:$B$152,MATCH(B1536,'Wood Density Lookup'!$A$2:$A$152,0))</f>
        <v>0.45</v>
      </c>
      <c r="J1536" s="2">
        <f t="shared" si="234"/>
        <v>2.0909556711848683E-2</v>
      </c>
      <c r="K1536" s="2">
        <f t="shared" si="238"/>
        <v>5.8546758793176319E-3</v>
      </c>
      <c r="L1536" s="2">
        <f t="shared" si="239"/>
        <v>2.6764232591166316E-2</v>
      </c>
      <c r="M1536" s="2">
        <f t="shared" si="235"/>
        <v>1.9404068628595578E-2</v>
      </c>
      <c r="N1536" s="2">
        <f t="shared" si="236"/>
        <v>9.7020343142977892E-3</v>
      </c>
      <c r="O1536" s="2">
        <f t="shared" si="237"/>
        <v>3.5606465933472886E-2</v>
      </c>
      <c r="P1536" s="2">
        <v>72.551969999999997</v>
      </c>
      <c r="Q1536" s="2">
        <v>23.038132000000001</v>
      </c>
    </row>
    <row r="1537" spans="1:17" x14ac:dyDescent="0.25">
      <c r="A1537" s="2">
        <v>1700</v>
      </c>
      <c r="B1537" s="2" t="s">
        <v>134</v>
      </c>
      <c r="C1537" s="2">
        <v>7</v>
      </c>
      <c r="D1537" s="2">
        <f t="shared" ref="D1537:D1600" si="240">C1537*2.54</f>
        <v>17.78</v>
      </c>
      <c r="E1537" s="2">
        <f t="shared" ref="E1537:E1600" si="241">D1537/PI()</f>
        <v>5.6595497763477987</v>
      </c>
      <c r="F1537" s="2">
        <f t="shared" ref="F1537:F1600" si="242">C1537/PI()</f>
        <v>2.228169203286535</v>
      </c>
      <c r="G1537" s="2">
        <v>4.5533210000000004</v>
      </c>
      <c r="H1537" s="2">
        <f t="shared" ref="H1537:H1600" si="243">G1537*3.28084</f>
        <v>14.938717669640001</v>
      </c>
      <c r="I1537" s="2">
        <f>INDEX('Wood Density Lookup'!$B$2:$B$152,MATCH(B1537,'Wood Density Lookup'!$A$2:$A$152,0))</f>
        <v>0.65</v>
      </c>
      <c r="J1537" s="2">
        <f t="shared" ref="J1537:J1600" si="244">0.0673*POWER(I1537*E1537^2*G1537,0.976)</f>
        <v>5.7197510617993537</v>
      </c>
      <c r="K1537" s="2">
        <f t="shared" si="238"/>
        <v>1.6015302973038192</v>
      </c>
      <c r="L1537" s="2">
        <f t="shared" si="239"/>
        <v>7.3212813591031729</v>
      </c>
      <c r="M1537" s="2">
        <f t="shared" ref="M1537:M1600" si="245">0.725*L1537</f>
        <v>5.3079289853498004</v>
      </c>
      <c r="N1537" s="2">
        <f t="shared" ref="N1537:N1600" si="246">0.5*M1537</f>
        <v>2.6539644926749002</v>
      </c>
      <c r="O1537" s="2">
        <f t="shared" ref="O1537:O1600" si="247">3.67*N1537</f>
        <v>9.7400496881168834</v>
      </c>
      <c r="P1537" s="2">
        <v>72.551970999999995</v>
      </c>
      <c r="Q1537" s="2">
        <v>23.037841</v>
      </c>
    </row>
    <row r="1538" spans="1:17" x14ac:dyDescent="0.25">
      <c r="A1538" s="2">
        <v>1701</v>
      </c>
      <c r="B1538" s="2" t="s">
        <v>101</v>
      </c>
      <c r="C1538" s="2">
        <v>12</v>
      </c>
      <c r="D1538" s="2">
        <f t="shared" si="240"/>
        <v>30.48</v>
      </c>
      <c r="E1538" s="2">
        <f t="shared" si="241"/>
        <v>9.7020853308819408</v>
      </c>
      <c r="F1538" s="2">
        <f t="shared" si="242"/>
        <v>3.8197186342054881</v>
      </c>
      <c r="G1538" s="2">
        <v>3.5998540000000001</v>
      </c>
      <c r="H1538" s="2">
        <f t="shared" si="243"/>
        <v>11.810544997360001</v>
      </c>
      <c r="I1538" s="2">
        <f>INDEX('Wood Density Lookup'!$B$2:$B$152,MATCH(B1538,'Wood Density Lookup'!$A$2:$A$152,0))</f>
        <v>0.2</v>
      </c>
      <c r="J1538" s="2">
        <f t="shared" si="244"/>
        <v>4.1220669920726509</v>
      </c>
      <c r="K1538" s="2">
        <f t="shared" si="238"/>
        <v>1.1541787577803424</v>
      </c>
      <c r="L1538" s="2">
        <f t="shared" si="239"/>
        <v>5.2762457498529933</v>
      </c>
      <c r="M1538" s="2">
        <f t="shared" si="245"/>
        <v>3.8252781686434201</v>
      </c>
      <c r="N1538" s="2">
        <f t="shared" si="246"/>
        <v>1.91263908432171</v>
      </c>
      <c r="O1538" s="2">
        <f t="shared" si="247"/>
        <v>7.0193854394606756</v>
      </c>
      <c r="P1538" s="2">
        <v>72.551972000000006</v>
      </c>
      <c r="Q1538" s="2">
        <v>23.037345999999999</v>
      </c>
    </row>
    <row r="1539" spans="1:17" x14ac:dyDescent="0.25">
      <c r="A1539" s="2">
        <v>1702</v>
      </c>
      <c r="B1539" s="2" t="s">
        <v>147</v>
      </c>
      <c r="C1539" s="2">
        <v>11</v>
      </c>
      <c r="D1539" s="2">
        <f t="shared" si="240"/>
        <v>27.94</v>
      </c>
      <c r="E1539" s="2">
        <f t="shared" si="241"/>
        <v>8.8935782199751117</v>
      </c>
      <c r="F1539" s="2">
        <f t="shared" si="242"/>
        <v>3.5014087480216975</v>
      </c>
      <c r="G1539" s="2">
        <v>1.039431</v>
      </c>
      <c r="H1539" s="2">
        <f t="shared" si="243"/>
        <v>3.4102068020399998</v>
      </c>
      <c r="I1539" s="2">
        <f>INDEX('Wood Density Lookup'!$B$2:$B$152,MATCH(B1539,'Wood Density Lookup'!$A$2:$A$152,0))</f>
        <v>0.65</v>
      </c>
      <c r="J1539" s="2">
        <f t="shared" si="244"/>
        <v>3.2689513269443942</v>
      </c>
      <c r="K1539" s="2">
        <f t="shared" ref="K1539:K1602" si="248">0.28*J1539</f>
        <v>0.91530637154443051</v>
      </c>
      <c r="L1539" s="2">
        <f t="shared" ref="L1539:L1602" si="249">J1539+K1539</f>
        <v>4.1842576984888247</v>
      </c>
      <c r="M1539" s="2">
        <f t="shared" si="245"/>
        <v>3.0335868314043979</v>
      </c>
      <c r="N1539" s="2">
        <f t="shared" si="246"/>
        <v>1.5167934157021989</v>
      </c>
      <c r="O1539" s="2">
        <f t="shared" si="247"/>
        <v>5.5666318356270699</v>
      </c>
      <c r="P1539" s="2">
        <v>72.551973000000004</v>
      </c>
      <c r="Q1539" s="2">
        <v>23.037998999999999</v>
      </c>
    </row>
    <row r="1540" spans="1:17" x14ac:dyDescent="0.25">
      <c r="A1540" s="2">
        <v>1703</v>
      </c>
      <c r="B1540" s="2" t="s">
        <v>111</v>
      </c>
      <c r="C1540" s="2">
        <v>6</v>
      </c>
      <c r="D1540" s="2">
        <f t="shared" si="240"/>
        <v>15.24</v>
      </c>
      <c r="E1540" s="2">
        <f t="shared" si="241"/>
        <v>4.8510426654409704</v>
      </c>
      <c r="F1540" s="2">
        <f t="shared" si="242"/>
        <v>1.909859317102744</v>
      </c>
      <c r="G1540" s="2">
        <v>2.7400869999999999</v>
      </c>
      <c r="H1540" s="2">
        <f t="shared" si="243"/>
        <v>8.9897870330799989</v>
      </c>
      <c r="I1540" s="2">
        <f>INDEX('Wood Density Lookup'!$B$2:$B$152,MATCH(B1540,'Wood Density Lookup'!$A$2:$A$152,0))</f>
        <v>0.4</v>
      </c>
      <c r="J1540" s="2">
        <f t="shared" si="244"/>
        <v>1.6055865730420809</v>
      </c>
      <c r="K1540" s="2">
        <f t="shared" si="248"/>
        <v>0.44956424045178267</v>
      </c>
      <c r="L1540" s="2">
        <f t="shared" si="249"/>
        <v>2.0551508134938636</v>
      </c>
      <c r="M1540" s="2">
        <f t="shared" si="245"/>
        <v>1.489984339783051</v>
      </c>
      <c r="N1540" s="2">
        <f t="shared" si="246"/>
        <v>0.7449921698915255</v>
      </c>
      <c r="O1540" s="2">
        <f t="shared" si="247"/>
        <v>2.7341212635018985</v>
      </c>
      <c r="P1540" s="2">
        <v>72.551973000000004</v>
      </c>
      <c r="Q1540" s="2">
        <v>23.037389000000001</v>
      </c>
    </row>
    <row r="1541" spans="1:17" x14ac:dyDescent="0.25">
      <c r="A1541" s="2">
        <v>1704</v>
      </c>
      <c r="B1541" s="2" t="s">
        <v>111</v>
      </c>
      <c r="C1541" s="2">
        <v>5</v>
      </c>
      <c r="D1541" s="2">
        <f t="shared" si="240"/>
        <v>12.7</v>
      </c>
      <c r="E1541" s="2">
        <f t="shared" si="241"/>
        <v>4.0425355545341413</v>
      </c>
      <c r="F1541" s="2">
        <f t="shared" si="242"/>
        <v>1.5915494309189535</v>
      </c>
      <c r="G1541" s="2">
        <v>2.907038</v>
      </c>
      <c r="H1541" s="2">
        <f t="shared" si="243"/>
        <v>9.5375265519199992</v>
      </c>
      <c r="I1541" s="2">
        <f>INDEX('Wood Density Lookup'!$B$2:$B$152,MATCH(B1541,'Wood Density Lookup'!$A$2:$A$152,0))</f>
        <v>0.4</v>
      </c>
      <c r="J1541" s="2">
        <f t="shared" si="244"/>
        <v>1.1916310729392132</v>
      </c>
      <c r="K1541" s="2">
        <f t="shared" si="248"/>
        <v>0.33365670042297974</v>
      </c>
      <c r="L1541" s="2">
        <f t="shared" si="249"/>
        <v>1.525287773362193</v>
      </c>
      <c r="M1541" s="2">
        <f t="shared" si="245"/>
        <v>1.10583363568759</v>
      </c>
      <c r="N1541" s="2">
        <f t="shared" si="246"/>
        <v>0.55291681784379498</v>
      </c>
      <c r="O1541" s="2">
        <f t="shared" si="247"/>
        <v>2.0292047214867277</v>
      </c>
      <c r="P1541" s="2">
        <v>72.551973000000004</v>
      </c>
      <c r="Q1541" s="2">
        <v>23.037396999999999</v>
      </c>
    </row>
    <row r="1542" spans="1:17" x14ac:dyDescent="0.25">
      <c r="A1542" s="2">
        <v>1705</v>
      </c>
      <c r="B1542" s="2" t="s">
        <v>101</v>
      </c>
      <c r="C1542" s="2">
        <v>11</v>
      </c>
      <c r="D1542" s="2">
        <f t="shared" si="240"/>
        <v>27.94</v>
      </c>
      <c r="E1542" s="2">
        <f t="shared" si="241"/>
        <v>8.8935782199751117</v>
      </c>
      <c r="F1542" s="2">
        <f t="shared" si="242"/>
        <v>3.5014087480216975</v>
      </c>
      <c r="G1542" s="2">
        <v>3.6365980000000002</v>
      </c>
      <c r="H1542" s="2">
        <f t="shared" si="243"/>
        <v>11.931096182320001</v>
      </c>
      <c r="I1542" s="2">
        <f>INDEX('Wood Density Lookup'!$B$2:$B$152,MATCH(B1542,'Wood Density Lookup'!$A$2:$A$152,0))</f>
        <v>0.2</v>
      </c>
      <c r="J1542" s="2">
        <f t="shared" si="244"/>
        <v>3.5128235305707882</v>
      </c>
      <c r="K1542" s="2">
        <f t="shared" si="248"/>
        <v>0.98359058855982084</v>
      </c>
      <c r="L1542" s="2">
        <f t="shared" si="249"/>
        <v>4.4964141191306091</v>
      </c>
      <c r="M1542" s="2">
        <f t="shared" si="245"/>
        <v>3.2599002363696914</v>
      </c>
      <c r="N1542" s="2">
        <f t="shared" si="246"/>
        <v>1.6299501181848457</v>
      </c>
      <c r="O1542" s="2">
        <f t="shared" si="247"/>
        <v>5.9819169337383835</v>
      </c>
      <c r="P1542" s="2">
        <v>72.551973000000004</v>
      </c>
      <c r="Q1542" s="2">
        <v>23.03734</v>
      </c>
    </row>
    <row r="1543" spans="1:17" x14ac:dyDescent="0.25">
      <c r="A1543" s="2">
        <v>1706</v>
      </c>
      <c r="B1543" s="2" t="s">
        <v>93</v>
      </c>
      <c r="C1543" s="2">
        <v>4</v>
      </c>
      <c r="D1543" s="2">
        <f t="shared" si="240"/>
        <v>10.16</v>
      </c>
      <c r="E1543" s="2">
        <f t="shared" si="241"/>
        <v>3.2340284436273135</v>
      </c>
      <c r="F1543" s="2">
        <f t="shared" si="242"/>
        <v>1.2732395447351628</v>
      </c>
      <c r="G1543" s="2">
        <v>1.0185740000000001</v>
      </c>
      <c r="H1543" s="2">
        <f t="shared" si="243"/>
        <v>3.3417783221600001</v>
      </c>
      <c r="I1543" s="2">
        <f>INDEX('Wood Density Lookup'!$B$2:$B$152,MATCH(B1543,'Wood Density Lookup'!$A$2:$A$152,0))</f>
        <v>0.9</v>
      </c>
      <c r="J1543" s="2">
        <f t="shared" si="244"/>
        <v>0.61119034353786306</v>
      </c>
      <c r="K1543" s="2">
        <f t="shared" si="248"/>
        <v>0.17113329619060166</v>
      </c>
      <c r="L1543" s="2">
        <f t="shared" si="249"/>
        <v>0.78232363972846475</v>
      </c>
      <c r="M1543" s="2">
        <f t="shared" si="245"/>
        <v>0.56718463880313696</v>
      </c>
      <c r="N1543" s="2">
        <f t="shared" si="246"/>
        <v>0.28359231940156848</v>
      </c>
      <c r="O1543" s="2">
        <f t="shared" si="247"/>
        <v>1.0407838122037563</v>
      </c>
      <c r="P1543" s="2">
        <v>72.551974000000001</v>
      </c>
      <c r="Q1543" s="2">
        <v>23.037958</v>
      </c>
    </row>
    <row r="1544" spans="1:17" x14ac:dyDescent="0.25">
      <c r="A1544" s="2">
        <v>1707</v>
      </c>
      <c r="B1544" s="2" t="s">
        <v>101</v>
      </c>
      <c r="C1544" s="2">
        <v>8</v>
      </c>
      <c r="D1544" s="2">
        <f t="shared" si="240"/>
        <v>20.32</v>
      </c>
      <c r="E1544" s="2">
        <f t="shared" si="241"/>
        <v>6.4680568872546269</v>
      </c>
      <c r="F1544" s="2">
        <f t="shared" si="242"/>
        <v>2.5464790894703255</v>
      </c>
      <c r="G1544" s="2">
        <v>3.5871650000000002</v>
      </c>
      <c r="H1544" s="2">
        <f t="shared" si="243"/>
        <v>11.7689144186</v>
      </c>
      <c r="I1544" s="2">
        <f>INDEX('Wood Density Lookup'!$B$2:$B$152,MATCH(B1544,'Wood Density Lookup'!$A$2:$A$152,0))</f>
        <v>0.2</v>
      </c>
      <c r="J1544" s="2">
        <f t="shared" si="244"/>
        <v>1.8616077529985091</v>
      </c>
      <c r="K1544" s="2">
        <f t="shared" si="248"/>
        <v>0.52125017083958258</v>
      </c>
      <c r="L1544" s="2">
        <f t="shared" si="249"/>
        <v>2.3828579238380918</v>
      </c>
      <c r="M1544" s="2">
        <f t="shared" si="245"/>
        <v>1.7275719947826165</v>
      </c>
      <c r="N1544" s="2">
        <f t="shared" si="246"/>
        <v>0.86378599739130824</v>
      </c>
      <c r="O1544" s="2">
        <f t="shared" si="247"/>
        <v>3.170094610426101</v>
      </c>
      <c r="P1544" s="2">
        <v>72.551974000000001</v>
      </c>
      <c r="Q1544" s="2">
        <v>23.037336</v>
      </c>
    </row>
    <row r="1545" spans="1:17" x14ac:dyDescent="0.25">
      <c r="A1545" s="2">
        <v>1708</v>
      </c>
      <c r="B1545" s="2" t="s">
        <v>31</v>
      </c>
      <c r="C1545" s="2">
        <v>7</v>
      </c>
      <c r="D1545" s="2">
        <f t="shared" si="240"/>
        <v>17.78</v>
      </c>
      <c r="E1545" s="2">
        <f t="shared" si="241"/>
        <v>5.6595497763477987</v>
      </c>
      <c r="F1545" s="2">
        <f t="shared" si="242"/>
        <v>2.228169203286535</v>
      </c>
      <c r="G1545" s="2">
        <v>3.5546099999999998</v>
      </c>
      <c r="H1545" s="2">
        <f t="shared" si="243"/>
        <v>11.6621066724</v>
      </c>
      <c r="I1545" s="2">
        <f>INDEX('Wood Density Lookup'!$B$2:$B$152,MATCH(B1545,'Wood Density Lookup'!$A$2:$A$152,0))</f>
        <v>0.78</v>
      </c>
      <c r="J1545" s="2">
        <f t="shared" si="244"/>
        <v>5.3666415064712121</v>
      </c>
      <c r="K1545" s="2">
        <f t="shared" si="248"/>
        <v>1.5026596218119395</v>
      </c>
      <c r="L1545" s="2">
        <f t="shared" si="249"/>
        <v>6.8693011282831513</v>
      </c>
      <c r="M1545" s="2">
        <f t="shared" si="245"/>
        <v>4.980243318005285</v>
      </c>
      <c r="N1545" s="2">
        <f t="shared" si="246"/>
        <v>2.4901216590026425</v>
      </c>
      <c r="O1545" s="2">
        <f t="shared" si="247"/>
        <v>9.138746488539697</v>
      </c>
      <c r="P1545" s="2">
        <v>72.551974999999999</v>
      </c>
      <c r="Q1545" s="2">
        <v>23.036819999999999</v>
      </c>
    </row>
    <row r="1546" spans="1:17" x14ac:dyDescent="0.25">
      <c r="A1546" s="2">
        <v>1709</v>
      </c>
      <c r="B1546" s="2" t="s">
        <v>111</v>
      </c>
      <c r="C1546" s="2">
        <v>9</v>
      </c>
      <c r="D1546" s="2">
        <f t="shared" si="240"/>
        <v>22.86</v>
      </c>
      <c r="E1546" s="2">
        <f t="shared" si="241"/>
        <v>7.2765639981614552</v>
      </c>
      <c r="F1546" s="2">
        <f t="shared" si="242"/>
        <v>2.8647889756541161</v>
      </c>
      <c r="G1546" s="2">
        <v>2.785981</v>
      </c>
      <c r="H1546" s="2">
        <f t="shared" si="243"/>
        <v>9.14035790404</v>
      </c>
      <c r="I1546" s="2">
        <f>INDEX('Wood Density Lookup'!$B$2:$B$152,MATCH(B1546,'Wood Density Lookup'!$A$2:$A$152,0))</f>
        <v>0.4</v>
      </c>
      <c r="J1546" s="2">
        <f t="shared" si="244"/>
        <v>3.6008458691009064</v>
      </c>
      <c r="K1546" s="2">
        <f t="shared" si="248"/>
        <v>1.0082368433482538</v>
      </c>
      <c r="L1546" s="2">
        <f t="shared" si="249"/>
        <v>4.60908271244916</v>
      </c>
      <c r="M1546" s="2">
        <f t="shared" si="245"/>
        <v>3.341584966525641</v>
      </c>
      <c r="N1546" s="2">
        <f t="shared" si="246"/>
        <v>1.6707924832628205</v>
      </c>
      <c r="O1546" s="2">
        <f t="shared" si="247"/>
        <v>6.131808413574551</v>
      </c>
      <c r="P1546" s="2">
        <v>72.551975999999996</v>
      </c>
      <c r="Q1546" s="2">
        <v>23.037383999999999</v>
      </c>
    </row>
    <row r="1547" spans="1:17" x14ac:dyDescent="0.25">
      <c r="A1547" s="2">
        <v>1710</v>
      </c>
      <c r="B1547" s="2" t="s">
        <v>127</v>
      </c>
      <c r="C1547" s="2">
        <v>3</v>
      </c>
      <c r="D1547" s="2">
        <f t="shared" si="240"/>
        <v>7.62</v>
      </c>
      <c r="E1547" s="2">
        <f t="shared" si="241"/>
        <v>2.4255213327204852</v>
      </c>
      <c r="F1547" s="2">
        <f t="shared" si="242"/>
        <v>0.95492965855137202</v>
      </c>
      <c r="G1547" s="2">
        <v>3.1432570000000002</v>
      </c>
      <c r="H1547" s="2">
        <f t="shared" si="243"/>
        <v>10.31252329588</v>
      </c>
      <c r="I1547" s="2">
        <f>INDEX('Wood Density Lookup'!$B$2:$B$152,MATCH(B1547,'Wood Density Lookup'!$A$2:$A$152,0))</f>
        <v>0.8</v>
      </c>
      <c r="J1547" s="2">
        <f t="shared" si="244"/>
        <v>0.93328270554126991</v>
      </c>
      <c r="K1547" s="2">
        <f t="shared" si="248"/>
        <v>0.2613191575515556</v>
      </c>
      <c r="L1547" s="2">
        <f t="shared" si="249"/>
        <v>1.1946018630928255</v>
      </c>
      <c r="M1547" s="2">
        <f t="shared" si="245"/>
        <v>0.86608635074229845</v>
      </c>
      <c r="N1547" s="2">
        <f t="shared" si="246"/>
        <v>0.43304317537114922</v>
      </c>
      <c r="O1547" s="2">
        <f t="shared" si="247"/>
        <v>1.5892684536121175</v>
      </c>
      <c r="P1547" s="2">
        <v>72.551976999999994</v>
      </c>
      <c r="Q1547" s="2">
        <v>23.037883000000001</v>
      </c>
    </row>
    <row r="1548" spans="1:17" x14ac:dyDescent="0.25">
      <c r="A1548" s="2">
        <v>1711</v>
      </c>
      <c r="B1548" s="2" t="s">
        <v>101</v>
      </c>
      <c r="C1548" s="2">
        <v>13</v>
      </c>
      <c r="D1548" s="2">
        <f t="shared" si="240"/>
        <v>33.020000000000003</v>
      </c>
      <c r="E1548" s="2">
        <f t="shared" si="241"/>
        <v>10.51059244178877</v>
      </c>
      <c r="F1548" s="2">
        <f t="shared" si="242"/>
        <v>4.1380285203892786</v>
      </c>
      <c r="G1548" s="2">
        <v>3.5692050000000002</v>
      </c>
      <c r="H1548" s="2">
        <f t="shared" si="243"/>
        <v>11.709990532200001</v>
      </c>
      <c r="I1548" s="2">
        <f>INDEX('Wood Density Lookup'!$B$2:$B$152,MATCH(B1548,'Wood Density Lookup'!$A$2:$A$152,0))</f>
        <v>0.2</v>
      </c>
      <c r="J1548" s="2">
        <f t="shared" si="244"/>
        <v>4.7791031464907823</v>
      </c>
      <c r="K1548" s="2">
        <f t="shared" si="248"/>
        <v>1.3381488810174191</v>
      </c>
      <c r="L1548" s="2">
        <f t="shared" si="249"/>
        <v>6.1172520275082016</v>
      </c>
      <c r="M1548" s="2">
        <f t="shared" si="245"/>
        <v>4.4350077199434459</v>
      </c>
      <c r="N1548" s="2">
        <f t="shared" si="246"/>
        <v>2.2175038599717229</v>
      </c>
      <c r="O1548" s="2">
        <f t="shared" si="247"/>
        <v>8.1382391660962234</v>
      </c>
      <c r="P1548" s="2">
        <v>72.551976999999994</v>
      </c>
      <c r="Q1548" s="2">
        <v>23.037344999999998</v>
      </c>
    </row>
    <row r="1549" spans="1:17" x14ac:dyDescent="0.25">
      <c r="A1549" s="2">
        <v>1712</v>
      </c>
      <c r="B1549" s="2" t="s">
        <v>101</v>
      </c>
      <c r="C1549" s="2">
        <v>9</v>
      </c>
      <c r="D1549" s="2">
        <f t="shared" si="240"/>
        <v>22.86</v>
      </c>
      <c r="E1549" s="2">
        <f t="shared" si="241"/>
        <v>7.2765639981614552</v>
      </c>
      <c r="F1549" s="2">
        <f t="shared" si="242"/>
        <v>2.8647889756541161</v>
      </c>
      <c r="G1549" s="2">
        <v>3.1976830000000001</v>
      </c>
      <c r="H1549" s="2">
        <f t="shared" si="243"/>
        <v>10.49108629372</v>
      </c>
      <c r="I1549" s="2">
        <f>INDEX('Wood Density Lookup'!$B$2:$B$152,MATCH(B1549,'Wood Density Lookup'!$A$2:$A$152,0))</f>
        <v>0.2</v>
      </c>
      <c r="J1549" s="2">
        <f t="shared" si="244"/>
        <v>2.0942086063840248</v>
      </c>
      <c r="K1549" s="2">
        <f t="shared" si="248"/>
        <v>0.58637840978752698</v>
      </c>
      <c r="L1549" s="2">
        <f t="shared" si="249"/>
        <v>2.6805870161715517</v>
      </c>
      <c r="M1549" s="2">
        <f t="shared" si="245"/>
        <v>1.9434255867243748</v>
      </c>
      <c r="N1549" s="2">
        <f t="shared" si="246"/>
        <v>0.97171279336218741</v>
      </c>
      <c r="O1549" s="2">
        <f t="shared" si="247"/>
        <v>3.5661859516392278</v>
      </c>
      <c r="P1549" s="2">
        <v>72.551978000000005</v>
      </c>
      <c r="Q1549" s="2">
        <v>23.03734</v>
      </c>
    </row>
    <row r="1550" spans="1:17" x14ac:dyDescent="0.25">
      <c r="A1550" s="2">
        <v>1713</v>
      </c>
      <c r="B1550" s="2" t="s">
        <v>111</v>
      </c>
      <c r="C1550" s="2">
        <v>11</v>
      </c>
      <c r="D1550" s="2">
        <f t="shared" si="240"/>
        <v>27.94</v>
      </c>
      <c r="E1550" s="2">
        <f t="shared" si="241"/>
        <v>8.8935782199751117</v>
      </c>
      <c r="F1550" s="2">
        <f t="shared" si="242"/>
        <v>3.5014087480216975</v>
      </c>
      <c r="G1550" s="2">
        <v>2.8477130000000002</v>
      </c>
      <c r="H1550" s="2">
        <f t="shared" si="243"/>
        <v>9.3428907189199997</v>
      </c>
      <c r="I1550" s="2">
        <f>INDEX('Wood Density Lookup'!$B$2:$B$152,MATCH(B1550,'Wood Density Lookup'!$A$2:$A$152,0))</f>
        <v>0.4</v>
      </c>
      <c r="J1550" s="2">
        <f t="shared" si="244"/>
        <v>5.4426613047265846</v>
      </c>
      <c r="K1550" s="2">
        <f t="shared" si="248"/>
        <v>1.5239451653234439</v>
      </c>
      <c r="L1550" s="2">
        <f t="shared" si="249"/>
        <v>6.9666064700500288</v>
      </c>
      <c r="M1550" s="2">
        <f t="shared" si="245"/>
        <v>5.0507896907862708</v>
      </c>
      <c r="N1550" s="2">
        <f t="shared" si="246"/>
        <v>2.5253948453931354</v>
      </c>
      <c r="O1550" s="2">
        <f t="shared" si="247"/>
        <v>9.2681990825928064</v>
      </c>
      <c r="P1550" s="2">
        <v>72.551979000000003</v>
      </c>
      <c r="Q1550" s="2">
        <v>23.037391</v>
      </c>
    </row>
    <row r="1551" spans="1:17" x14ac:dyDescent="0.25">
      <c r="A1551" s="2">
        <v>1714</v>
      </c>
      <c r="B1551" s="2" t="s">
        <v>111</v>
      </c>
      <c r="C1551" s="2">
        <v>6</v>
      </c>
      <c r="D1551" s="2">
        <f t="shared" si="240"/>
        <v>15.24</v>
      </c>
      <c r="E1551" s="2">
        <f t="shared" si="241"/>
        <v>4.8510426654409704</v>
      </c>
      <c r="F1551" s="2">
        <f t="shared" si="242"/>
        <v>1.909859317102744</v>
      </c>
      <c r="G1551" s="2">
        <v>2.2843149999999999</v>
      </c>
      <c r="H1551" s="2">
        <f t="shared" si="243"/>
        <v>7.4944720245999994</v>
      </c>
      <c r="I1551" s="2">
        <f>INDEX('Wood Density Lookup'!$B$2:$B$152,MATCH(B1551,'Wood Density Lookup'!$A$2:$A$152,0))</f>
        <v>0.4</v>
      </c>
      <c r="J1551" s="2">
        <f t="shared" si="244"/>
        <v>1.3443785285990768</v>
      </c>
      <c r="K1551" s="2">
        <f t="shared" si="248"/>
        <v>0.37642598800774152</v>
      </c>
      <c r="L1551" s="2">
        <f t="shared" si="249"/>
        <v>1.7208045166068184</v>
      </c>
      <c r="M1551" s="2">
        <f t="shared" si="245"/>
        <v>1.2475832745399433</v>
      </c>
      <c r="N1551" s="2">
        <f t="shared" si="246"/>
        <v>0.62379163726997167</v>
      </c>
      <c r="O1551" s="2">
        <f t="shared" si="247"/>
        <v>2.2893153087807958</v>
      </c>
      <c r="P1551" s="2">
        <v>72.551981999999995</v>
      </c>
      <c r="Q1551" s="2">
        <v>23.037398</v>
      </c>
    </row>
    <row r="1552" spans="1:17" x14ac:dyDescent="0.25">
      <c r="A1552" s="2">
        <v>1716</v>
      </c>
      <c r="B1552" s="2" t="s">
        <v>31</v>
      </c>
      <c r="C1552" s="2">
        <v>3</v>
      </c>
      <c r="D1552" s="2">
        <f t="shared" si="240"/>
        <v>7.62</v>
      </c>
      <c r="E1552" s="2">
        <f t="shared" si="241"/>
        <v>2.4255213327204852</v>
      </c>
      <c r="F1552" s="2">
        <f t="shared" si="242"/>
        <v>0.95492965855137202</v>
      </c>
      <c r="G1552" s="2">
        <v>1.0175270000000001</v>
      </c>
      <c r="H1552" s="2">
        <f t="shared" si="243"/>
        <v>3.3383432826800004</v>
      </c>
      <c r="I1552" s="2">
        <f>INDEX('Wood Density Lookup'!$B$2:$B$152,MATCH(B1552,'Wood Density Lookup'!$A$2:$A$152,0))</f>
        <v>0.78</v>
      </c>
      <c r="J1552" s="2">
        <f t="shared" si="244"/>
        <v>0.30283341107770023</v>
      </c>
      <c r="K1552" s="2">
        <f t="shared" si="248"/>
        <v>8.4793355101756077E-2</v>
      </c>
      <c r="L1552" s="2">
        <f t="shared" si="249"/>
        <v>0.38762676617945629</v>
      </c>
      <c r="M1552" s="2">
        <f t="shared" si="245"/>
        <v>0.2810294054801058</v>
      </c>
      <c r="N1552" s="2">
        <f t="shared" si="246"/>
        <v>0.1405147027400529</v>
      </c>
      <c r="O1552" s="2">
        <f t="shared" si="247"/>
        <v>0.5156889590559941</v>
      </c>
      <c r="P1552" s="2">
        <v>72.551986999999997</v>
      </c>
      <c r="Q1552" s="2">
        <v>23.036612999999999</v>
      </c>
    </row>
    <row r="1553" spans="1:17" x14ac:dyDescent="0.25">
      <c r="A1553" s="2">
        <v>1717</v>
      </c>
      <c r="B1553" s="2" t="s">
        <v>83</v>
      </c>
      <c r="C1553" s="2">
        <v>48</v>
      </c>
      <c r="D1553" s="2">
        <f t="shared" si="240"/>
        <v>121.92</v>
      </c>
      <c r="E1553" s="2">
        <f t="shared" si="241"/>
        <v>38.808341323527763</v>
      </c>
      <c r="F1553" s="2">
        <f t="shared" si="242"/>
        <v>15.278874536821952</v>
      </c>
      <c r="G1553" s="2">
        <v>15.194523999999999</v>
      </c>
      <c r="H1553" s="2">
        <f t="shared" si="243"/>
        <v>49.850802120159997</v>
      </c>
      <c r="I1553" s="2">
        <f>INDEX('Wood Density Lookup'!$B$2:$B$152,MATCH(B1553,'Wood Density Lookup'!$A$2:$A$152,0))</f>
        <v>0.85</v>
      </c>
      <c r="J1553" s="2">
        <f t="shared" si="244"/>
        <v>1032.8477398263381</v>
      </c>
      <c r="K1553" s="2">
        <f t="shared" si="248"/>
        <v>289.19736715137469</v>
      </c>
      <c r="L1553" s="2">
        <f t="shared" si="249"/>
        <v>1322.0451069777127</v>
      </c>
      <c r="M1553" s="2">
        <f t="shared" si="245"/>
        <v>958.48270255884177</v>
      </c>
      <c r="N1553" s="2">
        <f t="shared" si="246"/>
        <v>479.24135127942088</v>
      </c>
      <c r="O1553" s="2">
        <f t="shared" si="247"/>
        <v>1758.8157591954746</v>
      </c>
      <c r="P1553" s="2">
        <v>72.551995000000005</v>
      </c>
      <c r="Q1553" s="2">
        <v>23.034573000000002</v>
      </c>
    </row>
    <row r="1554" spans="1:17" x14ac:dyDescent="0.25">
      <c r="A1554" s="2">
        <v>1718</v>
      </c>
      <c r="B1554" s="2" t="s">
        <v>4</v>
      </c>
      <c r="C1554" s="2">
        <v>68</v>
      </c>
      <c r="D1554" s="2">
        <f t="shared" si="240"/>
        <v>172.72</v>
      </c>
      <c r="E1554" s="2">
        <f t="shared" si="241"/>
        <v>54.978483541664325</v>
      </c>
      <c r="F1554" s="2">
        <f t="shared" si="242"/>
        <v>21.645072260497766</v>
      </c>
      <c r="G1554" s="2">
        <v>14.883476999999999</v>
      </c>
      <c r="H1554" s="2">
        <f t="shared" si="243"/>
        <v>48.830306680679996</v>
      </c>
      <c r="I1554" s="2">
        <f>INDEX('Wood Density Lookup'!$B$2:$B$152,MATCH(B1554,'Wood Density Lookup'!$A$2:$A$152,0))</f>
        <v>0.6</v>
      </c>
      <c r="J1554" s="2">
        <f t="shared" si="244"/>
        <v>1422.0224099795967</v>
      </c>
      <c r="K1554" s="2">
        <f t="shared" si="248"/>
        <v>398.16627479428712</v>
      </c>
      <c r="L1554" s="2">
        <f t="shared" si="249"/>
        <v>1820.1886847738838</v>
      </c>
      <c r="M1554" s="2">
        <f t="shared" si="245"/>
        <v>1319.6367964610656</v>
      </c>
      <c r="N1554" s="2">
        <f t="shared" si="246"/>
        <v>659.81839823053281</v>
      </c>
      <c r="O1554" s="2">
        <f t="shared" si="247"/>
        <v>2421.5335215060554</v>
      </c>
      <c r="P1554" s="2">
        <v>72.551995000000005</v>
      </c>
      <c r="Q1554" s="2">
        <v>23.034697999999999</v>
      </c>
    </row>
    <row r="1555" spans="1:17" x14ac:dyDescent="0.25">
      <c r="A1555" s="2">
        <v>1719</v>
      </c>
      <c r="B1555" s="2" t="s">
        <v>72</v>
      </c>
      <c r="C1555" s="2">
        <v>26</v>
      </c>
      <c r="D1555" s="2">
        <f t="shared" si="240"/>
        <v>66.040000000000006</v>
      </c>
      <c r="E1555" s="2">
        <f t="shared" si="241"/>
        <v>21.02118488357754</v>
      </c>
      <c r="F1555" s="2">
        <f t="shared" si="242"/>
        <v>8.2760570407785572</v>
      </c>
      <c r="G1555" s="2">
        <v>9.7336080000000003</v>
      </c>
      <c r="H1555" s="2">
        <f t="shared" si="243"/>
        <v>31.93441047072</v>
      </c>
      <c r="I1555" s="2">
        <f>INDEX('Wood Density Lookup'!$B$2:$B$152,MATCH(B1555,'Wood Density Lookup'!$A$2:$A$152,0))</f>
        <v>0.65</v>
      </c>
      <c r="J1555" s="2">
        <f t="shared" si="244"/>
        <v>155.52514625785483</v>
      </c>
      <c r="K1555" s="2">
        <f t="shared" si="248"/>
        <v>43.547040952199353</v>
      </c>
      <c r="L1555" s="2">
        <f t="shared" si="249"/>
        <v>199.07218721005418</v>
      </c>
      <c r="M1555" s="2">
        <f t="shared" si="245"/>
        <v>144.32733572728927</v>
      </c>
      <c r="N1555" s="2">
        <f t="shared" si="246"/>
        <v>72.163667863644633</v>
      </c>
      <c r="O1555" s="2">
        <f t="shared" si="247"/>
        <v>264.84066105957578</v>
      </c>
      <c r="P1555" s="2">
        <v>72.551996000000003</v>
      </c>
      <c r="Q1555" s="2">
        <v>23.038779000000002</v>
      </c>
    </row>
    <row r="1556" spans="1:17" x14ac:dyDescent="0.25">
      <c r="A1556" s="2">
        <v>1720</v>
      </c>
      <c r="B1556" s="2" t="s">
        <v>138</v>
      </c>
      <c r="C1556" s="2">
        <v>4</v>
      </c>
      <c r="D1556" s="2">
        <f t="shared" si="240"/>
        <v>10.16</v>
      </c>
      <c r="E1556" s="2">
        <f t="shared" si="241"/>
        <v>3.2340284436273135</v>
      </c>
      <c r="F1556" s="2">
        <f t="shared" si="242"/>
        <v>1.2732395447351628</v>
      </c>
      <c r="G1556" s="2">
        <v>2.71428</v>
      </c>
      <c r="H1556" s="2">
        <f t="shared" si="243"/>
        <v>8.9051183952000006</v>
      </c>
      <c r="I1556" s="2">
        <f>INDEX('Wood Density Lookup'!$B$2:$B$152,MATCH(B1556,'Wood Density Lookup'!$A$2:$A$152,0))</f>
        <v>0.5</v>
      </c>
      <c r="J1556" s="2">
        <f t="shared" si="244"/>
        <v>0.89634807470699285</v>
      </c>
      <c r="K1556" s="2">
        <f t="shared" si="248"/>
        <v>0.25097746091795803</v>
      </c>
      <c r="L1556" s="2">
        <f t="shared" si="249"/>
        <v>1.147325535624951</v>
      </c>
      <c r="M1556" s="2">
        <f t="shared" si="245"/>
        <v>0.83181101332808949</v>
      </c>
      <c r="N1556" s="2">
        <f t="shared" si="246"/>
        <v>0.41590550666404474</v>
      </c>
      <c r="O1556" s="2">
        <f t="shared" si="247"/>
        <v>1.5263732094570441</v>
      </c>
      <c r="P1556" s="2">
        <v>72.552002000000002</v>
      </c>
      <c r="Q1556" s="2">
        <v>23.035634999999999</v>
      </c>
    </row>
    <row r="1557" spans="1:17" x14ac:dyDescent="0.25">
      <c r="A1557" s="2">
        <v>1721</v>
      </c>
      <c r="B1557" s="2" t="s">
        <v>31</v>
      </c>
      <c r="C1557" s="2">
        <v>3</v>
      </c>
      <c r="D1557" s="2">
        <f t="shared" si="240"/>
        <v>7.62</v>
      </c>
      <c r="E1557" s="2">
        <f t="shared" si="241"/>
        <v>2.4255213327204852</v>
      </c>
      <c r="F1557" s="2">
        <f t="shared" si="242"/>
        <v>0.95492965855137202</v>
      </c>
      <c r="G1557" s="2">
        <v>1.018921</v>
      </c>
      <c r="H1557" s="2">
        <f t="shared" si="243"/>
        <v>3.3429167736399998</v>
      </c>
      <c r="I1557" s="2">
        <f>INDEX('Wood Density Lookup'!$B$2:$B$152,MATCH(B1557,'Wood Density Lookup'!$A$2:$A$152,0))</f>
        <v>0.78</v>
      </c>
      <c r="J1557" s="2">
        <f t="shared" si="244"/>
        <v>0.30323832555179858</v>
      </c>
      <c r="K1557" s="2">
        <f t="shared" si="248"/>
        <v>8.4906731154503617E-2</v>
      </c>
      <c r="L1557" s="2">
        <f t="shared" si="249"/>
        <v>0.38814505670630217</v>
      </c>
      <c r="M1557" s="2">
        <f t="shared" si="245"/>
        <v>0.28140516611206906</v>
      </c>
      <c r="N1557" s="2">
        <f t="shared" si="246"/>
        <v>0.14070258305603453</v>
      </c>
      <c r="O1557" s="2">
        <f t="shared" si="247"/>
        <v>0.51637847981564666</v>
      </c>
      <c r="P1557" s="2">
        <v>72.552004999999994</v>
      </c>
      <c r="Q1557" s="2">
        <v>23.036617</v>
      </c>
    </row>
    <row r="1558" spans="1:17" x14ac:dyDescent="0.25">
      <c r="A1558" s="2">
        <v>1722</v>
      </c>
      <c r="B1558" s="2" t="s">
        <v>82</v>
      </c>
      <c r="C1558" s="2">
        <v>15</v>
      </c>
      <c r="D1558" s="2">
        <f t="shared" si="240"/>
        <v>38.1</v>
      </c>
      <c r="E1558" s="2">
        <f t="shared" si="241"/>
        <v>12.127606663602425</v>
      </c>
      <c r="F1558" s="2">
        <f t="shared" si="242"/>
        <v>4.7746482927568605</v>
      </c>
      <c r="G1558" s="2">
        <v>4.1442269999999999</v>
      </c>
      <c r="H1558" s="2">
        <f t="shared" si="243"/>
        <v>13.596545710679999</v>
      </c>
      <c r="I1558" s="2">
        <f>INDEX('Wood Density Lookup'!$B$2:$B$152,MATCH(B1558,'Wood Density Lookup'!$A$2:$A$152,0))</f>
        <v>0.7</v>
      </c>
      <c r="J1558" s="2">
        <f t="shared" si="244"/>
        <v>24.830453030055175</v>
      </c>
      <c r="K1558" s="2">
        <f t="shared" si="248"/>
        <v>6.9525268484154497</v>
      </c>
      <c r="L1558" s="2">
        <f t="shared" si="249"/>
        <v>31.782979878470623</v>
      </c>
      <c r="M1558" s="2">
        <f t="shared" si="245"/>
        <v>23.042660411891202</v>
      </c>
      <c r="N1558" s="2">
        <f t="shared" si="246"/>
        <v>11.521330205945601</v>
      </c>
      <c r="O1558" s="2">
        <f t="shared" si="247"/>
        <v>42.283281855820356</v>
      </c>
      <c r="P1558" s="2">
        <v>72.552006000000006</v>
      </c>
      <c r="Q1558" s="2">
        <v>23.035395000000001</v>
      </c>
    </row>
    <row r="1559" spans="1:17" x14ac:dyDescent="0.25">
      <c r="A1559" s="2">
        <v>1723</v>
      </c>
      <c r="B1559" s="2" t="s">
        <v>72</v>
      </c>
      <c r="C1559" s="2">
        <v>41</v>
      </c>
      <c r="D1559" s="2">
        <f t="shared" si="240"/>
        <v>104.14</v>
      </c>
      <c r="E1559" s="2">
        <f t="shared" si="241"/>
        <v>33.148791547179961</v>
      </c>
      <c r="F1559" s="2">
        <f t="shared" si="242"/>
        <v>13.050705333535419</v>
      </c>
      <c r="G1559" s="2">
        <v>13.326890000000001</v>
      </c>
      <c r="H1559" s="2">
        <f t="shared" si="243"/>
        <v>43.723393787600003</v>
      </c>
      <c r="I1559" s="2">
        <f>INDEX('Wood Density Lookup'!$B$2:$B$152,MATCH(B1559,'Wood Density Lookup'!$A$2:$A$152,0))</f>
        <v>0.65</v>
      </c>
      <c r="J1559" s="2">
        <f t="shared" si="244"/>
        <v>514.17004738869252</v>
      </c>
      <c r="K1559" s="2">
        <f t="shared" si="248"/>
        <v>143.96761326883393</v>
      </c>
      <c r="L1559" s="2">
        <f t="shared" si="249"/>
        <v>658.13766065752645</v>
      </c>
      <c r="M1559" s="2">
        <f t="shared" si="245"/>
        <v>477.14980397670666</v>
      </c>
      <c r="N1559" s="2">
        <f t="shared" si="246"/>
        <v>238.57490198835333</v>
      </c>
      <c r="O1559" s="2">
        <f t="shared" si="247"/>
        <v>875.56989029725673</v>
      </c>
      <c r="P1559" s="2">
        <v>72.552006000000006</v>
      </c>
      <c r="Q1559" s="2">
        <v>23.038744000000001</v>
      </c>
    </row>
    <row r="1560" spans="1:17" x14ac:dyDescent="0.25">
      <c r="A1560" s="2">
        <v>1725</v>
      </c>
      <c r="B1560" s="2" t="s">
        <v>129</v>
      </c>
      <c r="C1560" s="2">
        <v>4</v>
      </c>
      <c r="D1560" s="2">
        <f t="shared" si="240"/>
        <v>10.16</v>
      </c>
      <c r="E1560" s="2">
        <f t="shared" si="241"/>
        <v>3.2340284436273135</v>
      </c>
      <c r="F1560" s="2">
        <f t="shared" si="242"/>
        <v>1.2732395447351628</v>
      </c>
      <c r="G1560" s="2">
        <v>1.0178510000000001</v>
      </c>
      <c r="H1560" s="2">
        <f t="shared" si="243"/>
        <v>3.33940627484</v>
      </c>
      <c r="I1560" s="2">
        <f>INDEX('Wood Density Lookup'!$B$2:$B$152,MATCH(B1560,'Wood Density Lookup'!$A$2:$A$152,0))</f>
        <v>0.4</v>
      </c>
      <c r="J1560" s="2">
        <f t="shared" si="244"/>
        <v>0.27678679625823543</v>
      </c>
      <c r="K1560" s="2">
        <f t="shared" si="248"/>
        <v>7.7500302952305936E-2</v>
      </c>
      <c r="L1560" s="2">
        <f t="shared" si="249"/>
        <v>0.35428709921054136</v>
      </c>
      <c r="M1560" s="2">
        <f t="shared" si="245"/>
        <v>0.25685814692764247</v>
      </c>
      <c r="N1560" s="2">
        <f t="shared" si="246"/>
        <v>0.12842907346382124</v>
      </c>
      <c r="O1560" s="2">
        <f t="shared" si="247"/>
        <v>0.47133469961222391</v>
      </c>
      <c r="P1560" s="2">
        <v>72.552009999999996</v>
      </c>
      <c r="Q1560" s="2">
        <v>23.038204</v>
      </c>
    </row>
    <row r="1561" spans="1:17" x14ac:dyDescent="0.25">
      <c r="A1561" s="2">
        <v>1726</v>
      </c>
      <c r="B1561" s="2" t="s">
        <v>114</v>
      </c>
      <c r="C1561" s="2">
        <v>94</v>
      </c>
      <c r="D1561" s="2">
        <f t="shared" si="240"/>
        <v>238.76</v>
      </c>
      <c r="E1561" s="2">
        <f t="shared" si="241"/>
        <v>75.999668425241865</v>
      </c>
      <c r="F1561" s="2">
        <f t="shared" si="242"/>
        <v>29.921129301276324</v>
      </c>
      <c r="G1561" s="2">
        <v>20.709688</v>
      </c>
      <c r="H1561" s="2">
        <f t="shared" si="243"/>
        <v>67.945172777919993</v>
      </c>
      <c r="I1561" s="2">
        <f>INDEX('Wood Density Lookup'!$B$2:$B$152,MATCH(B1561,'Wood Density Lookup'!$A$2:$A$152,0))</f>
        <v>0.55000000000000004</v>
      </c>
      <c r="J1561" s="2">
        <f t="shared" si="244"/>
        <v>3392.6485563222741</v>
      </c>
      <c r="K1561" s="2">
        <f t="shared" si="248"/>
        <v>949.94159577023686</v>
      </c>
      <c r="L1561" s="2">
        <f t="shared" si="249"/>
        <v>4342.5901520925108</v>
      </c>
      <c r="M1561" s="2">
        <f t="shared" si="245"/>
        <v>3148.3778602670704</v>
      </c>
      <c r="N1561" s="2">
        <f t="shared" si="246"/>
        <v>1574.1889301335352</v>
      </c>
      <c r="O1561" s="2">
        <f t="shared" si="247"/>
        <v>5777.2733735900738</v>
      </c>
      <c r="P1561" s="2">
        <v>72.552009999999996</v>
      </c>
      <c r="Q1561" s="2">
        <v>23.035730000000001</v>
      </c>
    </row>
    <row r="1562" spans="1:17" x14ac:dyDescent="0.25">
      <c r="A1562" s="2">
        <v>1727</v>
      </c>
      <c r="B1562" s="2" t="s">
        <v>30</v>
      </c>
      <c r="C1562" s="2">
        <v>16</v>
      </c>
      <c r="D1562" s="2">
        <f t="shared" si="240"/>
        <v>40.64</v>
      </c>
      <c r="E1562" s="2">
        <f t="shared" si="241"/>
        <v>12.936113774509254</v>
      </c>
      <c r="F1562" s="2">
        <f t="shared" si="242"/>
        <v>5.0929581789406511</v>
      </c>
      <c r="G1562" s="2">
        <v>8.7951379999999997</v>
      </c>
      <c r="H1562" s="2">
        <f t="shared" si="243"/>
        <v>28.855440555919998</v>
      </c>
      <c r="I1562" s="2">
        <f>INDEX('Wood Density Lookup'!$B$2:$B$152,MATCH(B1562,'Wood Density Lookup'!$A$2:$A$152,0))</f>
        <v>0.2</v>
      </c>
      <c r="J1562" s="2">
        <f t="shared" si="244"/>
        <v>17.28391985457559</v>
      </c>
      <c r="K1562" s="2">
        <f t="shared" si="248"/>
        <v>4.839497559281166</v>
      </c>
      <c r="L1562" s="2">
        <f t="shared" si="249"/>
        <v>22.123417413856757</v>
      </c>
      <c r="M1562" s="2">
        <f t="shared" si="245"/>
        <v>16.03947762504615</v>
      </c>
      <c r="N1562" s="2">
        <f t="shared" si="246"/>
        <v>8.0197388125230749</v>
      </c>
      <c r="O1562" s="2">
        <f t="shared" si="247"/>
        <v>29.432441441959686</v>
      </c>
      <c r="P1562" s="2">
        <v>72.552010999999993</v>
      </c>
      <c r="Q1562" s="2">
        <v>23.035233999999999</v>
      </c>
    </row>
    <row r="1563" spans="1:17" x14ac:dyDescent="0.25">
      <c r="A1563" s="2">
        <v>1728</v>
      </c>
      <c r="B1563" s="2" t="s">
        <v>111</v>
      </c>
      <c r="C1563" s="2">
        <v>8</v>
      </c>
      <c r="D1563" s="2">
        <f t="shared" si="240"/>
        <v>20.32</v>
      </c>
      <c r="E1563" s="2">
        <f t="shared" si="241"/>
        <v>6.4680568872546269</v>
      </c>
      <c r="F1563" s="2">
        <f t="shared" si="242"/>
        <v>2.5464790894703255</v>
      </c>
      <c r="G1563" s="2">
        <v>4.5568059999999999</v>
      </c>
      <c r="H1563" s="2">
        <f t="shared" si="243"/>
        <v>14.950151397039999</v>
      </c>
      <c r="I1563" s="2">
        <f>INDEX('Wood Density Lookup'!$B$2:$B$152,MATCH(B1563,'Wood Density Lookup'!$A$2:$A$152,0))</f>
        <v>0.4</v>
      </c>
      <c r="J1563" s="2">
        <f t="shared" si="244"/>
        <v>4.624968937250614</v>
      </c>
      <c r="K1563" s="2">
        <f t="shared" si="248"/>
        <v>1.294991302430172</v>
      </c>
      <c r="L1563" s="2">
        <f t="shared" si="249"/>
        <v>5.919960239680786</v>
      </c>
      <c r="M1563" s="2">
        <f t="shared" si="245"/>
        <v>4.2919711737685695</v>
      </c>
      <c r="N1563" s="2">
        <f t="shared" si="246"/>
        <v>2.1459855868842848</v>
      </c>
      <c r="O1563" s="2">
        <f t="shared" si="247"/>
        <v>7.875767103865325</v>
      </c>
      <c r="P1563" s="2">
        <v>72.552012000000005</v>
      </c>
      <c r="Q1563" s="2">
        <v>23.037502</v>
      </c>
    </row>
    <row r="1564" spans="1:17" x14ac:dyDescent="0.25">
      <c r="A1564" s="2">
        <v>1729</v>
      </c>
      <c r="B1564" s="2" t="s">
        <v>30</v>
      </c>
      <c r="C1564" s="2">
        <v>14</v>
      </c>
      <c r="D1564" s="2">
        <f t="shared" si="240"/>
        <v>35.56</v>
      </c>
      <c r="E1564" s="2">
        <f t="shared" si="241"/>
        <v>11.319099552695597</v>
      </c>
      <c r="F1564" s="2">
        <f t="shared" si="242"/>
        <v>4.45633840657307</v>
      </c>
      <c r="G1564" s="2">
        <v>9.3179970000000001</v>
      </c>
      <c r="H1564" s="2">
        <f t="shared" si="243"/>
        <v>30.570857277480002</v>
      </c>
      <c r="I1564" s="2">
        <f>INDEX('Wood Density Lookup'!$B$2:$B$152,MATCH(B1564,'Wood Density Lookup'!$A$2:$A$152,0))</f>
        <v>0.2</v>
      </c>
      <c r="J1564" s="2">
        <f t="shared" si="244"/>
        <v>14.09029071446221</v>
      </c>
      <c r="K1564" s="2">
        <f t="shared" si="248"/>
        <v>3.945281400049419</v>
      </c>
      <c r="L1564" s="2">
        <f t="shared" si="249"/>
        <v>18.035572114511631</v>
      </c>
      <c r="M1564" s="2">
        <f t="shared" si="245"/>
        <v>13.075789783020932</v>
      </c>
      <c r="N1564" s="2">
        <f t="shared" si="246"/>
        <v>6.537894891510466</v>
      </c>
      <c r="O1564" s="2">
        <f t="shared" si="247"/>
        <v>23.994074251843411</v>
      </c>
      <c r="P1564" s="2">
        <v>72.552013000000002</v>
      </c>
      <c r="Q1564" s="2">
        <v>23.035222000000001</v>
      </c>
    </row>
    <row r="1565" spans="1:17" x14ac:dyDescent="0.25">
      <c r="A1565" s="2">
        <v>1730</v>
      </c>
      <c r="B1565" s="2" t="s">
        <v>74</v>
      </c>
      <c r="C1565" s="2">
        <v>13</v>
      </c>
      <c r="D1565" s="2">
        <f t="shared" si="240"/>
        <v>33.020000000000003</v>
      </c>
      <c r="E1565" s="2">
        <f t="shared" si="241"/>
        <v>10.51059244178877</v>
      </c>
      <c r="F1565" s="2">
        <f t="shared" si="242"/>
        <v>4.1380285203892786</v>
      </c>
      <c r="G1565" s="2">
        <v>1.0694870000000001</v>
      </c>
      <c r="H1565" s="2">
        <f t="shared" si="243"/>
        <v>3.5088157290800002</v>
      </c>
      <c r="I1565" s="2">
        <f>INDEX('Wood Density Lookup'!$B$2:$B$152,MATCH(B1565,'Wood Density Lookup'!$A$2:$A$152,0))</f>
        <v>0.5</v>
      </c>
      <c r="J1565" s="2">
        <f t="shared" si="244"/>
        <v>3.6049676613306429</v>
      </c>
      <c r="K1565" s="2">
        <f t="shared" si="248"/>
        <v>1.0093909451725802</v>
      </c>
      <c r="L1565" s="2">
        <f t="shared" si="249"/>
        <v>4.6143586065032229</v>
      </c>
      <c r="M1565" s="2">
        <f t="shared" si="245"/>
        <v>3.3454099897148364</v>
      </c>
      <c r="N1565" s="2">
        <f t="shared" si="246"/>
        <v>1.6727049948574182</v>
      </c>
      <c r="O1565" s="2">
        <f t="shared" si="247"/>
        <v>6.1388273311267243</v>
      </c>
      <c r="P1565" s="2">
        <v>72.552014</v>
      </c>
      <c r="Q1565" s="2">
        <v>23.037922999999999</v>
      </c>
    </row>
    <row r="1566" spans="1:17" x14ac:dyDescent="0.25">
      <c r="A1566" s="2">
        <v>1731</v>
      </c>
      <c r="B1566" s="2" t="s">
        <v>6</v>
      </c>
      <c r="C1566" s="2">
        <v>8</v>
      </c>
      <c r="D1566" s="2">
        <f t="shared" si="240"/>
        <v>20.32</v>
      </c>
      <c r="E1566" s="2">
        <f t="shared" si="241"/>
        <v>6.4680568872546269</v>
      </c>
      <c r="F1566" s="2">
        <f t="shared" si="242"/>
        <v>2.5464790894703255</v>
      </c>
      <c r="G1566" s="2">
        <v>1.024491</v>
      </c>
      <c r="H1566" s="2">
        <f t="shared" si="243"/>
        <v>3.3611910524400002</v>
      </c>
      <c r="I1566" s="2">
        <f>INDEX('Wood Density Lookup'!$B$2:$B$152,MATCH(B1566,'Wood Density Lookup'!$A$2:$A$152,0))</f>
        <v>0.28000000000000003</v>
      </c>
      <c r="J1566" s="2">
        <f t="shared" si="244"/>
        <v>0.76090033054963635</v>
      </c>
      <c r="K1566" s="2">
        <f t="shared" si="248"/>
        <v>0.2130520925538982</v>
      </c>
      <c r="L1566" s="2">
        <f t="shared" si="249"/>
        <v>0.97395242310353458</v>
      </c>
      <c r="M1566" s="2">
        <f t="shared" si="245"/>
        <v>0.70611550675006252</v>
      </c>
      <c r="N1566" s="2">
        <f t="shared" si="246"/>
        <v>0.35305775337503126</v>
      </c>
      <c r="O1566" s="2">
        <f t="shared" si="247"/>
        <v>1.2957219548863648</v>
      </c>
      <c r="P1566" s="2">
        <v>72.552014</v>
      </c>
      <c r="Q1566" s="2">
        <v>23.037960999999999</v>
      </c>
    </row>
    <row r="1567" spans="1:17" x14ac:dyDescent="0.25">
      <c r="A1567" s="2">
        <v>1732</v>
      </c>
      <c r="B1567" s="2" t="s">
        <v>111</v>
      </c>
      <c r="C1567" s="2">
        <v>6</v>
      </c>
      <c r="D1567" s="2">
        <f t="shared" si="240"/>
        <v>15.24</v>
      </c>
      <c r="E1567" s="2">
        <f t="shared" si="241"/>
        <v>4.8510426654409704</v>
      </c>
      <c r="F1567" s="2">
        <f t="shared" si="242"/>
        <v>1.909859317102744</v>
      </c>
      <c r="G1567" s="2">
        <v>2.0148169999999999</v>
      </c>
      <c r="H1567" s="2">
        <f t="shared" si="243"/>
        <v>6.6102922062799996</v>
      </c>
      <c r="I1567" s="2">
        <f>INDEX('Wood Density Lookup'!$B$2:$B$152,MATCH(B1567,'Wood Density Lookup'!$A$2:$A$152,0))</f>
        <v>0.4</v>
      </c>
      <c r="J1567" s="2">
        <f t="shared" si="244"/>
        <v>1.1893499861552248</v>
      </c>
      <c r="K1567" s="2">
        <f t="shared" si="248"/>
        <v>0.333017996123463</v>
      </c>
      <c r="L1567" s="2">
        <f t="shared" si="249"/>
        <v>1.5223679822786877</v>
      </c>
      <c r="M1567" s="2">
        <f t="shared" si="245"/>
        <v>1.1037167871520486</v>
      </c>
      <c r="N1567" s="2">
        <f t="shared" si="246"/>
        <v>0.55185839357602429</v>
      </c>
      <c r="O1567" s="2">
        <f t="shared" si="247"/>
        <v>2.0253203044240089</v>
      </c>
      <c r="P1567" s="2">
        <v>72.552018000000004</v>
      </c>
      <c r="Q1567" s="2">
        <v>23.038004999999998</v>
      </c>
    </row>
    <row r="1568" spans="1:17" x14ac:dyDescent="0.25">
      <c r="A1568" s="2">
        <v>1733</v>
      </c>
      <c r="B1568" s="2" t="s">
        <v>29</v>
      </c>
      <c r="C1568" s="2">
        <v>12</v>
      </c>
      <c r="D1568" s="2">
        <f t="shared" si="240"/>
        <v>30.48</v>
      </c>
      <c r="E1568" s="2">
        <f t="shared" si="241"/>
        <v>9.7020853308819408</v>
      </c>
      <c r="F1568" s="2">
        <f t="shared" si="242"/>
        <v>3.8197186342054881</v>
      </c>
      <c r="G1568" s="2">
        <v>5.1084889999999996</v>
      </c>
      <c r="H1568" s="2">
        <f t="shared" si="243"/>
        <v>16.760135050759999</v>
      </c>
      <c r="I1568" s="2">
        <f>INDEX('Wood Density Lookup'!$B$2:$B$152,MATCH(B1568,'Wood Density Lookup'!$A$2:$A$152,0))</f>
        <v>0.65</v>
      </c>
      <c r="J1568" s="2">
        <f t="shared" si="244"/>
        <v>18.326207491690475</v>
      </c>
      <c r="K1568" s="2">
        <f t="shared" si="248"/>
        <v>5.1313380976733338</v>
      </c>
      <c r="L1568" s="2">
        <f t="shared" si="249"/>
        <v>23.457545589363811</v>
      </c>
      <c r="M1568" s="2">
        <f t="shared" si="245"/>
        <v>17.006720552288762</v>
      </c>
      <c r="N1568" s="2">
        <f t="shared" si="246"/>
        <v>8.5033602761443809</v>
      </c>
      <c r="O1568" s="2">
        <f t="shared" si="247"/>
        <v>31.207332213449877</v>
      </c>
      <c r="P1568" s="2">
        <v>72.552018000000004</v>
      </c>
      <c r="Q1568" s="2">
        <v>23.037234000000002</v>
      </c>
    </row>
    <row r="1569" spans="1:17" x14ac:dyDescent="0.25">
      <c r="A1569" s="2">
        <v>1735</v>
      </c>
      <c r="B1569" s="2" t="s">
        <v>143</v>
      </c>
      <c r="C1569" s="2">
        <v>20</v>
      </c>
      <c r="D1569" s="2">
        <f t="shared" si="240"/>
        <v>50.8</v>
      </c>
      <c r="E1569" s="2">
        <f t="shared" si="241"/>
        <v>16.170142218136565</v>
      </c>
      <c r="F1569" s="2">
        <f t="shared" si="242"/>
        <v>6.366197723675814</v>
      </c>
      <c r="G1569" s="2">
        <v>11.534534000000001</v>
      </c>
      <c r="H1569" s="2">
        <f t="shared" si="243"/>
        <v>37.842960528559999</v>
      </c>
      <c r="I1569" s="2">
        <f>INDEX('Wood Density Lookup'!$B$2:$B$152,MATCH(B1569,'Wood Density Lookup'!$A$2:$A$152,0))</f>
        <v>0.75</v>
      </c>
      <c r="J1569" s="2">
        <f t="shared" si="244"/>
        <v>126.4725643632484</v>
      </c>
      <c r="K1569" s="2">
        <f t="shared" si="248"/>
        <v>35.412318021709552</v>
      </c>
      <c r="L1569" s="2">
        <f t="shared" si="249"/>
        <v>161.88488238495796</v>
      </c>
      <c r="M1569" s="2">
        <f t="shared" si="245"/>
        <v>117.36653972909451</v>
      </c>
      <c r="N1569" s="2">
        <f t="shared" si="246"/>
        <v>58.683269864547256</v>
      </c>
      <c r="O1569" s="2">
        <f t="shared" si="247"/>
        <v>215.36760040288843</v>
      </c>
      <c r="P1569" s="2">
        <v>72.552020999999996</v>
      </c>
      <c r="Q1569" s="2">
        <v>23.037845999999998</v>
      </c>
    </row>
    <row r="1570" spans="1:17" x14ac:dyDescent="0.25">
      <c r="A1570" s="2">
        <v>1736</v>
      </c>
      <c r="B1570" s="2" t="s">
        <v>135</v>
      </c>
      <c r="C1570" s="2">
        <v>3</v>
      </c>
      <c r="D1570" s="2">
        <f t="shared" si="240"/>
        <v>7.62</v>
      </c>
      <c r="E1570" s="2">
        <f t="shared" si="241"/>
        <v>2.4255213327204852</v>
      </c>
      <c r="F1570" s="2">
        <f t="shared" si="242"/>
        <v>0.95492965855137202</v>
      </c>
      <c r="G1570" s="2">
        <v>11.588742</v>
      </c>
      <c r="H1570" s="2">
        <f t="shared" si="243"/>
        <v>38.020808303279999</v>
      </c>
      <c r="I1570" s="2">
        <f>INDEX('Wood Density Lookup'!$B$2:$B$152,MATCH(B1570,'Wood Density Lookup'!$A$2:$A$152,0))</f>
        <v>0.8</v>
      </c>
      <c r="J1570" s="2">
        <f t="shared" si="244"/>
        <v>3.3348005718799456</v>
      </c>
      <c r="K1570" s="2">
        <f t="shared" si="248"/>
        <v>0.93374416012638484</v>
      </c>
      <c r="L1570" s="2">
        <f t="shared" si="249"/>
        <v>4.2685447320063306</v>
      </c>
      <c r="M1570" s="2">
        <f t="shared" si="245"/>
        <v>3.0946949307045895</v>
      </c>
      <c r="N1570" s="2">
        <f t="shared" si="246"/>
        <v>1.5473474653522947</v>
      </c>
      <c r="O1570" s="2">
        <f t="shared" si="247"/>
        <v>5.6787651978429219</v>
      </c>
      <c r="P1570" s="2">
        <v>72.552020999999996</v>
      </c>
      <c r="Q1570" s="2">
        <v>23.034721000000001</v>
      </c>
    </row>
    <row r="1571" spans="1:17" x14ac:dyDescent="0.25">
      <c r="A1571" s="2">
        <v>1737</v>
      </c>
      <c r="B1571" s="2" t="s">
        <v>91</v>
      </c>
      <c r="C1571" s="2">
        <v>18</v>
      </c>
      <c r="D1571" s="2">
        <f t="shared" si="240"/>
        <v>45.72</v>
      </c>
      <c r="E1571" s="2">
        <f t="shared" si="241"/>
        <v>14.55312799632291</v>
      </c>
      <c r="F1571" s="2">
        <f t="shared" si="242"/>
        <v>5.7295779513082321</v>
      </c>
      <c r="G1571" s="2">
        <v>10.053777</v>
      </c>
      <c r="H1571" s="2">
        <f t="shared" si="243"/>
        <v>32.984833732680002</v>
      </c>
      <c r="I1571" s="2">
        <f>INDEX('Wood Density Lookup'!$B$2:$B$152,MATCH(B1571,'Wood Density Lookup'!$A$2:$A$152,0))</f>
        <v>0.5</v>
      </c>
      <c r="J1571" s="2">
        <f t="shared" si="244"/>
        <v>60.614137225122228</v>
      </c>
      <c r="K1571" s="2">
        <f t="shared" si="248"/>
        <v>16.971958423034227</v>
      </c>
      <c r="L1571" s="2">
        <f t="shared" si="249"/>
        <v>77.586095648156459</v>
      </c>
      <c r="M1571" s="2">
        <f t="shared" si="245"/>
        <v>56.24991934491343</v>
      </c>
      <c r="N1571" s="2">
        <f t="shared" si="246"/>
        <v>28.124959672456715</v>
      </c>
      <c r="O1571" s="2">
        <f t="shared" si="247"/>
        <v>103.21860199791614</v>
      </c>
      <c r="P1571" s="2">
        <v>72.552021999999994</v>
      </c>
      <c r="Q1571" s="2">
        <v>23.037811000000001</v>
      </c>
    </row>
    <row r="1572" spans="1:17" x14ac:dyDescent="0.25">
      <c r="A1572" s="2">
        <v>1738</v>
      </c>
      <c r="B1572" s="2" t="s">
        <v>145</v>
      </c>
      <c r="C1572" s="2">
        <v>34</v>
      </c>
      <c r="D1572" s="2">
        <f t="shared" si="240"/>
        <v>86.36</v>
      </c>
      <c r="E1572" s="2">
        <f t="shared" si="241"/>
        <v>27.489241770832162</v>
      </c>
      <c r="F1572" s="2">
        <f t="shared" si="242"/>
        <v>10.822536130248883</v>
      </c>
      <c r="G1572" s="2">
        <v>9.8787749999999992</v>
      </c>
      <c r="H1572" s="2">
        <f t="shared" si="243"/>
        <v>32.410680170999996</v>
      </c>
      <c r="I1572" s="2">
        <f>INDEX('Wood Density Lookup'!$B$2:$B$152,MATCH(B1572,'Wood Density Lookup'!$A$2:$A$152,0))</f>
        <v>0.55000000000000004</v>
      </c>
      <c r="J1572" s="2">
        <f t="shared" si="244"/>
        <v>226.300221132518</v>
      </c>
      <c r="K1572" s="2">
        <f t="shared" si="248"/>
        <v>63.364061917105047</v>
      </c>
      <c r="L1572" s="2">
        <f t="shared" si="249"/>
        <v>289.66428304962307</v>
      </c>
      <c r="M1572" s="2">
        <f t="shared" si="245"/>
        <v>210.00660521097672</v>
      </c>
      <c r="N1572" s="2">
        <f t="shared" si="246"/>
        <v>105.00330260548836</v>
      </c>
      <c r="O1572" s="2">
        <f t="shared" si="247"/>
        <v>385.36212056214225</v>
      </c>
      <c r="P1572" s="2">
        <v>72.552024000000003</v>
      </c>
      <c r="Q1572" s="2">
        <v>23.035198000000001</v>
      </c>
    </row>
    <row r="1573" spans="1:17" x14ac:dyDescent="0.25">
      <c r="A1573" s="2">
        <v>1740</v>
      </c>
      <c r="B1573" s="2" t="s">
        <v>93</v>
      </c>
      <c r="C1573" s="2">
        <v>3</v>
      </c>
      <c r="D1573" s="2">
        <f t="shared" si="240"/>
        <v>7.62</v>
      </c>
      <c r="E1573" s="2">
        <f t="shared" si="241"/>
        <v>2.4255213327204852</v>
      </c>
      <c r="F1573" s="2">
        <f t="shared" si="242"/>
        <v>0.95492965855137202</v>
      </c>
      <c r="G1573" s="2">
        <v>11.834434</v>
      </c>
      <c r="H1573" s="2">
        <f t="shared" si="243"/>
        <v>38.826884444560001</v>
      </c>
      <c r="I1573" s="2">
        <f>INDEX('Wood Density Lookup'!$B$2:$B$152,MATCH(B1573,'Wood Density Lookup'!$A$2:$A$152,0))</f>
        <v>0.9</v>
      </c>
      <c r="J1573" s="2">
        <f t="shared" si="244"/>
        <v>3.8184513184991453</v>
      </c>
      <c r="K1573" s="2">
        <f t="shared" si="248"/>
        <v>1.0691663691797608</v>
      </c>
      <c r="L1573" s="2">
        <f t="shared" si="249"/>
        <v>4.8876176876789064</v>
      </c>
      <c r="M1573" s="2">
        <f t="shared" si="245"/>
        <v>3.5435228235672072</v>
      </c>
      <c r="N1573" s="2">
        <f t="shared" si="246"/>
        <v>1.7717614117836036</v>
      </c>
      <c r="O1573" s="2">
        <f t="shared" si="247"/>
        <v>6.5023643812458252</v>
      </c>
      <c r="P1573" s="2">
        <v>72.552028000000007</v>
      </c>
      <c r="Q1573" s="2">
        <v>23.034784999999999</v>
      </c>
    </row>
    <row r="1574" spans="1:17" x14ac:dyDescent="0.25">
      <c r="A1574" s="2">
        <v>1741</v>
      </c>
      <c r="B1574" s="2" t="s">
        <v>15</v>
      </c>
      <c r="C1574" s="2">
        <v>34</v>
      </c>
      <c r="D1574" s="2">
        <f t="shared" si="240"/>
        <v>86.36</v>
      </c>
      <c r="E1574" s="2">
        <f t="shared" si="241"/>
        <v>27.489241770832162</v>
      </c>
      <c r="F1574" s="2">
        <f t="shared" si="242"/>
        <v>10.822536130248883</v>
      </c>
      <c r="G1574" s="2">
        <v>13.173406999999999</v>
      </c>
      <c r="H1574" s="2">
        <f t="shared" si="243"/>
        <v>43.219840621879996</v>
      </c>
      <c r="I1574" s="2">
        <f>INDEX('Wood Density Lookup'!$B$2:$B$152,MATCH(B1574,'Wood Density Lookup'!$A$2:$A$152,0))</f>
        <v>0.75</v>
      </c>
      <c r="J1574" s="2">
        <f t="shared" si="244"/>
        <v>405.64480821162056</v>
      </c>
      <c r="K1574" s="2">
        <f t="shared" si="248"/>
        <v>113.58054629925377</v>
      </c>
      <c r="L1574" s="2">
        <f t="shared" si="249"/>
        <v>519.22535451087435</v>
      </c>
      <c r="M1574" s="2">
        <f t="shared" si="245"/>
        <v>376.43838202038387</v>
      </c>
      <c r="N1574" s="2">
        <f t="shared" si="246"/>
        <v>188.21919101019193</v>
      </c>
      <c r="O1574" s="2">
        <f t="shared" si="247"/>
        <v>690.76443100740437</v>
      </c>
      <c r="P1574" s="2">
        <v>72.552028000000007</v>
      </c>
      <c r="Q1574" s="2">
        <v>23.035319999999999</v>
      </c>
    </row>
    <row r="1575" spans="1:17" x14ac:dyDescent="0.25">
      <c r="A1575" s="2">
        <v>1742</v>
      </c>
      <c r="B1575" s="2" t="s">
        <v>30</v>
      </c>
      <c r="C1575" s="2">
        <v>3</v>
      </c>
      <c r="D1575" s="2">
        <f t="shared" si="240"/>
        <v>7.62</v>
      </c>
      <c r="E1575" s="2">
        <f t="shared" si="241"/>
        <v>2.4255213327204852</v>
      </c>
      <c r="F1575" s="2">
        <f t="shared" si="242"/>
        <v>0.95492965855137202</v>
      </c>
      <c r="G1575" s="2">
        <v>9.2996289999999995</v>
      </c>
      <c r="H1575" s="2">
        <f t="shared" si="243"/>
        <v>30.510594808359997</v>
      </c>
      <c r="I1575" s="2">
        <f>INDEX('Wood Density Lookup'!$B$2:$B$152,MATCH(B1575,'Wood Density Lookup'!$A$2:$A$152,0))</f>
        <v>0.2</v>
      </c>
      <c r="J1575" s="2">
        <f t="shared" si="244"/>
        <v>0.69531618830807174</v>
      </c>
      <c r="K1575" s="2">
        <f t="shared" si="248"/>
        <v>0.19468853272626011</v>
      </c>
      <c r="L1575" s="2">
        <f t="shared" si="249"/>
        <v>0.89000472103433181</v>
      </c>
      <c r="M1575" s="2">
        <f t="shared" si="245"/>
        <v>0.6452534227498905</v>
      </c>
      <c r="N1575" s="2">
        <f t="shared" si="246"/>
        <v>0.32262671137494525</v>
      </c>
      <c r="O1575" s="2">
        <f t="shared" si="247"/>
        <v>1.184040030746049</v>
      </c>
      <c r="P1575" s="2">
        <v>72.552028000000007</v>
      </c>
      <c r="Q1575" s="2">
        <v>23.035219999999999</v>
      </c>
    </row>
    <row r="1576" spans="1:17" x14ac:dyDescent="0.25">
      <c r="A1576" s="2">
        <v>1743</v>
      </c>
      <c r="B1576" s="2" t="s">
        <v>30</v>
      </c>
      <c r="C1576" s="2">
        <v>4</v>
      </c>
      <c r="D1576" s="2">
        <f t="shared" si="240"/>
        <v>10.16</v>
      </c>
      <c r="E1576" s="2">
        <f t="shared" si="241"/>
        <v>3.2340284436273135</v>
      </c>
      <c r="F1576" s="2">
        <f t="shared" si="242"/>
        <v>1.2732395447351628</v>
      </c>
      <c r="G1576" s="2">
        <v>9.6302389999999995</v>
      </c>
      <c r="H1576" s="2">
        <f t="shared" si="243"/>
        <v>31.595273320759997</v>
      </c>
      <c r="I1576" s="2">
        <f>INDEX('Wood Density Lookup'!$B$2:$B$152,MATCH(B1576,'Wood Density Lookup'!$A$2:$A$152,0))</f>
        <v>0.2</v>
      </c>
      <c r="J1576" s="2">
        <f t="shared" si="244"/>
        <v>1.2614501195869283</v>
      </c>
      <c r="K1576" s="2">
        <f t="shared" si="248"/>
        <v>0.35320603348433999</v>
      </c>
      <c r="L1576" s="2">
        <f t="shared" si="249"/>
        <v>1.6146561530712682</v>
      </c>
      <c r="M1576" s="2">
        <f t="shared" si="245"/>
        <v>1.1706257109766693</v>
      </c>
      <c r="N1576" s="2">
        <f t="shared" si="246"/>
        <v>0.58531285548833467</v>
      </c>
      <c r="O1576" s="2">
        <f t="shared" si="247"/>
        <v>2.1480981796421883</v>
      </c>
      <c r="P1576" s="2">
        <v>72.552030000000002</v>
      </c>
      <c r="Q1576" s="2">
        <v>23.035208999999998</v>
      </c>
    </row>
    <row r="1577" spans="1:17" x14ac:dyDescent="0.25">
      <c r="A1577" s="2">
        <v>1744</v>
      </c>
      <c r="B1577" s="2" t="s">
        <v>135</v>
      </c>
      <c r="C1577" s="2">
        <v>2</v>
      </c>
      <c r="D1577" s="2">
        <f t="shared" si="240"/>
        <v>5.08</v>
      </c>
      <c r="E1577" s="2">
        <f t="shared" si="241"/>
        <v>1.6170142218136567</v>
      </c>
      <c r="F1577" s="2">
        <f t="shared" si="242"/>
        <v>0.63661977236758138</v>
      </c>
      <c r="G1577" s="2">
        <v>12.083216999999999</v>
      </c>
      <c r="H1577" s="2">
        <f t="shared" si="243"/>
        <v>39.643101662279996</v>
      </c>
      <c r="I1577" s="2">
        <f>INDEX('Wood Density Lookup'!$B$2:$B$152,MATCH(B1577,'Wood Density Lookup'!$A$2:$A$152,0))</f>
        <v>0.8</v>
      </c>
      <c r="J1577" s="2">
        <f t="shared" si="244"/>
        <v>1.574165897130589</v>
      </c>
      <c r="K1577" s="2">
        <f t="shared" si="248"/>
        <v>0.44076645119656493</v>
      </c>
      <c r="L1577" s="2">
        <f t="shared" si="249"/>
        <v>2.0149323483271537</v>
      </c>
      <c r="M1577" s="2">
        <f t="shared" si="245"/>
        <v>1.4608259525371865</v>
      </c>
      <c r="N1577" s="2">
        <f t="shared" si="246"/>
        <v>0.73041297626859325</v>
      </c>
      <c r="O1577" s="2">
        <f t="shared" si="247"/>
        <v>2.6806156229057372</v>
      </c>
      <c r="P1577" s="2">
        <v>72.552031999999997</v>
      </c>
      <c r="Q1577" s="2">
        <v>23.034713</v>
      </c>
    </row>
    <row r="1578" spans="1:17" x14ac:dyDescent="0.25">
      <c r="A1578" s="2">
        <v>1745</v>
      </c>
      <c r="B1578" s="2" t="s">
        <v>31</v>
      </c>
      <c r="C1578" s="2">
        <v>3</v>
      </c>
      <c r="D1578" s="2">
        <f t="shared" si="240"/>
        <v>7.62</v>
      </c>
      <c r="E1578" s="2">
        <f t="shared" si="241"/>
        <v>2.4255213327204852</v>
      </c>
      <c r="F1578" s="2">
        <f t="shared" si="242"/>
        <v>0.95492965855137202</v>
      </c>
      <c r="G1578" s="2">
        <v>1.011544</v>
      </c>
      <c r="H1578" s="2">
        <f t="shared" si="243"/>
        <v>3.31871401696</v>
      </c>
      <c r="I1578" s="2">
        <f>INDEX('Wood Density Lookup'!$B$2:$B$152,MATCH(B1578,'Wood Density Lookup'!$A$2:$A$152,0))</f>
        <v>0.78</v>
      </c>
      <c r="J1578" s="2">
        <f t="shared" si="244"/>
        <v>0.30109538066740404</v>
      </c>
      <c r="K1578" s="2">
        <f t="shared" si="248"/>
        <v>8.4306706586873142E-2</v>
      </c>
      <c r="L1578" s="2">
        <f t="shared" si="249"/>
        <v>0.38540208725427716</v>
      </c>
      <c r="M1578" s="2">
        <f t="shared" si="245"/>
        <v>0.27941651325935091</v>
      </c>
      <c r="N1578" s="2">
        <f t="shared" si="246"/>
        <v>0.13970825662967545</v>
      </c>
      <c r="O1578" s="2">
        <f t="shared" si="247"/>
        <v>0.51272930183090892</v>
      </c>
      <c r="P1578" s="2">
        <v>72.552032999999994</v>
      </c>
      <c r="Q1578" s="2">
        <v>23.036618000000001</v>
      </c>
    </row>
    <row r="1579" spans="1:17" x14ac:dyDescent="0.25">
      <c r="A1579" s="2">
        <v>1746</v>
      </c>
      <c r="B1579" s="2" t="s">
        <v>135</v>
      </c>
      <c r="C1579" s="2">
        <v>2</v>
      </c>
      <c r="D1579" s="2">
        <f t="shared" si="240"/>
        <v>5.08</v>
      </c>
      <c r="E1579" s="2">
        <f t="shared" si="241"/>
        <v>1.6170142218136567</v>
      </c>
      <c r="F1579" s="2">
        <f t="shared" si="242"/>
        <v>0.63661977236758138</v>
      </c>
      <c r="G1579" s="2">
        <v>12.443790999999999</v>
      </c>
      <c r="H1579" s="2">
        <f t="shared" si="243"/>
        <v>40.826087264439998</v>
      </c>
      <c r="I1579" s="2">
        <f>INDEX('Wood Density Lookup'!$B$2:$B$152,MATCH(B1579,'Wood Density Lookup'!$A$2:$A$152,0))</f>
        <v>0.8</v>
      </c>
      <c r="J1579" s="2">
        <f t="shared" si="244"/>
        <v>1.6199967739870824</v>
      </c>
      <c r="K1579" s="2">
        <f t="shared" si="248"/>
        <v>0.4535990967163831</v>
      </c>
      <c r="L1579" s="2">
        <f t="shared" si="249"/>
        <v>2.0735958707034654</v>
      </c>
      <c r="M1579" s="2">
        <f t="shared" si="245"/>
        <v>1.5033570062600123</v>
      </c>
      <c r="N1579" s="2">
        <f t="shared" si="246"/>
        <v>0.75167850313000617</v>
      </c>
      <c r="O1579" s="2">
        <f t="shared" si="247"/>
        <v>2.7586601064871226</v>
      </c>
      <c r="P1579" s="2">
        <v>72.552034000000006</v>
      </c>
      <c r="Q1579" s="2">
        <v>23.034697999999999</v>
      </c>
    </row>
    <row r="1580" spans="1:17" x14ac:dyDescent="0.25">
      <c r="A1580" s="2">
        <v>1748</v>
      </c>
      <c r="B1580" s="2" t="s">
        <v>9</v>
      </c>
      <c r="C1580" s="2">
        <v>28</v>
      </c>
      <c r="D1580" s="2">
        <f t="shared" si="240"/>
        <v>71.12</v>
      </c>
      <c r="E1580" s="2">
        <f t="shared" si="241"/>
        <v>22.638199105391195</v>
      </c>
      <c r="F1580" s="2">
        <f t="shared" si="242"/>
        <v>8.91267681314614</v>
      </c>
      <c r="G1580" s="2">
        <v>11.839414</v>
      </c>
      <c r="H1580" s="2">
        <f t="shared" si="243"/>
        <v>38.843223027759997</v>
      </c>
      <c r="I1580" s="2">
        <f>INDEX('Wood Density Lookup'!$B$2:$B$152,MATCH(B1580,'Wood Density Lookup'!$A$2:$A$152,0))</f>
        <v>0.42</v>
      </c>
      <c r="J1580" s="2">
        <f t="shared" si="244"/>
        <v>142.07837929534557</v>
      </c>
      <c r="K1580" s="2">
        <f t="shared" si="248"/>
        <v>39.781946202696766</v>
      </c>
      <c r="L1580" s="2">
        <f t="shared" si="249"/>
        <v>181.86032549804233</v>
      </c>
      <c r="M1580" s="2">
        <f t="shared" si="245"/>
        <v>131.8487359860807</v>
      </c>
      <c r="N1580" s="2">
        <f t="shared" si="246"/>
        <v>65.924367993040349</v>
      </c>
      <c r="O1580" s="2">
        <f t="shared" si="247"/>
        <v>241.94243053445808</v>
      </c>
      <c r="P1580" s="2">
        <v>72.552040000000005</v>
      </c>
      <c r="Q1580" s="2">
        <v>23.038149000000001</v>
      </c>
    </row>
    <row r="1581" spans="1:17" x14ac:dyDescent="0.25">
      <c r="A1581" s="2">
        <v>1749</v>
      </c>
      <c r="B1581" s="2" t="s">
        <v>15</v>
      </c>
      <c r="C1581" s="2">
        <v>105</v>
      </c>
      <c r="D1581" s="2">
        <f t="shared" si="240"/>
        <v>266.7</v>
      </c>
      <c r="E1581" s="2">
        <f t="shared" si="241"/>
        <v>84.893246645216976</v>
      </c>
      <c r="F1581" s="2">
        <f t="shared" si="242"/>
        <v>33.422538049298019</v>
      </c>
      <c r="G1581" s="2">
        <v>13.83888</v>
      </c>
      <c r="H1581" s="2">
        <f t="shared" si="243"/>
        <v>45.403151059199999</v>
      </c>
      <c r="I1581" s="2">
        <f>INDEX('Wood Density Lookup'!$B$2:$B$152,MATCH(B1581,'Wood Density Lookup'!$A$2:$A$152,0))</f>
        <v>0.75</v>
      </c>
      <c r="J1581" s="2">
        <f t="shared" si="244"/>
        <v>3845.4728835115775</v>
      </c>
      <c r="K1581" s="2">
        <f t="shared" si="248"/>
        <v>1076.7324073832417</v>
      </c>
      <c r="L1581" s="2">
        <f t="shared" si="249"/>
        <v>4922.205290894819</v>
      </c>
      <c r="M1581" s="2">
        <f t="shared" si="245"/>
        <v>3568.5988358987438</v>
      </c>
      <c r="N1581" s="2">
        <f t="shared" si="246"/>
        <v>1784.2994179493719</v>
      </c>
      <c r="O1581" s="2">
        <f t="shared" si="247"/>
        <v>6548.3788638741944</v>
      </c>
      <c r="P1581" s="2">
        <v>72.552047999999999</v>
      </c>
      <c r="Q1581" s="2">
        <v>23.036753000000001</v>
      </c>
    </row>
    <row r="1582" spans="1:17" x14ac:dyDescent="0.25">
      <c r="A1582" s="2">
        <v>1750</v>
      </c>
      <c r="B1582" s="2" t="s">
        <v>114</v>
      </c>
      <c r="C1582" s="2">
        <v>16</v>
      </c>
      <c r="D1582" s="2">
        <f t="shared" si="240"/>
        <v>40.64</v>
      </c>
      <c r="E1582" s="2">
        <f t="shared" si="241"/>
        <v>12.936113774509254</v>
      </c>
      <c r="F1582" s="2">
        <f t="shared" si="242"/>
        <v>5.0929581789406511</v>
      </c>
      <c r="G1582" s="2">
        <v>4.3137169999999996</v>
      </c>
      <c r="H1582" s="2">
        <f t="shared" si="243"/>
        <v>14.152615282279999</v>
      </c>
      <c r="I1582" s="2">
        <f>INDEX('Wood Density Lookup'!$B$2:$B$152,MATCH(B1582,'Wood Density Lookup'!$A$2:$A$152,0))</f>
        <v>0.55000000000000004</v>
      </c>
      <c r="J1582" s="2">
        <f t="shared" si="244"/>
        <v>23.145434019268965</v>
      </c>
      <c r="K1582" s="2">
        <f t="shared" si="248"/>
        <v>6.4807215253953112</v>
      </c>
      <c r="L1582" s="2">
        <f t="shared" si="249"/>
        <v>29.626155544664275</v>
      </c>
      <c r="M1582" s="2">
        <f t="shared" si="245"/>
        <v>21.478962769881598</v>
      </c>
      <c r="N1582" s="2">
        <f t="shared" si="246"/>
        <v>10.739481384940799</v>
      </c>
      <c r="O1582" s="2">
        <f t="shared" si="247"/>
        <v>39.413896682732734</v>
      </c>
      <c r="P1582" s="2">
        <v>72.552047999999999</v>
      </c>
      <c r="Q1582" s="2">
        <v>23.035432</v>
      </c>
    </row>
    <row r="1583" spans="1:17" x14ac:dyDescent="0.25">
      <c r="A1583" s="2">
        <v>1751</v>
      </c>
      <c r="B1583" s="2" t="s">
        <v>93</v>
      </c>
      <c r="C1583" s="2">
        <v>36</v>
      </c>
      <c r="D1583" s="2">
        <f t="shared" si="240"/>
        <v>91.44</v>
      </c>
      <c r="E1583" s="2">
        <f t="shared" si="241"/>
        <v>29.106255992645821</v>
      </c>
      <c r="F1583" s="2">
        <f t="shared" si="242"/>
        <v>11.459155902616464</v>
      </c>
      <c r="G1583" s="2">
        <v>8.2892499999999991</v>
      </c>
      <c r="H1583" s="2">
        <f t="shared" si="243"/>
        <v>27.195702969999996</v>
      </c>
      <c r="I1583" s="2">
        <f>INDEX('Wood Density Lookup'!$B$2:$B$152,MATCH(B1583,'Wood Density Lookup'!$A$2:$A$152,0))</f>
        <v>0.9</v>
      </c>
      <c r="J1583" s="2">
        <f t="shared" si="244"/>
        <v>344.76881052492291</v>
      </c>
      <c r="K1583" s="2">
        <f t="shared" si="248"/>
        <v>96.535266946978425</v>
      </c>
      <c r="L1583" s="2">
        <f t="shared" si="249"/>
        <v>441.30407747190134</v>
      </c>
      <c r="M1583" s="2">
        <f t="shared" si="245"/>
        <v>319.94545616712844</v>
      </c>
      <c r="N1583" s="2">
        <f t="shared" si="246"/>
        <v>159.97272808356422</v>
      </c>
      <c r="O1583" s="2">
        <f t="shared" si="247"/>
        <v>587.09991206668064</v>
      </c>
      <c r="P1583" s="2">
        <v>72.552048999999997</v>
      </c>
      <c r="Q1583" s="2">
        <v>23.034789</v>
      </c>
    </row>
    <row r="1584" spans="1:17" x14ac:dyDescent="0.25">
      <c r="A1584" s="2">
        <v>1752</v>
      </c>
      <c r="B1584" s="2" t="s">
        <v>31</v>
      </c>
      <c r="C1584" s="2">
        <v>4</v>
      </c>
      <c r="D1584" s="2">
        <f t="shared" si="240"/>
        <v>10.16</v>
      </c>
      <c r="E1584" s="2">
        <f t="shared" si="241"/>
        <v>3.2340284436273135</v>
      </c>
      <c r="F1584" s="2">
        <f t="shared" si="242"/>
        <v>1.2732395447351628</v>
      </c>
      <c r="G1584" s="2">
        <v>3.0610189999999999</v>
      </c>
      <c r="H1584" s="2">
        <f t="shared" si="243"/>
        <v>10.042713575960001</v>
      </c>
      <c r="I1584" s="2">
        <f>INDEX('Wood Density Lookup'!$B$2:$B$152,MATCH(B1584,'Wood Density Lookup'!$A$2:$A$152,0))</f>
        <v>0.78</v>
      </c>
      <c r="J1584" s="2">
        <f t="shared" si="244"/>
        <v>1.5556955289837155</v>
      </c>
      <c r="K1584" s="2">
        <f t="shared" si="248"/>
        <v>0.43559474811544041</v>
      </c>
      <c r="L1584" s="2">
        <f t="shared" si="249"/>
        <v>1.9912902770991558</v>
      </c>
      <c r="M1584" s="2">
        <f t="shared" si="245"/>
        <v>1.4436854508968879</v>
      </c>
      <c r="N1584" s="2">
        <f t="shared" si="246"/>
        <v>0.72184272544844397</v>
      </c>
      <c r="O1584" s="2">
        <f t="shared" si="247"/>
        <v>2.6491628023957894</v>
      </c>
      <c r="P1584" s="2">
        <v>72.552053000000001</v>
      </c>
      <c r="Q1584" s="2">
        <v>23.038207</v>
      </c>
    </row>
    <row r="1585" spans="1:17" x14ac:dyDescent="0.25">
      <c r="A1585" s="2">
        <v>1753</v>
      </c>
      <c r="B1585" s="2" t="s">
        <v>31</v>
      </c>
      <c r="C1585" s="2">
        <v>24</v>
      </c>
      <c r="D1585" s="2">
        <f t="shared" si="240"/>
        <v>60.96</v>
      </c>
      <c r="E1585" s="2">
        <f t="shared" si="241"/>
        <v>19.404170661763882</v>
      </c>
      <c r="F1585" s="2">
        <f t="shared" si="242"/>
        <v>7.6394372684109761</v>
      </c>
      <c r="G1585" s="2">
        <v>6.2982969999999998</v>
      </c>
      <c r="H1585" s="2">
        <f t="shared" si="243"/>
        <v>20.663704729479999</v>
      </c>
      <c r="I1585" s="2">
        <f>INDEX('Wood Density Lookup'!$B$2:$B$152,MATCH(B1585,'Wood Density Lookup'!$A$2:$A$152,0))</f>
        <v>0.78</v>
      </c>
      <c r="J1585" s="2">
        <f t="shared" si="244"/>
        <v>103.9231697281388</v>
      </c>
      <c r="K1585" s="2">
        <f t="shared" si="248"/>
        <v>29.098487523878866</v>
      </c>
      <c r="L1585" s="2">
        <f t="shared" si="249"/>
        <v>133.02165725201766</v>
      </c>
      <c r="M1585" s="2">
        <f t="shared" si="245"/>
        <v>96.440701507712802</v>
      </c>
      <c r="N1585" s="2">
        <f t="shared" si="246"/>
        <v>48.220350753856401</v>
      </c>
      <c r="O1585" s="2">
        <f t="shared" si="247"/>
        <v>176.96868726665298</v>
      </c>
      <c r="P1585" s="2">
        <v>72.552053999999998</v>
      </c>
      <c r="Q1585" s="2">
        <v>23.038782999999999</v>
      </c>
    </row>
    <row r="1586" spans="1:17" x14ac:dyDescent="0.25">
      <c r="A1586" s="2">
        <v>1754</v>
      </c>
      <c r="B1586" s="2" t="s">
        <v>52</v>
      </c>
      <c r="C1586" s="2">
        <v>6</v>
      </c>
      <c r="D1586" s="2">
        <f t="shared" si="240"/>
        <v>15.24</v>
      </c>
      <c r="E1586" s="2">
        <f t="shared" si="241"/>
        <v>4.8510426654409704</v>
      </c>
      <c r="F1586" s="2">
        <f t="shared" si="242"/>
        <v>1.909859317102744</v>
      </c>
      <c r="G1586" s="2">
        <v>1.3164020000000001</v>
      </c>
      <c r="H1586" s="2">
        <f t="shared" si="243"/>
        <v>4.3189043376800003</v>
      </c>
      <c r="I1586" s="2">
        <f>INDEX('Wood Density Lookup'!$B$2:$B$152,MATCH(B1586,'Wood Density Lookup'!$A$2:$A$152,0))</f>
        <v>0.5</v>
      </c>
      <c r="J1586" s="2">
        <f t="shared" si="244"/>
        <v>0.97607480169234517</v>
      </c>
      <c r="K1586" s="2">
        <f t="shared" si="248"/>
        <v>0.27330094447385667</v>
      </c>
      <c r="L1586" s="2">
        <f t="shared" si="249"/>
        <v>1.2493757461662018</v>
      </c>
      <c r="M1586" s="2">
        <f t="shared" si="245"/>
        <v>0.90579741597049634</v>
      </c>
      <c r="N1586" s="2">
        <f t="shared" si="246"/>
        <v>0.45289870798524817</v>
      </c>
      <c r="O1586" s="2">
        <f t="shared" si="247"/>
        <v>1.6621382583058608</v>
      </c>
      <c r="P1586" s="2">
        <v>72.552059</v>
      </c>
      <c r="Q1586" s="2">
        <v>23.035640000000001</v>
      </c>
    </row>
    <row r="1587" spans="1:17" x14ac:dyDescent="0.25">
      <c r="A1587" s="2">
        <v>1755</v>
      </c>
      <c r="B1587" s="2" t="s">
        <v>105</v>
      </c>
      <c r="C1587" s="2">
        <v>46</v>
      </c>
      <c r="D1587" s="2">
        <f t="shared" si="240"/>
        <v>116.84</v>
      </c>
      <c r="E1587" s="2">
        <f t="shared" si="241"/>
        <v>37.191327101714101</v>
      </c>
      <c r="F1587" s="2">
        <f t="shared" si="242"/>
        <v>14.642254764454371</v>
      </c>
      <c r="G1587" s="2">
        <v>11.906794</v>
      </c>
      <c r="H1587" s="2">
        <f t="shared" si="243"/>
        <v>39.064286026959998</v>
      </c>
      <c r="I1587" s="2">
        <f>INDEX('Wood Density Lookup'!$B$2:$B$152,MATCH(B1587,'Wood Density Lookup'!$A$2:$A$152,0))</f>
        <v>0.65</v>
      </c>
      <c r="J1587" s="2">
        <f t="shared" si="244"/>
        <v>576.62891317425817</v>
      </c>
      <c r="K1587" s="2">
        <f t="shared" si="248"/>
        <v>161.45609568879232</v>
      </c>
      <c r="L1587" s="2">
        <f t="shared" si="249"/>
        <v>738.08500886305046</v>
      </c>
      <c r="M1587" s="2">
        <f t="shared" si="245"/>
        <v>535.11163142571161</v>
      </c>
      <c r="N1587" s="2">
        <f t="shared" si="246"/>
        <v>267.5558157128558</v>
      </c>
      <c r="O1587" s="2">
        <f t="shared" si="247"/>
        <v>981.92984366618077</v>
      </c>
      <c r="P1587" s="2">
        <v>72.552062000000006</v>
      </c>
      <c r="Q1587" s="2">
        <v>23.038088999999999</v>
      </c>
    </row>
    <row r="1588" spans="1:17" x14ac:dyDescent="0.25">
      <c r="A1588" s="2">
        <v>1756</v>
      </c>
      <c r="B1588" s="2" t="s">
        <v>93</v>
      </c>
      <c r="C1588" s="2">
        <v>4</v>
      </c>
      <c r="D1588" s="2">
        <f t="shared" si="240"/>
        <v>10.16</v>
      </c>
      <c r="E1588" s="2">
        <f t="shared" si="241"/>
        <v>3.2340284436273135</v>
      </c>
      <c r="F1588" s="2">
        <f t="shared" si="242"/>
        <v>1.2732395447351628</v>
      </c>
      <c r="G1588" s="2">
        <v>2.069153</v>
      </c>
      <c r="H1588" s="2">
        <f t="shared" si="243"/>
        <v>6.7885599285199998</v>
      </c>
      <c r="I1588" s="2">
        <f>INDEX('Wood Density Lookup'!$B$2:$B$152,MATCH(B1588,'Wood Density Lookup'!$A$2:$A$152,0))</f>
        <v>0.9</v>
      </c>
      <c r="J1588" s="2">
        <f t="shared" si="244"/>
        <v>1.2206447915681016</v>
      </c>
      <c r="K1588" s="2">
        <f t="shared" si="248"/>
        <v>0.34178054163906846</v>
      </c>
      <c r="L1588" s="2">
        <f t="shared" si="249"/>
        <v>1.56242533320717</v>
      </c>
      <c r="M1588" s="2">
        <f t="shared" si="245"/>
        <v>1.1327583665751981</v>
      </c>
      <c r="N1588" s="2">
        <f t="shared" si="246"/>
        <v>0.56637918328759906</v>
      </c>
      <c r="O1588" s="2">
        <f t="shared" si="247"/>
        <v>2.0786116026654886</v>
      </c>
      <c r="P1588" s="2">
        <v>72.552062000000006</v>
      </c>
      <c r="Q1588" s="2">
        <v>23.037925000000001</v>
      </c>
    </row>
    <row r="1589" spans="1:17" x14ac:dyDescent="0.25">
      <c r="A1589" s="2">
        <v>1757</v>
      </c>
      <c r="B1589" s="2" t="s">
        <v>38</v>
      </c>
      <c r="C1589" s="2">
        <v>5</v>
      </c>
      <c r="D1589" s="2">
        <f t="shared" si="240"/>
        <v>12.7</v>
      </c>
      <c r="E1589" s="2">
        <f t="shared" si="241"/>
        <v>4.0425355545341413</v>
      </c>
      <c r="F1589" s="2">
        <f t="shared" si="242"/>
        <v>1.5915494309189535</v>
      </c>
      <c r="G1589" s="2">
        <v>1.0533170000000001</v>
      </c>
      <c r="H1589" s="2">
        <f t="shared" si="243"/>
        <v>3.4557645462800002</v>
      </c>
      <c r="I1589" s="2">
        <f>INDEX('Wood Density Lookup'!$B$2:$B$152,MATCH(B1589,'Wood Density Lookup'!$A$2:$A$152,0))</f>
        <v>0.4</v>
      </c>
      <c r="J1589" s="2">
        <f t="shared" si="244"/>
        <v>0.44241679253972077</v>
      </c>
      <c r="K1589" s="2">
        <f t="shared" si="248"/>
        <v>0.12387670191112182</v>
      </c>
      <c r="L1589" s="2">
        <f t="shared" si="249"/>
        <v>0.56629349445084265</v>
      </c>
      <c r="M1589" s="2">
        <f t="shared" si="245"/>
        <v>0.41056278347686093</v>
      </c>
      <c r="N1589" s="2">
        <f t="shared" si="246"/>
        <v>0.20528139173843046</v>
      </c>
      <c r="O1589" s="2">
        <f t="shared" si="247"/>
        <v>0.75338270768003979</v>
      </c>
      <c r="P1589" s="2">
        <v>72.552062000000006</v>
      </c>
      <c r="Q1589" s="2">
        <v>23.037962</v>
      </c>
    </row>
    <row r="1590" spans="1:17" x14ac:dyDescent="0.25">
      <c r="A1590" s="2">
        <v>1758</v>
      </c>
      <c r="B1590" s="2" t="s">
        <v>6</v>
      </c>
      <c r="C1590" s="2">
        <v>4</v>
      </c>
      <c r="D1590" s="2">
        <f t="shared" si="240"/>
        <v>10.16</v>
      </c>
      <c r="E1590" s="2">
        <f t="shared" si="241"/>
        <v>3.2340284436273135</v>
      </c>
      <c r="F1590" s="2">
        <f t="shared" si="242"/>
        <v>1.2732395447351628</v>
      </c>
      <c r="G1590" s="2">
        <v>3.1655389999999999</v>
      </c>
      <c r="H1590" s="2">
        <f t="shared" si="243"/>
        <v>10.385626972759999</v>
      </c>
      <c r="I1590" s="2">
        <f>INDEX('Wood Density Lookup'!$B$2:$B$152,MATCH(B1590,'Wood Density Lookup'!$A$2:$A$152,0))</f>
        <v>0.28000000000000003</v>
      </c>
      <c r="J1590" s="2">
        <f t="shared" si="244"/>
        <v>0.59142297787574682</v>
      </c>
      <c r="K1590" s="2">
        <f t="shared" si="248"/>
        <v>0.16559843380520914</v>
      </c>
      <c r="L1590" s="2">
        <f t="shared" si="249"/>
        <v>0.75702141168095594</v>
      </c>
      <c r="M1590" s="2">
        <f t="shared" si="245"/>
        <v>0.54884052346869305</v>
      </c>
      <c r="N1590" s="2">
        <f t="shared" si="246"/>
        <v>0.27442026173434653</v>
      </c>
      <c r="O1590" s="2">
        <f t="shared" si="247"/>
        <v>1.0071223605650517</v>
      </c>
      <c r="P1590" s="2">
        <v>72.552062000000006</v>
      </c>
      <c r="Q1590" s="2">
        <v>23.037880999999999</v>
      </c>
    </row>
    <row r="1591" spans="1:17" x14ac:dyDescent="0.25">
      <c r="A1591" s="2">
        <v>1759</v>
      </c>
      <c r="B1591" s="2" t="s">
        <v>93</v>
      </c>
      <c r="C1591" s="2">
        <v>5</v>
      </c>
      <c r="D1591" s="2">
        <f t="shared" si="240"/>
        <v>12.7</v>
      </c>
      <c r="E1591" s="2">
        <f t="shared" si="241"/>
        <v>4.0425355545341413</v>
      </c>
      <c r="F1591" s="2">
        <f t="shared" si="242"/>
        <v>1.5915494309189535</v>
      </c>
      <c r="G1591" s="2">
        <v>13.202624999999999</v>
      </c>
      <c r="H1591" s="2">
        <f t="shared" si="243"/>
        <v>43.315700204999999</v>
      </c>
      <c r="I1591" s="2">
        <f>INDEX('Wood Density Lookup'!$B$2:$B$152,MATCH(B1591,'Wood Density Lookup'!$A$2:$A$152,0))</f>
        <v>0.9</v>
      </c>
      <c r="J1591" s="2">
        <f t="shared" si="244"/>
        <v>11.516181643257772</v>
      </c>
      <c r="K1591" s="2">
        <f t="shared" si="248"/>
        <v>3.2245308601121763</v>
      </c>
      <c r="L1591" s="2">
        <f t="shared" si="249"/>
        <v>14.740712503369949</v>
      </c>
      <c r="M1591" s="2">
        <f t="shared" si="245"/>
        <v>10.687016564943212</v>
      </c>
      <c r="N1591" s="2">
        <f t="shared" si="246"/>
        <v>5.343508282471606</v>
      </c>
      <c r="O1591" s="2">
        <f t="shared" si="247"/>
        <v>19.610675396670793</v>
      </c>
      <c r="P1591" s="2">
        <v>72.552064000000001</v>
      </c>
      <c r="Q1591" s="2">
        <v>23.034790000000001</v>
      </c>
    </row>
    <row r="1592" spans="1:17" x14ac:dyDescent="0.25">
      <c r="A1592" s="2">
        <v>1760</v>
      </c>
      <c r="B1592" s="2" t="s">
        <v>111</v>
      </c>
      <c r="C1592" s="2">
        <v>6</v>
      </c>
      <c r="D1592" s="2">
        <f t="shared" si="240"/>
        <v>15.24</v>
      </c>
      <c r="E1592" s="2">
        <f t="shared" si="241"/>
        <v>4.8510426654409704</v>
      </c>
      <c r="F1592" s="2">
        <f t="shared" si="242"/>
        <v>1.909859317102744</v>
      </c>
      <c r="G1592" s="2">
        <v>1.052416</v>
      </c>
      <c r="H1592" s="2">
        <f t="shared" si="243"/>
        <v>3.4528085094400001</v>
      </c>
      <c r="I1592" s="2">
        <f>INDEX('Wood Density Lookup'!$B$2:$B$152,MATCH(B1592,'Wood Density Lookup'!$A$2:$A$152,0))</f>
        <v>0.4</v>
      </c>
      <c r="J1592" s="2">
        <f t="shared" si="244"/>
        <v>0.63100189475583091</v>
      </c>
      <c r="K1592" s="2">
        <f t="shared" si="248"/>
        <v>0.17668053053163266</v>
      </c>
      <c r="L1592" s="2">
        <f t="shared" si="249"/>
        <v>0.80768242528746359</v>
      </c>
      <c r="M1592" s="2">
        <f t="shared" si="245"/>
        <v>0.58556975833341107</v>
      </c>
      <c r="N1592" s="2">
        <f t="shared" si="246"/>
        <v>0.29278487916670554</v>
      </c>
      <c r="O1592" s="2">
        <f t="shared" si="247"/>
        <v>1.0745205065418093</v>
      </c>
      <c r="P1592" s="2">
        <v>72.552064000000001</v>
      </c>
      <c r="Q1592" s="2">
        <v>23.035734000000001</v>
      </c>
    </row>
    <row r="1593" spans="1:17" x14ac:dyDescent="0.25">
      <c r="A1593" s="2">
        <v>1761</v>
      </c>
      <c r="B1593" s="2" t="s">
        <v>15</v>
      </c>
      <c r="C1593" s="2">
        <v>89</v>
      </c>
      <c r="D1593" s="2">
        <f t="shared" si="240"/>
        <v>226.06</v>
      </c>
      <c r="E1593" s="2">
        <f t="shared" si="241"/>
        <v>71.957132870707724</v>
      </c>
      <c r="F1593" s="2">
        <f t="shared" si="242"/>
        <v>28.329579870357371</v>
      </c>
      <c r="G1593" s="2">
        <v>13.474259999999999</v>
      </c>
      <c r="H1593" s="2">
        <f t="shared" si="243"/>
        <v>44.206891178399999</v>
      </c>
      <c r="I1593" s="2">
        <f>INDEX('Wood Density Lookup'!$B$2:$B$152,MATCH(B1593,'Wood Density Lookup'!$A$2:$A$152,0))</f>
        <v>0.75</v>
      </c>
      <c r="J1593" s="2">
        <f t="shared" si="244"/>
        <v>2713.1875697703422</v>
      </c>
      <c r="K1593" s="2">
        <f t="shared" si="248"/>
        <v>759.69251953569585</v>
      </c>
      <c r="L1593" s="2">
        <f t="shared" si="249"/>
        <v>3472.8800893060379</v>
      </c>
      <c r="M1593" s="2">
        <f t="shared" si="245"/>
        <v>2517.8380647468775</v>
      </c>
      <c r="N1593" s="2">
        <f t="shared" si="246"/>
        <v>1258.9190323734388</v>
      </c>
      <c r="O1593" s="2">
        <f t="shared" si="247"/>
        <v>4620.2328488105204</v>
      </c>
      <c r="P1593" s="2">
        <v>72.552064999999999</v>
      </c>
      <c r="Q1593" s="2">
        <v>23.035323999999999</v>
      </c>
    </row>
    <row r="1594" spans="1:17" x14ac:dyDescent="0.25">
      <c r="A1594" s="2">
        <v>1762</v>
      </c>
      <c r="B1594" s="2" t="s">
        <v>107</v>
      </c>
      <c r="C1594" s="2">
        <v>4</v>
      </c>
      <c r="D1594" s="2">
        <f t="shared" si="240"/>
        <v>10.16</v>
      </c>
      <c r="E1594" s="2">
        <f t="shared" si="241"/>
        <v>3.2340284436273135</v>
      </c>
      <c r="F1594" s="2">
        <f t="shared" si="242"/>
        <v>1.2732395447351628</v>
      </c>
      <c r="G1594" s="2">
        <v>2.3876719999999998</v>
      </c>
      <c r="H1594" s="2">
        <f t="shared" si="243"/>
        <v>7.8335698044799988</v>
      </c>
      <c r="I1594" s="2">
        <f>INDEX('Wood Density Lookup'!$B$2:$B$152,MATCH(B1594,'Wood Density Lookup'!$A$2:$A$152,0))</f>
        <v>0.65</v>
      </c>
      <c r="J1594" s="2">
        <f t="shared" si="244"/>
        <v>1.0217431652083677</v>
      </c>
      <c r="K1594" s="2">
        <f t="shared" si="248"/>
        <v>0.28608808625834298</v>
      </c>
      <c r="L1594" s="2">
        <f t="shared" si="249"/>
        <v>1.3078312514667108</v>
      </c>
      <c r="M1594" s="2">
        <f t="shared" si="245"/>
        <v>0.94817765731336523</v>
      </c>
      <c r="N1594" s="2">
        <f t="shared" si="246"/>
        <v>0.47408882865668261</v>
      </c>
      <c r="O1594" s="2">
        <f t="shared" si="247"/>
        <v>1.7399060011700251</v>
      </c>
      <c r="P1594" s="2">
        <v>72.552064999999999</v>
      </c>
      <c r="Q1594" s="2">
        <v>23.037803</v>
      </c>
    </row>
    <row r="1595" spans="1:17" x14ac:dyDescent="0.25">
      <c r="A1595" s="2">
        <v>1763</v>
      </c>
      <c r="B1595" s="2" t="s">
        <v>31</v>
      </c>
      <c r="C1595" s="2">
        <v>19</v>
      </c>
      <c r="D1595" s="2">
        <f t="shared" si="240"/>
        <v>48.26</v>
      </c>
      <c r="E1595" s="2">
        <f t="shared" si="241"/>
        <v>15.361635107229738</v>
      </c>
      <c r="F1595" s="2">
        <f t="shared" si="242"/>
        <v>6.0478878374920226</v>
      </c>
      <c r="G1595" s="2">
        <v>8.3240739999999995</v>
      </c>
      <c r="H1595" s="2">
        <f t="shared" si="243"/>
        <v>27.309954942159997</v>
      </c>
      <c r="I1595" s="2">
        <f>INDEX('Wood Density Lookup'!$B$2:$B$152,MATCH(B1595,'Wood Density Lookup'!$A$2:$A$152,0))</f>
        <v>0.78</v>
      </c>
      <c r="J1595" s="2">
        <f t="shared" si="244"/>
        <v>86.471533094957707</v>
      </c>
      <c r="K1595" s="2">
        <f t="shared" si="248"/>
        <v>24.212029266588161</v>
      </c>
      <c r="L1595" s="2">
        <f t="shared" si="249"/>
        <v>110.68356236154587</v>
      </c>
      <c r="M1595" s="2">
        <f t="shared" si="245"/>
        <v>80.245582712120751</v>
      </c>
      <c r="N1595" s="2">
        <f t="shared" si="246"/>
        <v>40.122791356060375</v>
      </c>
      <c r="O1595" s="2">
        <f t="shared" si="247"/>
        <v>147.25064427674158</v>
      </c>
      <c r="P1595" s="2">
        <v>72.552065999999996</v>
      </c>
      <c r="Q1595" s="2">
        <v>23.038747000000001</v>
      </c>
    </row>
    <row r="1596" spans="1:17" x14ac:dyDescent="0.25">
      <c r="A1596" s="2">
        <v>1764</v>
      </c>
      <c r="B1596" s="2" t="s">
        <v>137</v>
      </c>
      <c r="C1596" s="2">
        <v>13</v>
      </c>
      <c r="D1596" s="2">
        <f t="shared" si="240"/>
        <v>33.020000000000003</v>
      </c>
      <c r="E1596" s="2">
        <f t="shared" si="241"/>
        <v>10.51059244178877</v>
      </c>
      <c r="F1596" s="2">
        <f t="shared" si="242"/>
        <v>4.1380285203892786</v>
      </c>
      <c r="G1596" s="2">
        <v>1.0265310000000001</v>
      </c>
      <c r="H1596" s="2">
        <f t="shared" si="243"/>
        <v>3.3678839660400004</v>
      </c>
      <c r="I1596" s="2">
        <f>INDEX('Wood Density Lookup'!$B$2:$B$152,MATCH(B1596,'Wood Density Lookup'!$A$2:$A$152,0))</f>
        <v>0.55000000000000004</v>
      </c>
      <c r="J1596" s="2">
        <f t="shared" si="244"/>
        <v>3.8012328664632125</v>
      </c>
      <c r="K1596" s="2">
        <f t="shared" si="248"/>
        <v>1.0643452026096996</v>
      </c>
      <c r="L1596" s="2">
        <f t="shared" si="249"/>
        <v>4.865578069072912</v>
      </c>
      <c r="M1596" s="2">
        <f t="shared" si="245"/>
        <v>3.5275441000778609</v>
      </c>
      <c r="N1596" s="2">
        <f t="shared" si="246"/>
        <v>1.7637720500389305</v>
      </c>
      <c r="O1596" s="2">
        <f t="shared" si="247"/>
        <v>6.4730434236428742</v>
      </c>
      <c r="P1596" s="2">
        <v>72.552065999999996</v>
      </c>
      <c r="Q1596" s="2">
        <v>23.038001999999999</v>
      </c>
    </row>
    <row r="1597" spans="1:17" x14ac:dyDescent="0.25">
      <c r="A1597" s="2">
        <v>1765</v>
      </c>
      <c r="B1597" s="2" t="s">
        <v>27</v>
      </c>
      <c r="C1597" s="2">
        <v>12</v>
      </c>
      <c r="D1597" s="2">
        <f t="shared" si="240"/>
        <v>30.48</v>
      </c>
      <c r="E1597" s="2">
        <f t="shared" si="241"/>
        <v>9.7020853308819408</v>
      </c>
      <c r="F1597" s="2">
        <f t="shared" si="242"/>
        <v>3.8197186342054881</v>
      </c>
      <c r="G1597" s="2">
        <v>2.179087</v>
      </c>
      <c r="H1597" s="2">
        <f t="shared" si="243"/>
        <v>7.1492357930799999</v>
      </c>
      <c r="I1597" s="2">
        <f>INDEX('Wood Density Lookup'!$B$2:$B$152,MATCH(B1597,'Wood Density Lookup'!$A$2:$A$152,0))</f>
        <v>0.6</v>
      </c>
      <c r="J1597" s="2">
        <f t="shared" si="244"/>
        <v>7.3791666813308279</v>
      </c>
      <c r="K1597" s="2">
        <f t="shared" si="248"/>
        <v>2.0661666707726321</v>
      </c>
      <c r="L1597" s="2">
        <f t="shared" si="249"/>
        <v>9.4453333521034608</v>
      </c>
      <c r="M1597" s="2">
        <f t="shared" si="245"/>
        <v>6.8478666802750086</v>
      </c>
      <c r="N1597" s="2">
        <f t="shared" si="246"/>
        <v>3.4239333401375043</v>
      </c>
      <c r="O1597" s="2">
        <f t="shared" si="247"/>
        <v>12.565835358304641</v>
      </c>
      <c r="P1597" s="2">
        <v>72.552065999999996</v>
      </c>
      <c r="Q1597" s="2">
        <v>23.037441000000001</v>
      </c>
    </row>
    <row r="1598" spans="1:17" x14ac:dyDescent="0.25">
      <c r="A1598" s="2">
        <v>1766</v>
      </c>
      <c r="B1598" s="2" t="s">
        <v>31</v>
      </c>
      <c r="C1598" s="2">
        <v>8</v>
      </c>
      <c r="D1598" s="2">
        <f t="shared" si="240"/>
        <v>20.32</v>
      </c>
      <c r="E1598" s="2">
        <f t="shared" si="241"/>
        <v>6.4680568872546269</v>
      </c>
      <c r="F1598" s="2">
        <f t="shared" si="242"/>
        <v>2.5464790894703255</v>
      </c>
      <c r="G1598" s="2">
        <v>7.1456080000000002</v>
      </c>
      <c r="H1598" s="2">
        <f t="shared" si="243"/>
        <v>23.443596550719999</v>
      </c>
      <c r="I1598" s="2">
        <f>INDEX('Wood Density Lookup'!$B$2:$B$152,MATCH(B1598,'Wood Density Lookup'!$A$2:$A$152,0))</f>
        <v>0.78</v>
      </c>
      <c r="J1598" s="2">
        <f t="shared" si="244"/>
        <v>13.768041345586024</v>
      </c>
      <c r="K1598" s="2">
        <f t="shared" si="248"/>
        <v>3.8550515767640872</v>
      </c>
      <c r="L1598" s="2">
        <f t="shared" si="249"/>
        <v>17.623092922350111</v>
      </c>
      <c r="M1598" s="2">
        <f t="shared" si="245"/>
        <v>12.776742368703831</v>
      </c>
      <c r="N1598" s="2">
        <f t="shared" si="246"/>
        <v>6.3883711843519153</v>
      </c>
      <c r="O1598" s="2">
        <f t="shared" si="247"/>
        <v>23.445322246571529</v>
      </c>
      <c r="P1598" s="2">
        <v>72.552066999999994</v>
      </c>
      <c r="Q1598" s="2">
        <v>23.038727000000002</v>
      </c>
    </row>
    <row r="1599" spans="1:17" x14ac:dyDescent="0.25">
      <c r="A1599" s="2">
        <v>1767</v>
      </c>
      <c r="B1599" s="2" t="s">
        <v>93</v>
      </c>
      <c r="C1599" s="2">
        <v>5</v>
      </c>
      <c r="D1599" s="2">
        <f t="shared" si="240"/>
        <v>12.7</v>
      </c>
      <c r="E1599" s="2">
        <f t="shared" si="241"/>
        <v>4.0425355545341413</v>
      </c>
      <c r="F1599" s="2">
        <f t="shared" si="242"/>
        <v>1.5915494309189535</v>
      </c>
      <c r="G1599" s="2">
        <v>2.2558929999999999</v>
      </c>
      <c r="H1599" s="2">
        <f t="shared" si="243"/>
        <v>7.4012239901200001</v>
      </c>
      <c r="I1599" s="2">
        <f>INDEX('Wood Density Lookup'!$B$2:$B$152,MATCH(B1599,'Wood Density Lookup'!$A$2:$A$152,0))</f>
        <v>0.9</v>
      </c>
      <c r="J1599" s="2">
        <f t="shared" si="244"/>
        <v>2.0529714884729025</v>
      </c>
      <c r="K1599" s="2">
        <f t="shared" si="248"/>
        <v>0.57483201677241269</v>
      </c>
      <c r="L1599" s="2">
        <f t="shared" si="249"/>
        <v>2.627803505245315</v>
      </c>
      <c r="M1599" s="2">
        <f t="shared" si="245"/>
        <v>1.9051575413028534</v>
      </c>
      <c r="N1599" s="2">
        <f t="shared" si="246"/>
        <v>0.95257877065142671</v>
      </c>
      <c r="O1599" s="2">
        <f t="shared" si="247"/>
        <v>3.4959640882907359</v>
      </c>
      <c r="P1599" s="2">
        <v>72.552068000000006</v>
      </c>
      <c r="Q1599" s="2">
        <v>23.037844</v>
      </c>
    </row>
    <row r="1600" spans="1:17" x14ac:dyDescent="0.25">
      <c r="A1600" s="2">
        <v>1768</v>
      </c>
      <c r="B1600" s="2" t="s">
        <v>31</v>
      </c>
      <c r="C1600" s="2">
        <v>2</v>
      </c>
      <c r="D1600" s="2">
        <f t="shared" si="240"/>
        <v>5.08</v>
      </c>
      <c r="E1600" s="2">
        <f t="shared" si="241"/>
        <v>1.6170142218136567</v>
      </c>
      <c r="F1600" s="2">
        <f t="shared" si="242"/>
        <v>0.63661977236758138</v>
      </c>
      <c r="G1600" s="2">
        <v>1.0047010000000001</v>
      </c>
      <c r="H1600" s="2">
        <f t="shared" si="243"/>
        <v>3.29626322884</v>
      </c>
      <c r="I1600" s="2">
        <f>INDEX('Wood Density Lookup'!$B$2:$B$152,MATCH(B1600,'Wood Density Lookup'!$A$2:$A$152,0))</f>
        <v>0.78</v>
      </c>
      <c r="J1600" s="2">
        <f t="shared" si="244"/>
        <v>0.13554913853495351</v>
      </c>
      <c r="K1600" s="2">
        <f t="shared" si="248"/>
        <v>3.795375878978699E-2</v>
      </c>
      <c r="L1600" s="2">
        <f t="shared" si="249"/>
        <v>0.1735028973247405</v>
      </c>
      <c r="M1600" s="2">
        <f t="shared" si="245"/>
        <v>0.12578960056043686</v>
      </c>
      <c r="N1600" s="2">
        <f t="shared" si="246"/>
        <v>6.2894800280218432E-2</v>
      </c>
      <c r="O1600" s="2">
        <f t="shared" si="247"/>
        <v>0.23082391702840163</v>
      </c>
      <c r="P1600" s="2">
        <v>72.552069000000003</v>
      </c>
      <c r="Q1600" s="2">
        <v>23.036622999999999</v>
      </c>
    </row>
    <row r="1601" spans="1:17" x14ac:dyDescent="0.25">
      <c r="A1601" s="2">
        <v>1769</v>
      </c>
      <c r="B1601" s="2" t="s">
        <v>62</v>
      </c>
      <c r="C1601" s="2">
        <v>3</v>
      </c>
      <c r="D1601" s="2">
        <f t="shared" ref="D1601:D1664" si="250">C1601*2.54</f>
        <v>7.62</v>
      </c>
      <c r="E1601" s="2">
        <f t="shared" ref="E1601:E1664" si="251">D1601/PI()</f>
        <v>2.4255213327204852</v>
      </c>
      <c r="F1601" s="2">
        <f t="shared" ref="F1601:F1664" si="252">C1601/PI()</f>
        <v>0.95492965855137202</v>
      </c>
      <c r="G1601" s="2">
        <v>1.121629</v>
      </c>
      <c r="H1601" s="2">
        <f t="shared" ref="H1601:H1664" si="253">G1601*3.28084</f>
        <v>3.67988528836</v>
      </c>
      <c r="I1601" s="2">
        <f>INDEX('Wood Density Lookup'!$B$2:$B$152,MATCH(B1601,'Wood Density Lookup'!$A$2:$A$152,0))</f>
        <v>0.47</v>
      </c>
      <c r="J1601" s="2">
        <f t="shared" ref="J1601:J1664" si="254">0.0673*POWER(I1601*E1601^2*G1601,0.976)</f>
        <v>0.20313042359921951</v>
      </c>
      <c r="K1601" s="2">
        <f t="shared" si="248"/>
        <v>5.6876518607781472E-2</v>
      </c>
      <c r="L1601" s="2">
        <f t="shared" si="249"/>
        <v>0.26000694220700099</v>
      </c>
      <c r="M1601" s="2">
        <f t="shared" ref="M1601:M1664" si="255">0.725*L1601</f>
        <v>0.18850503310007571</v>
      </c>
      <c r="N1601" s="2">
        <f t="shared" ref="N1601:N1664" si="256">0.5*M1601</f>
        <v>9.4252516550037857E-2</v>
      </c>
      <c r="O1601" s="2">
        <f t="shared" ref="O1601:O1664" si="257">3.67*N1601</f>
        <v>0.34590673573863895</v>
      </c>
      <c r="P1601" s="2">
        <v>72.552074000000005</v>
      </c>
      <c r="Q1601" s="2">
        <v>23.035814999999999</v>
      </c>
    </row>
    <row r="1602" spans="1:17" x14ac:dyDescent="0.25">
      <c r="A1602" s="2">
        <v>1770</v>
      </c>
      <c r="B1602" s="2" t="s">
        <v>114</v>
      </c>
      <c r="C1602" s="2">
        <v>1</v>
      </c>
      <c r="D1602" s="2">
        <f t="shared" si="250"/>
        <v>2.54</v>
      </c>
      <c r="E1602" s="2">
        <f t="shared" si="251"/>
        <v>0.80850711090682836</v>
      </c>
      <c r="F1602" s="2">
        <f t="shared" si="252"/>
        <v>0.31830988618379069</v>
      </c>
      <c r="G1602" s="2">
        <v>1.020203</v>
      </c>
      <c r="H1602" s="2">
        <f t="shared" si="253"/>
        <v>3.3471228105199997</v>
      </c>
      <c r="I1602" s="2">
        <f>INDEX('Wood Density Lookup'!$B$2:$B$152,MATCH(B1602,'Wood Density Lookup'!$A$2:$A$152,0))</f>
        <v>0.55000000000000004</v>
      </c>
      <c r="J1602" s="2">
        <f t="shared" si="254"/>
        <v>2.5286343337375686E-2</v>
      </c>
      <c r="K1602" s="2">
        <f t="shared" si="248"/>
        <v>7.080176134465193E-3</v>
      </c>
      <c r="L1602" s="2">
        <f t="shared" si="249"/>
        <v>3.2366519471840882E-2</v>
      </c>
      <c r="M1602" s="2">
        <f t="shared" si="255"/>
        <v>2.346572661708464E-2</v>
      </c>
      <c r="N1602" s="2">
        <f t="shared" si="256"/>
        <v>1.173286330854232E-2</v>
      </c>
      <c r="O1602" s="2">
        <f t="shared" si="257"/>
        <v>4.3059608342350314E-2</v>
      </c>
      <c r="P1602" s="2">
        <v>72.552075000000002</v>
      </c>
      <c r="Q1602" s="2">
        <v>23.035727000000001</v>
      </c>
    </row>
    <row r="1603" spans="1:17" x14ac:dyDescent="0.25">
      <c r="A1603" s="2">
        <v>1771</v>
      </c>
      <c r="B1603" s="2" t="s">
        <v>114</v>
      </c>
      <c r="C1603" s="2">
        <v>1</v>
      </c>
      <c r="D1603" s="2">
        <f t="shared" si="250"/>
        <v>2.54</v>
      </c>
      <c r="E1603" s="2">
        <f t="shared" si="251"/>
        <v>0.80850711090682836</v>
      </c>
      <c r="F1603" s="2">
        <f t="shared" si="252"/>
        <v>0.31830988618379069</v>
      </c>
      <c r="G1603" s="2">
        <v>12.574309</v>
      </c>
      <c r="H1603" s="2">
        <f t="shared" si="253"/>
        <v>41.254295939559995</v>
      </c>
      <c r="I1603" s="2">
        <f>INDEX('Wood Density Lookup'!$B$2:$B$152,MATCH(B1603,'Wood Density Lookup'!$A$2:$A$152,0))</f>
        <v>0.55000000000000004</v>
      </c>
      <c r="J1603" s="2">
        <f t="shared" si="254"/>
        <v>0.29342993801984046</v>
      </c>
      <c r="K1603" s="2">
        <f t="shared" ref="K1603:K1666" si="258">0.28*J1603</f>
        <v>8.2160382645555335E-2</v>
      </c>
      <c r="L1603" s="2">
        <f t="shared" ref="L1603:L1666" si="259">J1603+K1603</f>
        <v>0.37559032066539577</v>
      </c>
      <c r="M1603" s="2">
        <f t="shared" si="255"/>
        <v>0.27230298248241191</v>
      </c>
      <c r="N1603" s="2">
        <f t="shared" si="256"/>
        <v>0.13615149124120596</v>
      </c>
      <c r="O1603" s="2">
        <f t="shared" si="257"/>
        <v>0.49967597285522586</v>
      </c>
      <c r="P1603" s="2">
        <v>72.552076</v>
      </c>
      <c r="Q1603" s="2">
        <v>23.034793000000001</v>
      </c>
    </row>
    <row r="1604" spans="1:17" x14ac:dyDescent="0.25">
      <c r="A1604" s="2">
        <v>1773</v>
      </c>
      <c r="B1604" s="2" t="s">
        <v>111</v>
      </c>
      <c r="C1604" s="2">
        <v>27</v>
      </c>
      <c r="D1604" s="2">
        <f t="shared" si="250"/>
        <v>68.58</v>
      </c>
      <c r="E1604" s="2">
        <f t="shared" si="251"/>
        <v>21.829691994484364</v>
      </c>
      <c r="F1604" s="2">
        <f t="shared" si="252"/>
        <v>8.5943669269623477</v>
      </c>
      <c r="G1604" s="2">
        <v>12.389882999999999</v>
      </c>
      <c r="H1604" s="2">
        <f t="shared" si="253"/>
        <v>40.64922374172</v>
      </c>
      <c r="I1604" s="2">
        <f>INDEX('Wood Density Lookup'!$B$2:$B$152,MATCH(B1604,'Wood Density Lookup'!$A$2:$A$152,0))</f>
        <v>0.4</v>
      </c>
      <c r="J1604" s="2">
        <f t="shared" si="254"/>
        <v>131.91073465759627</v>
      </c>
      <c r="K1604" s="2">
        <f t="shared" si="258"/>
        <v>36.935005704126958</v>
      </c>
      <c r="L1604" s="2">
        <f t="shared" si="259"/>
        <v>168.84574036172322</v>
      </c>
      <c r="M1604" s="2">
        <f t="shared" si="255"/>
        <v>122.41316176224933</v>
      </c>
      <c r="N1604" s="2">
        <f t="shared" si="256"/>
        <v>61.206580881124665</v>
      </c>
      <c r="O1604" s="2">
        <f t="shared" si="257"/>
        <v>224.62815183372751</v>
      </c>
      <c r="P1604" s="2">
        <v>72.552080000000004</v>
      </c>
      <c r="Q1604" s="2">
        <v>23.035188000000002</v>
      </c>
    </row>
    <row r="1605" spans="1:17" x14ac:dyDescent="0.25">
      <c r="A1605" s="2">
        <v>1774</v>
      </c>
      <c r="B1605" s="2" t="s">
        <v>78</v>
      </c>
      <c r="C1605" s="2">
        <v>30</v>
      </c>
      <c r="D1605" s="2">
        <f t="shared" si="250"/>
        <v>76.2</v>
      </c>
      <c r="E1605" s="2">
        <f t="shared" si="251"/>
        <v>24.255213327204849</v>
      </c>
      <c r="F1605" s="2">
        <f t="shared" si="252"/>
        <v>9.5492965855137211</v>
      </c>
      <c r="G1605" s="2">
        <v>6.7964349999999998</v>
      </c>
      <c r="H1605" s="2">
        <f t="shared" si="253"/>
        <v>22.298015805399999</v>
      </c>
      <c r="I1605" s="2">
        <f>INDEX('Wood Density Lookup'!$B$2:$B$152,MATCH(B1605,'Wood Density Lookup'!$A$2:$A$152,0))</f>
        <v>0.55000000000000004</v>
      </c>
      <c r="J1605" s="2">
        <f t="shared" si="254"/>
        <v>123.04246453224739</v>
      </c>
      <c r="K1605" s="2">
        <f t="shared" si="258"/>
        <v>34.451890069029275</v>
      </c>
      <c r="L1605" s="2">
        <f t="shared" si="259"/>
        <v>157.49435460127665</v>
      </c>
      <c r="M1605" s="2">
        <f t="shared" si="255"/>
        <v>114.18340708592557</v>
      </c>
      <c r="N1605" s="2">
        <f t="shared" si="256"/>
        <v>57.091703542962783</v>
      </c>
      <c r="O1605" s="2">
        <f t="shared" si="257"/>
        <v>209.52655200267341</v>
      </c>
      <c r="P1605" s="2">
        <v>72.552081999999999</v>
      </c>
      <c r="Q1605" s="2">
        <v>23.037409</v>
      </c>
    </row>
    <row r="1606" spans="1:17" x14ac:dyDescent="0.25">
      <c r="A1606" s="2">
        <v>1775</v>
      </c>
      <c r="B1606" s="2" t="s">
        <v>111</v>
      </c>
      <c r="C1606" s="2">
        <v>5</v>
      </c>
      <c r="D1606" s="2">
        <f t="shared" si="250"/>
        <v>12.7</v>
      </c>
      <c r="E1606" s="2">
        <f t="shared" si="251"/>
        <v>4.0425355545341413</v>
      </c>
      <c r="F1606" s="2">
        <f t="shared" si="252"/>
        <v>1.5915494309189535</v>
      </c>
      <c r="G1606" s="2">
        <v>1.0405580000000001</v>
      </c>
      <c r="H1606" s="2">
        <f t="shared" si="253"/>
        <v>3.4139043087200003</v>
      </c>
      <c r="I1606" s="2">
        <f>INDEX('Wood Density Lookup'!$B$2:$B$152,MATCH(B1606,'Wood Density Lookup'!$A$2:$A$152,0))</f>
        <v>0.4</v>
      </c>
      <c r="J1606" s="2">
        <f t="shared" si="254"/>
        <v>0.43718558017858689</v>
      </c>
      <c r="K1606" s="2">
        <f t="shared" si="258"/>
        <v>0.12241196245000434</v>
      </c>
      <c r="L1606" s="2">
        <f t="shared" si="259"/>
        <v>0.55959754262859118</v>
      </c>
      <c r="M1606" s="2">
        <f t="shared" si="255"/>
        <v>0.40570821840572857</v>
      </c>
      <c r="N1606" s="2">
        <f t="shared" si="256"/>
        <v>0.20285410920286429</v>
      </c>
      <c r="O1606" s="2">
        <f t="shared" si="257"/>
        <v>0.7444745807745119</v>
      </c>
      <c r="P1606" s="2">
        <v>72.552083999999994</v>
      </c>
      <c r="Q1606" s="2">
        <v>23.035739</v>
      </c>
    </row>
    <row r="1607" spans="1:17" x14ac:dyDescent="0.25">
      <c r="A1607" s="2">
        <v>1776</v>
      </c>
      <c r="B1607" s="2" t="s">
        <v>76</v>
      </c>
      <c r="C1607" s="2">
        <v>3</v>
      </c>
      <c r="D1607" s="2">
        <f t="shared" si="250"/>
        <v>7.62</v>
      </c>
      <c r="E1607" s="2">
        <f t="shared" si="251"/>
        <v>2.4255213327204852</v>
      </c>
      <c r="F1607" s="2">
        <f t="shared" si="252"/>
        <v>0.95492965855137202</v>
      </c>
      <c r="G1607" s="2">
        <v>3.9967009999999998</v>
      </c>
      <c r="H1607" s="2">
        <f t="shared" si="253"/>
        <v>13.11253650884</v>
      </c>
      <c r="I1607" s="2">
        <f>INDEX('Wood Density Lookup'!$B$2:$B$152,MATCH(B1607,'Wood Density Lookup'!$A$2:$A$152,0))</f>
        <v>0.35</v>
      </c>
      <c r="J1607" s="2">
        <f t="shared" si="254"/>
        <v>0.52653330553015953</v>
      </c>
      <c r="K1607" s="2">
        <f t="shared" si="258"/>
        <v>0.14742932554844468</v>
      </c>
      <c r="L1607" s="2">
        <f t="shared" si="259"/>
        <v>0.67396263107860421</v>
      </c>
      <c r="M1607" s="2">
        <f t="shared" si="255"/>
        <v>0.48862290753198806</v>
      </c>
      <c r="N1607" s="2">
        <f t="shared" si="256"/>
        <v>0.24431145376599403</v>
      </c>
      <c r="O1607" s="2">
        <f t="shared" si="257"/>
        <v>0.89662303532119803</v>
      </c>
      <c r="P1607" s="2">
        <v>72.552086000000003</v>
      </c>
      <c r="Q1607" s="2">
        <v>23.035419999999998</v>
      </c>
    </row>
    <row r="1608" spans="1:17" x14ac:dyDescent="0.25">
      <c r="A1608" s="2">
        <v>1777</v>
      </c>
      <c r="B1608" s="2" t="s">
        <v>133</v>
      </c>
      <c r="C1608" s="2">
        <v>48</v>
      </c>
      <c r="D1608" s="2">
        <f t="shared" si="250"/>
        <v>121.92</v>
      </c>
      <c r="E1608" s="2">
        <f t="shared" si="251"/>
        <v>38.808341323527763</v>
      </c>
      <c r="F1608" s="2">
        <f t="shared" si="252"/>
        <v>15.278874536821952</v>
      </c>
      <c r="G1608" s="2">
        <v>15.848718999999999</v>
      </c>
      <c r="H1608" s="2">
        <f t="shared" si="253"/>
        <v>51.997111243959999</v>
      </c>
      <c r="I1608" s="2">
        <f>INDEX('Wood Density Lookup'!$B$2:$B$152,MATCH(B1608,'Wood Density Lookup'!$A$2:$A$152,0))</f>
        <v>0.55000000000000004</v>
      </c>
      <c r="J1608" s="2">
        <f t="shared" si="254"/>
        <v>703.69605004954667</v>
      </c>
      <c r="K1608" s="2">
        <f t="shared" si="258"/>
        <v>197.0348940138731</v>
      </c>
      <c r="L1608" s="2">
        <f t="shared" si="259"/>
        <v>900.73094406341977</v>
      </c>
      <c r="M1608" s="2">
        <f t="shared" si="255"/>
        <v>653.02993444597928</v>
      </c>
      <c r="N1608" s="2">
        <f t="shared" si="256"/>
        <v>326.51496722298964</v>
      </c>
      <c r="O1608" s="2">
        <f t="shared" si="257"/>
        <v>1198.309929708372</v>
      </c>
      <c r="P1608" s="2">
        <v>72.552087999999998</v>
      </c>
      <c r="Q1608" s="2">
        <v>23.03464</v>
      </c>
    </row>
    <row r="1609" spans="1:17" x14ac:dyDescent="0.25">
      <c r="A1609" s="2">
        <v>1778</v>
      </c>
      <c r="B1609" s="2" t="s">
        <v>31</v>
      </c>
      <c r="C1609" s="2">
        <v>2</v>
      </c>
      <c r="D1609" s="2">
        <f t="shared" si="250"/>
        <v>5.08</v>
      </c>
      <c r="E1609" s="2">
        <f t="shared" si="251"/>
        <v>1.6170142218136567</v>
      </c>
      <c r="F1609" s="2">
        <f t="shared" si="252"/>
        <v>0.63661977236758138</v>
      </c>
      <c r="G1609" s="2">
        <v>1.0372699999999999</v>
      </c>
      <c r="H1609" s="2">
        <f t="shared" si="253"/>
        <v>3.4031169067999998</v>
      </c>
      <c r="I1609" s="2">
        <f>INDEX('Wood Density Lookup'!$B$2:$B$152,MATCH(B1609,'Wood Density Lookup'!$A$2:$A$152,0))</f>
        <v>0.78</v>
      </c>
      <c r="J1609" s="2">
        <f t="shared" si="254"/>
        <v>0.13983607489045288</v>
      </c>
      <c r="K1609" s="2">
        <f t="shared" si="258"/>
        <v>3.915410096932681E-2</v>
      </c>
      <c r="L1609" s="2">
        <f t="shared" si="259"/>
        <v>0.17899017585977969</v>
      </c>
      <c r="M1609" s="2">
        <f t="shared" si="255"/>
        <v>0.12976787749834026</v>
      </c>
      <c r="N1609" s="2">
        <f t="shared" si="256"/>
        <v>6.4883938749170131E-2</v>
      </c>
      <c r="O1609" s="2">
        <f t="shared" si="257"/>
        <v>0.23812405520945437</v>
      </c>
      <c r="P1609" s="2">
        <v>72.552096000000006</v>
      </c>
      <c r="Q1609" s="2">
        <v>23.036625000000001</v>
      </c>
    </row>
    <row r="1610" spans="1:17" x14ac:dyDescent="0.25">
      <c r="A1610" s="2">
        <v>1779</v>
      </c>
      <c r="B1610" s="2" t="s">
        <v>31</v>
      </c>
      <c r="C1610" s="2">
        <v>3</v>
      </c>
      <c r="D1610" s="2">
        <f t="shared" si="250"/>
        <v>7.62</v>
      </c>
      <c r="E1610" s="2">
        <f t="shared" si="251"/>
        <v>2.4255213327204852</v>
      </c>
      <c r="F1610" s="2">
        <f t="shared" si="252"/>
        <v>0.95492965855137202</v>
      </c>
      <c r="G1610" s="2">
        <v>1.075696</v>
      </c>
      <c r="H1610" s="2">
        <f t="shared" si="253"/>
        <v>3.52918646464</v>
      </c>
      <c r="I1610" s="2">
        <f>INDEX('Wood Density Lookup'!$B$2:$B$152,MATCH(B1610,'Wood Density Lookup'!$A$2:$A$152,0))</f>
        <v>0.78</v>
      </c>
      <c r="J1610" s="2">
        <f t="shared" si="254"/>
        <v>0.31971863741270978</v>
      </c>
      <c r="K1610" s="2">
        <f t="shared" si="258"/>
        <v>8.9521218475558745E-2</v>
      </c>
      <c r="L1610" s="2">
        <f t="shared" si="259"/>
        <v>0.4092398558882685</v>
      </c>
      <c r="M1610" s="2">
        <f t="shared" si="255"/>
        <v>0.29669889551899464</v>
      </c>
      <c r="N1610" s="2">
        <f t="shared" si="256"/>
        <v>0.14834944775949732</v>
      </c>
      <c r="O1610" s="2">
        <f t="shared" si="257"/>
        <v>0.54444247327735518</v>
      </c>
      <c r="P1610" s="2">
        <v>72.552100999999993</v>
      </c>
      <c r="Q1610" s="2">
        <v>23.038202999999999</v>
      </c>
    </row>
    <row r="1611" spans="1:17" x14ac:dyDescent="0.25">
      <c r="A1611" s="2">
        <v>1780</v>
      </c>
      <c r="B1611" s="2" t="s">
        <v>134</v>
      </c>
      <c r="C1611" s="2">
        <v>7</v>
      </c>
      <c r="D1611" s="2">
        <f t="shared" si="250"/>
        <v>17.78</v>
      </c>
      <c r="E1611" s="2">
        <f t="shared" si="251"/>
        <v>5.6595497763477987</v>
      </c>
      <c r="F1611" s="2">
        <f t="shared" si="252"/>
        <v>2.228169203286535</v>
      </c>
      <c r="G1611" s="2">
        <v>11.299879000000001</v>
      </c>
      <c r="H1611" s="2">
        <f t="shared" si="253"/>
        <v>37.07309501836</v>
      </c>
      <c r="I1611" s="2">
        <f>INDEX('Wood Density Lookup'!$B$2:$B$152,MATCH(B1611,'Wood Density Lookup'!$A$2:$A$152,0))</f>
        <v>0.65</v>
      </c>
      <c r="J1611" s="2">
        <f t="shared" si="254"/>
        <v>13.888289468730466</v>
      </c>
      <c r="K1611" s="2">
        <f t="shared" si="258"/>
        <v>3.8887210512445312</v>
      </c>
      <c r="L1611" s="2">
        <f t="shared" si="259"/>
        <v>17.777010519974997</v>
      </c>
      <c r="M1611" s="2">
        <f t="shared" si="255"/>
        <v>12.888332626981873</v>
      </c>
      <c r="N1611" s="2">
        <f t="shared" si="256"/>
        <v>6.4441663134909364</v>
      </c>
      <c r="O1611" s="2">
        <f t="shared" si="257"/>
        <v>23.650090370511737</v>
      </c>
      <c r="P1611" s="2">
        <v>72.552100999999993</v>
      </c>
      <c r="Q1611" s="2">
        <v>23.038086</v>
      </c>
    </row>
    <row r="1612" spans="1:17" x14ac:dyDescent="0.25">
      <c r="A1612" s="2">
        <v>1781</v>
      </c>
      <c r="B1612" s="2" t="s">
        <v>28</v>
      </c>
      <c r="C1612" s="2">
        <v>4</v>
      </c>
      <c r="D1612" s="2">
        <f t="shared" si="250"/>
        <v>10.16</v>
      </c>
      <c r="E1612" s="2">
        <f t="shared" si="251"/>
        <v>3.2340284436273135</v>
      </c>
      <c r="F1612" s="2">
        <f t="shared" si="252"/>
        <v>1.2732395447351628</v>
      </c>
      <c r="G1612" s="2">
        <v>10.801721000000001</v>
      </c>
      <c r="H1612" s="2">
        <f t="shared" si="253"/>
        <v>35.438718325640004</v>
      </c>
      <c r="I1612" s="2">
        <f>INDEX('Wood Density Lookup'!$B$2:$B$152,MATCH(B1612,'Wood Density Lookup'!$A$2:$A$152,0))</f>
        <v>0.7</v>
      </c>
      <c r="J1612" s="2">
        <f t="shared" si="254"/>
        <v>4.7922541523695861</v>
      </c>
      <c r="K1612" s="2">
        <f t="shared" si="258"/>
        <v>1.3418311626634842</v>
      </c>
      <c r="L1612" s="2">
        <f t="shared" si="259"/>
        <v>6.1340853150330705</v>
      </c>
      <c r="M1612" s="2">
        <f t="shared" si="255"/>
        <v>4.4472118533989757</v>
      </c>
      <c r="N1612" s="2">
        <f t="shared" si="256"/>
        <v>2.2236059266994879</v>
      </c>
      <c r="O1612" s="2">
        <f t="shared" si="257"/>
        <v>8.1606337509871203</v>
      </c>
      <c r="P1612" s="2">
        <v>72.552102000000005</v>
      </c>
      <c r="Q1612" s="2">
        <v>23.038112000000002</v>
      </c>
    </row>
    <row r="1613" spans="1:17" x14ac:dyDescent="0.25">
      <c r="A1613" s="2">
        <v>1782</v>
      </c>
      <c r="B1613" s="2" t="s">
        <v>50</v>
      </c>
      <c r="C1613" s="2">
        <v>14</v>
      </c>
      <c r="D1613" s="2">
        <f t="shared" si="250"/>
        <v>35.56</v>
      </c>
      <c r="E1613" s="2">
        <f t="shared" si="251"/>
        <v>11.319099552695597</v>
      </c>
      <c r="F1613" s="2">
        <f t="shared" si="252"/>
        <v>4.45633840657307</v>
      </c>
      <c r="G1613" s="2">
        <v>4.151033</v>
      </c>
      <c r="H1613" s="2">
        <f t="shared" si="253"/>
        <v>13.618875107719999</v>
      </c>
      <c r="I1613" s="2">
        <f>INDEX('Wood Density Lookup'!$B$2:$B$152,MATCH(B1613,'Wood Density Lookup'!$A$2:$A$152,0))</f>
        <v>0.5</v>
      </c>
      <c r="J1613" s="2">
        <f t="shared" si="254"/>
        <v>15.652042372726175</v>
      </c>
      <c r="K1613" s="2">
        <f t="shared" si="258"/>
        <v>4.3825718643633298</v>
      </c>
      <c r="L1613" s="2">
        <f t="shared" si="259"/>
        <v>20.034614237089507</v>
      </c>
      <c r="M1613" s="2">
        <f t="shared" si="255"/>
        <v>14.525095321889891</v>
      </c>
      <c r="N1613" s="2">
        <f t="shared" si="256"/>
        <v>7.2625476609449455</v>
      </c>
      <c r="O1613" s="2">
        <f t="shared" si="257"/>
        <v>26.653549915667949</v>
      </c>
      <c r="P1613" s="2">
        <v>72.552104</v>
      </c>
      <c r="Q1613" s="2">
        <v>23.037275999999999</v>
      </c>
    </row>
    <row r="1614" spans="1:17" x14ac:dyDescent="0.25">
      <c r="A1614" s="2">
        <v>1783</v>
      </c>
      <c r="B1614" s="2" t="s">
        <v>25</v>
      </c>
      <c r="C1614" s="2">
        <v>5</v>
      </c>
      <c r="D1614" s="2">
        <f t="shared" si="250"/>
        <v>12.7</v>
      </c>
      <c r="E1614" s="2">
        <f t="shared" si="251"/>
        <v>4.0425355545341413</v>
      </c>
      <c r="F1614" s="2">
        <f t="shared" si="252"/>
        <v>1.5915494309189535</v>
      </c>
      <c r="G1614" s="2">
        <v>3.0322969999999998</v>
      </c>
      <c r="H1614" s="2">
        <f t="shared" si="253"/>
        <v>9.9484812894800001</v>
      </c>
      <c r="I1614" s="2">
        <f>INDEX('Wood Density Lookup'!$B$2:$B$152,MATCH(B1614,'Wood Density Lookup'!$A$2:$A$152,0))</f>
        <v>0.65</v>
      </c>
      <c r="J1614" s="2">
        <f t="shared" si="254"/>
        <v>1.9944172725615228</v>
      </c>
      <c r="K1614" s="2">
        <f t="shared" si="258"/>
        <v>0.5584368363172264</v>
      </c>
      <c r="L1614" s="2">
        <f t="shared" si="259"/>
        <v>2.5528541088787491</v>
      </c>
      <c r="M1614" s="2">
        <f t="shared" si="255"/>
        <v>1.8508192289370931</v>
      </c>
      <c r="N1614" s="2">
        <f t="shared" si="256"/>
        <v>0.92540961446854653</v>
      </c>
      <c r="O1614" s="2">
        <f t="shared" si="257"/>
        <v>3.3962532850995655</v>
      </c>
      <c r="P1614" s="2">
        <v>72.552104999999997</v>
      </c>
      <c r="Q1614" s="2">
        <v>23.038157999999999</v>
      </c>
    </row>
    <row r="1615" spans="1:17" x14ac:dyDescent="0.25">
      <c r="A1615" s="2">
        <v>1784</v>
      </c>
      <c r="B1615" s="2" t="s">
        <v>25</v>
      </c>
      <c r="C1615" s="2">
        <v>9</v>
      </c>
      <c r="D1615" s="2">
        <f t="shared" si="250"/>
        <v>22.86</v>
      </c>
      <c r="E1615" s="2">
        <f t="shared" si="251"/>
        <v>7.2765639981614552</v>
      </c>
      <c r="F1615" s="2">
        <f t="shared" si="252"/>
        <v>2.8647889756541161</v>
      </c>
      <c r="G1615" s="2">
        <v>4.1931960000000004</v>
      </c>
      <c r="H1615" s="2">
        <f t="shared" si="253"/>
        <v>13.757205164640002</v>
      </c>
      <c r="I1615" s="2">
        <f>INDEX('Wood Density Lookup'!$B$2:$B$152,MATCH(B1615,'Wood Density Lookup'!$A$2:$A$152,0))</f>
        <v>0.65</v>
      </c>
      <c r="J1615" s="2">
        <f t="shared" si="254"/>
        <v>8.6199117784644379</v>
      </c>
      <c r="K1615" s="2">
        <f t="shared" si="258"/>
        <v>2.4135752979700427</v>
      </c>
      <c r="L1615" s="2">
        <f t="shared" si="259"/>
        <v>11.033487076434481</v>
      </c>
      <c r="M1615" s="2">
        <f t="shared" si="255"/>
        <v>7.9992781304149982</v>
      </c>
      <c r="N1615" s="2">
        <f t="shared" si="256"/>
        <v>3.9996390652074991</v>
      </c>
      <c r="O1615" s="2">
        <f t="shared" si="257"/>
        <v>14.678675369311522</v>
      </c>
      <c r="P1615" s="2">
        <v>72.552104999999997</v>
      </c>
      <c r="Q1615" s="2">
        <v>23.037879</v>
      </c>
    </row>
    <row r="1616" spans="1:17" x14ac:dyDescent="0.25">
      <c r="A1616" s="2">
        <v>1785</v>
      </c>
      <c r="B1616" s="2" t="s">
        <v>16</v>
      </c>
      <c r="C1616" s="2">
        <v>5</v>
      </c>
      <c r="D1616" s="2">
        <f t="shared" si="250"/>
        <v>12.7</v>
      </c>
      <c r="E1616" s="2">
        <f t="shared" si="251"/>
        <v>4.0425355545341413</v>
      </c>
      <c r="F1616" s="2">
        <f t="shared" si="252"/>
        <v>1.5915494309189535</v>
      </c>
      <c r="G1616" s="2">
        <v>2.2610619999999999</v>
      </c>
      <c r="H1616" s="2">
        <f t="shared" si="253"/>
        <v>7.4181826520799996</v>
      </c>
      <c r="I1616" s="2">
        <f>INDEX('Wood Density Lookup'!$B$2:$B$152,MATCH(B1616,'Wood Density Lookup'!$A$2:$A$152,0))</f>
        <v>0.65</v>
      </c>
      <c r="J1616" s="2">
        <f t="shared" si="254"/>
        <v>1.4976688051504674</v>
      </c>
      <c r="K1616" s="2">
        <f t="shared" si="258"/>
        <v>0.41934726544213091</v>
      </c>
      <c r="L1616" s="2">
        <f t="shared" si="259"/>
        <v>1.9170160705925983</v>
      </c>
      <c r="M1616" s="2">
        <f t="shared" si="255"/>
        <v>1.3898366511796336</v>
      </c>
      <c r="N1616" s="2">
        <f t="shared" si="256"/>
        <v>0.69491832558981681</v>
      </c>
      <c r="O1616" s="2">
        <f t="shared" si="257"/>
        <v>2.5503502549146275</v>
      </c>
      <c r="P1616" s="2">
        <v>72.552108000000004</v>
      </c>
      <c r="Q1616" s="2">
        <v>23.037849000000001</v>
      </c>
    </row>
    <row r="1617" spans="1:17" x14ac:dyDescent="0.25">
      <c r="A1617" s="2">
        <v>1786</v>
      </c>
      <c r="B1617" s="2" t="s">
        <v>78</v>
      </c>
      <c r="C1617" s="2">
        <v>13</v>
      </c>
      <c r="D1617" s="2">
        <f t="shared" si="250"/>
        <v>33.020000000000003</v>
      </c>
      <c r="E1617" s="2">
        <f t="shared" si="251"/>
        <v>10.51059244178877</v>
      </c>
      <c r="F1617" s="2">
        <f t="shared" si="252"/>
        <v>4.1380285203892786</v>
      </c>
      <c r="G1617" s="2">
        <v>1.0726260000000001</v>
      </c>
      <c r="H1617" s="2">
        <f t="shared" si="253"/>
        <v>3.5191142858400002</v>
      </c>
      <c r="I1617" s="2">
        <f>INDEX('Wood Density Lookup'!$B$2:$B$152,MATCH(B1617,'Wood Density Lookup'!$A$2:$A$152,0))</f>
        <v>0.55000000000000004</v>
      </c>
      <c r="J1617" s="2">
        <f t="shared" si="254"/>
        <v>3.9677371738020408</v>
      </c>
      <c r="K1617" s="2">
        <f t="shared" si="258"/>
        <v>1.1109664086645716</v>
      </c>
      <c r="L1617" s="2">
        <f t="shared" si="259"/>
        <v>5.0787035824666127</v>
      </c>
      <c r="M1617" s="2">
        <f t="shared" si="255"/>
        <v>3.6820600972882942</v>
      </c>
      <c r="N1617" s="2">
        <f t="shared" si="256"/>
        <v>1.8410300486441471</v>
      </c>
      <c r="O1617" s="2">
        <f t="shared" si="257"/>
        <v>6.7565802785240194</v>
      </c>
      <c r="P1617" s="2">
        <v>72.552109999999999</v>
      </c>
      <c r="Q1617" s="2">
        <v>23.037931</v>
      </c>
    </row>
    <row r="1618" spans="1:17" x14ac:dyDescent="0.25">
      <c r="A1618" s="2">
        <v>1788</v>
      </c>
      <c r="B1618" s="2" t="s">
        <v>114</v>
      </c>
      <c r="C1618" s="2">
        <v>32</v>
      </c>
      <c r="D1618" s="2">
        <f t="shared" si="250"/>
        <v>81.28</v>
      </c>
      <c r="E1618" s="2">
        <f t="shared" si="251"/>
        <v>25.872227549018508</v>
      </c>
      <c r="F1618" s="2">
        <f t="shared" si="252"/>
        <v>10.185916357881302</v>
      </c>
      <c r="G1618" s="2">
        <v>13.533704999999999</v>
      </c>
      <c r="H1618" s="2">
        <f t="shared" si="253"/>
        <v>44.401920712199995</v>
      </c>
      <c r="I1618" s="2">
        <f>INDEX('Wood Density Lookup'!$B$2:$B$152,MATCH(B1618,'Wood Density Lookup'!$A$2:$A$152,0))</f>
        <v>0.55000000000000004</v>
      </c>
      <c r="J1618" s="2">
        <f t="shared" si="254"/>
        <v>273.35270445364353</v>
      </c>
      <c r="K1618" s="2">
        <f t="shared" si="258"/>
        <v>76.5387572470202</v>
      </c>
      <c r="L1618" s="2">
        <f t="shared" si="259"/>
        <v>349.89146170066374</v>
      </c>
      <c r="M1618" s="2">
        <f t="shared" si="255"/>
        <v>253.6713097329812</v>
      </c>
      <c r="N1618" s="2">
        <f t="shared" si="256"/>
        <v>126.8356548664906</v>
      </c>
      <c r="O1618" s="2">
        <f t="shared" si="257"/>
        <v>465.48685336002052</v>
      </c>
      <c r="P1618" s="2">
        <v>72.552115000000001</v>
      </c>
      <c r="Q1618" s="2">
        <v>23.036626999999999</v>
      </c>
    </row>
    <row r="1619" spans="1:17" x14ac:dyDescent="0.25">
      <c r="A1619" s="2">
        <v>1789</v>
      </c>
      <c r="B1619" s="2" t="s">
        <v>115</v>
      </c>
      <c r="C1619" s="2">
        <v>29</v>
      </c>
      <c r="D1619" s="2">
        <f t="shared" si="250"/>
        <v>73.66</v>
      </c>
      <c r="E1619" s="2">
        <f t="shared" si="251"/>
        <v>23.446706216298022</v>
      </c>
      <c r="F1619" s="2">
        <f t="shared" si="252"/>
        <v>9.2309866993299305</v>
      </c>
      <c r="G1619" s="2">
        <v>8.7718480000000003</v>
      </c>
      <c r="H1619" s="2">
        <f t="shared" si="253"/>
        <v>28.779029792319999</v>
      </c>
      <c r="I1619" s="2">
        <f>INDEX('Wood Density Lookup'!$B$2:$B$152,MATCH(B1619,'Wood Density Lookup'!$A$2:$A$152,0))</f>
        <v>0.65</v>
      </c>
      <c r="J1619" s="2">
        <f t="shared" si="254"/>
        <v>173.8902239319311</v>
      </c>
      <c r="K1619" s="2">
        <f t="shared" si="258"/>
        <v>48.689262700940716</v>
      </c>
      <c r="L1619" s="2">
        <f t="shared" si="259"/>
        <v>222.57948663287181</v>
      </c>
      <c r="M1619" s="2">
        <f t="shared" si="255"/>
        <v>161.37012780883205</v>
      </c>
      <c r="N1619" s="2">
        <f t="shared" si="256"/>
        <v>80.685063904416026</v>
      </c>
      <c r="O1619" s="2">
        <f t="shared" si="257"/>
        <v>296.1141845292068</v>
      </c>
      <c r="P1619" s="2">
        <v>72.552116999999996</v>
      </c>
      <c r="Q1619" s="2">
        <v>23.038696000000002</v>
      </c>
    </row>
    <row r="1620" spans="1:17" x14ac:dyDescent="0.25">
      <c r="A1620" s="2">
        <v>1790</v>
      </c>
      <c r="B1620" s="2" t="s">
        <v>68</v>
      </c>
      <c r="C1620" s="2">
        <v>20</v>
      </c>
      <c r="D1620" s="2">
        <f t="shared" si="250"/>
        <v>50.8</v>
      </c>
      <c r="E1620" s="2">
        <f t="shared" si="251"/>
        <v>16.170142218136565</v>
      </c>
      <c r="F1620" s="2">
        <f t="shared" si="252"/>
        <v>6.366197723675814</v>
      </c>
      <c r="G1620" s="2">
        <v>6.2205469999999998</v>
      </c>
      <c r="H1620" s="2">
        <f t="shared" si="253"/>
        <v>20.408619419480001</v>
      </c>
      <c r="I1620" s="2">
        <f>INDEX('Wood Density Lookup'!$B$2:$B$152,MATCH(B1620,'Wood Density Lookup'!$A$2:$A$152,0))</f>
        <v>0.6</v>
      </c>
      <c r="J1620" s="2">
        <f t="shared" si="254"/>
        <v>55.677123453076668</v>
      </c>
      <c r="K1620" s="2">
        <f t="shared" si="258"/>
        <v>15.589594566861468</v>
      </c>
      <c r="L1620" s="2">
        <f t="shared" si="259"/>
        <v>71.266718019938139</v>
      </c>
      <c r="M1620" s="2">
        <f t="shared" si="255"/>
        <v>51.668370564455152</v>
      </c>
      <c r="N1620" s="2">
        <f t="shared" si="256"/>
        <v>25.834185282227576</v>
      </c>
      <c r="O1620" s="2">
        <f t="shared" si="257"/>
        <v>94.811459985775201</v>
      </c>
      <c r="P1620" s="2">
        <v>72.552116999999996</v>
      </c>
      <c r="Q1620" s="2">
        <v>23.034828999999998</v>
      </c>
    </row>
    <row r="1621" spans="1:17" x14ac:dyDescent="0.25">
      <c r="A1621" s="2">
        <v>1791</v>
      </c>
      <c r="B1621" s="2" t="s">
        <v>93</v>
      </c>
      <c r="C1621" s="2">
        <v>34</v>
      </c>
      <c r="D1621" s="2">
        <f t="shared" si="250"/>
        <v>86.36</v>
      </c>
      <c r="E1621" s="2">
        <f t="shared" si="251"/>
        <v>27.489241770832162</v>
      </c>
      <c r="F1621" s="2">
        <f t="shared" si="252"/>
        <v>10.822536130248883</v>
      </c>
      <c r="G1621" s="2">
        <v>15.656796999999999</v>
      </c>
      <c r="H1621" s="2">
        <f t="shared" si="253"/>
        <v>51.367445869479994</v>
      </c>
      <c r="I1621" s="2">
        <f>INDEX('Wood Density Lookup'!$B$2:$B$152,MATCH(B1621,'Wood Density Lookup'!$A$2:$A$152,0))</f>
        <v>0.9</v>
      </c>
      <c r="J1621" s="2">
        <f t="shared" si="254"/>
        <v>573.62954728970715</v>
      </c>
      <c r="K1621" s="2">
        <f t="shared" si="258"/>
        <v>160.61627324111802</v>
      </c>
      <c r="L1621" s="2">
        <f t="shared" si="259"/>
        <v>734.2458205308252</v>
      </c>
      <c r="M1621" s="2">
        <f t="shared" si="255"/>
        <v>532.32821988484829</v>
      </c>
      <c r="N1621" s="2">
        <f t="shared" si="256"/>
        <v>266.16410994242415</v>
      </c>
      <c r="O1621" s="2">
        <f t="shared" si="257"/>
        <v>976.8222834886966</v>
      </c>
      <c r="P1621" s="2">
        <v>72.552119000000005</v>
      </c>
      <c r="Q1621" s="2">
        <v>23.034746999999999</v>
      </c>
    </row>
    <row r="1622" spans="1:17" x14ac:dyDescent="0.25">
      <c r="A1622" s="2">
        <v>1792</v>
      </c>
      <c r="B1622" s="2" t="s">
        <v>50</v>
      </c>
      <c r="C1622" s="2">
        <v>5</v>
      </c>
      <c r="D1622" s="2">
        <f t="shared" si="250"/>
        <v>12.7</v>
      </c>
      <c r="E1622" s="2">
        <f t="shared" si="251"/>
        <v>4.0425355545341413</v>
      </c>
      <c r="F1622" s="2">
        <f t="shared" si="252"/>
        <v>1.5915494309189535</v>
      </c>
      <c r="G1622" s="2">
        <v>1.057455</v>
      </c>
      <c r="H1622" s="2">
        <f t="shared" si="253"/>
        <v>3.4693406622</v>
      </c>
      <c r="I1622" s="2">
        <f>INDEX('Wood Density Lookup'!$B$2:$B$152,MATCH(B1622,'Wood Density Lookup'!$A$2:$A$152,0))</f>
        <v>0.5</v>
      </c>
      <c r="J1622" s="2">
        <f t="shared" si="254"/>
        <v>0.55217623325254883</v>
      </c>
      <c r="K1622" s="2">
        <f t="shared" si="258"/>
        <v>0.15460934531071369</v>
      </c>
      <c r="L1622" s="2">
        <f t="shared" si="259"/>
        <v>0.70678557856326252</v>
      </c>
      <c r="M1622" s="2">
        <f t="shared" si="255"/>
        <v>0.51241954445836535</v>
      </c>
      <c r="N1622" s="2">
        <f t="shared" si="256"/>
        <v>0.25620977222918268</v>
      </c>
      <c r="O1622" s="2">
        <f t="shared" si="257"/>
        <v>0.94028986408110038</v>
      </c>
      <c r="P1622" s="2">
        <v>72.552119000000005</v>
      </c>
      <c r="Q1622" s="2">
        <v>23.035827999999999</v>
      </c>
    </row>
    <row r="1623" spans="1:17" x14ac:dyDescent="0.25">
      <c r="A1623" s="2">
        <v>1793</v>
      </c>
      <c r="B1623" s="2" t="s">
        <v>31</v>
      </c>
      <c r="C1623" s="2">
        <v>18</v>
      </c>
      <c r="D1623" s="2">
        <f t="shared" si="250"/>
        <v>45.72</v>
      </c>
      <c r="E1623" s="2">
        <f t="shared" si="251"/>
        <v>14.55312799632291</v>
      </c>
      <c r="F1623" s="2">
        <f t="shared" si="252"/>
        <v>5.7295779513082321</v>
      </c>
      <c r="G1623" s="2">
        <v>5.4067379999999998</v>
      </c>
      <c r="H1623" s="2">
        <f t="shared" si="253"/>
        <v>17.738642299919999</v>
      </c>
      <c r="I1623" s="2">
        <f>INDEX('Wood Density Lookup'!$B$2:$B$152,MATCH(B1623,'Wood Density Lookup'!$A$2:$A$152,0))</f>
        <v>0.78</v>
      </c>
      <c r="J1623" s="2">
        <f t="shared" si="254"/>
        <v>51.066379335632504</v>
      </c>
      <c r="K1623" s="2">
        <f t="shared" si="258"/>
        <v>14.298586213977103</v>
      </c>
      <c r="L1623" s="2">
        <f t="shared" si="259"/>
        <v>65.364965549609607</v>
      </c>
      <c r="M1623" s="2">
        <f t="shared" si="255"/>
        <v>47.389600023466961</v>
      </c>
      <c r="N1623" s="2">
        <f t="shared" si="256"/>
        <v>23.694800011733481</v>
      </c>
      <c r="O1623" s="2">
        <f t="shared" si="257"/>
        <v>86.959916043061867</v>
      </c>
      <c r="P1623" s="2">
        <v>72.552121</v>
      </c>
      <c r="Q1623" s="2">
        <v>23.038758999999999</v>
      </c>
    </row>
    <row r="1624" spans="1:17" x14ac:dyDescent="0.25">
      <c r="A1624" s="2">
        <v>1794</v>
      </c>
      <c r="B1624" s="2" t="s">
        <v>93</v>
      </c>
      <c r="C1624" s="2">
        <v>84</v>
      </c>
      <c r="D1624" s="2">
        <f t="shared" si="250"/>
        <v>213.36</v>
      </c>
      <c r="E1624" s="2">
        <f t="shared" si="251"/>
        <v>67.914597316173584</v>
      </c>
      <c r="F1624" s="2">
        <f t="shared" si="252"/>
        <v>26.738030439438418</v>
      </c>
      <c r="G1624" s="2">
        <v>14.261379</v>
      </c>
      <c r="H1624" s="2">
        <f t="shared" si="253"/>
        <v>46.789302678360002</v>
      </c>
      <c r="I1624" s="2">
        <f>INDEX('Wood Density Lookup'!$B$2:$B$152,MATCH(B1624,'Wood Density Lookup'!$A$2:$A$152,0))</f>
        <v>0.9</v>
      </c>
      <c r="J1624" s="2">
        <f t="shared" si="254"/>
        <v>3060.620114935241</v>
      </c>
      <c r="K1624" s="2">
        <f t="shared" si="258"/>
        <v>856.97363218186752</v>
      </c>
      <c r="L1624" s="2">
        <f t="shared" si="259"/>
        <v>3917.5937471171083</v>
      </c>
      <c r="M1624" s="2">
        <f t="shared" si="255"/>
        <v>2840.2554666599035</v>
      </c>
      <c r="N1624" s="2">
        <f t="shared" si="256"/>
        <v>1420.1277333299518</v>
      </c>
      <c r="O1624" s="2">
        <f t="shared" si="257"/>
        <v>5211.8687813209226</v>
      </c>
      <c r="P1624" s="2">
        <v>72.552127999999996</v>
      </c>
      <c r="Q1624" s="2">
        <v>23.035754000000001</v>
      </c>
    </row>
    <row r="1625" spans="1:17" x14ac:dyDescent="0.25">
      <c r="A1625" s="2">
        <v>1795</v>
      </c>
      <c r="B1625" s="2" t="s">
        <v>93</v>
      </c>
      <c r="C1625" s="2">
        <v>5</v>
      </c>
      <c r="D1625" s="2">
        <f t="shared" si="250"/>
        <v>12.7</v>
      </c>
      <c r="E1625" s="2">
        <f t="shared" si="251"/>
        <v>4.0425355545341413</v>
      </c>
      <c r="F1625" s="2">
        <f t="shared" si="252"/>
        <v>1.5915494309189535</v>
      </c>
      <c r="G1625" s="2">
        <v>1.0034730000000001</v>
      </c>
      <c r="H1625" s="2">
        <f t="shared" si="253"/>
        <v>3.2922343573200004</v>
      </c>
      <c r="I1625" s="2">
        <f>INDEX('Wood Density Lookup'!$B$2:$B$152,MATCH(B1625,'Wood Density Lookup'!$A$2:$A$152,0))</f>
        <v>0.9</v>
      </c>
      <c r="J1625" s="2">
        <f t="shared" si="254"/>
        <v>0.93113707714775207</v>
      </c>
      <c r="K1625" s="2">
        <f t="shared" si="258"/>
        <v>0.26071838160137062</v>
      </c>
      <c r="L1625" s="2">
        <f t="shared" si="259"/>
        <v>1.1918554587491226</v>
      </c>
      <c r="M1625" s="2">
        <f t="shared" si="255"/>
        <v>0.86409520759311387</v>
      </c>
      <c r="N1625" s="2">
        <f t="shared" si="256"/>
        <v>0.43204760379655693</v>
      </c>
      <c r="O1625" s="2">
        <f t="shared" si="257"/>
        <v>1.5856147059333638</v>
      </c>
      <c r="P1625" s="2">
        <v>72.552128999999994</v>
      </c>
      <c r="Q1625" s="2">
        <v>23.038004000000001</v>
      </c>
    </row>
    <row r="1626" spans="1:17" x14ac:dyDescent="0.25">
      <c r="A1626" s="2">
        <v>1796</v>
      </c>
      <c r="B1626" s="2" t="s">
        <v>15</v>
      </c>
      <c r="C1626" s="2">
        <v>189</v>
      </c>
      <c r="D1626" s="2">
        <f t="shared" si="250"/>
        <v>480.06</v>
      </c>
      <c r="E1626" s="2">
        <f t="shared" si="251"/>
        <v>152.80784396139055</v>
      </c>
      <c r="F1626" s="2">
        <f t="shared" si="252"/>
        <v>60.160568488736438</v>
      </c>
      <c r="G1626" s="2">
        <v>18.534344999999998</v>
      </c>
      <c r="H1626" s="2">
        <f t="shared" si="253"/>
        <v>60.808220449799997</v>
      </c>
      <c r="I1626" s="2">
        <f>INDEX('Wood Density Lookup'!$B$2:$B$152,MATCH(B1626,'Wood Density Lookup'!$A$2:$A$152,0))</f>
        <v>0.75</v>
      </c>
      <c r="J1626" s="2">
        <f t="shared" si="254"/>
        <v>16109.162086975637</v>
      </c>
      <c r="K1626" s="2">
        <f t="shared" si="258"/>
        <v>4510.5653843531791</v>
      </c>
      <c r="L1626" s="2">
        <f t="shared" si="259"/>
        <v>20619.727471328817</v>
      </c>
      <c r="M1626" s="2">
        <f t="shared" si="255"/>
        <v>14949.302416713392</v>
      </c>
      <c r="N1626" s="2">
        <f t="shared" si="256"/>
        <v>7474.6512083566959</v>
      </c>
      <c r="O1626" s="2">
        <f t="shared" si="257"/>
        <v>27431.969934669072</v>
      </c>
      <c r="P1626" s="2">
        <v>72.552137999999999</v>
      </c>
      <c r="Q1626" s="2">
        <v>23.034918999999999</v>
      </c>
    </row>
    <row r="1627" spans="1:17" x14ac:dyDescent="0.25">
      <c r="A1627" s="2">
        <v>1798</v>
      </c>
      <c r="B1627" s="2" t="s">
        <v>68</v>
      </c>
      <c r="C1627" s="2">
        <v>28</v>
      </c>
      <c r="D1627" s="2">
        <f t="shared" si="250"/>
        <v>71.12</v>
      </c>
      <c r="E1627" s="2">
        <f t="shared" si="251"/>
        <v>22.638199105391195</v>
      </c>
      <c r="F1627" s="2">
        <f t="shared" si="252"/>
        <v>8.91267681314614</v>
      </c>
      <c r="G1627" s="2">
        <v>7.5378040000000004</v>
      </c>
      <c r="H1627" s="2">
        <f t="shared" si="253"/>
        <v>24.730328875360001</v>
      </c>
      <c r="I1627" s="2">
        <f>INDEX('Wood Density Lookup'!$B$2:$B$152,MATCH(B1627,'Wood Density Lookup'!$A$2:$A$152,0))</f>
        <v>0.6</v>
      </c>
      <c r="J1627" s="2">
        <f t="shared" si="254"/>
        <v>129.51885295574883</v>
      </c>
      <c r="K1627" s="2">
        <f t="shared" si="258"/>
        <v>36.265278827609677</v>
      </c>
      <c r="L1627" s="2">
        <f t="shared" si="259"/>
        <v>165.7841317833585</v>
      </c>
      <c r="M1627" s="2">
        <f t="shared" si="255"/>
        <v>120.19349554293491</v>
      </c>
      <c r="N1627" s="2">
        <f t="shared" si="256"/>
        <v>60.096747771467456</v>
      </c>
      <c r="O1627" s="2">
        <f t="shared" si="257"/>
        <v>220.55506432128556</v>
      </c>
      <c r="P1627" s="2">
        <v>72.552141000000006</v>
      </c>
      <c r="Q1627" s="2">
        <v>23.034829999999999</v>
      </c>
    </row>
    <row r="1628" spans="1:17" x14ac:dyDescent="0.25">
      <c r="A1628" s="2">
        <v>1799</v>
      </c>
      <c r="B1628" s="2" t="s">
        <v>93</v>
      </c>
      <c r="C1628" s="2">
        <v>11</v>
      </c>
      <c r="D1628" s="2">
        <f t="shared" si="250"/>
        <v>27.94</v>
      </c>
      <c r="E1628" s="2">
        <f t="shared" si="251"/>
        <v>8.8935782199751117</v>
      </c>
      <c r="F1628" s="2">
        <f t="shared" si="252"/>
        <v>3.5014087480216975</v>
      </c>
      <c r="G1628" s="2">
        <v>14.066898999999999</v>
      </c>
      <c r="H1628" s="2">
        <f t="shared" si="253"/>
        <v>46.151244915159999</v>
      </c>
      <c r="I1628" s="2">
        <f>INDEX('Wood Density Lookup'!$B$2:$B$152,MATCH(B1628,'Wood Density Lookup'!$A$2:$A$152,0))</f>
        <v>0.9</v>
      </c>
      <c r="J1628" s="2">
        <f t="shared" si="254"/>
        <v>57.094562127680085</v>
      </c>
      <c r="K1628" s="2">
        <f t="shared" si="258"/>
        <v>15.986477395750425</v>
      </c>
      <c r="L1628" s="2">
        <f t="shared" si="259"/>
        <v>73.081039523430505</v>
      </c>
      <c r="M1628" s="2">
        <f t="shared" si="255"/>
        <v>52.983753654487117</v>
      </c>
      <c r="N1628" s="2">
        <f t="shared" si="256"/>
        <v>26.491876827243559</v>
      </c>
      <c r="O1628" s="2">
        <f t="shared" si="257"/>
        <v>97.225187955983856</v>
      </c>
      <c r="P1628" s="2">
        <v>72.552141000000006</v>
      </c>
      <c r="Q1628" s="2">
        <v>23.034655000000001</v>
      </c>
    </row>
    <row r="1629" spans="1:17" x14ac:dyDescent="0.25">
      <c r="A1629" s="2">
        <v>1800</v>
      </c>
      <c r="B1629" s="2" t="s">
        <v>111</v>
      </c>
      <c r="C1629" s="2">
        <v>16</v>
      </c>
      <c r="D1629" s="2">
        <f t="shared" si="250"/>
        <v>40.64</v>
      </c>
      <c r="E1629" s="2">
        <f t="shared" si="251"/>
        <v>12.936113774509254</v>
      </c>
      <c r="F1629" s="2">
        <f t="shared" si="252"/>
        <v>5.0929581789406511</v>
      </c>
      <c r="G1629" s="2">
        <v>4.1008760000000004</v>
      </c>
      <c r="H1629" s="2">
        <f t="shared" si="253"/>
        <v>13.454318015840002</v>
      </c>
      <c r="I1629" s="2">
        <f>INDEX('Wood Density Lookup'!$B$2:$B$152,MATCH(B1629,'Wood Density Lookup'!$A$2:$A$152,0))</f>
        <v>0.4</v>
      </c>
      <c r="J1629" s="2">
        <f t="shared" si="254"/>
        <v>16.144860003332148</v>
      </c>
      <c r="K1629" s="2">
        <f t="shared" si="258"/>
        <v>4.5205608009330023</v>
      </c>
      <c r="L1629" s="2">
        <f t="shared" si="259"/>
        <v>20.66542080426515</v>
      </c>
      <c r="M1629" s="2">
        <f t="shared" si="255"/>
        <v>14.982430083092233</v>
      </c>
      <c r="N1629" s="2">
        <f t="shared" si="256"/>
        <v>7.4912150415461163</v>
      </c>
      <c r="O1629" s="2">
        <f t="shared" si="257"/>
        <v>27.492759202474247</v>
      </c>
      <c r="P1629" s="2">
        <v>72.552142000000003</v>
      </c>
      <c r="Q1629" s="2">
        <v>23.035430000000002</v>
      </c>
    </row>
    <row r="1630" spans="1:17" x14ac:dyDescent="0.25">
      <c r="A1630" s="2">
        <v>1801</v>
      </c>
      <c r="B1630" s="2" t="s">
        <v>93</v>
      </c>
      <c r="C1630" s="2">
        <v>3</v>
      </c>
      <c r="D1630" s="2">
        <f t="shared" si="250"/>
        <v>7.62</v>
      </c>
      <c r="E1630" s="2">
        <f t="shared" si="251"/>
        <v>2.4255213327204852</v>
      </c>
      <c r="F1630" s="2">
        <f t="shared" si="252"/>
        <v>0.95492965855137202</v>
      </c>
      <c r="G1630" s="2">
        <v>2.269228</v>
      </c>
      <c r="H1630" s="2">
        <f t="shared" si="253"/>
        <v>7.4449739915200004</v>
      </c>
      <c r="I1630" s="2">
        <f>INDEX('Wood Density Lookup'!$B$2:$B$152,MATCH(B1630,'Wood Density Lookup'!$A$2:$A$152,0))</f>
        <v>0.9</v>
      </c>
      <c r="J1630" s="2">
        <f t="shared" si="254"/>
        <v>0.76178490804523513</v>
      </c>
      <c r="K1630" s="2">
        <f t="shared" si="258"/>
        <v>0.21329977425266586</v>
      </c>
      <c r="L1630" s="2">
        <f t="shared" si="259"/>
        <v>0.97508468229790102</v>
      </c>
      <c r="M1630" s="2">
        <f t="shared" si="255"/>
        <v>0.70693639466597824</v>
      </c>
      <c r="N1630" s="2">
        <f t="shared" si="256"/>
        <v>0.35346819733298912</v>
      </c>
      <c r="O1630" s="2">
        <f t="shared" si="257"/>
        <v>1.2972282842120701</v>
      </c>
      <c r="P1630" s="2">
        <v>72.552142000000003</v>
      </c>
      <c r="Q1630" s="2">
        <v>23.037844</v>
      </c>
    </row>
    <row r="1631" spans="1:17" x14ac:dyDescent="0.25">
      <c r="A1631" s="2">
        <v>1802</v>
      </c>
      <c r="B1631" s="2" t="s">
        <v>31</v>
      </c>
      <c r="C1631" s="2">
        <v>4</v>
      </c>
      <c r="D1631" s="2">
        <f t="shared" si="250"/>
        <v>10.16</v>
      </c>
      <c r="E1631" s="2">
        <f t="shared" si="251"/>
        <v>3.2340284436273135</v>
      </c>
      <c r="F1631" s="2">
        <f t="shared" si="252"/>
        <v>1.2732395447351628</v>
      </c>
      <c r="G1631" s="2">
        <v>1.1001449999999999</v>
      </c>
      <c r="H1631" s="2">
        <f t="shared" si="253"/>
        <v>3.6093997217999996</v>
      </c>
      <c r="I1631" s="2">
        <f>INDEX('Wood Density Lookup'!$B$2:$B$152,MATCH(B1631,'Wood Density Lookup'!$A$2:$A$152,0))</f>
        <v>0.78</v>
      </c>
      <c r="J1631" s="2">
        <f t="shared" si="254"/>
        <v>0.57302621919797214</v>
      </c>
      <c r="K1631" s="2">
        <f t="shared" si="258"/>
        <v>0.16044734137543221</v>
      </c>
      <c r="L1631" s="2">
        <f t="shared" si="259"/>
        <v>0.7334735605734044</v>
      </c>
      <c r="M1631" s="2">
        <f t="shared" si="255"/>
        <v>0.53176833141571822</v>
      </c>
      <c r="N1631" s="2">
        <f t="shared" si="256"/>
        <v>0.26588416570785911</v>
      </c>
      <c r="O1631" s="2">
        <f t="shared" si="257"/>
        <v>0.97579488814784288</v>
      </c>
      <c r="P1631" s="2">
        <v>72.552143000000001</v>
      </c>
      <c r="Q1631" s="2">
        <v>23.036626999999999</v>
      </c>
    </row>
    <row r="1632" spans="1:17" x14ac:dyDescent="0.25">
      <c r="A1632" s="2">
        <v>1803</v>
      </c>
      <c r="B1632" s="2" t="s">
        <v>93</v>
      </c>
      <c r="C1632" s="2">
        <v>4</v>
      </c>
      <c r="D1632" s="2">
        <f t="shared" si="250"/>
        <v>10.16</v>
      </c>
      <c r="E1632" s="2">
        <f t="shared" si="251"/>
        <v>3.2340284436273135</v>
      </c>
      <c r="F1632" s="2">
        <f t="shared" si="252"/>
        <v>1.2732395447351628</v>
      </c>
      <c r="G1632" s="2">
        <v>2.6788020000000001</v>
      </c>
      <c r="H1632" s="2">
        <f t="shared" si="253"/>
        <v>8.7887207536799998</v>
      </c>
      <c r="I1632" s="2">
        <f>INDEX('Wood Density Lookup'!$B$2:$B$152,MATCH(B1632,'Wood Density Lookup'!$A$2:$A$152,0))</f>
        <v>0.9</v>
      </c>
      <c r="J1632" s="2">
        <f t="shared" si="254"/>
        <v>1.5705282749618019</v>
      </c>
      <c r="K1632" s="2">
        <f t="shared" si="258"/>
        <v>0.4397479169893046</v>
      </c>
      <c r="L1632" s="2">
        <f t="shared" si="259"/>
        <v>2.0102761919511067</v>
      </c>
      <c r="M1632" s="2">
        <f t="shared" si="255"/>
        <v>1.4574502391645523</v>
      </c>
      <c r="N1632" s="2">
        <f t="shared" si="256"/>
        <v>0.72872511958227615</v>
      </c>
      <c r="O1632" s="2">
        <f t="shared" si="257"/>
        <v>2.6744211888669533</v>
      </c>
      <c r="P1632" s="2">
        <v>72.552144999999996</v>
      </c>
      <c r="Q1632" s="2">
        <v>23.037963000000001</v>
      </c>
    </row>
    <row r="1633" spans="1:17" x14ac:dyDescent="0.25">
      <c r="A1633" s="2">
        <v>1804</v>
      </c>
      <c r="B1633" s="2" t="s">
        <v>33</v>
      </c>
      <c r="C1633" s="2">
        <v>8</v>
      </c>
      <c r="D1633" s="2">
        <f t="shared" si="250"/>
        <v>20.32</v>
      </c>
      <c r="E1633" s="2">
        <f t="shared" si="251"/>
        <v>6.4680568872546269</v>
      </c>
      <c r="F1633" s="2">
        <f t="shared" si="252"/>
        <v>2.5464790894703255</v>
      </c>
      <c r="G1633" s="2">
        <v>2.2141109999999999</v>
      </c>
      <c r="H1633" s="2">
        <f t="shared" si="253"/>
        <v>7.2641439332399997</v>
      </c>
      <c r="I1633" s="2">
        <f>INDEX('Wood Density Lookup'!$B$2:$B$152,MATCH(B1633,'Wood Density Lookup'!$A$2:$A$152,0))</f>
        <v>0.65</v>
      </c>
      <c r="J1633" s="2">
        <f t="shared" si="254"/>
        <v>3.6725153736135754</v>
      </c>
      <c r="K1633" s="2">
        <f t="shared" si="258"/>
        <v>1.0283043046118012</v>
      </c>
      <c r="L1633" s="2">
        <f t="shared" si="259"/>
        <v>4.7008196782253764</v>
      </c>
      <c r="M1633" s="2">
        <f t="shared" si="255"/>
        <v>3.4080942667133978</v>
      </c>
      <c r="N1633" s="2">
        <f t="shared" si="256"/>
        <v>1.7040471333566989</v>
      </c>
      <c r="O1633" s="2">
        <f t="shared" si="257"/>
        <v>6.2538529794190847</v>
      </c>
      <c r="P1633" s="2">
        <v>72.552144999999996</v>
      </c>
      <c r="Q1633" s="2">
        <v>23.037894000000001</v>
      </c>
    </row>
    <row r="1634" spans="1:17" x14ac:dyDescent="0.25">
      <c r="A1634" s="2">
        <v>1805</v>
      </c>
      <c r="B1634" s="2" t="s">
        <v>22</v>
      </c>
      <c r="C1634" s="2">
        <v>28</v>
      </c>
      <c r="D1634" s="2">
        <f t="shared" si="250"/>
        <v>71.12</v>
      </c>
      <c r="E1634" s="2">
        <f t="shared" si="251"/>
        <v>22.638199105391195</v>
      </c>
      <c r="F1634" s="2">
        <f t="shared" si="252"/>
        <v>8.91267681314614</v>
      </c>
      <c r="G1634" s="2">
        <v>2.095577</v>
      </c>
      <c r="H1634" s="2">
        <f t="shared" si="253"/>
        <v>6.8752528446800003</v>
      </c>
      <c r="I1634" s="2">
        <f>INDEX('Wood Density Lookup'!$B$2:$B$152,MATCH(B1634,'Wood Density Lookup'!$A$2:$A$152,0))</f>
        <v>0.37</v>
      </c>
      <c r="J1634" s="2">
        <f t="shared" si="254"/>
        <v>23.164536973148891</v>
      </c>
      <c r="K1634" s="2">
        <f t="shared" si="258"/>
        <v>6.4860703524816898</v>
      </c>
      <c r="L1634" s="2">
        <f t="shared" si="259"/>
        <v>29.650607325630581</v>
      </c>
      <c r="M1634" s="2">
        <f t="shared" si="255"/>
        <v>21.496690311082169</v>
      </c>
      <c r="N1634" s="2">
        <f t="shared" si="256"/>
        <v>10.748345155541084</v>
      </c>
      <c r="O1634" s="2">
        <f t="shared" si="257"/>
        <v>39.446426720835781</v>
      </c>
      <c r="P1634" s="2">
        <v>72.552148000000003</v>
      </c>
      <c r="Q1634" s="2">
        <v>23.036643999999999</v>
      </c>
    </row>
    <row r="1635" spans="1:17" x14ac:dyDescent="0.25">
      <c r="A1635" s="2">
        <v>1806</v>
      </c>
      <c r="B1635" s="2" t="s">
        <v>61</v>
      </c>
      <c r="C1635" s="2">
        <v>4</v>
      </c>
      <c r="D1635" s="2">
        <f t="shared" si="250"/>
        <v>10.16</v>
      </c>
      <c r="E1635" s="2">
        <f t="shared" si="251"/>
        <v>3.2340284436273135</v>
      </c>
      <c r="F1635" s="2">
        <f t="shared" si="252"/>
        <v>1.2732395447351628</v>
      </c>
      <c r="G1635" s="2">
        <v>1.058718</v>
      </c>
      <c r="H1635" s="2">
        <f t="shared" si="253"/>
        <v>3.4734843631200003</v>
      </c>
      <c r="I1635" s="2">
        <f>INDEX('Wood Density Lookup'!$B$2:$B$152,MATCH(B1635,'Wood Density Lookup'!$A$2:$A$152,0))</f>
        <v>0.5</v>
      </c>
      <c r="J1635" s="2">
        <f t="shared" si="254"/>
        <v>0.35761466884455789</v>
      </c>
      <c r="K1635" s="2">
        <f t="shared" si="258"/>
        <v>0.10013210727647621</v>
      </c>
      <c r="L1635" s="2">
        <f t="shared" si="259"/>
        <v>0.45774677612103409</v>
      </c>
      <c r="M1635" s="2">
        <f t="shared" si="255"/>
        <v>0.33186641268774969</v>
      </c>
      <c r="N1635" s="2">
        <f t="shared" si="256"/>
        <v>0.16593320634387485</v>
      </c>
      <c r="O1635" s="2">
        <f t="shared" si="257"/>
        <v>0.60897486728202066</v>
      </c>
      <c r="P1635" s="2">
        <v>72.552148000000003</v>
      </c>
      <c r="Q1635" s="2">
        <v>23.035823000000001</v>
      </c>
    </row>
    <row r="1636" spans="1:17" x14ac:dyDescent="0.25">
      <c r="A1636" s="2">
        <v>1807</v>
      </c>
      <c r="B1636" s="2" t="s">
        <v>59</v>
      </c>
      <c r="C1636" s="2">
        <v>26</v>
      </c>
      <c r="D1636" s="2">
        <f t="shared" si="250"/>
        <v>66.040000000000006</v>
      </c>
      <c r="E1636" s="2">
        <f t="shared" si="251"/>
        <v>21.02118488357754</v>
      </c>
      <c r="F1636" s="2">
        <f t="shared" si="252"/>
        <v>8.2760570407785572</v>
      </c>
      <c r="G1636" s="2">
        <v>7.9635179999999997</v>
      </c>
      <c r="H1636" s="2">
        <f t="shared" si="253"/>
        <v>26.12702839512</v>
      </c>
      <c r="I1636" s="2">
        <f>INDEX('Wood Density Lookup'!$B$2:$B$152,MATCH(B1636,'Wood Density Lookup'!$A$2:$A$152,0))</f>
        <v>0.45</v>
      </c>
      <c r="J1636" s="2">
        <f t="shared" si="254"/>
        <v>89.30088504063184</v>
      </c>
      <c r="K1636" s="2">
        <f t="shared" si="258"/>
        <v>25.004247811376917</v>
      </c>
      <c r="L1636" s="2">
        <f t="shared" si="259"/>
        <v>114.30513285200875</v>
      </c>
      <c r="M1636" s="2">
        <f t="shared" si="255"/>
        <v>82.871221317706343</v>
      </c>
      <c r="N1636" s="2">
        <f t="shared" si="256"/>
        <v>41.435610658853172</v>
      </c>
      <c r="O1636" s="2">
        <f t="shared" si="257"/>
        <v>152.06869111799114</v>
      </c>
      <c r="P1636" s="2">
        <v>72.552150999999995</v>
      </c>
      <c r="Q1636" s="2">
        <v>23.038056000000001</v>
      </c>
    </row>
    <row r="1637" spans="1:17" x14ac:dyDescent="0.25">
      <c r="A1637" s="2">
        <v>1808</v>
      </c>
      <c r="B1637" s="2" t="s">
        <v>140</v>
      </c>
      <c r="C1637" s="2">
        <v>7</v>
      </c>
      <c r="D1637" s="2">
        <f t="shared" si="250"/>
        <v>17.78</v>
      </c>
      <c r="E1637" s="2">
        <f t="shared" si="251"/>
        <v>5.6595497763477987</v>
      </c>
      <c r="F1637" s="2">
        <f t="shared" si="252"/>
        <v>2.228169203286535</v>
      </c>
      <c r="G1637" s="2">
        <v>10.745194</v>
      </c>
      <c r="H1637" s="2">
        <f t="shared" si="253"/>
        <v>35.253262282960002</v>
      </c>
      <c r="I1637" s="2">
        <f>INDEX('Wood Density Lookup'!$B$2:$B$152,MATCH(B1637,'Wood Density Lookup'!$A$2:$A$152,0))</f>
        <v>0.6</v>
      </c>
      <c r="J1637" s="2">
        <f t="shared" si="254"/>
        <v>12.228861903814577</v>
      </c>
      <c r="K1637" s="2">
        <f t="shared" si="258"/>
        <v>3.4240813330680817</v>
      </c>
      <c r="L1637" s="2">
        <f t="shared" si="259"/>
        <v>15.65294323688266</v>
      </c>
      <c r="M1637" s="2">
        <f t="shared" si="255"/>
        <v>11.348383846739928</v>
      </c>
      <c r="N1637" s="2">
        <f t="shared" si="256"/>
        <v>5.674191923369964</v>
      </c>
      <c r="O1637" s="2">
        <f t="shared" si="257"/>
        <v>20.824284358767766</v>
      </c>
      <c r="P1637" s="2">
        <v>72.552156999999994</v>
      </c>
      <c r="Q1637" s="2">
        <v>23.035655999999999</v>
      </c>
    </row>
    <row r="1638" spans="1:17" x14ac:dyDescent="0.25">
      <c r="A1638" s="2">
        <v>1809</v>
      </c>
      <c r="B1638" s="2" t="s">
        <v>49</v>
      </c>
      <c r="C1638" s="2">
        <v>21</v>
      </c>
      <c r="D1638" s="2">
        <f t="shared" si="250"/>
        <v>53.34</v>
      </c>
      <c r="E1638" s="2">
        <f t="shared" si="251"/>
        <v>16.978649329043396</v>
      </c>
      <c r="F1638" s="2">
        <f t="shared" si="252"/>
        <v>6.6845076098596046</v>
      </c>
      <c r="G1638" s="2">
        <v>4.6935690000000001</v>
      </c>
      <c r="H1638" s="2">
        <f t="shared" si="253"/>
        <v>15.398848917960001</v>
      </c>
      <c r="I1638" s="2">
        <f>INDEX('Wood Density Lookup'!$B$2:$B$152,MATCH(B1638,'Wood Density Lookup'!$A$2:$A$152,0))</f>
        <v>0.78</v>
      </c>
      <c r="J1638" s="2">
        <f t="shared" si="254"/>
        <v>60.097644858046941</v>
      </c>
      <c r="K1638" s="2">
        <f t="shared" si="258"/>
        <v>16.827340560253145</v>
      </c>
      <c r="L1638" s="2">
        <f t="shared" si="259"/>
        <v>76.924985418300082</v>
      </c>
      <c r="M1638" s="2">
        <f t="shared" si="255"/>
        <v>55.770614428267557</v>
      </c>
      <c r="N1638" s="2">
        <f t="shared" si="256"/>
        <v>27.885307214133778</v>
      </c>
      <c r="O1638" s="2">
        <f t="shared" si="257"/>
        <v>102.33907747587097</v>
      </c>
      <c r="P1638" s="2">
        <v>72.552158000000006</v>
      </c>
      <c r="Q1638" s="2">
        <v>23.038115000000001</v>
      </c>
    </row>
    <row r="1639" spans="1:17" x14ac:dyDescent="0.25">
      <c r="A1639" s="2">
        <v>1810</v>
      </c>
      <c r="B1639" s="2" t="s">
        <v>15</v>
      </c>
      <c r="C1639" s="2">
        <v>78</v>
      </c>
      <c r="D1639" s="2">
        <f t="shared" si="250"/>
        <v>198.12</v>
      </c>
      <c r="E1639" s="2">
        <f t="shared" si="251"/>
        <v>63.063554650732613</v>
      </c>
      <c r="F1639" s="2">
        <f t="shared" si="252"/>
        <v>24.828171122335672</v>
      </c>
      <c r="G1639" s="2">
        <v>14.148802999999999</v>
      </c>
      <c r="H1639" s="2">
        <f t="shared" si="253"/>
        <v>46.419958834519996</v>
      </c>
      <c r="I1639" s="2">
        <f>INDEX('Wood Density Lookup'!$B$2:$B$152,MATCH(B1639,'Wood Density Lookup'!$A$2:$A$152,0))</f>
        <v>0.75</v>
      </c>
      <c r="J1639" s="2">
        <f t="shared" si="254"/>
        <v>2199.605576520848</v>
      </c>
      <c r="K1639" s="2">
        <f t="shared" si="258"/>
        <v>615.88956142583754</v>
      </c>
      <c r="L1639" s="2">
        <f t="shared" si="259"/>
        <v>2815.4951379466856</v>
      </c>
      <c r="M1639" s="2">
        <f t="shared" si="255"/>
        <v>2041.233975011347</v>
      </c>
      <c r="N1639" s="2">
        <f t="shared" si="256"/>
        <v>1020.6169875056735</v>
      </c>
      <c r="O1639" s="2">
        <f t="shared" si="257"/>
        <v>3745.6643441458218</v>
      </c>
      <c r="P1639" s="2">
        <v>72.552158000000006</v>
      </c>
      <c r="Q1639" s="2">
        <v>23.034714999999998</v>
      </c>
    </row>
    <row r="1640" spans="1:17" x14ac:dyDescent="0.25">
      <c r="A1640" s="2">
        <v>1811</v>
      </c>
      <c r="B1640" s="2" t="s">
        <v>148</v>
      </c>
      <c r="C1640" s="2">
        <v>12</v>
      </c>
      <c r="D1640" s="2">
        <f t="shared" si="250"/>
        <v>30.48</v>
      </c>
      <c r="E1640" s="2">
        <f t="shared" si="251"/>
        <v>9.7020853308819408</v>
      </c>
      <c r="F1640" s="2">
        <f t="shared" si="252"/>
        <v>3.8197186342054881</v>
      </c>
      <c r="G1640" s="2">
        <v>14.089708999999999</v>
      </c>
      <c r="H1640" s="2">
        <f t="shared" si="253"/>
        <v>46.226080875559994</v>
      </c>
      <c r="I1640" s="2">
        <f>INDEX('Wood Density Lookup'!$B$2:$B$152,MATCH(B1640,'Wood Density Lookup'!$A$2:$A$152,0))</f>
        <v>0.5</v>
      </c>
      <c r="J1640" s="2">
        <f t="shared" si="254"/>
        <v>38.185529671137637</v>
      </c>
      <c r="K1640" s="2">
        <f t="shared" si="258"/>
        <v>10.691948307918539</v>
      </c>
      <c r="L1640" s="2">
        <f t="shared" si="259"/>
        <v>48.877477979056174</v>
      </c>
      <c r="M1640" s="2">
        <f t="shared" si="255"/>
        <v>35.436171534815728</v>
      </c>
      <c r="N1640" s="2">
        <f t="shared" si="256"/>
        <v>17.718085767407864</v>
      </c>
      <c r="O1640" s="2">
        <f t="shared" si="257"/>
        <v>65.025374766386861</v>
      </c>
      <c r="P1640" s="2">
        <v>72.552159000000003</v>
      </c>
      <c r="Q1640" s="2">
        <v>23.034655999999998</v>
      </c>
    </row>
    <row r="1641" spans="1:17" x14ac:dyDescent="0.25">
      <c r="A1641" s="2">
        <v>1812</v>
      </c>
      <c r="B1641" s="2" t="s">
        <v>111</v>
      </c>
      <c r="C1641" s="2">
        <v>7</v>
      </c>
      <c r="D1641" s="2">
        <f t="shared" si="250"/>
        <v>17.78</v>
      </c>
      <c r="E1641" s="2">
        <f t="shared" si="251"/>
        <v>5.6595497763477987</v>
      </c>
      <c r="F1641" s="2">
        <f t="shared" si="252"/>
        <v>2.228169203286535</v>
      </c>
      <c r="G1641" s="2">
        <v>3.0335670000000001</v>
      </c>
      <c r="H1641" s="2">
        <f t="shared" si="253"/>
        <v>9.9526479562799999</v>
      </c>
      <c r="I1641" s="2">
        <f>INDEX('Wood Density Lookup'!$B$2:$B$152,MATCH(B1641,'Wood Density Lookup'!$A$2:$A$152,0))</f>
        <v>0.4</v>
      </c>
      <c r="J1641" s="2">
        <f t="shared" si="254"/>
        <v>2.3957558557120788</v>
      </c>
      <c r="K1641" s="2">
        <f t="shared" si="258"/>
        <v>0.67081163959938217</v>
      </c>
      <c r="L1641" s="2">
        <f t="shared" si="259"/>
        <v>3.0665674953114612</v>
      </c>
      <c r="M1641" s="2">
        <f t="shared" si="255"/>
        <v>2.2232614341008095</v>
      </c>
      <c r="N1641" s="2">
        <f t="shared" si="256"/>
        <v>1.1116307170504047</v>
      </c>
      <c r="O1641" s="2">
        <f t="shared" si="257"/>
        <v>4.0796847315749849</v>
      </c>
      <c r="P1641" s="2">
        <v>72.552160000000001</v>
      </c>
      <c r="Q1641" s="2">
        <v>23.034794000000002</v>
      </c>
    </row>
    <row r="1642" spans="1:17" x14ac:dyDescent="0.25">
      <c r="A1642" s="2">
        <v>1813</v>
      </c>
      <c r="B1642" s="2" t="s">
        <v>49</v>
      </c>
      <c r="C1642" s="2">
        <v>5</v>
      </c>
      <c r="D1642" s="2">
        <f t="shared" si="250"/>
        <v>12.7</v>
      </c>
      <c r="E1642" s="2">
        <f t="shared" si="251"/>
        <v>4.0425355545341413</v>
      </c>
      <c r="F1642" s="2">
        <f t="shared" si="252"/>
        <v>1.5915494309189535</v>
      </c>
      <c r="G1642" s="2">
        <v>5.9293579999999997</v>
      </c>
      <c r="H1642" s="2">
        <f t="shared" si="253"/>
        <v>19.45327490072</v>
      </c>
      <c r="I1642" s="2">
        <f>INDEX('Wood Density Lookup'!$B$2:$B$152,MATCH(B1642,'Wood Density Lookup'!$A$2:$A$152,0))</f>
        <v>0.78</v>
      </c>
      <c r="J1642" s="2">
        <f t="shared" si="254"/>
        <v>4.5850407185170274</v>
      </c>
      <c r="K1642" s="2">
        <f t="shared" si="258"/>
        <v>1.2838114011847679</v>
      </c>
      <c r="L1642" s="2">
        <f t="shared" si="259"/>
        <v>5.8688521197017955</v>
      </c>
      <c r="M1642" s="2">
        <f t="shared" si="255"/>
        <v>4.2549177867838015</v>
      </c>
      <c r="N1642" s="2">
        <f t="shared" si="256"/>
        <v>2.1274588933919008</v>
      </c>
      <c r="O1642" s="2">
        <f t="shared" si="257"/>
        <v>7.8077741387482753</v>
      </c>
      <c r="P1642" s="2">
        <v>72.552160000000001</v>
      </c>
      <c r="Q1642" s="2">
        <v>23.038122999999999</v>
      </c>
    </row>
    <row r="1643" spans="1:17" x14ac:dyDescent="0.25">
      <c r="A1643" s="2">
        <v>1814</v>
      </c>
      <c r="B1643" s="2" t="s">
        <v>31</v>
      </c>
      <c r="C1643" s="2">
        <v>5</v>
      </c>
      <c r="D1643" s="2">
        <f t="shared" si="250"/>
        <v>12.7</v>
      </c>
      <c r="E1643" s="2">
        <f t="shared" si="251"/>
        <v>4.0425355545341413</v>
      </c>
      <c r="F1643" s="2">
        <f t="shared" si="252"/>
        <v>1.5915494309189535</v>
      </c>
      <c r="G1643" s="2">
        <v>4.2537320000000003</v>
      </c>
      <c r="H1643" s="2">
        <f t="shared" si="253"/>
        <v>13.955814094880001</v>
      </c>
      <c r="I1643" s="2">
        <f>INDEX('Wood Density Lookup'!$B$2:$B$152,MATCH(B1643,'Wood Density Lookup'!$A$2:$A$152,0))</f>
        <v>0.78</v>
      </c>
      <c r="J1643" s="2">
        <f t="shared" si="254"/>
        <v>3.3156398418816928</v>
      </c>
      <c r="K1643" s="2">
        <f t="shared" si="258"/>
        <v>0.92837915572687413</v>
      </c>
      <c r="L1643" s="2">
        <f t="shared" si="259"/>
        <v>4.2440189976085669</v>
      </c>
      <c r="M1643" s="2">
        <f t="shared" si="255"/>
        <v>3.0769137732662108</v>
      </c>
      <c r="N1643" s="2">
        <f t="shared" si="256"/>
        <v>1.5384568866331054</v>
      </c>
      <c r="O1643" s="2">
        <f t="shared" si="257"/>
        <v>5.6461367739434971</v>
      </c>
      <c r="P1643" s="2">
        <v>72.552160999999998</v>
      </c>
      <c r="Q1643" s="2">
        <v>23.036784000000001</v>
      </c>
    </row>
    <row r="1644" spans="1:17" x14ac:dyDescent="0.25">
      <c r="A1644" s="2">
        <v>1815</v>
      </c>
      <c r="B1644" s="2" t="s">
        <v>9</v>
      </c>
      <c r="C1644" s="2">
        <v>9</v>
      </c>
      <c r="D1644" s="2">
        <f t="shared" si="250"/>
        <v>22.86</v>
      </c>
      <c r="E1644" s="2">
        <f t="shared" si="251"/>
        <v>7.2765639981614552</v>
      </c>
      <c r="F1644" s="2">
        <f t="shared" si="252"/>
        <v>2.8647889756541161</v>
      </c>
      <c r="G1644" s="2">
        <v>2.0628139999999999</v>
      </c>
      <c r="H1644" s="2">
        <f t="shared" si="253"/>
        <v>6.76776268376</v>
      </c>
      <c r="I1644" s="2">
        <f>INDEX('Wood Density Lookup'!$B$2:$B$152,MATCH(B1644,'Wood Density Lookup'!$A$2:$A$152,0))</f>
        <v>0.42</v>
      </c>
      <c r="J1644" s="2">
        <f t="shared" si="254"/>
        <v>2.8164344117213962</v>
      </c>
      <c r="K1644" s="2">
        <f t="shared" si="258"/>
        <v>0.78860163528199101</v>
      </c>
      <c r="L1644" s="2">
        <f t="shared" si="259"/>
        <v>3.6050360470033871</v>
      </c>
      <c r="M1644" s="2">
        <f t="shared" si="255"/>
        <v>2.6136511340774558</v>
      </c>
      <c r="N1644" s="2">
        <f t="shared" si="256"/>
        <v>1.3068255670387279</v>
      </c>
      <c r="O1644" s="2">
        <f t="shared" si="257"/>
        <v>4.7960498310321311</v>
      </c>
      <c r="P1644" s="2">
        <v>72.552161999999996</v>
      </c>
      <c r="Q1644" s="2">
        <v>23.036653999999999</v>
      </c>
    </row>
    <row r="1645" spans="1:17" x14ac:dyDescent="0.25">
      <c r="A1645" s="2">
        <v>1816</v>
      </c>
      <c r="B1645" s="2" t="s">
        <v>62</v>
      </c>
      <c r="C1645" s="2">
        <v>3</v>
      </c>
      <c r="D1645" s="2">
        <f t="shared" si="250"/>
        <v>7.62</v>
      </c>
      <c r="E1645" s="2">
        <f t="shared" si="251"/>
        <v>2.4255213327204852</v>
      </c>
      <c r="F1645" s="2">
        <f t="shared" si="252"/>
        <v>0.95492965855137202</v>
      </c>
      <c r="G1645" s="2">
        <v>1.0107930000000001</v>
      </c>
      <c r="H1645" s="2">
        <f t="shared" si="253"/>
        <v>3.31625010612</v>
      </c>
      <c r="I1645" s="2">
        <f>INDEX('Wood Density Lookup'!$B$2:$B$152,MATCH(B1645,'Wood Density Lookup'!$A$2:$A$152,0))</f>
        <v>0.47</v>
      </c>
      <c r="J1645" s="2">
        <f t="shared" si="254"/>
        <v>0.18351537621253075</v>
      </c>
      <c r="K1645" s="2">
        <f t="shared" si="258"/>
        <v>5.1384305339508614E-2</v>
      </c>
      <c r="L1645" s="2">
        <f t="shared" si="259"/>
        <v>0.23489968155203936</v>
      </c>
      <c r="M1645" s="2">
        <f t="shared" si="255"/>
        <v>0.17030226912522853</v>
      </c>
      <c r="N1645" s="2">
        <f t="shared" si="256"/>
        <v>8.5151134562614264E-2</v>
      </c>
      <c r="O1645" s="2">
        <f t="shared" si="257"/>
        <v>0.31250466384479436</v>
      </c>
      <c r="P1645" s="2">
        <v>72.552169000000006</v>
      </c>
      <c r="Q1645" s="2">
        <v>23.035824000000002</v>
      </c>
    </row>
    <row r="1646" spans="1:17" x14ac:dyDescent="0.25">
      <c r="A1646" s="2">
        <v>1817</v>
      </c>
      <c r="B1646" s="2" t="s">
        <v>115</v>
      </c>
      <c r="C1646" s="2">
        <v>4</v>
      </c>
      <c r="D1646" s="2">
        <f t="shared" si="250"/>
        <v>10.16</v>
      </c>
      <c r="E1646" s="2">
        <f t="shared" si="251"/>
        <v>3.2340284436273135</v>
      </c>
      <c r="F1646" s="2">
        <f t="shared" si="252"/>
        <v>1.2732395447351628</v>
      </c>
      <c r="G1646" s="2">
        <v>6.3950300000000002</v>
      </c>
      <c r="H1646" s="2">
        <f t="shared" si="253"/>
        <v>20.9810702252</v>
      </c>
      <c r="I1646" s="2">
        <f>INDEX('Wood Density Lookup'!$B$2:$B$152,MATCH(B1646,'Wood Density Lookup'!$A$2:$A$152,0))</f>
        <v>0.65</v>
      </c>
      <c r="J1646" s="2">
        <f t="shared" si="254"/>
        <v>2.6726422574895161</v>
      </c>
      <c r="K1646" s="2">
        <f t="shared" si="258"/>
        <v>0.74833983209706456</v>
      </c>
      <c r="L1646" s="2">
        <f t="shared" si="259"/>
        <v>3.4209820895865808</v>
      </c>
      <c r="M1646" s="2">
        <f t="shared" si="255"/>
        <v>2.4802120149502711</v>
      </c>
      <c r="N1646" s="2">
        <f t="shared" si="256"/>
        <v>1.2401060074751356</v>
      </c>
      <c r="O1646" s="2">
        <f t="shared" si="257"/>
        <v>4.5511890474337475</v>
      </c>
      <c r="P1646" s="2">
        <v>72.552170000000004</v>
      </c>
      <c r="Q1646" s="2">
        <v>23.038098999999999</v>
      </c>
    </row>
    <row r="1647" spans="1:17" x14ac:dyDescent="0.25">
      <c r="A1647" s="2">
        <v>1818</v>
      </c>
      <c r="B1647" s="2" t="s">
        <v>102</v>
      </c>
      <c r="C1647" s="2">
        <v>2</v>
      </c>
      <c r="D1647" s="2">
        <f t="shared" si="250"/>
        <v>5.08</v>
      </c>
      <c r="E1647" s="2">
        <f t="shared" si="251"/>
        <v>1.6170142218136567</v>
      </c>
      <c r="F1647" s="2">
        <f t="shared" si="252"/>
        <v>0.63661977236758138</v>
      </c>
      <c r="G1647" s="2">
        <v>1.0833699999999999</v>
      </c>
      <c r="H1647" s="2">
        <f t="shared" si="253"/>
        <v>3.5543636307999997</v>
      </c>
      <c r="I1647" s="2">
        <f>INDEX('Wood Density Lookup'!$B$2:$B$152,MATCH(B1647,'Wood Density Lookup'!$A$2:$A$152,0))</f>
        <v>0.45</v>
      </c>
      <c r="J1647" s="2">
        <f t="shared" si="254"/>
        <v>8.5290773774350848E-2</v>
      </c>
      <c r="K1647" s="2">
        <f t="shared" si="258"/>
        <v>2.3881416656818241E-2</v>
      </c>
      <c r="L1647" s="2">
        <f t="shared" si="259"/>
        <v>0.10917219043116909</v>
      </c>
      <c r="M1647" s="2">
        <f t="shared" si="255"/>
        <v>7.9149838062597594E-2</v>
      </c>
      <c r="N1647" s="2">
        <f t="shared" si="256"/>
        <v>3.9574919031298797E-2</v>
      </c>
      <c r="O1647" s="2">
        <f t="shared" si="257"/>
        <v>0.14523995284486657</v>
      </c>
      <c r="P1647" s="2">
        <v>72.552171000000001</v>
      </c>
      <c r="Q1647" s="2">
        <v>23.038184000000001</v>
      </c>
    </row>
    <row r="1648" spans="1:17" x14ac:dyDescent="0.25">
      <c r="A1648" s="2">
        <v>1819</v>
      </c>
      <c r="B1648" s="2" t="s">
        <v>31</v>
      </c>
      <c r="C1648" s="2">
        <v>2</v>
      </c>
      <c r="D1648" s="2">
        <f t="shared" si="250"/>
        <v>5.08</v>
      </c>
      <c r="E1648" s="2">
        <f t="shared" si="251"/>
        <v>1.6170142218136567</v>
      </c>
      <c r="F1648" s="2">
        <f t="shared" si="252"/>
        <v>0.63661977236758138</v>
      </c>
      <c r="G1648" s="2">
        <v>1.095947</v>
      </c>
      <c r="H1648" s="2">
        <f t="shared" si="253"/>
        <v>3.5956267554800001</v>
      </c>
      <c r="I1648" s="2">
        <f>INDEX('Wood Density Lookup'!$B$2:$B$152,MATCH(B1648,'Wood Density Lookup'!$A$2:$A$152,0))</f>
        <v>0.78</v>
      </c>
      <c r="J1648" s="2">
        <f t="shared" si="254"/>
        <v>0.14755142708283803</v>
      </c>
      <c r="K1648" s="2">
        <f t="shared" si="258"/>
        <v>4.1314399583194654E-2</v>
      </c>
      <c r="L1648" s="2">
        <f t="shared" si="259"/>
        <v>0.18886582666603269</v>
      </c>
      <c r="M1648" s="2">
        <f t="shared" si="255"/>
        <v>0.1369277243328737</v>
      </c>
      <c r="N1648" s="2">
        <f t="shared" si="256"/>
        <v>6.8463862166436851E-2</v>
      </c>
      <c r="O1648" s="2">
        <f t="shared" si="257"/>
        <v>0.25126237415082325</v>
      </c>
      <c r="P1648" s="2">
        <v>72.552171999999999</v>
      </c>
      <c r="Q1648" s="2">
        <v>23.036629000000001</v>
      </c>
    </row>
    <row r="1649" spans="1:17" x14ac:dyDescent="0.25">
      <c r="A1649" s="2">
        <v>1820</v>
      </c>
      <c r="B1649" s="2" t="s">
        <v>41</v>
      </c>
      <c r="C1649" s="2">
        <v>13</v>
      </c>
      <c r="D1649" s="2">
        <f t="shared" si="250"/>
        <v>33.020000000000003</v>
      </c>
      <c r="E1649" s="2">
        <f t="shared" si="251"/>
        <v>10.51059244178877</v>
      </c>
      <c r="F1649" s="2">
        <f t="shared" si="252"/>
        <v>4.1380285203892786</v>
      </c>
      <c r="G1649" s="2">
        <v>7.2191720000000004</v>
      </c>
      <c r="H1649" s="2">
        <f t="shared" si="253"/>
        <v>23.684948264480003</v>
      </c>
      <c r="I1649" s="2">
        <f>INDEX('Wood Density Lookup'!$B$2:$B$152,MATCH(B1649,'Wood Density Lookup'!$A$2:$A$152,0))</f>
        <v>0.75</v>
      </c>
      <c r="J1649" s="2">
        <f t="shared" si="254"/>
        <v>34.528271362445501</v>
      </c>
      <c r="K1649" s="2">
        <f t="shared" si="258"/>
        <v>9.6679159814847413</v>
      </c>
      <c r="L1649" s="2">
        <f t="shared" si="259"/>
        <v>44.196187343930241</v>
      </c>
      <c r="M1649" s="2">
        <f t="shared" si="255"/>
        <v>32.042235824349426</v>
      </c>
      <c r="N1649" s="2">
        <f t="shared" si="256"/>
        <v>16.021117912174713</v>
      </c>
      <c r="O1649" s="2">
        <f t="shared" si="257"/>
        <v>58.797502737681192</v>
      </c>
      <c r="P1649" s="2">
        <v>72.552173999999994</v>
      </c>
      <c r="Q1649" s="2">
        <v>23.035443000000001</v>
      </c>
    </row>
    <row r="1650" spans="1:17" x14ac:dyDescent="0.25">
      <c r="A1650" s="2">
        <v>1821</v>
      </c>
      <c r="B1650" s="2" t="s">
        <v>30</v>
      </c>
      <c r="C1650" s="2">
        <v>9</v>
      </c>
      <c r="D1650" s="2">
        <f t="shared" si="250"/>
        <v>22.86</v>
      </c>
      <c r="E1650" s="2">
        <f t="shared" si="251"/>
        <v>7.2765639981614552</v>
      </c>
      <c r="F1650" s="2">
        <f t="shared" si="252"/>
        <v>2.8647889756541161</v>
      </c>
      <c r="G1650" s="2">
        <v>7.2191720000000004</v>
      </c>
      <c r="H1650" s="2">
        <f t="shared" si="253"/>
        <v>23.684948264480003</v>
      </c>
      <c r="I1650" s="2">
        <f>INDEX('Wood Density Lookup'!$B$2:$B$152,MATCH(B1650,'Wood Density Lookup'!$A$2:$A$152,0))</f>
        <v>0.2</v>
      </c>
      <c r="J1650" s="2">
        <f t="shared" si="254"/>
        <v>4.636436046224504</v>
      </c>
      <c r="K1650" s="2">
        <f t="shared" si="258"/>
        <v>1.2982020929428613</v>
      </c>
      <c r="L1650" s="2">
        <f t="shared" si="259"/>
        <v>5.9346381391673653</v>
      </c>
      <c r="M1650" s="2">
        <f t="shared" si="255"/>
        <v>4.3026126508963394</v>
      </c>
      <c r="N1650" s="2">
        <f t="shared" si="256"/>
        <v>2.1513063254481697</v>
      </c>
      <c r="O1650" s="2">
        <f t="shared" si="257"/>
        <v>7.8952942143947826</v>
      </c>
      <c r="P1650" s="2">
        <v>72.552173999999994</v>
      </c>
      <c r="Q1650" s="2">
        <v>23.035443000000001</v>
      </c>
    </row>
    <row r="1651" spans="1:17" x14ac:dyDescent="0.25">
      <c r="A1651" s="2">
        <v>1822</v>
      </c>
      <c r="B1651" s="2" t="s">
        <v>129</v>
      </c>
      <c r="C1651" s="2">
        <v>16</v>
      </c>
      <c r="D1651" s="2">
        <f t="shared" si="250"/>
        <v>40.64</v>
      </c>
      <c r="E1651" s="2">
        <f t="shared" si="251"/>
        <v>12.936113774509254</v>
      </c>
      <c r="F1651" s="2">
        <f t="shared" si="252"/>
        <v>5.0929581789406511</v>
      </c>
      <c r="G1651" s="2">
        <v>2.3468770000000001</v>
      </c>
      <c r="H1651" s="2">
        <f t="shared" si="253"/>
        <v>7.6997279366800004</v>
      </c>
      <c r="I1651" s="2">
        <f>INDEX('Wood Density Lookup'!$B$2:$B$152,MATCH(B1651,'Wood Density Lookup'!$A$2:$A$152,0))</f>
        <v>0.4</v>
      </c>
      <c r="J1651" s="2">
        <f t="shared" si="254"/>
        <v>9.3640828203318502</v>
      </c>
      <c r="K1651" s="2">
        <f t="shared" si="258"/>
        <v>2.6219431896929182</v>
      </c>
      <c r="L1651" s="2">
        <f t="shared" si="259"/>
        <v>11.986026010024769</v>
      </c>
      <c r="M1651" s="2">
        <f t="shared" si="255"/>
        <v>8.6898688572679568</v>
      </c>
      <c r="N1651" s="2">
        <f t="shared" si="256"/>
        <v>4.3449344286339784</v>
      </c>
      <c r="O1651" s="2">
        <f t="shared" si="257"/>
        <v>15.9459093530867</v>
      </c>
      <c r="P1651" s="2">
        <v>72.552173999999994</v>
      </c>
      <c r="Q1651" s="2">
        <v>23.037806</v>
      </c>
    </row>
    <row r="1652" spans="1:17" x14ac:dyDescent="0.25">
      <c r="A1652" s="2">
        <v>1823</v>
      </c>
      <c r="B1652" s="2" t="s">
        <v>75</v>
      </c>
      <c r="C1652" s="2">
        <v>5</v>
      </c>
      <c r="D1652" s="2">
        <f t="shared" si="250"/>
        <v>12.7</v>
      </c>
      <c r="E1652" s="2">
        <f t="shared" si="251"/>
        <v>4.0425355545341413</v>
      </c>
      <c r="F1652" s="2">
        <f t="shared" si="252"/>
        <v>1.5915494309189535</v>
      </c>
      <c r="G1652" s="2">
        <v>1.0212140000000001</v>
      </c>
      <c r="H1652" s="2">
        <f t="shared" si="253"/>
        <v>3.3504397397600001</v>
      </c>
      <c r="I1652" s="2">
        <f>INDEX('Wood Density Lookup'!$B$2:$B$152,MATCH(B1652,'Wood Density Lookup'!$A$2:$A$152,0))</f>
        <v>0.3</v>
      </c>
      <c r="J1652" s="2">
        <f t="shared" si="254"/>
        <v>0.32416914711712858</v>
      </c>
      <c r="K1652" s="2">
        <f t="shared" si="258"/>
        <v>9.0767361192796006E-2</v>
      </c>
      <c r="L1652" s="2">
        <f t="shared" si="259"/>
        <v>0.41493650830992457</v>
      </c>
      <c r="M1652" s="2">
        <f t="shared" si="255"/>
        <v>0.30082896852469532</v>
      </c>
      <c r="N1652" s="2">
        <f t="shared" si="256"/>
        <v>0.15041448426234766</v>
      </c>
      <c r="O1652" s="2">
        <f t="shared" si="257"/>
        <v>0.55202115724281586</v>
      </c>
      <c r="P1652" s="2">
        <v>72.552176000000003</v>
      </c>
      <c r="Q1652" s="2">
        <v>23.035826</v>
      </c>
    </row>
    <row r="1653" spans="1:17" x14ac:dyDescent="0.25">
      <c r="A1653" s="2">
        <v>1824</v>
      </c>
      <c r="B1653" s="2" t="s">
        <v>12</v>
      </c>
      <c r="C1653" s="2">
        <v>12</v>
      </c>
      <c r="D1653" s="2">
        <f t="shared" si="250"/>
        <v>30.48</v>
      </c>
      <c r="E1653" s="2">
        <f t="shared" si="251"/>
        <v>9.7020853308819408</v>
      </c>
      <c r="F1653" s="2">
        <f t="shared" si="252"/>
        <v>3.8197186342054881</v>
      </c>
      <c r="G1653" s="2">
        <v>6.0188379999999997</v>
      </c>
      <c r="H1653" s="2">
        <f t="shared" si="253"/>
        <v>19.746844463919999</v>
      </c>
      <c r="I1653" s="2">
        <f>INDEX('Wood Density Lookup'!$B$2:$B$152,MATCH(B1653,'Wood Density Lookup'!$A$2:$A$152,0))</f>
        <v>0.6</v>
      </c>
      <c r="J1653" s="2">
        <f t="shared" si="254"/>
        <v>19.890957559508028</v>
      </c>
      <c r="K1653" s="2">
        <f t="shared" si="258"/>
        <v>5.5694681166622484</v>
      </c>
      <c r="L1653" s="2">
        <f t="shared" si="259"/>
        <v>25.460425676170274</v>
      </c>
      <c r="M1653" s="2">
        <f t="shared" si="255"/>
        <v>18.458808615223447</v>
      </c>
      <c r="N1653" s="2">
        <f t="shared" si="256"/>
        <v>9.2294043076117234</v>
      </c>
      <c r="O1653" s="2">
        <f t="shared" si="257"/>
        <v>33.871913808935027</v>
      </c>
      <c r="P1653" s="2">
        <v>72.552178999999995</v>
      </c>
      <c r="Q1653" s="2">
        <v>23.034609</v>
      </c>
    </row>
    <row r="1654" spans="1:17" x14ac:dyDescent="0.25">
      <c r="A1654" s="2">
        <v>1825</v>
      </c>
      <c r="B1654" s="2" t="s">
        <v>109</v>
      </c>
      <c r="C1654" s="2">
        <v>33</v>
      </c>
      <c r="D1654" s="2">
        <f t="shared" si="250"/>
        <v>83.820000000000007</v>
      </c>
      <c r="E1654" s="2">
        <f t="shared" si="251"/>
        <v>26.680734659925339</v>
      </c>
      <c r="F1654" s="2">
        <f t="shared" si="252"/>
        <v>10.504226244065093</v>
      </c>
      <c r="G1654" s="2">
        <v>9.62913</v>
      </c>
      <c r="H1654" s="2">
        <f t="shared" si="253"/>
        <v>31.5916348692</v>
      </c>
      <c r="I1654" s="2">
        <f>INDEX('Wood Density Lookup'!$B$2:$B$152,MATCH(B1654,'Wood Density Lookup'!$A$2:$A$152,0))</f>
        <v>0.7</v>
      </c>
      <c r="J1654" s="2">
        <f t="shared" si="254"/>
        <v>263.48129304191372</v>
      </c>
      <c r="K1654" s="2">
        <f t="shared" si="258"/>
        <v>73.774762051735848</v>
      </c>
      <c r="L1654" s="2">
        <f t="shared" si="259"/>
        <v>337.25605509364959</v>
      </c>
      <c r="M1654" s="2">
        <f t="shared" si="255"/>
        <v>244.51063994289595</v>
      </c>
      <c r="N1654" s="2">
        <f t="shared" si="256"/>
        <v>122.25531997144797</v>
      </c>
      <c r="O1654" s="2">
        <f t="shared" si="257"/>
        <v>448.67702429521404</v>
      </c>
      <c r="P1654" s="2">
        <v>72.552181000000004</v>
      </c>
      <c r="Q1654" s="2">
        <v>23.035291000000001</v>
      </c>
    </row>
    <row r="1655" spans="1:17" x14ac:dyDescent="0.25">
      <c r="A1655" s="2">
        <v>1826</v>
      </c>
      <c r="B1655" s="2" t="s">
        <v>133</v>
      </c>
      <c r="C1655" s="2">
        <v>51</v>
      </c>
      <c r="D1655" s="2">
        <f t="shared" si="250"/>
        <v>129.54</v>
      </c>
      <c r="E1655" s="2">
        <f t="shared" si="251"/>
        <v>41.233862656248242</v>
      </c>
      <c r="F1655" s="2">
        <f t="shared" si="252"/>
        <v>16.233804195373324</v>
      </c>
      <c r="G1655" s="2">
        <v>15.410551999999999</v>
      </c>
      <c r="H1655" s="2">
        <f t="shared" si="253"/>
        <v>50.559555423679996</v>
      </c>
      <c r="I1655" s="2">
        <f>INDEX('Wood Density Lookup'!$B$2:$B$152,MATCH(B1655,'Wood Density Lookup'!$A$2:$A$152,0))</f>
        <v>0.55000000000000004</v>
      </c>
      <c r="J1655" s="2">
        <f t="shared" si="254"/>
        <v>770.71791631225005</v>
      </c>
      <c r="K1655" s="2">
        <f t="shared" si="258"/>
        <v>215.80101656743003</v>
      </c>
      <c r="L1655" s="2">
        <f t="shared" si="259"/>
        <v>986.51893287968005</v>
      </c>
      <c r="M1655" s="2">
        <f t="shared" si="255"/>
        <v>715.22622633776803</v>
      </c>
      <c r="N1655" s="2">
        <f t="shared" si="256"/>
        <v>357.61311316888401</v>
      </c>
      <c r="O1655" s="2">
        <f t="shared" si="257"/>
        <v>1312.4401253298042</v>
      </c>
      <c r="P1655" s="2">
        <v>72.552181000000004</v>
      </c>
      <c r="Q1655" s="2">
        <v>23.034670999999999</v>
      </c>
    </row>
    <row r="1656" spans="1:17" x14ac:dyDescent="0.25">
      <c r="A1656" s="2">
        <v>1827</v>
      </c>
      <c r="B1656" s="2" t="s">
        <v>149</v>
      </c>
      <c r="C1656" s="2">
        <v>5</v>
      </c>
      <c r="D1656" s="2">
        <f t="shared" si="250"/>
        <v>12.7</v>
      </c>
      <c r="E1656" s="2">
        <f t="shared" si="251"/>
        <v>4.0425355545341413</v>
      </c>
      <c r="F1656" s="2">
        <f t="shared" si="252"/>
        <v>1.5915494309189535</v>
      </c>
      <c r="G1656" s="2">
        <v>8.3308429999999998</v>
      </c>
      <c r="H1656" s="2">
        <f t="shared" si="253"/>
        <v>27.332162948120001</v>
      </c>
      <c r="I1656" s="2">
        <f>INDEX('Wood Density Lookup'!$B$2:$B$152,MATCH(B1656,'Wood Density Lookup'!$A$2:$A$152,0))</f>
        <v>0.45</v>
      </c>
      <c r="J1656" s="2">
        <f t="shared" si="254"/>
        <v>3.7353491698780092</v>
      </c>
      <c r="K1656" s="2">
        <f t="shared" si="258"/>
        <v>1.0458977675658427</v>
      </c>
      <c r="L1656" s="2">
        <f t="shared" si="259"/>
        <v>4.7812469374438518</v>
      </c>
      <c r="M1656" s="2">
        <f t="shared" si="255"/>
        <v>3.4664040296467924</v>
      </c>
      <c r="N1656" s="2">
        <f t="shared" si="256"/>
        <v>1.7332020148233962</v>
      </c>
      <c r="O1656" s="2">
        <f t="shared" si="257"/>
        <v>6.3608513944018643</v>
      </c>
      <c r="P1656" s="2">
        <v>72.552181000000004</v>
      </c>
      <c r="Q1656" s="2">
        <v>23.037980000000001</v>
      </c>
    </row>
    <row r="1657" spans="1:17" x14ac:dyDescent="0.25">
      <c r="A1657" s="2">
        <v>1829</v>
      </c>
      <c r="B1657" s="2" t="s">
        <v>145</v>
      </c>
      <c r="C1657" s="2">
        <v>26</v>
      </c>
      <c r="D1657" s="2">
        <f t="shared" si="250"/>
        <v>66.040000000000006</v>
      </c>
      <c r="E1657" s="2">
        <f t="shared" si="251"/>
        <v>21.02118488357754</v>
      </c>
      <c r="F1657" s="2">
        <f t="shared" si="252"/>
        <v>8.2760570407785572</v>
      </c>
      <c r="G1657" s="2">
        <v>10.557312</v>
      </c>
      <c r="H1657" s="2">
        <f t="shared" si="253"/>
        <v>34.636851502079999</v>
      </c>
      <c r="I1657" s="2">
        <f>INDEX('Wood Density Lookup'!$B$2:$B$152,MATCH(B1657,'Wood Density Lookup'!$A$2:$A$152,0))</f>
        <v>0.55000000000000004</v>
      </c>
      <c r="J1657" s="2">
        <f t="shared" si="254"/>
        <v>143.02895435252003</v>
      </c>
      <c r="K1657" s="2">
        <f t="shared" si="258"/>
        <v>40.04810721870561</v>
      </c>
      <c r="L1657" s="2">
        <f t="shared" si="259"/>
        <v>183.07706157122564</v>
      </c>
      <c r="M1657" s="2">
        <f t="shared" si="255"/>
        <v>132.73086963913858</v>
      </c>
      <c r="N1657" s="2">
        <f t="shared" si="256"/>
        <v>66.365434819569288</v>
      </c>
      <c r="O1657" s="2">
        <f t="shared" si="257"/>
        <v>243.56114578781927</v>
      </c>
      <c r="P1657" s="2">
        <v>72.552184999999994</v>
      </c>
      <c r="Q1657" s="2">
        <v>23.035429000000001</v>
      </c>
    </row>
    <row r="1658" spans="1:17" x14ac:dyDescent="0.25">
      <c r="A1658" s="2">
        <v>1830</v>
      </c>
      <c r="B1658" s="2" t="s">
        <v>128</v>
      </c>
      <c r="C1658" s="2">
        <v>31</v>
      </c>
      <c r="D1658" s="2">
        <f t="shared" si="250"/>
        <v>78.739999999999995</v>
      </c>
      <c r="E1658" s="2">
        <f t="shared" si="251"/>
        <v>25.063720438111677</v>
      </c>
      <c r="F1658" s="2">
        <f t="shared" si="252"/>
        <v>9.8676064716975116</v>
      </c>
      <c r="G1658" s="2">
        <v>4.1211900000000004</v>
      </c>
      <c r="H1658" s="2">
        <f t="shared" si="253"/>
        <v>13.5209649996</v>
      </c>
      <c r="I1658" s="2">
        <f>INDEX('Wood Density Lookup'!$B$2:$B$152,MATCH(B1658,'Wood Density Lookup'!$A$2:$A$152,0))</f>
        <v>0.75</v>
      </c>
      <c r="J1658" s="2">
        <f t="shared" si="254"/>
        <v>108.961692636176</v>
      </c>
      <c r="K1658" s="2">
        <f t="shared" si="258"/>
        <v>30.509273938129283</v>
      </c>
      <c r="L1658" s="2">
        <f t="shared" si="259"/>
        <v>139.47096657430529</v>
      </c>
      <c r="M1658" s="2">
        <f t="shared" si="255"/>
        <v>101.11645076637133</v>
      </c>
      <c r="N1658" s="2">
        <f t="shared" si="256"/>
        <v>50.558225383185665</v>
      </c>
      <c r="O1658" s="2">
        <f t="shared" si="257"/>
        <v>185.54868715629138</v>
      </c>
      <c r="P1658" s="2">
        <v>72.552184999999994</v>
      </c>
      <c r="Q1658" s="2">
        <v>23.038716999999998</v>
      </c>
    </row>
    <row r="1659" spans="1:17" x14ac:dyDescent="0.25">
      <c r="A1659" s="2">
        <v>1831</v>
      </c>
      <c r="B1659" s="2" t="s">
        <v>45</v>
      </c>
      <c r="C1659" s="2">
        <v>5</v>
      </c>
      <c r="D1659" s="2">
        <f t="shared" si="250"/>
        <v>12.7</v>
      </c>
      <c r="E1659" s="2">
        <f t="shared" si="251"/>
        <v>4.0425355545341413</v>
      </c>
      <c r="F1659" s="2">
        <f t="shared" si="252"/>
        <v>1.5915494309189535</v>
      </c>
      <c r="G1659" s="2">
        <v>2.008753</v>
      </c>
      <c r="H1659" s="2">
        <f t="shared" si="253"/>
        <v>6.5903971925200002</v>
      </c>
      <c r="I1659" s="2">
        <f>INDEX('Wood Density Lookup'!$B$2:$B$152,MATCH(B1659,'Wood Density Lookup'!$A$2:$A$152,0))</f>
        <v>0.6</v>
      </c>
      <c r="J1659" s="2">
        <f t="shared" si="254"/>
        <v>1.2340572216996446</v>
      </c>
      <c r="K1659" s="2">
        <f t="shared" si="258"/>
        <v>0.34553602207590051</v>
      </c>
      <c r="L1659" s="2">
        <f t="shared" si="259"/>
        <v>1.5795932437755451</v>
      </c>
      <c r="M1659" s="2">
        <f t="shared" si="255"/>
        <v>1.1452051017372702</v>
      </c>
      <c r="N1659" s="2">
        <f t="shared" si="256"/>
        <v>0.5726025508686351</v>
      </c>
      <c r="O1659" s="2">
        <f t="shared" si="257"/>
        <v>2.1014513616878907</v>
      </c>
      <c r="P1659" s="2">
        <v>72.552187000000004</v>
      </c>
      <c r="Q1659" s="2">
        <v>23.038131</v>
      </c>
    </row>
    <row r="1660" spans="1:17" x14ac:dyDescent="0.25">
      <c r="A1660" s="2">
        <v>1832</v>
      </c>
      <c r="B1660" s="2" t="s">
        <v>146</v>
      </c>
      <c r="C1660" s="2">
        <v>23</v>
      </c>
      <c r="D1660" s="2">
        <f t="shared" si="250"/>
        <v>58.42</v>
      </c>
      <c r="E1660" s="2">
        <f t="shared" si="251"/>
        <v>18.595663550857051</v>
      </c>
      <c r="F1660" s="2">
        <f t="shared" si="252"/>
        <v>7.3211273822271856</v>
      </c>
      <c r="G1660" s="2">
        <v>9.5147870000000001</v>
      </c>
      <c r="H1660" s="2">
        <f t="shared" si="253"/>
        <v>31.216493781080001</v>
      </c>
      <c r="I1660" s="2">
        <f>INDEX('Wood Density Lookup'!$B$2:$B$152,MATCH(B1660,'Wood Density Lookup'!$A$2:$A$152,0))</f>
        <v>0.55000000000000004</v>
      </c>
      <c r="J1660" s="2">
        <f t="shared" si="254"/>
        <v>101.72276142015311</v>
      </c>
      <c r="K1660" s="2">
        <f t="shared" si="258"/>
        <v>28.482373197642872</v>
      </c>
      <c r="L1660" s="2">
        <f t="shared" si="259"/>
        <v>130.20513461779598</v>
      </c>
      <c r="M1660" s="2">
        <f t="shared" si="255"/>
        <v>94.398722597902079</v>
      </c>
      <c r="N1660" s="2">
        <f t="shared" si="256"/>
        <v>47.19936129895104</v>
      </c>
      <c r="O1660" s="2">
        <f t="shared" si="257"/>
        <v>173.2216559671503</v>
      </c>
      <c r="P1660" s="2">
        <v>72.552188999999998</v>
      </c>
      <c r="Q1660" s="2">
        <v>23.038011000000001</v>
      </c>
    </row>
    <row r="1661" spans="1:17" x14ac:dyDescent="0.25">
      <c r="A1661" s="2">
        <v>1833</v>
      </c>
      <c r="B1661" s="2" t="s">
        <v>114</v>
      </c>
      <c r="C1661" s="2">
        <v>24</v>
      </c>
      <c r="D1661" s="2">
        <f t="shared" si="250"/>
        <v>60.96</v>
      </c>
      <c r="E1661" s="2">
        <f t="shared" si="251"/>
        <v>19.404170661763882</v>
      </c>
      <c r="F1661" s="2">
        <f t="shared" si="252"/>
        <v>7.6394372684109761</v>
      </c>
      <c r="G1661" s="2">
        <v>10.42089</v>
      </c>
      <c r="H1661" s="2">
        <f t="shared" si="253"/>
        <v>34.1892727476</v>
      </c>
      <c r="I1661" s="2">
        <f>INDEX('Wood Density Lookup'!$B$2:$B$152,MATCH(B1661,'Wood Density Lookup'!$A$2:$A$152,0))</f>
        <v>0.55000000000000004</v>
      </c>
      <c r="J1661" s="2">
        <f t="shared" si="254"/>
        <v>120.79677853893362</v>
      </c>
      <c r="K1661" s="2">
        <f t="shared" si="258"/>
        <v>33.823097990901417</v>
      </c>
      <c r="L1661" s="2">
        <f t="shared" si="259"/>
        <v>154.61987652983504</v>
      </c>
      <c r="M1661" s="2">
        <f t="shared" si="255"/>
        <v>112.0994104841304</v>
      </c>
      <c r="N1661" s="2">
        <f t="shared" si="256"/>
        <v>56.049705242065201</v>
      </c>
      <c r="O1661" s="2">
        <f t="shared" si="257"/>
        <v>205.70241823837929</v>
      </c>
      <c r="P1661" s="2">
        <v>72.552188999999998</v>
      </c>
      <c r="Q1661" s="2">
        <v>23.035211</v>
      </c>
    </row>
    <row r="1662" spans="1:17" x14ac:dyDescent="0.25">
      <c r="A1662" s="2">
        <v>1834</v>
      </c>
      <c r="B1662" s="2" t="s">
        <v>46</v>
      </c>
      <c r="C1662" s="2">
        <v>2</v>
      </c>
      <c r="D1662" s="2">
        <f t="shared" si="250"/>
        <v>5.08</v>
      </c>
      <c r="E1662" s="2">
        <f t="shared" si="251"/>
        <v>1.6170142218136567</v>
      </c>
      <c r="F1662" s="2">
        <f t="shared" si="252"/>
        <v>0.63661977236758138</v>
      </c>
      <c r="G1662" s="2">
        <v>4.2961919999999996</v>
      </c>
      <c r="H1662" s="2">
        <f t="shared" si="253"/>
        <v>14.095118561279998</v>
      </c>
      <c r="I1662" s="2">
        <f>INDEX('Wood Density Lookup'!$B$2:$B$152,MATCH(B1662,'Wood Density Lookup'!$A$2:$A$152,0))</f>
        <v>0.6</v>
      </c>
      <c r="J1662" s="2">
        <f t="shared" si="254"/>
        <v>0.43330108165951015</v>
      </c>
      <c r="K1662" s="2">
        <f t="shared" si="258"/>
        <v>0.12132430286466285</v>
      </c>
      <c r="L1662" s="2">
        <f t="shared" si="259"/>
        <v>0.55462538452417298</v>
      </c>
      <c r="M1662" s="2">
        <f t="shared" si="255"/>
        <v>0.4021034037800254</v>
      </c>
      <c r="N1662" s="2">
        <f t="shared" si="256"/>
        <v>0.2010517018900127</v>
      </c>
      <c r="O1662" s="2">
        <f t="shared" si="257"/>
        <v>0.73785974593634662</v>
      </c>
      <c r="P1662" s="2">
        <v>72.552188999999998</v>
      </c>
      <c r="Q1662" s="2">
        <v>23.038060000000002</v>
      </c>
    </row>
    <row r="1663" spans="1:17" x14ac:dyDescent="0.25">
      <c r="A1663" s="2">
        <v>1835</v>
      </c>
      <c r="B1663" s="2" t="s">
        <v>11</v>
      </c>
      <c r="C1663" s="2">
        <v>7</v>
      </c>
      <c r="D1663" s="2">
        <f t="shared" si="250"/>
        <v>17.78</v>
      </c>
      <c r="E1663" s="2">
        <f t="shared" si="251"/>
        <v>5.6595497763477987</v>
      </c>
      <c r="F1663" s="2">
        <f t="shared" si="252"/>
        <v>2.228169203286535</v>
      </c>
      <c r="G1663" s="2">
        <v>1.3306210000000001</v>
      </c>
      <c r="H1663" s="2">
        <f t="shared" si="253"/>
        <v>4.3655546016400004</v>
      </c>
      <c r="I1663" s="2">
        <f>INDEX('Wood Density Lookup'!$B$2:$B$152,MATCH(B1663,'Wood Density Lookup'!$A$2:$A$152,0))</f>
        <v>0.45</v>
      </c>
      <c r="J1663" s="2">
        <f t="shared" si="254"/>
        <v>1.2024244079990301</v>
      </c>
      <c r="K1663" s="2">
        <f t="shared" si="258"/>
        <v>0.33667883423972844</v>
      </c>
      <c r="L1663" s="2">
        <f t="shared" si="259"/>
        <v>1.5391032422387585</v>
      </c>
      <c r="M1663" s="2">
        <f t="shared" si="255"/>
        <v>1.1158498506230998</v>
      </c>
      <c r="N1663" s="2">
        <f t="shared" si="256"/>
        <v>0.55792492531154991</v>
      </c>
      <c r="O1663" s="2">
        <f t="shared" si="257"/>
        <v>2.0475844758933883</v>
      </c>
      <c r="P1663" s="2">
        <v>72.552188999999998</v>
      </c>
      <c r="Q1663" s="2">
        <v>23.037846999999999</v>
      </c>
    </row>
    <row r="1664" spans="1:17" x14ac:dyDescent="0.25">
      <c r="A1664" s="2">
        <v>1836</v>
      </c>
      <c r="B1664" s="2" t="s">
        <v>134</v>
      </c>
      <c r="C1664" s="2">
        <v>4</v>
      </c>
      <c r="D1664" s="2">
        <f t="shared" si="250"/>
        <v>10.16</v>
      </c>
      <c r="E1664" s="2">
        <f t="shared" si="251"/>
        <v>3.2340284436273135</v>
      </c>
      <c r="F1664" s="2">
        <f t="shared" si="252"/>
        <v>1.2732395447351628</v>
      </c>
      <c r="G1664" s="2">
        <v>1.0560130000000001</v>
      </c>
      <c r="H1664" s="2">
        <f t="shared" si="253"/>
        <v>3.4646096909200002</v>
      </c>
      <c r="I1664" s="2">
        <f>INDEX('Wood Density Lookup'!$B$2:$B$152,MATCH(B1664,'Wood Density Lookup'!$A$2:$A$152,0))</f>
        <v>0.65</v>
      </c>
      <c r="J1664" s="2">
        <f t="shared" si="254"/>
        <v>0.46082885941468238</v>
      </c>
      <c r="K1664" s="2">
        <f t="shared" si="258"/>
        <v>0.12903208063611107</v>
      </c>
      <c r="L1664" s="2">
        <f t="shared" si="259"/>
        <v>0.58986094005079348</v>
      </c>
      <c r="M1664" s="2">
        <f t="shared" si="255"/>
        <v>0.42764918153682524</v>
      </c>
      <c r="N1664" s="2">
        <f t="shared" si="256"/>
        <v>0.21382459076841262</v>
      </c>
      <c r="O1664" s="2">
        <f t="shared" si="257"/>
        <v>0.78473624812007425</v>
      </c>
      <c r="P1664" s="2">
        <v>72.552189999999996</v>
      </c>
      <c r="Q1664" s="2">
        <v>23.038204</v>
      </c>
    </row>
    <row r="1665" spans="1:17" x14ac:dyDescent="0.25">
      <c r="A1665" s="2">
        <v>1837</v>
      </c>
      <c r="B1665" s="2" t="s">
        <v>119</v>
      </c>
      <c r="C1665" s="2">
        <v>7</v>
      </c>
      <c r="D1665" s="2">
        <f t="shared" ref="D1665:D1728" si="260">C1665*2.54</f>
        <v>17.78</v>
      </c>
      <c r="E1665" s="2">
        <f t="shared" ref="E1665:E1728" si="261">D1665/PI()</f>
        <v>5.6595497763477987</v>
      </c>
      <c r="F1665" s="2">
        <f t="shared" ref="F1665:F1728" si="262">C1665/PI()</f>
        <v>2.228169203286535</v>
      </c>
      <c r="G1665" s="2">
        <v>2.0085609999999998</v>
      </c>
      <c r="H1665" s="2">
        <f t="shared" ref="H1665:H1728" si="263">G1665*3.28084</f>
        <v>6.5897672712399995</v>
      </c>
      <c r="I1665" s="2">
        <f>INDEX('Wood Density Lookup'!$B$2:$B$152,MATCH(B1665,'Wood Density Lookup'!$A$2:$A$152,0))</f>
        <v>0.6</v>
      </c>
      <c r="J1665" s="2">
        <f t="shared" ref="J1665:J1728" si="264">0.0673*POWER(I1665*E1665^2*G1665,0.976)</f>
        <v>2.3797794349906867</v>
      </c>
      <c r="K1665" s="2">
        <f t="shared" si="258"/>
        <v>0.66633824179739232</v>
      </c>
      <c r="L1665" s="2">
        <f t="shared" si="259"/>
        <v>3.0461176767880791</v>
      </c>
      <c r="M1665" s="2">
        <f t="shared" ref="M1665:M1728" si="265">0.725*L1665</f>
        <v>2.2084353156713572</v>
      </c>
      <c r="N1665" s="2">
        <f t="shared" ref="N1665:N1728" si="266">0.5*M1665</f>
        <v>1.1042176578356786</v>
      </c>
      <c r="O1665" s="2">
        <f t="shared" ref="O1665:O1728" si="267">3.67*N1665</f>
        <v>4.05247880425694</v>
      </c>
      <c r="P1665" s="2">
        <v>72.552189999999996</v>
      </c>
      <c r="Q1665" s="2">
        <v>23.038086</v>
      </c>
    </row>
    <row r="1666" spans="1:17" x14ac:dyDescent="0.25">
      <c r="A1666" s="2">
        <v>1838</v>
      </c>
      <c r="B1666" s="2" t="s">
        <v>115</v>
      </c>
      <c r="C1666" s="2">
        <v>18</v>
      </c>
      <c r="D1666" s="2">
        <f t="shared" si="260"/>
        <v>45.72</v>
      </c>
      <c r="E1666" s="2">
        <f t="shared" si="261"/>
        <v>14.55312799632291</v>
      </c>
      <c r="F1666" s="2">
        <f t="shared" si="262"/>
        <v>5.7295779513082321</v>
      </c>
      <c r="G1666" s="2">
        <v>7.4054520000000004</v>
      </c>
      <c r="H1666" s="2">
        <f t="shared" si="263"/>
        <v>24.29610313968</v>
      </c>
      <c r="I1666" s="2">
        <f>INDEX('Wood Density Lookup'!$B$2:$B$152,MATCH(B1666,'Wood Density Lookup'!$A$2:$A$152,0))</f>
        <v>0.65</v>
      </c>
      <c r="J1666" s="2">
        <f t="shared" si="264"/>
        <v>58.102072937455404</v>
      </c>
      <c r="K1666" s="2">
        <f t="shared" si="258"/>
        <v>16.268580422487513</v>
      </c>
      <c r="L1666" s="2">
        <f t="shared" si="259"/>
        <v>74.370653359942921</v>
      </c>
      <c r="M1666" s="2">
        <f t="shared" si="265"/>
        <v>53.918723685958618</v>
      </c>
      <c r="N1666" s="2">
        <f t="shared" si="266"/>
        <v>26.959361842979309</v>
      </c>
      <c r="O1666" s="2">
        <f t="shared" si="267"/>
        <v>98.940857963734061</v>
      </c>
      <c r="P1666" s="2">
        <v>72.552190999999993</v>
      </c>
      <c r="Q1666" s="2">
        <v>23.037955</v>
      </c>
    </row>
    <row r="1667" spans="1:17" x14ac:dyDescent="0.25">
      <c r="A1667" s="2">
        <v>1839</v>
      </c>
      <c r="B1667" s="2" t="s">
        <v>59</v>
      </c>
      <c r="C1667" s="2">
        <v>24</v>
      </c>
      <c r="D1667" s="2">
        <f t="shared" si="260"/>
        <v>60.96</v>
      </c>
      <c r="E1667" s="2">
        <f t="shared" si="261"/>
        <v>19.404170661763882</v>
      </c>
      <c r="F1667" s="2">
        <f t="shared" si="262"/>
        <v>7.6394372684109761</v>
      </c>
      <c r="G1667" s="2">
        <v>5.8490669999999998</v>
      </c>
      <c r="H1667" s="2">
        <f t="shared" si="263"/>
        <v>19.189852976280001</v>
      </c>
      <c r="I1667" s="2">
        <f>INDEX('Wood Density Lookup'!$B$2:$B$152,MATCH(B1667,'Wood Density Lookup'!$A$2:$A$152,0))</f>
        <v>0.45</v>
      </c>
      <c r="J1667" s="2">
        <f t="shared" si="264"/>
        <v>56.519485876570336</v>
      </c>
      <c r="K1667" s="2">
        <f t="shared" ref="K1667:K1730" si="268">0.28*J1667</f>
        <v>15.825456045439696</v>
      </c>
      <c r="L1667" s="2">
        <f t="shared" ref="L1667:L1730" si="269">J1667+K1667</f>
        <v>72.344941922010037</v>
      </c>
      <c r="M1667" s="2">
        <f t="shared" si="265"/>
        <v>52.450082893457278</v>
      </c>
      <c r="N1667" s="2">
        <f t="shared" si="266"/>
        <v>26.225041446728639</v>
      </c>
      <c r="O1667" s="2">
        <f t="shared" si="267"/>
        <v>96.245902109494097</v>
      </c>
      <c r="P1667" s="2">
        <v>72.552192000000005</v>
      </c>
      <c r="Q1667" s="2">
        <v>23.037875</v>
      </c>
    </row>
    <row r="1668" spans="1:17" x14ac:dyDescent="0.25">
      <c r="A1668" s="2">
        <v>1840</v>
      </c>
      <c r="B1668" s="2" t="s">
        <v>102</v>
      </c>
      <c r="C1668" s="2">
        <v>2</v>
      </c>
      <c r="D1668" s="2">
        <f t="shared" si="260"/>
        <v>5.08</v>
      </c>
      <c r="E1668" s="2">
        <f t="shared" si="261"/>
        <v>1.6170142218136567</v>
      </c>
      <c r="F1668" s="2">
        <f t="shared" si="262"/>
        <v>0.63661977236758138</v>
      </c>
      <c r="G1668" s="2">
        <v>4.052994</v>
      </c>
      <c r="H1668" s="2">
        <f t="shared" si="263"/>
        <v>13.29722483496</v>
      </c>
      <c r="I1668" s="2">
        <f>INDEX('Wood Density Lookup'!$B$2:$B$152,MATCH(B1668,'Wood Density Lookup'!$A$2:$A$152,0))</f>
        <v>0.45</v>
      </c>
      <c r="J1668" s="2">
        <f t="shared" si="264"/>
        <v>0.30913574883187944</v>
      </c>
      <c r="K1668" s="2">
        <f t="shared" si="268"/>
        <v>8.6558009672926248E-2</v>
      </c>
      <c r="L1668" s="2">
        <f t="shared" si="269"/>
        <v>0.3956937585048057</v>
      </c>
      <c r="M1668" s="2">
        <f t="shared" si="265"/>
        <v>0.2868779749159841</v>
      </c>
      <c r="N1668" s="2">
        <f t="shared" si="266"/>
        <v>0.14343898745799205</v>
      </c>
      <c r="O1668" s="2">
        <f t="shared" si="267"/>
        <v>0.52642108397083087</v>
      </c>
      <c r="P1668" s="2">
        <v>72.552192000000005</v>
      </c>
      <c r="Q1668" s="2">
        <v>23.038167999999999</v>
      </c>
    </row>
    <row r="1669" spans="1:17" x14ac:dyDescent="0.25">
      <c r="A1669" s="2">
        <v>1841</v>
      </c>
      <c r="B1669" s="2" t="s">
        <v>31</v>
      </c>
      <c r="C1669" s="2">
        <v>4</v>
      </c>
      <c r="D1669" s="2">
        <f t="shared" si="260"/>
        <v>10.16</v>
      </c>
      <c r="E1669" s="2">
        <f t="shared" si="261"/>
        <v>3.2340284436273135</v>
      </c>
      <c r="F1669" s="2">
        <f t="shared" si="262"/>
        <v>1.2732395447351628</v>
      </c>
      <c r="G1669" s="2">
        <v>2.0975519999999999</v>
      </c>
      <c r="H1669" s="2">
        <f t="shared" si="263"/>
        <v>6.8817325036799994</v>
      </c>
      <c r="I1669" s="2">
        <f>INDEX('Wood Density Lookup'!$B$2:$B$152,MATCH(B1669,'Wood Density Lookup'!$A$2:$A$152,0))</f>
        <v>0.78</v>
      </c>
      <c r="J1669" s="2">
        <f t="shared" si="264"/>
        <v>1.0757491047774175</v>
      </c>
      <c r="K1669" s="2">
        <f t="shared" si="268"/>
        <v>0.30120974933767691</v>
      </c>
      <c r="L1669" s="2">
        <f t="shared" si="269"/>
        <v>1.3769588541150943</v>
      </c>
      <c r="M1669" s="2">
        <f t="shared" si="265"/>
        <v>0.99829516923344341</v>
      </c>
      <c r="N1669" s="2">
        <f t="shared" si="266"/>
        <v>0.49914758461672171</v>
      </c>
      <c r="O1669" s="2">
        <f t="shared" si="267"/>
        <v>1.8318716355433686</v>
      </c>
      <c r="P1669" s="2">
        <v>72.552193000000003</v>
      </c>
      <c r="Q1669" s="2">
        <v>23.036629999999999</v>
      </c>
    </row>
    <row r="1670" spans="1:17" x14ac:dyDescent="0.25">
      <c r="A1670" s="2">
        <v>1842</v>
      </c>
      <c r="B1670" s="2" t="s">
        <v>135</v>
      </c>
      <c r="C1670" s="2">
        <v>17</v>
      </c>
      <c r="D1670" s="2">
        <f t="shared" si="260"/>
        <v>43.18</v>
      </c>
      <c r="E1670" s="2">
        <f t="shared" si="261"/>
        <v>13.744620885416081</v>
      </c>
      <c r="F1670" s="2">
        <f t="shared" si="262"/>
        <v>5.4112680651244416</v>
      </c>
      <c r="G1670" s="2">
        <v>9.2586499999999994</v>
      </c>
      <c r="H1670" s="2">
        <f t="shared" si="263"/>
        <v>30.376149265999999</v>
      </c>
      <c r="I1670" s="2">
        <f>INDEX('Wood Density Lookup'!$B$2:$B$152,MATCH(B1670,'Wood Density Lookup'!$A$2:$A$152,0))</f>
        <v>0.8</v>
      </c>
      <c r="J1670" s="2">
        <f t="shared" si="264"/>
        <v>79.143740555032821</v>
      </c>
      <c r="K1670" s="2">
        <f t="shared" si="268"/>
        <v>22.160247355409194</v>
      </c>
      <c r="L1670" s="2">
        <f t="shared" si="269"/>
        <v>101.30398791044202</v>
      </c>
      <c r="M1670" s="2">
        <f t="shared" si="265"/>
        <v>73.44539123507046</v>
      </c>
      <c r="N1670" s="2">
        <f t="shared" si="266"/>
        <v>36.72269561753523</v>
      </c>
      <c r="O1670" s="2">
        <f t="shared" si="267"/>
        <v>134.7722929163543</v>
      </c>
      <c r="P1670" s="2">
        <v>72.552194999999998</v>
      </c>
      <c r="Q1670" s="2">
        <v>23.035717999999999</v>
      </c>
    </row>
    <row r="1671" spans="1:17" x14ac:dyDescent="0.25">
      <c r="A1671" s="2">
        <v>1843</v>
      </c>
      <c r="B1671" s="2" t="s">
        <v>148</v>
      </c>
      <c r="C1671" s="2">
        <v>9</v>
      </c>
      <c r="D1671" s="2">
        <f t="shared" si="260"/>
        <v>22.86</v>
      </c>
      <c r="E1671" s="2">
        <f t="shared" si="261"/>
        <v>7.2765639981614552</v>
      </c>
      <c r="F1671" s="2">
        <f t="shared" si="262"/>
        <v>2.8647889756541161</v>
      </c>
      <c r="G1671" s="2">
        <v>6.0590739999999998</v>
      </c>
      <c r="H1671" s="2">
        <f t="shared" si="263"/>
        <v>19.878852342159998</v>
      </c>
      <c r="I1671" s="2">
        <f>INDEX('Wood Density Lookup'!$B$2:$B$152,MATCH(B1671,'Wood Density Lookup'!$A$2:$A$152,0))</f>
        <v>0.5</v>
      </c>
      <c r="J1671" s="2">
        <f t="shared" si="264"/>
        <v>9.5569328971121976</v>
      </c>
      <c r="K1671" s="2">
        <f t="shared" si="268"/>
        <v>2.6759412111914154</v>
      </c>
      <c r="L1671" s="2">
        <f t="shared" si="269"/>
        <v>12.232874108303612</v>
      </c>
      <c r="M1671" s="2">
        <f t="shared" si="265"/>
        <v>8.8688337285201193</v>
      </c>
      <c r="N1671" s="2">
        <f t="shared" si="266"/>
        <v>4.4344168642600597</v>
      </c>
      <c r="O1671" s="2">
        <f t="shared" si="267"/>
        <v>16.27430989183442</v>
      </c>
      <c r="P1671" s="2">
        <v>72.552194999999998</v>
      </c>
      <c r="Q1671" s="2">
        <v>23.034801999999999</v>
      </c>
    </row>
    <row r="1672" spans="1:17" x14ac:dyDescent="0.25">
      <c r="A1672" s="2">
        <v>1844</v>
      </c>
      <c r="B1672" s="2" t="s">
        <v>137</v>
      </c>
      <c r="C1672" s="2">
        <v>7</v>
      </c>
      <c r="D1672" s="2">
        <f t="shared" si="260"/>
        <v>17.78</v>
      </c>
      <c r="E1672" s="2">
        <f t="shared" si="261"/>
        <v>5.6595497763477987</v>
      </c>
      <c r="F1672" s="2">
        <f t="shared" si="262"/>
        <v>2.228169203286535</v>
      </c>
      <c r="G1672" s="2">
        <v>3.3557610000000002</v>
      </c>
      <c r="H1672" s="2">
        <f t="shared" si="263"/>
        <v>11.00971491924</v>
      </c>
      <c r="I1672" s="2">
        <f>INDEX('Wood Density Lookup'!$B$2:$B$152,MATCH(B1672,'Wood Density Lookup'!$A$2:$A$152,0))</f>
        <v>0.55000000000000004</v>
      </c>
      <c r="J1672" s="2">
        <f t="shared" si="264"/>
        <v>3.6075414066264635</v>
      </c>
      <c r="K1672" s="2">
        <f t="shared" si="268"/>
        <v>1.0101115938554099</v>
      </c>
      <c r="L1672" s="2">
        <f t="shared" si="269"/>
        <v>4.617653000481873</v>
      </c>
      <c r="M1672" s="2">
        <f t="shared" si="265"/>
        <v>3.347798425349358</v>
      </c>
      <c r="N1672" s="2">
        <f t="shared" si="266"/>
        <v>1.673899212674679</v>
      </c>
      <c r="O1672" s="2">
        <f t="shared" si="267"/>
        <v>6.1432101105160717</v>
      </c>
      <c r="P1672" s="2">
        <v>72.552194999999998</v>
      </c>
      <c r="Q1672" s="2">
        <v>23.037801999999999</v>
      </c>
    </row>
    <row r="1673" spans="1:17" x14ac:dyDescent="0.25">
      <c r="A1673" s="2">
        <v>1847</v>
      </c>
      <c r="B1673" s="2" t="s">
        <v>15</v>
      </c>
      <c r="C1673" s="2">
        <v>42</v>
      </c>
      <c r="D1673" s="2">
        <f t="shared" si="260"/>
        <v>106.68</v>
      </c>
      <c r="E1673" s="2">
        <f t="shared" si="261"/>
        <v>33.957298658086792</v>
      </c>
      <c r="F1673" s="2">
        <f t="shared" si="262"/>
        <v>13.369015219719209</v>
      </c>
      <c r="G1673" s="2">
        <v>16.009270999999998</v>
      </c>
      <c r="H1673" s="2">
        <f t="shared" si="263"/>
        <v>52.523856667639997</v>
      </c>
      <c r="I1673" s="2">
        <f>INDEX('Wood Density Lookup'!$B$2:$B$152,MATCH(B1673,'Wood Density Lookup'!$A$2:$A$152,0))</f>
        <v>0.75</v>
      </c>
      <c r="J1673" s="2">
        <f t="shared" si="264"/>
        <v>741.17877570930284</v>
      </c>
      <c r="K1673" s="2">
        <f t="shared" si="268"/>
        <v>207.53005719860482</v>
      </c>
      <c r="L1673" s="2">
        <f t="shared" si="269"/>
        <v>948.70883290790766</v>
      </c>
      <c r="M1673" s="2">
        <f t="shared" si="265"/>
        <v>687.81390385823306</v>
      </c>
      <c r="N1673" s="2">
        <f t="shared" si="266"/>
        <v>343.90695192911653</v>
      </c>
      <c r="O1673" s="2">
        <f t="shared" si="267"/>
        <v>1262.1385135798575</v>
      </c>
      <c r="P1673" s="2">
        <v>72.552203000000006</v>
      </c>
      <c r="Q1673" s="2">
        <v>23.034706</v>
      </c>
    </row>
    <row r="1674" spans="1:17" x14ac:dyDescent="0.25">
      <c r="A1674" s="2">
        <v>1848</v>
      </c>
      <c r="B1674" s="2" t="s">
        <v>75</v>
      </c>
      <c r="C1674" s="2">
        <v>33</v>
      </c>
      <c r="D1674" s="2">
        <f t="shared" si="260"/>
        <v>83.820000000000007</v>
      </c>
      <c r="E1674" s="2">
        <f t="shared" si="261"/>
        <v>26.680734659925339</v>
      </c>
      <c r="F1674" s="2">
        <f t="shared" si="262"/>
        <v>10.504226244065093</v>
      </c>
      <c r="G1674" s="2">
        <v>12.902403</v>
      </c>
      <c r="H1674" s="2">
        <f t="shared" si="263"/>
        <v>42.330719858519998</v>
      </c>
      <c r="I1674" s="2">
        <f>INDEX('Wood Density Lookup'!$B$2:$B$152,MATCH(B1674,'Wood Density Lookup'!$A$2:$A$152,0))</f>
        <v>0.3</v>
      </c>
      <c r="J1674" s="2">
        <f t="shared" si="264"/>
        <v>153.3338326093789</v>
      </c>
      <c r="K1674" s="2">
        <f t="shared" si="268"/>
        <v>42.933473130626098</v>
      </c>
      <c r="L1674" s="2">
        <f t="shared" si="269"/>
        <v>196.26730574000499</v>
      </c>
      <c r="M1674" s="2">
        <f t="shared" si="265"/>
        <v>142.29379666150362</v>
      </c>
      <c r="N1674" s="2">
        <f t="shared" si="266"/>
        <v>71.14689833075181</v>
      </c>
      <c r="O1674" s="2">
        <f t="shared" si="267"/>
        <v>261.10911687385914</v>
      </c>
      <c r="P1674" s="2">
        <v>72.552207999999993</v>
      </c>
      <c r="Q1674" s="2">
        <v>23.035758999999999</v>
      </c>
    </row>
    <row r="1675" spans="1:17" x14ac:dyDescent="0.25">
      <c r="A1675" s="2">
        <v>1849</v>
      </c>
      <c r="B1675" s="2" t="s">
        <v>115</v>
      </c>
      <c r="C1675" s="2">
        <v>19</v>
      </c>
      <c r="D1675" s="2">
        <f t="shared" si="260"/>
        <v>48.26</v>
      </c>
      <c r="E1675" s="2">
        <f t="shared" si="261"/>
        <v>15.361635107229738</v>
      </c>
      <c r="F1675" s="2">
        <f t="shared" si="262"/>
        <v>6.0478878374920226</v>
      </c>
      <c r="G1675" s="2">
        <v>8.9750990000000002</v>
      </c>
      <c r="H1675" s="2">
        <f t="shared" si="263"/>
        <v>29.445863803160002</v>
      </c>
      <c r="I1675" s="2">
        <f>INDEX('Wood Density Lookup'!$B$2:$B$152,MATCH(B1675,'Wood Density Lookup'!$A$2:$A$152,0))</f>
        <v>0.65</v>
      </c>
      <c r="J1675" s="2">
        <f t="shared" si="264"/>
        <v>77.895200324346746</v>
      </c>
      <c r="K1675" s="2">
        <f t="shared" si="268"/>
        <v>21.810656090817091</v>
      </c>
      <c r="L1675" s="2">
        <f t="shared" si="269"/>
        <v>99.705856415163836</v>
      </c>
      <c r="M1675" s="2">
        <f t="shared" si="265"/>
        <v>72.286745900993779</v>
      </c>
      <c r="N1675" s="2">
        <f t="shared" si="266"/>
        <v>36.143372950496889</v>
      </c>
      <c r="O1675" s="2">
        <f t="shared" si="267"/>
        <v>132.64617872832358</v>
      </c>
      <c r="P1675" s="2">
        <v>72.552209000000005</v>
      </c>
      <c r="Q1675" s="2">
        <v>23.038772999999999</v>
      </c>
    </row>
    <row r="1676" spans="1:17" x14ac:dyDescent="0.25">
      <c r="A1676" s="2">
        <v>1851</v>
      </c>
      <c r="B1676" s="2" t="s">
        <v>137</v>
      </c>
      <c r="C1676" s="2">
        <v>4</v>
      </c>
      <c r="D1676" s="2">
        <f t="shared" si="260"/>
        <v>10.16</v>
      </c>
      <c r="E1676" s="2">
        <f t="shared" si="261"/>
        <v>3.2340284436273135</v>
      </c>
      <c r="F1676" s="2">
        <f t="shared" si="262"/>
        <v>1.2732395447351628</v>
      </c>
      <c r="G1676" s="2">
        <v>1.1499820000000001</v>
      </c>
      <c r="H1676" s="2">
        <f t="shared" si="263"/>
        <v>3.7729069448800003</v>
      </c>
      <c r="I1676" s="2">
        <f>INDEX('Wood Density Lookup'!$B$2:$B$152,MATCH(B1676,'Wood Density Lookup'!$A$2:$A$152,0))</f>
        <v>0.55000000000000004</v>
      </c>
      <c r="J1676" s="2">
        <f t="shared" si="264"/>
        <v>0.42546464110701759</v>
      </c>
      <c r="K1676" s="2">
        <f t="shared" si="268"/>
        <v>0.11913009950996493</v>
      </c>
      <c r="L1676" s="2">
        <f t="shared" si="269"/>
        <v>0.54459474061698254</v>
      </c>
      <c r="M1676" s="2">
        <f t="shared" si="265"/>
        <v>0.39483118694731234</v>
      </c>
      <c r="N1676" s="2">
        <f t="shared" si="266"/>
        <v>0.19741559347365617</v>
      </c>
      <c r="O1676" s="2">
        <f t="shared" si="267"/>
        <v>0.72451522804831814</v>
      </c>
      <c r="P1676" s="2">
        <v>72.552216999999999</v>
      </c>
      <c r="Q1676" s="2">
        <v>23.035831999999999</v>
      </c>
    </row>
    <row r="1677" spans="1:17" x14ac:dyDescent="0.25">
      <c r="A1677" s="2">
        <v>1852</v>
      </c>
      <c r="B1677" s="2" t="s">
        <v>119</v>
      </c>
      <c r="C1677" s="2">
        <v>7</v>
      </c>
      <c r="D1677" s="2">
        <f t="shared" si="260"/>
        <v>17.78</v>
      </c>
      <c r="E1677" s="2">
        <f t="shared" si="261"/>
        <v>5.6595497763477987</v>
      </c>
      <c r="F1677" s="2">
        <f t="shared" si="262"/>
        <v>2.228169203286535</v>
      </c>
      <c r="G1677" s="2">
        <v>6.31846</v>
      </c>
      <c r="H1677" s="2">
        <f t="shared" si="263"/>
        <v>20.729856306399999</v>
      </c>
      <c r="I1677" s="2">
        <f>INDEX('Wood Density Lookup'!$B$2:$B$152,MATCH(B1677,'Wood Density Lookup'!$A$2:$A$152,0))</f>
        <v>0.6</v>
      </c>
      <c r="J1677" s="2">
        <f t="shared" si="264"/>
        <v>7.2831204544218497</v>
      </c>
      <c r="K1677" s="2">
        <f t="shared" si="268"/>
        <v>2.0392737272381183</v>
      </c>
      <c r="L1677" s="2">
        <f t="shared" si="269"/>
        <v>9.322394181659968</v>
      </c>
      <c r="M1677" s="2">
        <f t="shared" si="265"/>
        <v>6.7587357817034768</v>
      </c>
      <c r="N1677" s="2">
        <f t="shared" si="266"/>
        <v>3.3793678908517384</v>
      </c>
      <c r="O1677" s="2">
        <f t="shared" si="267"/>
        <v>12.40228015942588</v>
      </c>
      <c r="P1677" s="2">
        <v>72.552222</v>
      </c>
      <c r="Q1677" s="2">
        <v>23.037977999999999</v>
      </c>
    </row>
    <row r="1678" spans="1:17" x14ac:dyDescent="0.25">
      <c r="A1678" s="2">
        <v>1853</v>
      </c>
      <c r="B1678" s="2" t="s">
        <v>143</v>
      </c>
      <c r="C1678" s="2">
        <v>8</v>
      </c>
      <c r="D1678" s="2">
        <f t="shared" si="260"/>
        <v>20.32</v>
      </c>
      <c r="E1678" s="2">
        <f t="shared" si="261"/>
        <v>6.4680568872546269</v>
      </c>
      <c r="F1678" s="2">
        <f t="shared" si="262"/>
        <v>2.5464790894703255</v>
      </c>
      <c r="G1678" s="2">
        <v>2.0852029999999999</v>
      </c>
      <c r="H1678" s="2">
        <f t="shared" si="263"/>
        <v>6.8412174105199997</v>
      </c>
      <c r="I1678" s="2">
        <f>INDEX('Wood Density Lookup'!$B$2:$B$152,MATCH(B1678,'Wood Density Lookup'!$A$2:$A$152,0))</f>
        <v>0.75</v>
      </c>
      <c r="J1678" s="2">
        <f t="shared" si="264"/>
        <v>3.9828518854485977</v>
      </c>
      <c r="K1678" s="2">
        <f t="shared" si="268"/>
        <v>1.1151985279256074</v>
      </c>
      <c r="L1678" s="2">
        <f t="shared" si="269"/>
        <v>5.0980504133742048</v>
      </c>
      <c r="M1678" s="2">
        <f t="shared" si="265"/>
        <v>3.6960865496962985</v>
      </c>
      <c r="N1678" s="2">
        <f t="shared" si="266"/>
        <v>1.8480432748481492</v>
      </c>
      <c r="O1678" s="2">
        <f t="shared" si="267"/>
        <v>6.7823188186927075</v>
      </c>
      <c r="P1678" s="2">
        <v>72.552226000000005</v>
      </c>
      <c r="Q1678" s="2">
        <v>23.038202999999999</v>
      </c>
    </row>
    <row r="1679" spans="1:17" x14ac:dyDescent="0.25">
      <c r="A1679" s="2">
        <v>1854</v>
      </c>
      <c r="B1679" s="2" t="s">
        <v>9</v>
      </c>
      <c r="C1679" s="2">
        <v>105</v>
      </c>
      <c r="D1679" s="2">
        <f t="shared" si="260"/>
        <v>266.7</v>
      </c>
      <c r="E1679" s="2">
        <f t="shared" si="261"/>
        <v>84.893246645216976</v>
      </c>
      <c r="F1679" s="2">
        <f t="shared" si="262"/>
        <v>33.422538049298019</v>
      </c>
      <c r="G1679" s="2">
        <v>2.6596760000000002</v>
      </c>
      <c r="H1679" s="2">
        <f t="shared" si="263"/>
        <v>8.7259714078400012</v>
      </c>
      <c r="I1679" s="2">
        <f>INDEX('Wood Density Lookup'!$B$2:$B$152,MATCH(B1679,'Wood Density Lookup'!$A$2:$A$152,0))</f>
        <v>0.42</v>
      </c>
      <c r="J1679" s="2">
        <f t="shared" si="264"/>
        <v>436.61594465096982</v>
      </c>
      <c r="K1679" s="2">
        <f t="shared" si="268"/>
        <v>122.25246450227156</v>
      </c>
      <c r="L1679" s="2">
        <f t="shared" si="269"/>
        <v>558.86840915324137</v>
      </c>
      <c r="M1679" s="2">
        <f t="shared" si="265"/>
        <v>405.17959663609997</v>
      </c>
      <c r="N1679" s="2">
        <f t="shared" si="266"/>
        <v>202.58979831804999</v>
      </c>
      <c r="O1679" s="2">
        <f t="shared" si="267"/>
        <v>743.50455982724338</v>
      </c>
      <c r="P1679" s="2">
        <v>72.552227000000002</v>
      </c>
      <c r="Q1679" s="2">
        <v>23.036794</v>
      </c>
    </row>
    <row r="1680" spans="1:17" x14ac:dyDescent="0.25">
      <c r="A1680" s="2">
        <v>1855</v>
      </c>
      <c r="B1680" s="2" t="s">
        <v>31</v>
      </c>
      <c r="C1680" s="2">
        <v>1</v>
      </c>
      <c r="D1680" s="2">
        <f t="shared" si="260"/>
        <v>2.54</v>
      </c>
      <c r="E1680" s="2">
        <f t="shared" si="261"/>
        <v>0.80850711090682836</v>
      </c>
      <c r="F1680" s="2">
        <f t="shared" si="262"/>
        <v>0.31830988618379069</v>
      </c>
      <c r="G1680" s="2">
        <v>8.4058340000000005</v>
      </c>
      <c r="H1680" s="2">
        <f t="shared" si="263"/>
        <v>27.578196420560001</v>
      </c>
      <c r="I1680" s="2">
        <f>INDEX('Wood Density Lookup'!$B$2:$B$152,MATCH(B1680,'Wood Density Lookup'!$A$2:$A$152,0))</f>
        <v>0.78</v>
      </c>
      <c r="J1680" s="2">
        <f t="shared" si="264"/>
        <v>0.27854099946080774</v>
      </c>
      <c r="K1680" s="2">
        <f t="shared" si="268"/>
        <v>7.7991479849026171E-2</v>
      </c>
      <c r="L1680" s="2">
        <f t="shared" si="269"/>
        <v>0.35653247930983389</v>
      </c>
      <c r="M1680" s="2">
        <f t="shared" si="265"/>
        <v>0.25848604749962956</v>
      </c>
      <c r="N1680" s="2">
        <f t="shared" si="266"/>
        <v>0.12924302374981478</v>
      </c>
      <c r="O1680" s="2">
        <f t="shared" si="267"/>
        <v>0.47432189716182022</v>
      </c>
      <c r="P1680" s="2">
        <v>72.552231000000006</v>
      </c>
      <c r="Q1680" s="2">
        <v>23.036632000000001</v>
      </c>
    </row>
    <row r="1681" spans="1:17" x14ac:dyDescent="0.25">
      <c r="A1681" s="2">
        <v>1856</v>
      </c>
      <c r="B1681" s="2" t="s">
        <v>78</v>
      </c>
      <c r="C1681" s="2">
        <v>12</v>
      </c>
      <c r="D1681" s="2">
        <f t="shared" si="260"/>
        <v>30.48</v>
      </c>
      <c r="E1681" s="2">
        <f t="shared" si="261"/>
        <v>9.7020853308819408</v>
      </c>
      <c r="F1681" s="2">
        <f t="shared" si="262"/>
        <v>3.8197186342054881</v>
      </c>
      <c r="G1681" s="2">
        <v>4.592581</v>
      </c>
      <c r="H1681" s="2">
        <f t="shared" si="263"/>
        <v>15.067523448039999</v>
      </c>
      <c r="I1681" s="2">
        <f>INDEX('Wood Density Lookup'!$B$2:$B$152,MATCH(B1681,'Wood Density Lookup'!$A$2:$A$152,0))</f>
        <v>0.55000000000000004</v>
      </c>
      <c r="J1681" s="2">
        <f t="shared" si="264"/>
        <v>14.032568333820437</v>
      </c>
      <c r="K1681" s="2">
        <f t="shared" si="268"/>
        <v>3.9291191334697229</v>
      </c>
      <c r="L1681" s="2">
        <f t="shared" si="269"/>
        <v>17.961687467290162</v>
      </c>
      <c r="M1681" s="2">
        <f t="shared" si="265"/>
        <v>13.022223413785367</v>
      </c>
      <c r="N1681" s="2">
        <f t="shared" si="266"/>
        <v>6.5111117068926836</v>
      </c>
      <c r="O1681" s="2">
        <f t="shared" si="267"/>
        <v>23.89577996429615</v>
      </c>
      <c r="P1681" s="2">
        <v>72.552232000000004</v>
      </c>
      <c r="Q1681" s="2">
        <v>23.038162</v>
      </c>
    </row>
    <row r="1682" spans="1:17" x14ac:dyDescent="0.25">
      <c r="A1682" s="2">
        <v>1857</v>
      </c>
      <c r="B1682" s="2" t="s">
        <v>134</v>
      </c>
      <c r="C1682" s="2">
        <v>5</v>
      </c>
      <c r="D1682" s="2">
        <f t="shared" si="260"/>
        <v>12.7</v>
      </c>
      <c r="E1682" s="2">
        <f t="shared" si="261"/>
        <v>4.0425355545341413</v>
      </c>
      <c r="F1682" s="2">
        <f t="shared" si="262"/>
        <v>1.5915494309189535</v>
      </c>
      <c r="G1682" s="2">
        <v>2.0047259999999998</v>
      </c>
      <c r="H1682" s="2">
        <f t="shared" si="263"/>
        <v>6.5771852498399994</v>
      </c>
      <c r="I1682" s="2">
        <f>INDEX('Wood Density Lookup'!$B$2:$B$152,MATCH(B1682,'Wood Density Lookup'!$A$2:$A$152,0))</f>
        <v>0.65</v>
      </c>
      <c r="J1682" s="2">
        <f t="shared" si="264"/>
        <v>1.3317187501128946</v>
      </c>
      <c r="K1682" s="2">
        <f t="shared" si="268"/>
        <v>0.37288125003161054</v>
      </c>
      <c r="L1682" s="2">
        <f t="shared" si="269"/>
        <v>1.7046000001445052</v>
      </c>
      <c r="M1682" s="2">
        <f t="shared" si="265"/>
        <v>1.2358350001047662</v>
      </c>
      <c r="N1682" s="2">
        <f t="shared" si="266"/>
        <v>0.61791750005238311</v>
      </c>
      <c r="O1682" s="2">
        <f t="shared" si="267"/>
        <v>2.2677572251922458</v>
      </c>
      <c r="P1682" s="2">
        <v>72.552233000000001</v>
      </c>
      <c r="Q1682" s="2">
        <v>23.038121</v>
      </c>
    </row>
    <row r="1683" spans="1:17" x14ac:dyDescent="0.25">
      <c r="A1683" s="2">
        <v>1858</v>
      </c>
      <c r="B1683" s="2" t="s">
        <v>15</v>
      </c>
      <c r="C1683" s="2">
        <v>19</v>
      </c>
      <c r="D1683" s="2">
        <f t="shared" si="260"/>
        <v>48.26</v>
      </c>
      <c r="E1683" s="2">
        <f t="shared" si="261"/>
        <v>15.361635107229738</v>
      </c>
      <c r="F1683" s="2">
        <f t="shared" si="262"/>
        <v>6.0478878374920226</v>
      </c>
      <c r="G1683" s="2">
        <v>9.9015179999999994</v>
      </c>
      <c r="H1683" s="2">
        <f t="shared" si="263"/>
        <v>32.485296315119996</v>
      </c>
      <c r="I1683" s="2">
        <f>INDEX('Wood Density Lookup'!$B$2:$B$152,MATCH(B1683,'Wood Density Lookup'!$A$2:$A$152,0))</f>
        <v>0.75</v>
      </c>
      <c r="J1683" s="2">
        <f t="shared" si="264"/>
        <v>98.583830384040553</v>
      </c>
      <c r="K1683" s="2">
        <f t="shared" si="268"/>
        <v>27.603472507531357</v>
      </c>
      <c r="L1683" s="2">
        <f t="shared" si="269"/>
        <v>126.1873028915719</v>
      </c>
      <c r="M1683" s="2">
        <f t="shared" si="265"/>
        <v>91.485794596389624</v>
      </c>
      <c r="N1683" s="2">
        <f t="shared" si="266"/>
        <v>45.742897298194812</v>
      </c>
      <c r="O1683" s="2">
        <f t="shared" si="267"/>
        <v>167.87643308437495</v>
      </c>
      <c r="P1683" s="2">
        <v>72.552233000000001</v>
      </c>
      <c r="Q1683" s="2">
        <v>23.036669</v>
      </c>
    </row>
    <row r="1684" spans="1:17" x14ac:dyDescent="0.25">
      <c r="A1684" s="2">
        <v>1859</v>
      </c>
      <c r="B1684" s="2" t="s">
        <v>74</v>
      </c>
      <c r="C1684" s="2">
        <v>13</v>
      </c>
      <c r="D1684" s="2">
        <f t="shared" si="260"/>
        <v>33.020000000000003</v>
      </c>
      <c r="E1684" s="2">
        <f t="shared" si="261"/>
        <v>10.51059244178877</v>
      </c>
      <c r="F1684" s="2">
        <f t="shared" si="262"/>
        <v>4.1380285203892786</v>
      </c>
      <c r="G1684" s="2">
        <v>2.0097960000000001</v>
      </c>
      <c r="H1684" s="2">
        <f t="shared" si="263"/>
        <v>6.59381910864</v>
      </c>
      <c r="I1684" s="2">
        <f>INDEX('Wood Density Lookup'!$B$2:$B$152,MATCH(B1684,'Wood Density Lookup'!$A$2:$A$152,0))</f>
        <v>0.5</v>
      </c>
      <c r="J1684" s="2">
        <f t="shared" si="264"/>
        <v>6.6727123817257139</v>
      </c>
      <c r="K1684" s="2">
        <f t="shared" si="268"/>
        <v>1.8683594668832</v>
      </c>
      <c r="L1684" s="2">
        <f t="shared" si="269"/>
        <v>8.5410718486089134</v>
      </c>
      <c r="M1684" s="2">
        <f t="shared" si="265"/>
        <v>6.1922770902414621</v>
      </c>
      <c r="N1684" s="2">
        <f t="shared" si="266"/>
        <v>3.0961385451207311</v>
      </c>
      <c r="O1684" s="2">
        <f t="shared" si="267"/>
        <v>11.362828460593082</v>
      </c>
      <c r="P1684" s="2">
        <v>72.552233000000001</v>
      </c>
      <c r="Q1684" s="2">
        <v>23.03809</v>
      </c>
    </row>
    <row r="1685" spans="1:17" x14ac:dyDescent="0.25">
      <c r="A1685" s="2">
        <v>1860</v>
      </c>
      <c r="B1685" s="2" t="s">
        <v>38</v>
      </c>
      <c r="C1685" s="2">
        <v>13</v>
      </c>
      <c r="D1685" s="2">
        <f t="shared" si="260"/>
        <v>33.020000000000003</v>
      </c>
      <c r="E1685" s="2">
        <f t="shared" si="261"/>
        <v>10.51059244178877</v>
      </c>
      <c r="F1685" s="2">
        <f t="shared" si="262"/>
        <v>4.1380285203892786</v>
      </c>
      <c r="G1685" s="2">
        <v>1.2439690000000001</v>
      </c>
      <c r="H1685" s="2">
        <f t="shared" si="263"/>
        <v>4.0812632539600004</v>
      </c>
      <c r="I1685" s="2">
        <f>INDEX('Wood Density Lookup'!$B$2:$B$152,MATCH(B1685,'Wood Density Lookup'!$A$2:$A$152,0))</f>
        <v>0.4</v>
      </c>
      <c r="J1685" s="2">
        <f t="shared" si="264"/>
        <v>3.3602843646308695</v>
      </c>
      <c r="K1685" s="2">
        <f t="shared" si="268"/>
        <v>0.94087962209664355</v>
      </c>
      <c r="L1685" s="2">
        <f t="shared" si="269"/>
        <v>4.3011639867275129</v>
      </c>
      <c r="M1685" s="2">
        <f t="shared" si="265"/>
        <v>3.1183438903774467</v>
      </c>
      <c r="N1685" s="2">
        <f t="shared" si="266"/>
        <v>1.5591719451887234</v>
      </c>
      <c r="O1685" s="2">
        <f t="shared" si="267"/>
        <v>5.7221610388426143</v>
      </c>
      <c r="P1685" s="2">
        <v>72.552233999999999</v>
      </c>
      <c r="Q1685" s="2">
        <v>23.037880999999999</v>
      </c>
    </row>
    <row r="1686" spans="1:17" x14ac:dyDescent="0.25">
      <c r="A1686" s="2">
        <v>1861</v>
      </c>
      <c r="B1686" s="2" t="s">
        <v>15</v>
      </c>
      <c r="C1686" s="2">
        <v>24</v>
      </c>
      <c r="D1686" s="2">
        <f t="shared" si="260"/>
        <v>60.96</v>
      </c>
      <c r="E1686" s="2">
        <f t="shared" si="261"/>
        <v>19.404170661763882</v>
      </c>
      <c r="F1686" s="2">
        <f t="shared" si="262"/>
        <v>7.6394372684109761</v>
      </c>
      <c r="G1686" s="2">
        <v>9.9775910000000003</v>
      </c>
      <c r="H1686" s="2">
        <f t="shared" si="263"/>
        <v>32.73487965644</v>
      </c>
      <c r="I1686" s="2">
        <f>INDEX('Wood Density Lookup'!$B$2:$B$152,MATCH(B1686,'Wood Density Lookup'!$A$2:$A$152,0))</f>
        <v>0.75</v>
      </c>
      <c r="J1686" s="2">
        <f t="shared" si="264"/>
        <v>156.70943512279135</v>
      </c>
      <c r="K1686" s="2">
        <f t="shared" si="268"/>
        <v>43.878641834381582</v>
      </c>
      <c r="L1686" s="2">
        <f t="shared" si="269"/>
        <v>200.58807695717292</v>
      </c>
      <c r="M1686" s="2">
        <f t="shared" si="265"/>
        <v>145.42635579395036</v>
      </c>
      <c r="N1686" s="2">
        <f t="shared" si="266"/>
        <v>72.713177896975182</v>
      </c>
      <c r="O1686" s="2">
        <f t="shared" si="267"/>
        <v>266.85736288189889</v>
      </c>
      <c r="P1686" s="2">
        <v>72.552234999999996</v>
      </c>
      <c r="Q1686" s="2">
        <v>23.036622999999999</v>
      </c>
    </row>
    <row r="1687" spans="1:17" x14ac:dyDescent="0.25">
      <c r="A1687" s="2">
        <v>1862</v>
      </c>
      <c r="B1687" s="2" t="s">
        <v>78</v>
      </c>
      <c r="C1687" s="2">
        <v>10</v>
      </c>
      <c r="D1687" s="2">
        <f t="shared" si="260"/>
        <v>25.4</v>
      </c>
      <c r="E1687" s="2">
        <f t="shared" si="261"/>
        <v>8.0850711090682825</v>
      </c>
      <c r="F1687" s="2">
        <f t="shared" si="262"/>
        <v>3.183098861837907</v>
      </c>
      <c r="G1687" s="2">
        <v>6.4058380000000001</v>
      </c>
      <c r="H1687" s="2">
        <f t="shared" si="263"/>
        <v>21.016529543920001</v>
      </c>
      <c r="I1687" s="2">
        <f>INDEX('Wood Density Lookup'!$B$2:$B$152,MATCH(B1687,'Wood Density Lookup'!$A$2:$A$152,0))</f>
        <v>0.55000000000000004</v>
      </c>
      <c r="J1687" s="2">
        <f t="shared" si="264"/>
        <v>13.602728848433422</v>
      </c>
      <c r="K1687" s="2">
        <f t="shared" si="268"/>
        <v>3.8087640775613587</v>
      </c>
      <c r="L1687" s="2">
        <f t="shared" si="269"/>
        <v>17.411492925994782</v>
      </c>
      <c r="M1687" s="2">
        <f t="shared" si="265"/>
        <v>12.623332371346217</v>
      </c>
      <c r="N1687" s="2">
        <f t="shared" si="266"/>
        <v>6.3116661856731087</v>
      </c>
      <c r="O1687" s="2">
        <f t="shared" si="267"/>
        <v>23.163814901420309</v>
      </c>
      <c r="P1687" s="2">
        <v>72.552237000000005</v>
      </c>
      <c r="Q1687" s="2">
        <v>23.03801</v>
      </c>
    </row>
    <row r="1688" spans="1:17" x14ac:dyDescent="0.25">
      <c r="A1688" s="2">
        <v>1863</v>
      </c>
      <c r="B1688" s="2" t="s">
        <v>31</v>
      </c>
      <c r="C1688" s="2">
        <v>4</v>
      </c>
      <c r="D1688" s="2">
        <f t="shared" si="260"/>
        <v>10.16</v>
      </c>
      <c r="E1688" s="2">
        <f t="shared" si="261"/>
        <v>3.2340284436273135</v>
      </c>
      <c r="F1688" s="2">
        <f t="shared" si="262"/>
        <v>1.2732395447351628</v>
      </c>
      <c r="G1688" s="2">
        <v>6.2197430000000002</v>
      </c>
      <c r="H1688" s="2">
        <f t="shared" si="263"/>
        <v>20.405981624119999</v>
      </c>
      <c r="I1688" s="2">
        <f>INDEX('Wood Density Lookup'!$B$2:$B$152,MATCH(B1688,'Wood Density Lookup'!$A$2:$A$152,0))</f>
        <v>0.78</v>
      </c>
      <c r="J1688" s="2">
        <f t="shared" si="264"/>
        <v>3.107715574620753</v>
      </c>
      <c r="K1688" s="2">
        <f t="shared" si="268"/>
        <v>0.87016036089381088</v>
      </c>
      <c r="L1688" s="2">
        <f t="shared" si="269"/>
        <v>3.9778759355145636</v>
      </c>
      <c r="M1688" s="2">
        <f t="shared" si="265"/>
        <v>2.8839600532480585</v>
      </c>
      <c r="N1688" s="2">
        <f t="shared" si="266"/>
        <v>1.4419800266240292</v>
      </c>
      <c r="O1688" s="2">
        <f t="shared" si="267"/>
        <v>5.2920666977101876</v>
      </c>
      <c r="P1688" s="2">
        <v>72.552237000000005</v>
      </c>
      <c r="Q1688" s="2">
        <v>23.036830999999999</v>
      </c>
    </row>
    <row r="1689" spans="1:17" x14ac:dyDescent="0.25">
      <c r="A1689" s="2">
        <v>1864</v>
      </c>
      <c r="B1689" s="2" t="s">
        <v>31</v>
      </c>
      <c r="C1689" s="2">
        <v>16</v>
      </c>
      <c r="D1689" s="2">
        <f t="shared" si="260"/>
        <v>40.64</v>
      </c>
      <c r="E1689" s="2">
        <f t="shared" si="261"/>
        <v>12.936113774509254</v>
      </c>
      <c r="F1689" s="2">
        <f t="shared" si="262"/>
        <v>5.0929581789406511</v>
      </c>
      <c r="G1689" s="2">
        <v>9.5751709999999992</v>
      </c>
      <c r="H1689" s="2">
        <f t="shared" si="263"/>
        <v>31.414604023639995</v>
      </c>
      <c r="I1689" s="2">
        <f>INDEX('Wood Density Lookup'!$B$2:$B$152,MATCH(B1689,'Wood Density Lookup'!$A$2:$A$152,0))</f>
        <v>0.78</v>
      </c>
      <c r="J1689" s="2">
        <f t="shared" si="264"/>
        <v>70.882575256315477</v>
      </c>
      <c r="K1689" s="2">
        <f t="shared" si="268"/>
        <v>19.847121071768335</v>
      </c>
      <c r="L1689" s="2">
        <f t="shared" si="269"/>
        <v>90.729696328083804</v>
      </c>
      <c r="M1689" s="2">
        <f t="shared" si="265"/>
        <v>65.779029837860762</v>
      </c>
      <c r="N1689" s="2">
        <f t="shared" si="266"/>
        <v>32.889514918930381</v>
      </c>
      <c r="O1689" s="2">
        <f t="shared" si="267"/>
        <v>120.7045197524745</v>
      </c>
      <c r="P1689" s="2">
        <v>72.552238000000003</v>
      </c>
      <c r="Q1689" s="2">
        <v>23.038775000000001</v>
      </c>
    </row>
    <row r="1690" spans="1:17" x14ac:dyDescent="0.25">
      <c r="A1690" s="2">
        <v>1865</v>
      </c>
      <c r="B1690" s="2" t="s">
        <v>59</v>
      </c>
      <c r="C1690" s="2">
        <v>9</v>
      </c>
      <c r="D1690" s="2">
        <f t="shared" si="260"/>
        <v>22.86</v>
      </c>
      <c r="E1690" s="2">
        <f t="shared" si="261"/>
        <v>7.2765639981614552</v>
      </c>
      <c r="F1690" s="2">
        <f t="shared" si="262"/>
        <v>2.8647889756541161</v>
      </c>
      <c r="G1690" s="2">
        <v>7.0221780000000003</v>
      </c>
      <c r="H1690" s="2">
        <f t="shared" si="263"/>
        <v>23.038642469519999</v>
      </c>
      <c r="I1690" s="2">
        <f>INDEX('Wood Density Lookup'!$B$2:$B$152,MATCH(B1690,'Wood Density Lookup'!$A$2:$A$152,0))</f>
        <v>0.45</v>
      </c>
      <c r="J1690" s="2">
        <f t="shared" si="264"/>
        <v>9.9583464049157566</v>
      </c>
      <c r="K1690" s="2">
        <f t="shared" si="268"/>
        <v>2.7883369933764119</v>
      </c>
      <c r="L1690" s="2">
        <f t="shared" si="269"/>
        <v>12.746683398292168</v>
      </c>
      <c r="M1690" s="2">
        <f t="shared" si="265"/>
        <v>9.2413454637618209</v>
      </c>
      <c r="N1690" s="2">
        <f t="shared" si="266"/>
        <v>4.6206727318809104</v>
      </c>
      <c r="O1690" s="2">
        <f t="shared" si="267"/>
        <v>16.957868926002941</v>
      </c>
      <c r="P1690" s="2">
        <v>72.552239</v>
      </c>
      <c r="Q1690" s="2">
        <v>23.03783</v>
      </c>
    </row>
    <row r="1691" spans="1:17" x14ac:dyDescent="0.25">
      <c r="A1691" s="2">
        <v>1866</v>
      </c>
      <c r="B1691" s="2" t="s">
        <v>31</v>
      </c>
      <c r="C1691" s="2">
        <v>23</v>
      </c>
      <c r="D1691" s="2">
        <f t="shared" si="260"/>
        <v>58.42</v>
      </c>
      <c r="E1691" s="2">
        <f t="shared" si="261"/>
        <v>18.595663550857051</v>
      </c>
      <c r="F1691" s="2">
        <f t="shared" si="262"/>
        <v>7.3211273822271856</v>
      </c>
      <c r="G1691" s="2">
        <v>10.692349999999999</v>
      </c>
      <c r="H1691" s="2">
        <f t="shared" si="263"/>
        <v>35.079889573999999</v>
      </c>
      <c r="I1691" s="2">
        <f>INDEX('Wood Density Lookup'!$B$2:$B$152,MATCH(B1691,'Wood Density Lookup'!$A$2:$A$152,0))</f>
        <v>0.78</v>
      </c>
      <c r="J1691" s="2">
        <f t="shared" si="264"/>
        <v>160.31213798771958</v>
      </c>
      <c r="K1691" s="2">
        <f t="shared" si="268"/>
        <v>44.887398636561485</v>
      </c>
      <c r="L1691" s="2">
        <f t="shared" si="269"/>
        <v>205.19953662428105</v>
      </c>
      <c r="M1691" s="2">
        <f t="shared" si="265"/>
        <v>148.76966405260376</v>
      </c>
      <c r="N1691" s="2">
        <f t="shared" si="266"/>
        <v>74.384832026301879</v>
      </c>
      <c r="O1691" s="2">
        <f t="shared" si="267"/>
        <v>272.99233353652789</v>
      </c>
      <c r="P1691" s="2">
        <v>72.552242000000007</v>
      </c>
      <c r="Q1691" s="2">
        <v>23.038727999999999</v>
      </c>
    </row>
    <row r="1692" spans="1:17" x14ac:dyDescent="0.25">
      <c r="A1692" s="2">
        <v>1867</v>
      </c>
      <c r="B1692" s="2" t="s">
        <v>85</v>
      </c>
      <c r="C1692" s="2">
        <v>43</v>
      </c>
      <c r="D1692" s="2">
        <f t="shared" si="260"/>
        <v>109.22</v>
      </c>
      <c r="E1692" s="2">
        <f t="shared" si="261"/>
        <v>34.765805768993616</v>
      </c>
      <c r="F1692" s="2">
        <f t="shared" si="262"/>
        <v>13.687325105903</v>
      </c>
      <c r="G1692" s="2">
        <v>17.180143999999999</v>
      </c>
      <c r="H1692" s="2">
        <f t="shared" si="263"/>
        <v>56.365303640959993</v>
      </c>
      <c r="I1692" s="2">
        <f>INDEX('Wood Density Lookup'!$B$2:$B$152,MATCH(B1692,'Wood Density Lookup'!$A$2:$A$152,0))</f>
        <v>0.6</v>
      </c>
      <c r="J1692" s="2">
        <f t="shared" si="264"/>
        <v>668.66120973108104</v>
      </c>
      <c r="K1692" s="2">
        <f t="shared" si="268"/>
        <v>187.2251387247027</v>
      </c>
      <c r="L1692" s="2">
        <f t="shared" si="269"/>
        <v>855.88634845578372</v>
      </c>
      <c r="M1692" s="2">
        <f t="shared" si="265"/>
        <v>620.51760263044321</v>
      </c>
      <c r="N1692" s="2">
        <f t="shared" si="266"/>
        <v>310.2588013152216</v>
      </c>
      <c r="O1692" s="2">
        <f t="shared" si="267"/>
        <v>1138.6498008268632</v>
      </c>
      <c r="P1692" s="2">
        <v>72.552250999999998</v>
      </c>
      <c r="Q1692" s="2">
        <v>23.034637</v>
      </c>
    </row>
    <row r="1693" spans="1:17" x14ac:dyDescent="0.25">
      <c r="A1693" s="2">
        <v>1868</v>
      </c>
      <c r="B1693" s="2" t="s">
        <v>137</v>
      </c>
      <c r="C1693" s="2">
        <v>4</v>
      </c>
      <c r="D1693" s="2">
        <f t="shared" si="260"/>
        <v>10.16</v>
      </c>
      <c r="E1693" s="2">
        <f t="shared" si="261"/>
        <v>3.2340284436273135</v>
      </c>
      <c r="F1693" s="2">
        <f t="shared" si="262"/>
        <v>1.2732395447351628</v>
      </c>
      <c r="G1693" s="2">
        <v>1.1112709999999999</v>
      </c>
      <c r="H1693" s="2">
        <f t="shared" si="263"/>
        <v>3.6459023476399994</v>
      </c>
      <c r="I1693" s="2">
        <f>INDEX('Wood Density Lookup'!$B$2:$B$152,MATCH(B1693,'Wood Density Lookup'!$A$2:$A$152,0))</f>
        <v>0.55000000000000004</v>
      </c>
      <c r="J1693" s="2">
        <f t="shared" si="264"/>
        <v>0.41148055513943355</v>
      </c>
      <c r="K1693" s="2">
        <f t="shared" si="268"/>
        <v>0.11521455543904141</v>
      </c>
      <c r="L1693" s="2">
        <f t="shared" si="269"/>
        <v>0.52669511057847496</v>
      </c>
      <c r="M1693" s="2">
        <f t="shared" si="265"/>
        <v>0.38185395516939435</v>
      </c>
      <c r="N1693" s="2">
        <f t="shared" si="266"/>
        <v>0.19092697758469718</v>
      </c>
      <c r="O1693" s="2">
        <f t="shared" si="267"/>
        <v>0.70070200773583857</v>
      </c>
      <c r="P1693" s="2">
        <v>72.552251999999996</v>
      </c>
      <c r="Q1693" s="2">
        <v>23.035834999999999</v>
      </c>
    </row>
    <row r="1694" spans="1:17" x14ac:dyDescent="0.25">
      <c r="A1694" s="2">
        <v>1869</v>
      </c>
      <c r="B1694" s="2" t="s">
        <v>31</v>
      </c>
      <c r="C1694" s="2">
        <v>7</v>
      </c>
      <c r="D1694" s="2">
        <f t="shared" si="260"/>
        <v>17.78</v>
      </c>
      <c r="E1694" s="2">
        <f t="shared" si="261"/>
        <v>5.6595497763477987</v>
      </c>
      <c r="F1694" s="2">
        <f t="shared" si="262"/>
        <v>2.228169203286535</v>
      </c>
      <c r="G1694" s="2">
        <v>3.4198040000000001</v>
      </c>
      <c r="H1694" s="2">
        <f t="shared" si="263"/>
        <v>11.219829755359999</v>
      </c>
      <c r="I1694" s="2">
        <f>INDEX('Wood Density Lookup'!$B$2:$B$152,MATCH(B1694,'Wood Density Lookup'!$A$2:$A$152,0))</f>
        <v>0.78</v>
      </c>
      <c r="J1694" s="2">
        <f t="shared" si="264"/>
        <v>5.1679085592775413</v>
      </c>
      <c r="K1694" s="2">
        <f t="shared" si="268"/>
        <v>1.4470143965977118</v>
      </c>
      <c r="L1694" s="2">
        <f t="shared" si="269"/>
        <v>6.6149229558752527</v>
      </c>
      <c r="M1694" s="2">
        <f t="shared" si="265"/>
        <v>4.7958191430095578</v>
      </c>
      <c r="N1694" s="2">
        <f t="shared" si="266"/>
        <v>2.3979095715047789</v>
      </c>
      <c r="O1694" s="2">
        <f t="shared" si="267"/>
        <v>8.8003281274225387</v>
      </c>
      <c r="P1694" s="2">
        <v>72.552252999999993</v>
      </c>
      <c r="Q1694" s="2">
        <v>23.036795000000001</v>
      </c>
    </row>
    <row r="1695" spans="1:17" x14ac:dyDescent="0.25">
      <c r="A1695" s="2">
        <v>1870</v>
      </c>
      <c r="B1695" s="2" t="s">
        <v>30</v>
      </c>
      <c r="C1695" s="2">
        <v>4</v>
      </c>
      <c r="D1695" s="2">
        <f t="shared" si="260"/>
        <v>10.16</v>
      </c>
      <c r="E1695" s="2">
        <f t="shared" si="261"/>
        <v>3.2340284436273135</v>
      </c>
      <c r="F1695" s="2">
        <f t="shared" si="262"/>
        <v>1.2732395447351628</v>
      </c>
      <c r="G1695" s="2">
        <v>1.190124</v>
      </c>
      <c r="H1695" s="2">
        <f t="shared" si="263"/>
        <v>3.9046064241599998</v>
      </c>
      <c r="I1695" s="2">
        <f>INDEX('Wood Density Lookup'!$B$2:$B$152,MATCH(B1695,'Wood Density Lookup'!$A$2:$A$152,0))</f>
        <v>0.2</v>
      </c>
      <c r="J1695" s="2">
        <f t="shared" si="264"/>
        <v>0.16391485223523711</v>
      </c>
      <c r="K1695" s="2">
        <f t="shared" si="268"/>
        <v>4.5896158625866393E-2</v>
      </c>
      <c r="L1695" s="2">
        <f t="shared" si="269"/>
        <v>0.20981101086110349</v>
      </c>
      <c r="M1695" s="2">
        <f t="shared" si="265"/>
        <v>0.15211298287430003</v>
      </c>
      <c r="N1695" s="2">
        <f t="shared" si="266"/>
        <v>7.6056491437150014E-2</v>
      </c>
      <c r="O1695" s="2">
        <f t="shared" si="267"/>
        <v>0.27912732357434056</v>
      </c>
      <c r="P1695" s="2">
        <v>72.552254000000005</v>
      </c>
      <c r="Q1695" s="2">
        <v>23.035665000000002</v>
      </c>
    </row>
    <row r="1696" spans="1:17" x14ac:dyDescent="0.25">
      <c r="A1696" s="2">
        <v>1871</v>
      </c>
      <c r="B1696" s="2" t="s">
        <v>61</v>
      </c>
      <c r="C1696" s="2">
        <v>1</v>
      </c>
      <c r="D1696" s="2">
        <f t="shared" si="260"/>
        <v>2.54</v>
      </c>
      <c r="E1696" s="2">
        <f t="shared" si="261"/>
        <v>0.80850711090682836</v>
      </c>
      <c r="F1696" s="2">
        <f t="shared" si="262"/>
        <v>0.31830988618379069</v>
      </c>
      <c r="G1696" s="2">
        <v>1.2210030000000001</v>
      </c>
      <c r="H1696" s="2">
        <f t="shared" si="263"/>
        <v>4.0059154825199998</v>
      </c>
      <c r="I1696" s="2">
        <f>INDEX('Wood Density Lookup'!$B$2:$B$152,MATCH(B1696,'Wood Density Lookup'!$A$2:$A$152,0))</f>
        <v>0.5</v>
      </c>
      <c r="J1696" s="2">
        <f t="shared" si="264"/>
        <v>2.7456437174082887E-2</v>
      </c>
      <c r="K1696" s="2">
        <f t="shared" si="268"/>
        <v>7.6878024087432091E-3</v>
      </c>
      <c r="L1696" s="2">
        <f t="shared" si="269"/>
        <v>3.5144239582826094E-2</v>
      </c>
      <c r="M1696" s="2">
        <f t="shared" si="265"/>
        <v>2.5479573697548916E-2</v>
      </c>
      <c r="N1696" s="2">
        <f t="shared" si="266"/>
        <v>1.2739786848774458E-2</v>
      </c>
      <c r="O1696" s="2">
        <f t="shared" si="267"/>
        <v>4.6755017735002263E-2</v>
      </c>
      <c r="P1696" s="2">
        <v>72.552261000000001</v>
      </c>
      <c r="Q1696" s="2">
        <v>23.035836</v>
      </c>
    </row>
    <row r="1697" spans="1:17" x14ac:dyDescent="0.25">
      <c r="A1697" s="2">
        <v>1872</v>
      </c>
      <c r="B1697" s="2" t="s">
        <v>93</v>
      </c>
      <c r="C1697" s="2">
        <v>4</v>
      </c>
      <c r="D1697" s="2">
        <f t="shared" si="260"/>
        <v>10.16</v>
      </c>
      <c r="E1697" s="2">
        <f t="shared" si="261"/>
        <v>3.2340284436273135</v>
      </c>
      <c r="F1697" s="2">
        <f t="shared" si="262"/>
        <v>1.2732395447351628</v>
      </c>
      <c r="G1697" s="2">
        <v>1.0423180000000001</v>
      </c>
      <c r="H1697" s="2">
        <f t="shared" si="263"/>
        <v>3.4196785871200004</v>
      </c>
      <c r="I1697" s="2">
        <f>INDEX('Wood Density Lookup'!$B$2:$B$152,MATCH(B1697,'Wood Density Lookup'!$A$2:$A$152,0))</f>
        <v>0.9</v>
      </c>
      <c r="J1697" s="2">
        <f t="shared" si="264"/>
        <v>0.62509201598982445</v>
      </c>
      <c r="K1697" s="2">
        <f t="shared" si="268"/>
        <v>0.17502576447715087</v>
      </c>
      <c r="L1697" s="2">
        <f t="shared" si="269"/>
        <v>0.80011778046697535</v>
      </c>
      <c r="M1697" s="2">
        <f t="shared" si="265"/>
        <v>0.58008539083855715</v>
      </c>
      <c r="N1697" s="2">
        <f t="shared" si="266"/>
        <v>0.29004269541927857</v>
      </c>
      <c r="O1697" s="2">
        <f t="shared" si="267"/>
        <v>1.0644566921887524</v>
      </c>
      <c r="P1697" s="2">
        <v>72.552261000000001</v>
      </c>
      <c r="Q1697" s="2">
        <v>23.037925000000001</v>
      </c>
    </row>
    <row r="1698" spans="1:17" x14ac:dyDescent="0.25">
      <c r="A1698" s="2">
        <v>1873</v>
      </c>
      <c r="B1698" s="2" t="s">
        <v>72</v>
      </c>
      <c r="C1698" s="2">
        <v>2</v>
      </c>
      <c r="D1698" s="2">
        <f t="shared" si="260"/>
        <v>5.08</v>
      </c>
      <c r="E1698" s="2">
        <f t="shared" si="261"/>
        <v>1.6170142218136567</v>
      </c>
      <c r="F1698" s="2">
        <f t="shared" si="262"/>
        <v>0.63661977236758138</v>
      </c>
      <c r="G1698" s="2">
        <v>2.8320219999999998</v>
      </c>
      <c r="H1698" s="2">
        <f t="shared" si="263"/>
        <v>9.2914110584799996</v>
      </c>
      <c r="I1698" s="2">
        <f>INDEX('Wood Density Lookup'!$B$2:$B$152,MATCH(B1698,'Wood Density Lookup'!$A$2:$A$152,0))</f>
        <v>0.65</v>
      </c>
      <c r="J1698" s="2">
        <f t="shared" si="264"/>
        <v>0.31194226340434705</v>
      </c>
      <c r="K1698" s="2">
        <f t="shared" si="268"/>
        <v>8.7343833753217179E-2</v>
      </c>
      <c r="L1698" s="2">
        <f t="shared" si="269"/>
        <v>0.39928609715756425</v>
      </c>
      <c r="M1698" s="2">
        <f t="shared" si="265"/>
        <v>0.28948242043923406</v>
      </c>
      <c r="N1698" s="2">
        <f t="shared" si="266"/>
        <v>0.14474121021961703</v>
      </c>
      <c r="O1698" s="2">
        <f t="shared" si="267"/>
        <v>0.53120024150599443</v>
      </c>
      <c r="P1698" s="2">
        <v>72.552261999999999</v>
      </c>
      <c r="Q1698" s="2">
        <v>23.036829999999998</v>
      </c>
    </row>
    <row r="1699" spans="1:17" x14ac:dyDescent="0.25">
      <c r="A1699" s="2">
        <v>1874</v>
      </c>
      <c r="B1699" s="2" t="s">
        <v>31</v>
      </c>
      <c r="C1699" s="2">
        <v>5</v>
      </c>
      <c r="D1699" s="2">
        <f t="shared" si="260"/>
        <v>12.7</v>
      </c>
      <c r="E1699" s="2">
        <f t="shared" si="261"/>
        <v>4.0425355545341413</v>
      </c>
      <c r="F1699" s="2">
        <f t="shared" si="262"/>
        <v>1.5915494309189535</v>
      </c>
      <c r="G1699" s="2">
        <v>4.0349339999999998</v>
      </c>
      <c r="H1699" s="2">
        <f t="shared" si="263"/>
        <v>13.23797286456</v>
      </c>
      <c r="I1699" s="2">
        <f>INDEX('Wood Density Lookup'!$B$2:$B$152,MATCH(B1699,'Wood Density Lookup'!$A$2:$A$152,0))</f>
        <v>0.78</v>
      </c>
      <c r="J1699" s="2">
        <f t="shared" si="264"/>
        <v>3.1490827220945743</v>
      </c>
      <c r="K1699" s="2">
        <f t="shared" si="268"/>
        <v>0.88174316218648086</v>
      </c>
      <c r="L1699" s="2">
        <f t="shared" si="269"/>
        <v>4.0308258842810556</v>
      </c>
      <c r="M1699" s="2">
        <f t="shared" si="265"/>
        <v>2.9223487661037653</v>
      </c>
      <c r="N1699" s="2">
        <f t="shared" si="266"/>
        <v>1.4611743830518826</v>
      </c>
      <c r="O1699" s="2">
        <f t="shared" si="267"/>
        <v>5.3625099858004095</v>
      </c>
      <c r="P1699" s="2">
        <v>72.552266000000003</v>
      </c>
      <c r="Q1699" s="2">
        <v>23.038204</v>
      </c>
    </row>
    <row r="1700" spans="1:17" x14ac:dyDescent="0.25">
      <c r="A1700" s="2">
        <v>1875</v>
      </c>
      <c r="B1700" s="2" t="s">
        <v>31</v>
      </c>
      <c r="C1700" s="2">
        <v>3</v>
      </c>
      <c r="D1700" s="2">
        <f t="shared" si="260"/>
        <v>7.62</v>
      </c>
      <c r="E1700" s="2">
        <f t="shared" si="261"/>
        <v>2.4255213327204852</v>
      </c>
      <c r="F1700" s="2">
        <f t="shared" si="262"/>
        <v>0.95492965855137202</v>
      </c>
      <c r="G1700" s="2">
        <v>8.9402159999999995</v>
      </c>
      <c r="H1700" s="2">
        <f t="shared" si="263"/>
        <v>29.33141826144</v>
      </c>
      <c r="I1700" s="2">
        <f>INDEX('Wood Density Lookup'!$B$2:$B$152,MATCH(B1700,'Wood Density Lookup'!$A$2:$A$152,0))</f>
        <v>0.78</v>
      </c>
      <c r="J1700" s="2">
        <f t="shared" si="264"/>
        <v>2.5255420764658516</v>
      </c>
      <c r="K1700" s="2">
        <f t="shared" si="268"/>
        <v>0.70715178141043855</v>
      </c>
      <c r="L1700" s="2">
        <f t="shared" si="269"/>
        <v>3.2326938578762903</v>
      </c>
      <c r="M1700" s="2">
        <f t="shared" si="265"/>
        <v>2.3437030469603104</v>
      </c>
      <c r="N1700" s="2">
        <f t="shared" si="266"/>
        <v>1.1718515234801552</v>
      </c>
      <c r="O1700" s="2">
        <f t="shared" si="267"/>
        <v>4.3006950911721695</v>
      </c>
      <c r="P1700" s="2">
        <v>72.552266000000003</v>
      </c>
      <c r="Q1700" s="2">
        <v>23.036632999999998</v>
      </c>
    </row>
    <row r="1701" spans="1:17" x14ac:dyDescent="0.25">
      <c r="A1701" s="2">
        <v>1876</v>
      </c>
      <c r="B1701" s="2" t="s">
        <v>114</v>
      </c>
      <c r="C1701" s="2">
        <v>17</v>
      </c>
      <c r="D1701" s="2">
        <f t="shared" si="260"/>
        <v>43.18</v>
      </c>
      <c r="E1701" s="2">
        <f t="shared" si="261"/>
        <v>13.744620885416081</v>
      </c>
      <c r="F1701" s="2">
        <f t="shared" si="262"/>
        <v>5.4112680651244416</v>
      </c>
      <c r="G1701" s="2">
        <v>14.672828000000001</v>
      </c>
      <c r="H1701" s="2">
        <f t="shared" si="263"/>
        <v>48.139201015520001</v>
      </c>
      <c r="I1701" s="2">
        <f>INDEX('Wood Density Lookup'!$B$2:$B$152,MATCH(B1701,'Wood Density Lookup'!$A$2:$A$152,0))</f>
        <v>0.55000000000000004</v>
      </c>
      <c r="J1701" s="2">
        <f t="shared" si="264"/>
        <v>86.05214529279931</v>
      </c>
      <c r="K1701" s="2">
        <f t="shared" si="268"/>
        <v>24.09460068198381</v>
      </c>
      <c r="L1701" s="2">
        <f t="shared" si="269"/>
        <v>110.14674597478312</v>
      </c>
      <c r="M1701" s="2">
        <f t="shared" si="265"/>
        <v>79.856390831717761</v>
      </c>
      <c r="N1701" s="2">
        <f t="shared" si="266"/>
        <v>39.92819541585888</v>
      </c>
      <c r="O1701" s="2">
        <f t="shared" si="267"/>
        <v>146.53647717620208</v>
      </c>
      <c r="P1701" s="2">
        <v>72.552271000000005</v>
      </c>
      <c r="Q1701" s="2">
        <v>23.03576</v>
      </c>
    </row>
    <row r="1702" spans="1:17" x14ac:dyDescent="0.25">
      <c r="A1702" s="2">
        <v>1877</v>
      </c>
      <c r="B1702" s="2" t="s">
        <v>33</v>
      </c>
      <c r="C1702" s="2">
        <v>12</v>
      </c>
      <c r="D1702" s="2">
        <f t="shared" si="260"/>
        <v>30.48</v>
      </c>
      <c r="E1702" s="2">
        <f t="shared" si="261"/>
        <v>9.7020853308819408</v>
      </c>
      <c r="F1702" s="2">
        <f t="shared" si="262"/>
        <v>3.8197186342054881</v>
      </c>
      <c r="G1702" s="2">
        <v>4.0654870000000001</v>
      </c>
      <c r="H1702" s="2">
        <f t="shared" si="263"/>
        <v>13.338212369080001</v>
      </c>
      <c r="I1702" s="2">
        <f>INDEX('Wood Density Lookup'!$B$2:$B$152,MATCH(B1702,'Wood Density Lookup'!$A$2:$A$152,0))</f>
        <v>0.65</v>
      </c>
      <c r="J1702" s="2">
        <f t="shared" si="264"/>
        <v>14.664694862623074</v>
      </c>
      <c r="K1702" s="2">
        <f t="shared" si="268"/>
        <v>4.1061145615344614</v>
      </c>
      <c r="L1702" s="2">
        <f t="shared" si="269"/>
        <v>18.770809424157534</v>
      </c>
      <c r="M1702" s="2">
        <f t="shared" si="265"/>
        <v>13.608836832514212</v>
      </c>
      <c r="N1702" s="2">
        <f t="shared" si="266"/>
        <v>6.8044184162571062</v>
      </c>
      <c r="O1702" s="2">
        <f t="shared" si="267"/>
        <v>24.97221558766358</v>
      </c>
      <c r="P1702" s="2">
        <v>72.552272000000002</v>
      </c>
      <c r="Q1702" s="2">
        <v>23.03801</v>
      </c>
    </row>
    <row r="1703" spans="1:17" x14ac:dyDescent="0.25">
      <c r="A1703" s="2">
        <v>1878</v>
      </c>
      <c r="B1703" s="2" t="s">
        <v>119</v>
      </c>
      <c r="C1703" s="2">
        <v>7</v>
      </c>
      <c r="D1703" s="2">
        <f t="shared" si="260"/>
        <v>17.78</v>
      </c>
      <c r="E1703" s="2">
        <f t="shared" si="261"/>
        <v>5.6595497763477987</v>
      </c>
      <c r="F1703" s="2">
        <f t="shared" si="262"/>
        <v>2.228169203286535</v>
      </c>
      <c r="G1703" s="2">
        <v>6.2901189999999998</v>
      </c>
      <c r="H1703" s="2">
        <f t="shared" si="263"/>
        <v>20.63687401996</v>
      </c>
      <c r="I1703" s="2">
        <f>INDEX('Wood Density Lookup'!$B$2:$B$152,MATCH(B1703,'Wood Density Lookup'!$A$2:$A$152,0))</f>
        <v>0.6</v>
      </c>
      <c r="J1703" s="2">
        <f t="shared" si="264"/>
        <v>7.2512348501940194</v>
      </c>
      <c r="K1703" s="2">
        <f t="shared" si="268"/>
        <v>2.0303457580543256</v>
      </c>
      <c r="L1703" s="2">
        <f t="shared" si="269"/>
        <v>9.2815806082483441</v>
      </c>
      <c r="M1703" s="2">
        <f t="shared" si="265"/>
        <v>6.7291459409800494</v>
      </c>
      <c r="N1703" s="2">
        <f t="shared" si="266"/>
        <v>3.3645729704900247</v>
      </c>
      <c r="O1703" s="2">
        <f t="shared" si="267"/>
        <v>12.347982801698389</v>
      </c>
      <c r="P1703" s="2">
        <v>72.552274999999995</v>
      </c>
      <c r="Q1703" s="2">
        <v>23.037966000000001</v>
      </c>
    </row>
    <row r="1704" spans="1:17" x14ac:dyDescent="0.25">
      <c r="A1704" s="2">
        <v>1879</v>
      </c>
      <c r="B1704" s="2" t="s">
        <v>78</v>
      </c>
      <c r="C1704" s="2">
        <v>11</v>
      </c>
      <c r="D1704" s="2">
        <f t="shared" si="260"/>
        <v>27.94</v>
      </c>
      <c r="E1704" s="2">
        <f t="shared" si="261"/>
        <v>8.8935782199751117</v>
      </c>
      <c r="F1704" s="2">
        <f t="shared" si="262"/>
        <v>3.5014087480216975</v>
      </c>
      <c r="G1704" s="2">
        <v>1.0575589999999999</v>
      </c>
      <c r="H1704" s="2">
        <f t="shared" si="263"/>
        <v>3.4696818695599996</v>
      </c>
      <c r="I1704" s="2">
        <f>INDEX('Wood Density Lookup'!$B$2:$B$152,MATCH(B1704,'Wood Density Lookup'!$A$2:$A$152,0))</f>
        <v>0.55000000000000004</v>
      </c>
      <c r="J1704" s="2">
        <f t="shared" si="264"/>
        <v>2.8244099248876418</v>
      </c>
      <c r="K1704" s="2">
        <f t="shared" si="268"/>
        <v>0.79083477896853982</v>
      </c>
      <c r="L1704" s="2">
        <f t="shared" si="269"/>
        <v>3.6152447038561815</v>
      </c>
      <c r="M1704" s="2">
        <f t="shared" si="265"/>
        <v>2.6210524102957313</v>
      </c>
      <c r="N1704" s="2">
        <f t="shared" si="266"/>
        <v>1.3105262051478657</v>
      </c>
      <c r="O1704" s="2">
        <f t="shared" si="267"/>
        <v>4.8096311728926668</v>
      </c>
      <c r="P1704" s="2">
        <v>72.552276000000006</v>
      </c>
      <c r="Q1704" s="2">
        <v>23.038157000000002</v>
      </c>
    </row>
    <row r="1705" spans="1:17" x14ac:dyDescent="0.25">
      <c r="A1705" s="2">
        <v>1880</v>
      </c>
      <c r="B1705" s="2" t="s">
        <v>107</v>
      </c>
      <c r="C1705" s="2">
        <v>5</v>
      </c>
      <c r="D1705" s="2">
        <f t="shared" si="260"/>
        <v>12.7</v>
      </c>
      <c r="E1705" s="2">
        <f t="shared" si="261"/>
        <v>4.0425355545341413</v>
      </c>
      <c r="F1705" s="2">
        <f t="shared" si="262"/>
        <v>1.5915494309189535</v>
      </c>
      <c r="G1705" s="2">
        <v>2.0297200000000002</v>
      </c>
      <c r="H1705" s="2">
        <f t="shared" si="263"/>
        <v>6.6591865648000006</v>
      </c>
      <c r="I1705" s="2">
        <f>INDEX('Wood Density Lookup'!$B$2:$B$152,MATCH(B1705,'Wood Density Lookup'!$A$2:$A$152,0))</f>
        <v>0.65</v>
      </c>
      <c r="J1705" s="2">
        <f t="shared" si="264"/>
        <v>1.3479211135505917</v>
      </c>
      <c r="K1705" s="2">
        <f t="shared" si="268"/>
        <v>0.37741791179416573</v>
      </c>
      <c r="L1705" s="2">
        <f t="shared" si="269"/>
        <v>1.7253390253447574</v>
      </c>
      <c r="M1705" s="2">
        <f t="shared" si="265"/>
        <v>1.250870793374949</v>
      </c>
      <c r="N1705" s="2">
        <f t="shared" si="266"/>
        <v>0.6254353966874745</v>
      </c>
      <c r="O1705" s="2">
        <f t="shared" si="267"/>
        <v>2.2953479058430313</v>
      </c>
      <c r="P1705" s="2">
        <v>72.552278000000001</v>
      </c>
      <c r="Q1705" s="2">
        <v>23.038053999999999</v>
      </c>
    </row>
    <row r="1706" spans="1:17" x14ac:dyDescent="0.25">
      <c r="A1706" s="2">
        <v>1881</v>
      </c>
      <c r="B1706" s="2" t="s">
        <v>6</v>
      </c>
      <c r="C1706" s="2">
        <v>4</v>
      </c>
      <c r="D1706" s="2">
        <f t="shared" si="260"/>
        <v>10.16</v>
      </c>
      <c r="E1706" s="2">
        <f t="shared" si="261"/>
        <v>3.2340284436273135</v>
      </c>
      <c r="F1706" s="2">
        <f t="shared" si="262"/>
        <v>1.2732395447351628</v>
      </c>
      <c r="G1706" s="2">
        <v>1.0487960000000001</v>
      </c>
      <c r="H1706" s="2">
        <f t="shared" si="263"/>
        <v>3.4409318686400003</v>
      </c>
      <c r="I1706" s="2">
        <f>INDEX('Wood Density Lookup'!$B$2:$B$152,MATCH(B1706,'Wood Density Lookup'!$A$2:$A$152,0))</f>
        <v>0.28000000000000003</v>
      </c>
      <c r="J1706" s="2">
        <f t="shared" si="264"/>
        <v>0.20121284746452203</v>
      </c>
      <c r="K1706" s="2">
        <f t="shared" si="268"/>
        <v>5.6339597290066178E-2</v>
      </c>
      <c r="L1706" s="2">
        <f t="shared" si="269"/>
        <v>0.25755244475458822</v>
      </c>
      <c r="M1706" s="2">
        <f t="shared" si="265"/>
        <v>0.18672552244707646</v>
      </c>
      <c r="N1706" s="2">
        <f t="shared" si="266"/>
        <v>9.3362761223538232E-2</v>
      </c>
      <c r="O1706" s="2">
        <f t="shared" si="267"/>
        <v>0.3426413336903853</v>
      </c>
      <c r="P1706" s="2">
        <v>72.552278000000001</v>
      </c>
      <c r="Q1706" s="2">
        <v>23.038126999999999</v>
      </c>
    </row>
    <row r="1707" spans="1:17" x14ac:dyDescent="0.25">
      <c r="A1707" s="2">
        <v>1882</v>
      </c>
      <c r="B1707" s="2" t="s">
        <v>147</v>
      </c>
      <c r="C1707" s="2">
        <v>3</v>
      </c>
      <c r="D1707" s="2">
        <f t="shared" si="260"/>
        <v>7.62</v>
      </c>
      <c r="E1707" s="2">
        <f t="shared" si="261"/>
        <v>2.4255213327204852</v>
      </c>
      <c r="F1707" s="2">
        <f t="shared" si="262"/>
        <v>0.95492965855137202</v>
      </c>
      <c r="G1707" s="2">
        <v>2.03634</v>
      </c>
      <c r="H1707" s="2">
        <f t="shared" si="263"/>
        <v>6.6809057255999997</v>
      </c>
      <c r="I1707" s="2">
        <f>INDEX('Wood Density Lookup'!$B$2:$B$152,MATCH(B1707,'Wood Density Lookup'!$A$2:$A$152,0))</f>
        <v>0.65</v>
      </c>
      <c r="J1707" s="2">
        <f t="shared" si="264"/>
        <v>0.4988798214551356</v>
      </c>
      <c r="K1707" s="2">
        <f t="shared" si="268"/>
        <v>0.13968635000743798</v>
      </c>
      <c r="L1707" s="2">
        <f t="shared" si="269"/>
        <v>0.63856617146257355</v>
      </c>
      <c r="M1707" s="2">
        <f t="shared" si="265"/>
        <v>0.4629604743103658</v>
      </c>
      <c r="N1707" s="2">
        <f t="shared" si="266"/>
        <v>0.2314802371551829</v>
      </c>
      <c r="O1707" s="2">
        <f t="shared" si="267"/>
        <v>0.84953247035952117</v>
      </c>
      <c r="P1707" s="2">
        <v>72.552279999999996</v>
      </c>
      <c r="Q1707" s="2">
        <v>23.038093</v>
      </c>
    </row>
    <row r="1708" spans="1:17" x14ac:dyDescent="0.25">
      <c r="A1708" s="2">
        <v>1883</v>
      </c>
      <c r="B1708" s="2" t="s">
        <v>143</v>
      </c>
      <c r="C1708" s="2">
        <v>11</v>
      </c>
      <c r="D1708" s="2">
        <f t="shared" si="260"/>
        <v>27.94</v>
      </c>
      <c r="E1708" s="2">
        <f t="shared" si="261"/>
        <v>8.8935782199751117</v>
      </c>
      <c r="F1708" s="2">
        <f t="shared" si="262"/>
        <v>3.5014087480216975</v>
      </c>
      <c r="G1708" s="2">
        <v>1.2507889999999999</v>
      </c>
      <c r="H1708" s="2">
        <f t="shared" si="263"/>
        <v>4.1036385827599995</v>
      </c>
      <c r="I1708" s="2">
        <f>INDEX('Wood Density Lookup'!$B$2:$B$152,MATCH(B1708,'Wood Density Lookup'!$A$2:$A$152,0))</f>
        <v>0.75</v>
      </c>
      <c r="J1708" s="2">
        <f t="shared" si="264"/>
        <v>4.5032273985538058</v>
      </c>
      <c r="K1708" s="2">
        <f t="shared" si="268"/>
        <v>1.2609036715950657</v>
      </c>
      <c r="L1708" s="2">
        <f t="shared" si="269"/>
        <v>5.7641310701488715</v>
      </c>
      <c r="M1708" s="2">
        <f t="shared" si="265"/>
        <v>4.1789950258579314</v>
      </c>
      <c r="N1708" s="2">
        <f t="shared" si="266"/>
        <v>2.0894975129289657</v>
      </c>
      <c r="O1708" s="2">
        <f t="shared" si="267"/>
        <v>7.6684558724493037</v>
      </c>
      <c r="P1708" s="2">
        <v>72.552289999999999</v>
      </c>
      <c r="Q1708" s="2">
        <v>23.037845999999998</v>
      </c>
    </row>
    <row r="1709" spans="1:17" x14ac:dyDescent="0.25">
      <c r="A1709" s="2">
        <v>1884</v>
      </c>
      <c r="B1709" s="2" t="s">
        <v>50</v>
      </c>
      <c r="C1709" s="2">
        <v>23</v>
      </c>
      <c r="D1709" s="2">
        <f t="shared" si="260"/>
        <v>58.42</v>
      </c>
      <c r="E1709" s="2">
        <f t="shared" si="261"/>
        <v>18.595663550857051</v>
      </c>
      <c r="F1709" s="2">
        <f t="shared" si="262"/>
        <v>7.3211273822271856</v>
      </c>
      <c r="G1709" s="2">
        <v>11.002599</v>
      </c>
      <c r="H1709" s="2">
        <f t="shared" si="263"/>
        <v>36.09776690316</v>
      </c>
      <c r="I1709" s="2">
        <f>INDEX('Wood Density Lookup'!$B$2:$B$152,MATCH(B1709,'Wood Density Lookup'!$A$2:$A$152,0))</f>
        <v>0.5</v>
      </c>
      <c r="J1709" s="2">
        <f t="shared" si="264"/>
        <v>106.80726292439736</v>
      </c>
      <c r="K1709" s="2">
        <f t="shared" si="268"/>
        <v>29.906033618831266</v>
      </c>
      <c r="L1709" s="2">
        <f t="shared" si="269"/>
        <v>136.71329654322864</v>
      </c>
      <c r="M1709" s="2">
        <f t="shared" si="265"/>
        <v>99.117139993840752</v>
      </c>
      <c r="N1709" s="2">
        <f t="shared" si="266"/>
        <v>49.558569996920376</v>
      </c>
      <c r="O1709" s="2">
        <f t="shared" si="267"/>
        <v>181.87995188869778</v>
      </c>
      <c r="P1709" s="2">
        <v>72.552293000000006</v>
      </c>
      <c r="Q1709" s="2">
        <v>23.036655</v>
      </c>
    </row>
    <row r="1710" spans="1:17" x14ac:dyDescent="0.25">
      <c r="A1710" s="2">
        <v>1886</v>
      </c>
      <c r="B1710" s="2" t="s">
        <v>105</v>
      </c>
      <c r="C1710" s="2">
        <v>38</v>
      </c>
      <c r="D1710" s="2">
        <f t="shared" si="260"/>
        <v>96.52</v>
      </c>
      <c r="E1710" s="2">
        <f t="shared" si="261"/>
        <v>30.723270214459475</v>
      </c>
      <c r="F1710" s="2">
        <f t="shared" si="262"/>
        <v>12.095775674984045</v>
      </c>
      <c r="G1710" s="2">
        <v>8.4172419999999999</v>
      </c>
      <c r="H1710" s="2">
        <f t="shared" si="263"/>
        <v>27.615624243279999</v>
      </c>
      <c r="I1710" s="2">
        <f>INDEX('Wood Density Lookup'!$B$2:$B$152,MATCH(B1710,'Wood Density Lookup'!$A$2:$A$152,0))</f>
        <v>0.65</v>
      </c>
      <c r="J1710" s="2">
        <f t="shared" si="264"/>
        <v>283.08749293776089</v>
      </c>
      <c r="K1710" s="2">
        <f t="shared" si="268"/>
        <v>79.264498022573051</v>
      </c>
      <c r="L1710" s="2">
        <f t="shared" si="269"/>
        <v>362.35199096033392</v>
      </c>
      <c r="M1710" s="2">
        <f t="shared" si="265"/>
        <v>262.70519344624211</v>
      </c>
      <c r="N1710" s="2">
        <f t="shared" si="266"/>
        <v>131.35259672312105</v>
      </c>
      <c r="O1710" s="2">
        <f t="shared" si="267"/>
        <v>482.06402997385425</v>
      </c>
      <c r="P1710" s="2">
        <v>72.552294000000003</v>
      </c>
      <c r="Q1710" s="2">
        <v>23.037915000000002</v>
      </c>
    </row>
    <row r="1711" spans="1:17" x14ac:dyDescent="0.25">
      <c r="A1711" s="2">
        <v>1887</v>
      </c>
      <c r="B1711" s="2" t="s">
        <v>43</v>
      </c>
      <c r="C1711" s="2">
        <v>98</v>
      </c>
      <c r="D1711" s="2">
        <f t="shared" si="260"/>
        <v>248.92000000000002</v>
      </c>
      <c r="E1711" s="2">
        <f t="shared" si="261"/>
        <v>79.233696868869188</v>
      </c>
      <c r="F1711" s="2">
        <f t="shared" si="262"/>
        <v>31.194368846011486</v>
      </c>
      <c r="G1711" s="2">
        <v>16.625152</v>
      </c>
      <c r="H1711" s="2">
        <f t="shared" si="263"/>
        <v>54.54446368768</v>
      </c>
      <c r="I1711" s="2">
        <f>INDEX('Wood Density Lookup'!$B$2:$B$152,MATCH(B1711,'Wood Density Lookup'!$A$2:$A$152,0))</f>
        <v>0.6</v>
      </c>
      <c r="J1711" s="2">
        <f t="shared" si="264"/>
        <v>3233.1815909368024</v>
      </c>
      <c r="K1711" s="2">
        <f t="shared" si="268"/>
        <v>905.29084546230479</v>
      </c>
      <c r="L1711" s="2">
        <f t="shared" si="269"/>
        <v>4138.4724363991072</v>
      </c>
      <c r="M1711" s="2">
        <f t="shared" si="265"/>
        <v>3000.3925163893527</v>
      </c>
      <c r="N1711" s="2">
        <f t="shared" si="266"/>
        <v>1500.1962581946764</v>
      </c>
      <c r="O1711" s="2">
        <f t="shared" si="267"/>
        <v>5505.720267574462</v>
      </c>
      <c r="P1711" s="2">
        <v>72.552294000000003</v>
      </c>
      <c r="Q1711" s="2">
        <v>23.034789</v>
      </c>
    </row>
    <row r="1712" spans="1:17" x14ac:dyDescent="0.25">
      <c r="A1712" s="2">
        <v>1888</v>
      </c>
      <c r="B1712" s="2" t="s">
        <v>137</v>
      </c>
      <c r="C1712" s="2">
        <v>4</v>
      </c>
      <c r="D1712" s="2">
        <f t="shared" si="260"/>
        <v>10.16</v>
      </c>
      <c r="E1712" s="2">
        <f t="shared" si="261"/>
        <v>3.2340284436273135</v>
      </c>
      <c r="F1712" s="2">
        <f t="shared" si="262"/>
        <v>1.2732395447351628</v>
      </c>
      <c r="G1712" s="2">
        <v>1.0479719999999999</v>
      </c>
      <c r="H1712" s="2">
        <f t="shared" si="263"/>
        <v>3.4382284564799996</v>
      </c>
      <c r="I1712" s="2">
        <f>INDEX('Wood Density Lookup'!$B$2:$B$152,MATCH(B1712,'Wood Density Lookup'!$A$2:$A$152,0))</f>
        <v>0.55000000000000004</v>
      </c>
      <c r="J1712" s="2">
        <f t="shared" si="264"/>
        <v>0.38858882092467761</v>
      </c>
      <c r="K1712" s="2">
        <f t="shared" si="268"/>
        <v>0.10880486985890975</v>
      </c>
      <c r="L1712" s="2">
        <f t="shared" si="269"/>
        <v>0.49739369078358736</v>
      </c>
      <c r="M1712" s="2">
        <f t="shared" si="265"/>
        <v>0.36061042581810082</v>
      </c>
      <c r="N1712" s="2">
        <f t="shared" si="266"/>
        <v>0.18030521290905041</v>
      </c>
      <c r="O1712" s="2">
        <f t="shared" si="267"/>
        <v>0.66172013137621499</v>
      </c>
      <c r="P1712" s="2">
        <v>72.552296999999996</v>
      </c>
      <c r="Q1712" s="2">
        <v>23.035836</v>
      </c>
    </row>
    <row r="1713" spans="1:17" x14ac:dyDescent="0.25">
      <c r="A1713" s="2">
        <v>1889</v>
      </c>
      <c r="B1713" s="2" t="s">
        <v>115</v>
      </c>
      <c r="C1713" s="2">
        <v>36</v>
      </c>
      <c r="D1713" s="2">
        <f t="shared" si="260"/>
        <v>91.44</v>
      </c>
      <c r="E1713" s="2">
        <f t="shared" si="261"/>
        <v>29.106255992645821</v>
      </c>
      <c r="F1713" s="2">
        <f t="shared" si="262"/>
        <v>11.459155902616464</v>
      </c>
      <c r="G1713" s="2">
        <v>5.639278</v>
      </c>
      <c r="H1713" s="2">
        <f t="shared" si="263"/>
        <v>18.50156883352</v>
      </c>
      <c r="I1713" s="2">
        <f>INDEX('Wood Density Lookup'!$B$2:$B$152,MATCH(B1713,'Wood Density Lookup'!$A$2:$A$152,0))</f>
        <v>0.65</v>
      </c>
      <c r="J1713" s="2">
        <f t="shared" si="264"/>
        <v>172.31138992060363</v>
      </c>
      <c r="K1713" s="2">
        <f t="shared" si="268"/>
        <v>48.247189177769023</v>
      </c>
      <c r="L1713" s="2">
        <f t="shared" si="269"/>
        <v>220.55857909837266</v>
      </c>
      <c r="M1713" s="2">
        <f t="shared" si="265"/>
        <v>159.90496984632017</v>
      </c>
      <c r="N1713" s="2">
        <f t="shared" si="266"/>
        <v>79.952484923160085</v>
      </c>
      <c r="O1713" s="2">
        <f t="shared" si="267"/>
        <v>293.42561966799752</v>
      </c>
      <c r="P1713" s="2">
        <v>72.552300000000002</v>
      </c>
      <c r="Q1713" s="2">
        <v>23.038685000000001</v>
      </c>
    </row>
    <row r="1714" spans="1:17" x14ac:dyDescent="0.25">
      <c r="A1714" s="2">
        <v>1890</v>
      </c>
      <c r="B1714" s="2" t="s">
        <v>42</v>
      </c>
      <c r="C1714" s="2">
        <v>14</v>
      </c>
      <c r="D1714" s="2">
        <f t="shared" si="260"/>
        <v>35.56</v>
      </c>
      <c r="E1714" s="2">
        <f t="shared" si="261"/>
        <v>11.319099552695597</v>
      </c>
      <c r="F1714" s="2">
        <f t="shared" si="262"/>
        <v>4.45633840657307</v>
      </c>
      <c r="G1714" s="2">
        <v>3.74343</v>
      </c>
      <c r="H1714" s="2">
        <f t="shared" si="263"/>
        <v>12.2815948812</v>
      </c>
      <c r="I1714" s="2">
        <f>INDEX('Wood Density Lookup'!$B$2:$B$152,MATCH(B1714,'Wood Density Lookup'!$A$2:$A$152,0))</f>
        <v>0.9</v>
      </c>
      <c r="J1714" s="2">
        <f t="shared" si="264"/>
        <v>25.113531361437328</v>
      </c>
      <c r="K1714" s="2">
        <f t="shared" si="268"/>
        <v>7.0317887812024527</v>
      </c>
      <c r="L1714" s="2">
        <f t="shared" si="269"/>
        <v>32.145320142639783</v>
      </c>
      <c r="M1714" s="2">
        <f t="shared" si="265"/>
        <v>23.30535710341384</v>
      </c>
      <c r="N1714" s="2">
        <f t="shared" si="266"/>
        <v>11.65267855170692</v>
      </c>
      <c r="O1714" s="2">
        <f t="shared" si="267"/>
        <v>42.765330284764396</v>
      </c>
      <c r="P1714" s="2">
        <v>72.552302999999995</v>
      </c>
      <c r="Q1714" s="2">
        <v>23.035671000000001</v>
      </c>
    </row>
    <row r="1715" spans="1:17" x14ac:dyDescent="0.25">
      <c r="A1715" s="2">
        <v>1891</v>
      </c>
      <c r="B1715" s="2" t="s">
        <v>31</v>
      </c>
      <c r="C1715" s="2">
        <v>1</v>
      </c>
      <c r="D1715" s="2">
        <f t="shared" si="260"/>
        <v>2.54</v>
      </c>
      <c r="E1715" s="2">
        <f t="shared" si="261"/>
        <v>0.80850711090682836</v>
      </c>
      <c r="F1715" s="2">
        <f t="shared" si="262"/>
        <v>0.31830988618379069</v>
      </c>
      <c r="G1715" s="2">
        <v>1.0138050000000001</v>
      </c>
      <c r="H1715" s="2">
        <f t="shared" si="263"/>
        <v>3.3261319962</v>
      </c>
      <c r="I1715" s="2">
        <f>INDEX('Wood Density Lookup'!$B$2:$B$152,MATCH(B1715,'Wood Density Lookup'!$A$2:$A$152,0))</f>
        <v>0.78</v>
      </c>
      <c r="J1715" s="2">
        <f t="shared" si="264"/>
        <v>3.5343518525347915E-2</v>
      </c>
      <c r="K1715" s="2">
        <f t="shared" si="268"/>
        <v>9.8961851870974175E-3</v>
      </c>
      <c r="L1715" s="2">
        <f t="shared" si="269"/>
        <v>4.5239703712445331E-2</v>
      </c>
      <c r="M1715" s="2">
        <f t="shared" si="265"/>
        <v>3.2798785191522864E-2</v>
      </c>
      <c r="N1715" s="2">
        <f t="shared" si="266"/>
        <v>1.6399392595761432E-2</v>
      </c>
      <c r="O1715" s="2">
        <f t="shared" si="267"/>
        <v>6.0185770826444454E-2</v>
      </c>
      <c r="P1715" s="2">
        <v>72.552304000000007</v>
      </c>
      <c r="Q1715" s="2">
        <v>23.035837000000001</v>
      </c>
    </row>
    <row r="1716" spans="1:17" x14ac:dyDescent="0.25">
      <c r="A1716" s="2">
        <v>1892</v>
      </c>
      <c r="B1716" s="2" t="s">
        <v>15</v>
      </c>
      <c r="C1716" s="2">
        <v>182</v>
      </c>
      <c r="D1716" s="2">
        <f t="shared" si="260"/>
        <v>462.28000000000003</v>
      </c>
      <c r="E1716" s="2">
        <f t="shared" si="261"/>
        <v>147.14829418504277</v>
      </c>
      <c r="F1716" s="2">
        <f t="shared" si="262"/>
        <v>57.932399285449904</v>
      </c>
      <c r="G1716" s="2">
        <v>12.845395</v>
      </c>
      <c r="H1716" s="2">
        <f t="shared" si="263"/>
        <v>42.143685731799998</v>
      </c>
      <c r="I1716" s="2">
        <f>INDEX('Wood Density Lookup'!$B$2:$B$152,MATCH(B1716,'Wood Density Lookup'!$A$2:$A$152,0))</f>
        <v>0.75</v>
      </c>
      <c r="J1716" s="2">
        <f t="shared" si="264"/>
        <v>10463.346183953558</v>
      </c>
      <c r="K1716" s="2">
        <f t="shared" si="268"/>
        <v>2929.7369315069964</v>
      </c>
      <c r="L1716" s="2">
        <f t="shared" si="269"/>
        <v>13393.083115460555</v>
      </c>
      <c r="M1716" s="2">
        <f t="shared" si="265"/>
        <v>9709.9852587089026</v>
      </c>
      <c r="N1716" s="2">
        <f t="shared" si="266"/>
        <v>4854.9926293544513</v>
      </c>
      <c r="O1716" s="2">
        <f t="shared" si="267"/>
        <v>17817.822949730835</v>
      </c>
      <c r="P1716" s="2">
        <v>72.552306999999999</v>
      </c>
      <c r="Q1716" s="2">
        <v>23.035736</v>
      </c>
    </row>
    <row r="1717" spans="1:17" x14ac:dyDescent="0.25">
      <c r="A1717" s="2">
        <v>1893</v>
      </c>
      <c r="B1717" s="2" t="s">
        <v>11</v>
      </c>
      <c r="C1717" s="2">
        <v>12</v>
      </c>
      <c r="D1717" s="2">
        <f t="shared" si="260"/>
        <v>30.48</v>
      </c>
      <c r="E1717" s="2">
        <f t="shared" si="261"/>
        <v>9.7020853308819408</v>
      </c>
      <c r="F1717" s="2">
        <f t="shared" si="262"/>
        <v>3.8197186342054881</v>
      </c>
      <c r="G1717" s="2">
        <v>7.381087</v>
      </c>
      <c r="H1717" s="2">
        <f t="shared" si="263"/>
        <v>24.21616547308</v>
      </c>
      <c r="I1717" s="2">
        <f>INDEX('Wood Density Lookup'!$B$2:$B$152,MATCH(B1717,'Wood Density Lookup'!$A$2:$A$152,0))</f>
        <v>0.45</v>
      </c>
      <c r="J1717" s="2">
        <f t="shared" si="264"/>
        <v>18.331439500448482</v>
      </c>
      <c r="K1717" s="2">
        <f t="shared" si="268"/>
        <v>5.1328030601255756</v>
      </c>
      <c r="L1717" s="2">
        <f t="shared" si="269"/>
        <v>23.464242560574057</v>
      </c>
      <c r="M1717" s="2">
        <f t="shared" si="265"/>
        <v>17.01157585641619</v>
      </c>
      <c r="N1717" s="2">
        <f t="shared" si="266"/>
        <v>8.505787928208095</v>
      </c>
      <c r="O1717" s="2">
        <f t="shared" si="267"/>
        <v>31.21624169652371</v>
      </c>
      <c r="P1717" s="2">
        <v>72.552308999999994</v>
      </c>
      <c r="Q1717" s="2">
        <v>23.037965</v>
      </c>
    </row>
    <row r="1718" spans="1:17" x14ac:dyDescent="0.25">
      <c r="A1718" s="2">
        <v>1894</v>
      </c>
      <c r="B1718" s="2" t="s">
        <v>47</v>
      </c>
      <c r="C1718" s="2">
        <v>26</v>
      </c>
      <c r="D1718" s="2">
        <f t="shared" si="260"/>
        <v>66.040000000000006</v>
      </c>
      <c r="E1718" s="2">
        <f t="shared" si="261"/>
        <v>21.02118488357754</v>
      </c>
      <c r="F1718" s="2">
        <f t="shared" si="262"/>
        <v>8.2760570407785572</v>
      </c>
      <c r="G1718" s="2">
        <v>13.862869</v>
      </c>
      <c r="H1718" s="2">
        <f t="shared" si="263"/>
        <v>45.481855129959996</v>
      </c>
      <c r="I1718" s="2">
        <f>INDEX('Wood Density Lookup'!$B$2:$B$152,MATCH(B1718,'Wood Density Lookup'!$A$2:$A$152,0))</f>
        <v>0.5</v>
      </c>
      <c r="J1718" s="2">
        <f t="shared" si="264"/>
        <v>170.01422945933237</v>
      </c>
      <c r="K1718" s="2">
        <f t="shared" si="268"/>
        <v>47.603984248613067</v>
      </c>
      <c r="L1718" s="2">
        <f t="shared" si="269"/>
        <v>217.61821370794544</v>
      </c>
      <c r="M1718" s="2">
        <f t="shared" si="265"/>
        <v>157.77320493826045</v>
      </c>
      <c r="N1718" s="2">
        <f t="shared" si="266"/>
        <v>78.886602469130224</v>
      </c>
      <c r="O1718" s="2">
        <f t="shared" si="267"/>
        <v>289.51383106170789</v>
      </c>
      <c r="P1718" s="2">
        <v>72.552308999999994</v>
      </c>
      <c r="Q1718" s="2">
        <v>23.034696</v>
      </c>
    </row>
    <row r="1719" spans="1:17" x14ac:dyDescent="0.25">
      <c r="A1719" s="2">
        <v>1895</v>
      </c>
      <c r="B1719" s="2" t="s">
        <v>31</v>
      </c>
      <c r="C1719" s="2">
        <v>2</v>
      </c>
      <c r="D1719" s="2">
        <f t="shared" si="260"/>
        <v>5.08</v>
      </c>
      <c r="E1719" s="2">
        <f t="shared" si="261"/>
        <v>1.6170142218136567</v>
      </c>
      <c r="F1719" s="2">
        <f t="shared" si="262"/>
        <v>0.63661977236758138</v>
      </c>
      <c r="G1719" s="2">
        <v>10.142359000000001</v>
      </c>
      <c r="H1719" s="2">
        <f t="shared" si="263"/>
        <v>33.275457101560001</v>
      </c>
      <c r="I1719" s="2">
        <f>INDEX('Wood Density Lookup'!$B$2:$B$152,MATCH(B1719,'Wood Density Lookup'!$A$2:$A$152,0))</f>
        <v>0.78</v>
      </c>
      <c r="J1719" s="2">
        <f t="shared" si="264"/>
        <v>1.2944952305472299</v>
      </c>
      <c r="K1719" s="2">
        <f t="shared" si="268"/>
        <v>0.3624586645532244</v>
      </c>
      <c r="L1719" s="2">
        <f t="shared" si="269"/>
        <v>1.6569538951004543</v>
      </c>
      <c r="M1719" s="2">
        <f t="shared" si="265"/>
        <v>1.2012915739478294</v>
      </c>
      <c r="N1719" s="2">
        <f t="shared" si="266"/>
        <v>0.60064578697391469</v>
      </c>
      <c r="O1719" s="2">
        <f t="shared" si="267"/>
        <v>2.2043700381942668</v>
      </c>
      <c r="P1719" s="2">
        <v>72.552312000000001</v>
      </c>
      <c r="Q1719" s="2">
        <v>23.036640999999999</v>
      </c>
    </row>
    <row r="1720" spans="1:17" x14ac:dyDescent="0.25">
      <c r="A1720" s="2">
        <v>1896</v>
      </c>
      <c r="B1720" s="2" t="s">
        <v>31</v>
      </c>
      <c r="C1720" s="2">
        <v>1</v>
      </c>
      <c r="D1720" s="2">
        <f t="shared" si="260"/>
        <v>2.54</v>
      </c>
      <c r="E1720" s="2">
        <f t="shared" si="261"/>
        <v>0.80850711090682836</v>
      </c>
      <c r="F1720" s="2">
        <f t="shared" si="262"/>
        <v>0.31830988618379069</v>
      </c>
      <c r="G1720" s="2">
        <v>1.0013209999999999</v>
      </c>
      <c r="H1720" s="2">
        <f t="shared" si="263"/>
        <v>3.2851739896399996</v>
      </c>
      <c r="I1720" s="2">
        <f>INDEX('Wood Density Lookup'!$B$2:$B$152,MATCH(B1720,'Wood Density Lookup'!$A$2:$A$152,0))</f>
        <v>0.78</v>
      </c>
      <c r="J1720" s="2">
        <f t="shared" si="264"/>
        <v>3.4918680508705884E-2</v>
      </c>
      <c r="K1720" s="2">
        <f t="shared" si="268"/>
        <v>9.7772305424376482E-3</v>
      </c>
      <c r="L1720" s="2">
        <f t="shared" si="269"/>
        <v>4.4695911051143532E-2</v>
      </c>
      <c r="M1720" s="2">
        <f t="shared" si="265"/>
        <v>3.2404535512079058E-2</v>
      </c>
      <c r="N1720" s="2">
        <f t="shared" si="266"/>
        <v>1.6202267756039529E-2</v>
      </c>
      <c r="O1720" s="2">
        <f t="shared" si="267"/>
        <v>5.9462322664665071E-2</v>
      </c>
      <c r="P1720" s="2">
        <v>72.552312000000001</v>
      </c>
      <c r="Q1720" s="2">
        <v>23.035838999999999</v>
      </c>
    </row>
    <row r="1721" spans="1:17" x14ac:dyDescent="0.25">
      <c r="A1721" s="2">
        <v>1897</v>
      </c>
      <c r="B1721" s="2" t="s">
        <v>15</v>
      </c>
      <c r="C1721" s="2">
        <v>9</v>
      </c>
      <c r="D1721" s="2">
        <f t="shared" si="260"/>
        <v>22.86</v>
      </c>
      <c r="E1721" s="2">
        <f t="shared" si="261"/>
        <v>7.2765639981614552</v>
      </c>
      <c r="F1721" s="2">
        <f t="shared" si="262"/>
        <v>2.8647889756541161</v>
      </c>
      <c r="G1721" s="2">
        <v>6.6410619999999998</v>
      </c>
      <c r="H1721" s="2">
        <f t="shared" si="263"/>
        <v>21.788261852079998</v>
      </c>
      <c r="I1721" s="2">
        <f>INDEX('Wood Density Lookup'!$B$2:$B$152,MATCH(B1721,'Wood Density Lookup'!$A$2:$A$152,0))</f>
        <v>0.75</v>
      </c>
      <c r="J1721" s="2">
        <f t="shared" si="264"/>
        <v>15.525976804378212</v>
      </c>
      <c r="K1721" s="2">
        <f t="shared" si="268"/>
        <v>4.3472735052258997</v>
      </c>
      <c r="L1721" s="2">
        <f t="shared" si="269"/>
        <v>19.87325030960411</v>
      </c>
      <c r="M1721" s="2">
        <f t="shared" si="265"/>
        <v>14.408106474462979</v>
      </c>
      <c r="N1721" s="2">
        <f t="shared" si="266"/>
        <v>7.2040532372314896</v>
      </c>
      <c r="O1721" s="2">
        <f t="shared" si="267"/>
        <v>26.438875380639566</v>
      </c>
      <c r="P1721" s="2">
        <v>72.552317000000002</v>
      </c>
      <c r="Q1721" s="2">
        <v>23.038088999999999</v>
      </c>
    </row>
    <row r="1722" spans="1:17" x14ac:dyDescent="0.25">
      <c r="A1722" s="2">
        <v>1898</v>
      </c>
      <c r="B1722" s="2" t="s">
        <v>134</v>
      </c>
      <c r="C1722" s="2">
        <v>8</v>
      </c>
      <c r="D1722" s="2">
        <f t="shared" si="260"/>
        <v>20.32</v>
      </c>
      <c r="E1722" s="2">
        <f t="shared" si="261"/>
        <v>6.4680568872546269</v>
      </c>
      <c r="F1722" s="2">
        <f t="shared" si="262"/>
        <v>2.5464790894703255</v>
      </c>
      <c r="G1722" s="2">
        <v>3.5396260000000002</v>
      </c>
      <c r="H1722" s="2">
        <f t="shared" si="263"/>
        <v>11.61294656584</v>
      </c>
      <c r="I1722" s="2">
        <f>INDEX('Wood Density Lookup'!$B$2:$B$152,MATCH(B1722,'Wood Density Lookup'!$A$2:$A$152,0))</f>
        <v>0.65</v>
      </c>
      <c r="J1722" s="2">
        <f t="shared" si="264"/>
        <v>5.8053902303671148</v>
      </c>
      <c r="K1722" s="2">
        <f t="shared" si="268"/>
        <v>1.6255092645027922</v>
      </c>
      <c r="L1722" s="2">
        <f t="shared" si="269"/>
        <v>7.430899494869907</v>
      </c>
      <c r="M1722" s="2">
        <f t="shared" si="265"/>
        <v>5.3874021337806823</v>
      </c>
      <c r="N1722" s="2">
        <f t="shared" si="266"/>
        <v>2.6937010668903412</v>
      </c>
      <c r="O1722" s="2">
        <f t="shared" si="267"/>
        <v>9.8858829154875512</v>
      </c>
      <c r="P1722" s="2">
        <v>72.552318</v>
      </c>
      <c r="Q1722" s="2">
        <v>23.03801</v>
      </c>
    </row>
    <row r="1723" spans="1:17" x14ac:dyDescent="0.25">
      <c r="A1723" s="2">
        <v>1899</v>
      </c>
      <c r="B1723" s="2" t="s">
        <v>78</v>
      </c>
      <c r="C1723" s="2">
        <v>5</v>
      </c>
      <c r="D1723" s="2">
        <f t="shared" si="260"/>
        <v>12.7</v>
      </c>
      <c r="E1723" s="2">
        <f t="shared" si="261"/>
        <v>4.0425355545341413</v>
      </c>
      <c r="F1723" s="2">
        <f t="shared" si="262"/>
        <v>1.5915494309189535</v>
      </c>
      <c r="G1723" s="2">
        <v>1.0836840000000001</v>
      </c>
      <c r="H1723" s="2">
        <f t="shared" si="263"/>
        <v>3.5553938145600004</v>
      </c>
      <c r="I1723" s="2">
        <f>INDEX('Wood Density Lookup'!$B$2:$B$152,MATCH(B1723,'Wood Density Lookup'!$A$2:$A$152,0))</f>
        <v>0.55000000000000004</v>
      </c>
      <c r="J1723" s="2">
        <f t="shared" si="264"/>
        <v>0.62067229245873157</v>
      </c>
      <c r="K1723" s="2">
        <f t="shared" si="268"/>
        <v>0.17378824188844486</v>
      </c>
      <c r="L1723" s="2">
        <f t="shared" si="269"/>
        <v>0.79446053434717645</v>
      </c>
      <c r="M1723" s="2">
        <f t="shared" si="265"/>
        <v>0.57598388740170292</v>
      </c>
      <c r="N1723" s="2">
        <f t="shared" si="266"/>
        <v>0.28799194370085146</v>
      </c>
      <c r="O1723" s="2">
        <f t="shared" si="267"/>
        <v>1.0569304333821248</v>
      </c>
      <c r="P1723" s="2">
        <v>72.552318999999997</v>
      </c>
      <c r="Q1723" s="2">
        <v>23.038163999999998</v>
      </c>
    </row>
    <row r="1724" spans="1:17" x14ac:dyDescent="0.25">
      <c r="A1724" s="2">
        <v>1900</v>
      </c>
      <c r="B1724" s="2" t="s">
        <v>15</v>
      </c>
      <c r="C1724" s="2">
        <v>7</v>
      </c>
      <c r="D1724" s="2">
        <f t="shared" si="260"/>
        <v>17.78</v>
      </c>
      <c r="E1724" s="2">
        <f t="shared" si="261"/>
        <v>5.6595497763477987</v>
      </c>
      <c r="F1724" s="2">
        <f t="shared" si="262"/>
        <v>2.228169203286535</v>
      </c>
      <c r="G1724" s="2">
        <v>3.0329619999999999</v>
      </c>
      <c r="H1724" s="2">
        <f t="shared" si="263"/>
        <v>9.9506630480799991</v>
      </c>
      <c r="I1724" s="2">
        <f>INDEX('Wood Density Lookup'!$B$2:$B$152,MATCH(B1724,'Wood Density Lookup'!$A$2:$A$152,0))</f>
        <v>0.75</v>
      </c>
      <c r="J1724" s="2">
        <f t="shared" si="264"/>
        <v>4.4239199160120295</v>
      </c>
      <c r="K1724" s="2">
        <f t="shared" si="268"/>
        <v>1.2386975764833683</v>
      </c>
      <c r="L1724" s="2">
        <f t="shared" si="269"/>
        <v>5.6626174924953983</v>
      </c>
      <c r="M1724" s="2">
        <f t="shared" si="265"/>
        <v>4.1053976820591638</v>
      </c>
      <c r="N1724" s="2">
        <f t="shared" si="266"/>
        <v>2.0526988410295819</v>
      </c>
      <c r="O1724" s="2">
        <f t="shared" si="267"/>
        <v>7.5334047465785652</v>
      </c>
      <c r="P1724" s="2">
        <v>72.552323000000001</v>
      </c>
      <c r="Q1724" s="2">
        <v>23.038045</v>
      </c>
    </row>
    <row r="1725" spans="1:17" x14ac:dyDescent="0.25">
      <c r="A1725" s="2">
        <v>1901</v>
      </c>
      <c r="B1725" s="2" t="s">
        <v>15</v>
      </c>
      <c r="C1725" s="2">
        <v>78</v>
      </c>
      <c r="D1725" s="2">
        <f t="shared" si="260"/>
        <v>198.12</v>
      </c>
      <c r="E1725" s="2">
        <f t="shared" si="261"/>
        <v>63.063554650732613</v>
      </c>
      <c r="F1725" s="2">
        <f t="shared" si="262"/>
        <v>24.828171122335672</v>
      </c>
      <c r="G1725" s="2">
        <v>13.533924000000001</v>
      </c>
      <c r="H1725" s="2">
        <f t="shared" si="263"/>
        <v>44.402639216160004</v>
      </c>
      <c r="I1725" s="2">
        <f>INDEX('Wood Density Lookup'!$B$2:$B$152,MATCH(B1725,'Wood Density Lookup'!$A$2:$A$152,0))</f>
        <v>0.75</v>
      </c>
      <c r="J1725" s="2">
        <f t="shared" si="264"/>
        <v>2106.2598482548756</v>
      </c>
      <c r="K1725" s="2">
        <f t="shared" si="268"/>
        <v>589.75275751136519</v>
      </c>
      <c r="L1725" s="2">
        <f t="shared" si="269"/>
        <v>2696.012605766241</v>
      </c>
      <c r="M1725" s="2">
        <f t="shared" si="265"/>
        <v>1954.6091391805246</v>
      </c>
      <c r="N1725" s="2">
        <f t="shared" si="266"/>
        <v>977.3045695902623</v>
      </c>
      <c r="O1725" s="2">
        <f t="shared" si="267"/>
        <v>3586.7077703962627</v>
      </c>
      <c r="P1725" s="2">
        <v>72.552328000000003</v>
      </c>
      <c r="Q1725" s="2">
        <v>23.038782000000001</v>
      </c>
    </row>
    <row r="1726" spans="1:17" x14ac:dyDescent="0.25">
      <c r="A1726" s="2">
        <v>1902</v>
      </c>
      <c r="B1726" s="2" t="s">
        <v>102</v>
      </c>
      <c r="C1726" s="2">
        <v>7</v>
      </c>
      <c r="D1726" s="2">
        <f t="shared" si="260"/>
        <v>17.78</v>
      </c>
      <c r="E1726" s="2">
        <f t="shared" si="261"/>
        <v>5.6595497763477987</v>
      </c>
      <c r="F1726" s="2">
        <f t="shared" si="262"/>
        <v>2.228169203286535</v>
      </c>
      <c r="G1726" s="2">
        <v>4.604266</v>
      </c>
      <c r="H1726" s="2">
        <f t="shared" si="263"/>
        <v>15.10586006344</v>
      </c>
      <c r="I1726" s="2">
        <f>INDEX('Wood Density Lookup'!$B$2:$B$152,MATCH(B1726,'Wood Density Lookup'!$A$2:$A$152,0))</f>
        <v>0.45</v>
      </c>
      <c r="J1726" s="2">
        <f t="shared" si="264"/>
        <v>4.0385482074019006</v>
      </c>
      <c r="K1726" s="2">
        <f t="shared" si="268"/>
        <v>1.1307934980725323</v>
      </c>
      <c r="L1726" s="2">
        <f t="shared" si="269"/>
        <v>5.1693417054744328</v>
      </c>
      <c r="M1726" s="2">
        <f t="shared" si="265"/>
        <v>3.7477727364689635</v>
      </c>
      <c r="N1726" s="2">
        <f t="shared" si="266"/>
        <v>1.8738863682344817</v>
      </c>
      <c r="O1726" s="2">
        <f t="shared" si="267"/>
        <v>6.8771629714205478</v>
      </c>
      <c r="P1726" s="2">
        <v>72.552328000000003</v>
      </c>
      <c r="Q1726" s="2">
        <v>23.038126999999999</v>
      </c>
    </row>
    <row r="1727" spans="1:17" x14ac:dyDescent="0.25">
      <c r="A1727" s="2">
        <v>1904</v>
      </c>
      <c r="B1727" s="2" t="s">
        <v>57</v>
      </c>
      <c r="C1727" s="2">
        <v>3</v>
      </c>
      <c r="D1727" s="2">
        <f t="shared" si="260"/>
        <v>7.62</v>
      </c>
      <c r="E1727" s="2">
        <f t="shared" si="261"/>
        <v>2.4255213327204852</v>
      </c>
      <c r="F1727" s="2">
        <f t="shared" si="262"/>
        <v>0.95492965855137202</v>
      </c>
      <c r="G1727" s="2">
        <v>10.952445000000001</v>
      </c>
      <c r="H1727" s="2">
        <f t="shared" si="263"/>
        <v>35.933219653800002</v>
      </c>
      <c r="I1727" s="2">
        <f>INDEX('Wood Density Lookup'!$B$2:$B$152,MATCH(B1727,'Wood Density Lookup'!$A$2:$A$152,0))</f>
        <v>0.6</v>
      </c>
      <c r="J1727" s="2">
        <f t="shared" si="264"/>
        <v>2.3833786911275396</v>
      </c>
      <c r="K1727" s="2">
        <f t="shared" si="268"/>
        <v>0.6673460335157112</v>
      </c>
      <c r="L1727" s="2">
        <f t="shared" si="269"/>
        <v>3.050724724643251</v>
      </c>
      <c r="M1727" s="2">
        <f t="shared" si="265"/>
        <v>2.2117754253663571</v>
      </c>
      <c r="N1727" s="2">
        <f t="shared" si="266"/>
        <v>1.1058877126831785</v>
      </c>
      <c r="O1727" s="2">
        <f t="shared" si="267"/>
        <v>4.058607905547265</v>
      </c>
      <c r="P1727" s="2">
        <v>72.552336999999994</v>
      </c>
      <c r="Q1727" s="2">
        <v>23.035067999999999</v>
      </c>
    </row>
    <row r="1728" spans="1:17" x14ac:dyDescent="0.25">
      <c r="A1728" s="2">
        <v>1905</v>
      </c>
      <c r="B1728" s="2" t="s">
        <v>136</v>
      </c>
      <c r="C1728" s="2">
        <v>5</v>
      </c>
      <c r="D1728" s="2">
        <f t="shared" si="260"/>
        <v>12.7</v>
      </c>
      <c r="E1728" s="2">
        <f t="shared" si="261"/>
        <v>4.0425355545341413</v>
      </c>
      <c r="F1728" s="2">
        <f t="shared" si="262"/>
        <v>1.5915494309189535</v>
      </c>
      <c r="G1728" s="2">
        <v>1.34379</v>
      </c>
      <c r="H1728" s="2">
        <f t="shared" si="263"/>
        <v>4.4087599836000004</v>
      </c>
      <c r="I1728" s="2">
        <f>INDEX('Wood Density Lookup'!$B$2:$B$152,MATCH(B1728,'Wood Density Lookup'!$A$2:$A$152,0))</f>
        <v>0.7</v>
      </c>
      <c r="J1728" s="2">
        <f t="shared" si="264"/>
        <v>0.96888116710742667</v>
      </c>
      <c r="K1728" s="2">
        <f t="shared" si="268"/>
        <v>0.27128672679007948</v>
      </c>
      <c r="L1728" s="2">
        <f t="shared" si="269"/>
        <v>1.2401678938975063</v>
      </c>
      <c r="M1728" s="2">
        <f t="shared" si="265"/>
        <v>0.89912172307569205</v>
      </c>
      <c r="N1728" s="2">
        <f t="shared" si="266"/>
        <v>0.44956086153784602</v>
      </c>
      <c r="O1728" s="2">
        <f t="shared" si="267"/>
        <v>1.6498883618438949</v>
      </c>
      <c r="P1728" s="2">
        <v>72.552336999999994</v>
      </c>
      <c r="Q1728" s="2">
        <v>23.037801999999999</v>
      </c>
    </row>
    <row r="1729" spans="1:17" x14ac:dyDescent="0.25">
      <c r="A1729" s="2">
        <v>1906</v>
      </c>
      <c r="B1729" s="2" t="s">
        <v>15</v>
      </c>
      <c r="C1729" s="2">
        <v>17</v>
      </c>
      <c r="D1729" s="2">
        <f t="shared" ref="D1729:D1792" si="270">C1729*2.54</f>
        <v>43.18</v>
      </c>
      <c r="E1729" s="2">
        <f t="shared" ref="E1729:E1792" si="271">D1729/PI()</f>
        <v>13.744620885416081</v>
      </c>
      <c r="F1729" s="2">
        <f t="shared" ref="F1729:F1792" si="272">C1729/PI()</f>
        <v>5.4112680651244416</v>
      </c>
      <c r="G1729" s="2">
        <v>7.1246159999999996</v>
      </c>
      <c r="H1729" s="2">
        <f t="shared" ref="H1729:H1792" si="273">G1729*3.28084</f>
        <v>23.37472515744</v>
      </c>
      <c r="I1729" s="2">
        <f>INDEX('Wood Density Lookup'!$B$2:$B$152,MATCH(B1729,'Wood Density Lookup'!$A$2:$A$152,0))</f>
        <v>0.75</v>
      </c>
      <c r="J1729" s="2">
        <f t="shared" ref="J1729:J1792" si="274">0.0673*POWER(I1729*E1729^2*G1729,0.976)</f>
        <v>57.544682995401139</v>
      </c>
      <c r="K1729" s="2">
        <f t="shared" si="268"/>
        <v>16.112511238712319</v>
      </c>
      <c r="L1729" s="2">
        <f t="shared" si="269"/>
        <v>73.657194234113462</v>
      </c>
      <c r="M1729" s="2">
        <f t="shared" ref="M1729:M1792" si="275">0.725*L1729</f>
        <v>53.401465819732259</v>
      </c>
      <c r="N1729" s="2">
        <f t="shared" ref="N1729:N1792" si="276">0.5*M1729</f>
        <v>26.700732909866129</v>
      </c>
      <c r="O1729" s="2">
        <f t="shared" ref="O1729:O1792" si="277">3.67*N1729</f>
        <v>97.991689779208698</v>
      </c>
      <c r="P1729" s="2">
        <v>72.552338000000006</v>
      </c>
      <c r="Q1729" s="2">
        <v>23.034981999999999</v>
      </c>
    </row>
    <row r="1730" spans="1:17" x14ac:dyDescent="0.25">
      <c r="A1730" s="2">
        <v>1907</v>
      </c>
      <c r="B1730" s="2" t="s">
        <v>102</v>
      </c>
      <c r="C1730" s="2">
        <v>3</v>
      </c>
      <c r="D1730" s="2">
        <f t="shared" si="270"/>
        <v>7.62</v>
      </c>
      <c r="E1730" s="2">
        <f t="shared" si="271"/>
        <v>2.4255213327204852</v>
      </c>
      <c r="F1730" s="2">
        <f t="shared" si="272"/>
        <v>0.95492965855137202</v>
      </c>
      <c r="G1730" s="2">
        <v>2.0126750000000002</v>
      </c>
      <c r="H1730" s="2">
        <f t="shared" si="273"/>
        <v>6.6032646470000005</v>
      </c>
      <c r="I1730" s="2">
        <f>INDEX('Wood Density Lookup'!$B$2:$B$152,MATCH(B1730,'Wood Density Lookup'!$A$2:$A$152,0))</f>
        <v>0.45</v>
      </c>
      <c r="J1730" s="2">
        <f t="shared" si="274"/>
        <v>0.34448721991424047</v>
      </c>
      <c r="K1730" s="2">
        <f t="shared" si="268"/>
        <v>9.6456421575987342E-2</v>
      </c>
      <c r="L1730" s="2">
        <f t="shared" si="269"/>
        <v>0.4409436414902278</v>
      </c>
      <c r="M1730" s="2">
        <f t="shared" si="275"/>
        <v>0.31968414008041512</v>
      </c>
      <c r="N1730" s="2">
        <f t="shared" si="276"/>
        <v>0.15984207004020756</v>
      </c>
      <c r="O1730" s="2">
        <f t="shared" si="277"/>
        <v>0.58662039704756175</v>
      </c>
      <c r="P1730" s="2">
        <v>72.552344000000005</v>
      </c>
      <c r="Q1730" s="2">
        <v>23.035848000000001</v>
      </c>
    </row>
    <row r="1731" spans="1:17" x14ac:dyDescent="0.25">
      <c r="A1731" s="2">
        <v>1909</v>
      </c>
      <c r="B1731" s="2" t="s">
        <v>140</v>
      </c>
      <c r="C1731" s="2">
        <v>5</v>
      </c>
      <c r="D1731" s="2">
        <f t="shared" si="270"/>
        <v>12.7</v>
      </c>
      <c r="E1731" s="2">
        <f t="shared" si="271"/>
        <v>4.0425355545341413</v>
      </c>
      <c r="F1731" s="2">
        <f t="shared" si="272"/>
        <v>1.5915494309189535</v>
      </c>
      <c r="G1731" s="2">
        <v>14.524077999999999</v>
      </c>
      <c r="H1731" s="2">
        <f t="shared" si="273"/>
        <v>47.651176065519998</v>
      </c>
      <c r="I1731" s="2">
        <f>INDEX('Wood Density Lookup'!$B$2:$B$152,MATCH(B1731,'Wood Density Lookup'!$A$2:$A$152,0))</f>
        <v>0.6</v>
      </c>
      <c r="J1731" s="2">
        <f t="shared" si="274"/>
        <v>8.5089788317982116</v>
      </c>
      <c r="K1731" s="2">
        <f t="shared" ref="K1731:K1794" si="278">0.28*J1731</f>
        <v>2.3825140729034993</v>
      </c>
      <c r="L1731" s="2">
        <f t="shared" ref="L1731:L1794" si="279">J1731+K1731</f>
        <v>10.89149290470171</v>
      </c>
      <c r="M1731" s="2">
        <f t="shared" si="275"/>
        <v>7.8963323559087399</v>
      </c>
      <c r="N1731" s="2">
        <f t="shared" si="276"/>
        <v>3.94816617795437</v>
      </c>
      <c r="O1731" s="2">
        <f t="shared" si="277"/>
        <v>14.489769873092538</v>
      </c>
      <c r="P1731" s="2">
        <v>72.552346999999997</v>
      </c>
      <c r="Q1731" s="2">
        <v>23.035768999999998</v>
      </c>
    </row>
    <row r="1732" spans="1:17" x14ac:dyDescent="0.25">
      <c r="A1732" s="2">
        <v>1910</v>
      </c>
      <c r="B1732" s="2" t="s">
        <v>57</v>
      </c>
      <c r="C1732" s="2">
        <v>4</v>
      </c>
      <c r="D1732" s="2">
        <f t="shared" si="270"/>
        <v>10.16</v>
      </c>
      <c r="E1732" s="2">
        <f t="shared" si="271"/>
        <v>3.2340284436273135</v>
      </c>
      <c r="F1732" s="2">
        <f t="shared" si="272"/>
        <v>1.2732395447351628</v>
      </c>
      <c r="G1732" s="2">
        <v>10.985367</v>
      </c>
      <c r="H1732" s="2">
        <f t="shared" si="273"/>
        <v>36.041231468280003</v>
      </c>
      <c r="I1732" s="2">
        <f>INDEX('Wood Density Lookup'!$B$2:$B$152,MATCH(B1732,'Wood Density Lookup'!$A$2:$A$152,0))</f>
        <v>0.6</v>
      </c>
      <c r="J1732" s="2">
        <f t="shared" si="274"/>
        <v>4.1912703179700692</v>
      </c>
      <c r="K1732" s="2">
        <f t="shared" si="278"/>
        <v>1.1735556890316194</v>
      </c>
      <c r="L1732" s="2">
        <f t="shared" si="279"/>
        <v>5.3648260070016889</v>
      </c>
      <c r="M1732" s="2">
        <f t="shared" si="275"/>
        <v>3.8894988550762242</v>
      </c>
      <c r="N1732" s="2">
        <f t="shared" si="276"/>
        <v>1.9447494275381121</v>
      </c>
      <c r="O1732" s="2">
        <f t="shared" si="277"/>
        <v>7.1372303990648716</v>
      </c>
      <c r="P1732" s="2">
        <v>72.552349000000007</v>
      </c>
      <c r="Q1732" s="2">
        <v>23.035094999999998</v>
      </c>
    </row>
    <row r="1733" spans="1:17" x14ac:dyDescent="0.25">
      <c r="A1733" s="2">
        <v>1911</v>
      </c>
      <c r="B1733" s="2" t="s">
        <v>42</v>
      </c>
      <c r="C1733" s="2">
        <v>9</v>
      </c>
      <c r="D1733" s="2">
        <f t="shared" si="270"/>
        <v>22.86</v>
      </c>
      <c r="E1733" s="2">
        <f t="shared" si="271"/>
        <v>7.2765639981614552</v>
      </c>
      <c r="F1733" s="2">
        <f t="shared" si="272"/>
        <v>2.8647889756541161</v>
      </c>
      <c r="G1733" s="2">
        <v>15.606398</v>
      </c>
      <c r="H1733" s="2">
        <f t="shared" si="273"/>
        <v>51.202094814319999</v>
      </c>
      <c r="I1733" s="2">
        <f>INDEX('Wood Density Lookup'!$B$2:$B$152,MATCH(B1733,'Wood Density Lookup'!$A$2:$A$152,0))</f>
        <v>0.9</v>
      </c>
      <c r="J1733" s="2">
        <f t="shared" si="274"/>
        <v>42.707033845100305</v>
      </c>
      <c r="K1733" s="2">
        <f t="shared" si="278"/>
        <v>11.957969476628087</v>
      </c>
      <c r="L1733" s="2">
        <f t="shared" si="279"/>
        <v>54.665003321728392</v>
      </c>
      <c r="M1733" s="2">
        <f t="shared" si="275"/>
        <v>39.632127408253083</v>
      </c>
      <c r="N1733" s="2">
        <f t="shared" si="276"/>
        <v>19.816063704126542</v>
      </c>
      <c r="O1733" s="2">
        <f t="shared" si="277"/>
        <v>72.724953794144412</v>
      </c>
      <c r="P1733" s="2">
        <v>72.552351000000002</v>
      </c>
      <c r="Q1733" s="2">
        <v>23.035755000000002</v>
      </c>
    </row>
    <row r="1734" spans="1:17" x14ac:dyDescent="0.25">
      <c r="A1734" s="2">
        <v>1912</v>
      </c>
      <c r="B1734" s="2" t="s">
        <v>148</v>
      </c>
      <c r="C1734" s="2">
        <v>2</v>
      </c>
      <c r="D1734" s="2">
        <f t="shared" si="270"/>
        <v>5.08</v>
      </c>
      <c r="E1734" s="2">
        <f t="shared" si="271"/>
        <v>1.6170142218136567</v>
      </c>
      <c r="F1734" s="2">
        <f t="shared" si="272"/>
        <v>0.63661977236758138</v>
      </c>
      <c r="G1734" s="2">
        <v>4.2874850000000002</v>
      </c>
      <c r="H1734" s="2">
        <f t="shared" si="273"/>
        <v>14.0665522874</v>
      </c>
      <c r="I1734" s="2">
        <f>INDEX('Wood Density Lookup'!$B$2:$B$152,MATCH(B1734,'Wood Density Lookup'!$A$2:$A$152,0))</f>
        <v>0.5</v>
      </c>
      <c r="J1734" s="2">
        <f t="shared" si="274"/>
        <v>0.36195031111080128</v>
      </c>
      <c r="K1734" s="2">
        <f t="shared" si="278"/>
        <v>0.10134608711102437</v>
      </c>
      <c r="L1734" s="2">
        <f t="shared" si="279"/>
        <v>0.46329639822182567</v>
      </c>
      <c r="M1734" s="2">
        <f t="shared" si="275"/>
        <v>0.33588988871082359</v>
      </c>
      <c r="N1734" s="2">
        <f t="shared" si="276"/>
        <v>0.1679449443554118</v>
      </c>
      <c r="O1734" s="2">
        <f t="shared" si="277"/>
        <v>0.61635794578436132</v>
      </c>
      <c r="P1734" s="2">
        <v>72.552352999999997</v>
      </c>
      <c r="Q1734" s="2">
        <v>23.035665999999999</v>
      </c>
    </row>
    <row r="1735" spans="1:17" x14ac:dyDescent="0.25">
      <c r="A1735" s="2">
        <v>1913</v>
      </c>
      <c r="B1735" s="2" t="s">
        <v>78</v>
      </c>
      <c r="C1735" s="2">
        <v>4</v>
      </c>
      <c r="D1735" s="2">
        <f t="shared" si="270"/>
        <v>10.16</v>
      </c>
      <c r="E1735" s="2">
        <f t="shared" si="271"/>
        <v>3.2340284436273135</v>
      </c>
      <c r="F1735" s="2">
        <f t="shared" si="272"/>
        <v>1.2732395447351628</v>
      </c>
      <c r="G1735" s="2">
        <v>1.0044379999999999</v>
      </c>
      <c r="H1735" s="2">
        <f t="shared" si="273"/>
        <v>3.2954003679199997</v>
      </c>
      <c r="I1735" s="2">
        <f>INDEX('Wood Density Lookup'!$B$2:$B$152,MATCH(B1735,'Wood Density Lookup'!$A$2:$A$152,0))</f>
        <v>0.55000000000000004</v>
      </c>
      <c r="J1735" s="2">
        <f t="shared" si="274"/>
        <v>0.37282583137645192</v>
      </c>
      <c r="K1735" s="2">
        <f t="shared" si="278"/>
        <v>0.10439123278540655</v>
      </c>
      <c r="L1735" s="2">
        <f t="shared" si="279"/>
        <v>0.4772170641618585</v>
      </c>
      <c r="M1735" s="2">
        <f t="shared" si="275"/>
        <v>0.3459823715173474</v>
      </c>
      <c r="N1735" s="2">
        <f t="shared" si="276"/>
        <v>0.1729911857586737</v>
      </c>
      <c r="O1735" s="2">
        <f t="shared" si="277"/>
        <v>0.63487765173433242</v>
      </c>
      <c r="P1735" s="2">
        <v>72.552355000000006</v>
      </c>
      <c r="Q1735" s="2">
        <v>23.038160999999999</v>
      </c>
    </row>
    <row r="1736" spans="1:17" x14ac:dyDescent="0.25">
      <c r="A1736" s="2">
        <v>1914</v>
      </c>
      <c r="B1736" s="2" t="s">
        <v>115</v>
      </c>
      <c r="C1736" s="2">
        <v>10</v>
      </c>
      <c r="D1736" s="2">
        <f t="shared" si="270"/>
        <v>25.4</v>
      </c>
      <c r="E1736" s="2">
        <f t="shared" si="271"/>
        <v>8.0850711090682825</v>
      </c>
      <c r="F1736" s="2">
        <f t="shared" si="272"/>
        <v>3.183098861837907</v>
      </c>
      <c r="G1736" s="2">
        <v>5.6670199999999999</v>
      </c>
      <c r="H1736" s="2">
        <f t="shared" si="273"/>
        <v>18.592585896799999</v>
      </c>
      <c r="I1736" s="2">
        <f>INDEX('Wood Density Lookup'!$B$2:$B$152,MATCH(B1736,'Wood Density Lookup'!$A$2:$A$152,0))</f>
        <v>0.65</v>
      </c>
      <c r="J1736" s="2">
        <f t="shared" si="274"/>
        <v>14.206647185218593</v>
      </c>
      <c r="K1736" s="2">
        <f t="shared" si="278"/>
        <v>3.9778612118612062</v>
      </c>
      <c r="L1736" s="2">
        <f t="shared" si="279"/>
        <v>18.184508397079799</v>
      </c>
      <c r="M1736" s="2">
        <f t="shared" si="275"/>
        <v>13.183768587882854</v>
      </c>
      <c r="N1736" s="2">
        <f t="shared" si="276"/>
        <v>6.5918842939414271</v>
      </c>
      <c r="O1736" s="2">
        <f t="shared" si="277"/>
        <v>24.192215358765036</v>
      </c>
      <c r="P1736" s="2">
        <v>72.552355000000006</v>
      </c>
      <c r="Q1736" s="2">
        <v>23.038125999999998</v>
      </c>
    </row>
    <row r="1737" spans="1:17" x14ac:dyDescent="0.25">
      <c r="A1737" s="2">
        <v>1915</v>
      </c>
      <c r="B1737" s="2" t="s">
        <v>86</v>
      </c>
      <c r="C1737" s="2">
        <v>123</v>
      </c>
      <c r="D1737" s="2">
        <f t="shared" si="270"/>
        <v>312.42</v>
      </c>
      <c r="E1737" s="2">
        <f t="shared" si="271"/>
        <v>99.44637464153989</v>
      </c>
      <c r="F1737" s="2">
        <f t="shared" si="272"/>
        <v>39.152116000606256</v>
      </c>
      <c r="G1737" s="2">
        <v>14.929225000000001</v>
      </c>
      <c r="H1737" s="2">
        <f t="shared" si="273"/>
        <v>48.980398549</v>
      </c>
      <c r="I1737" s="2">
        <f>INDEX('Wood Density Lookup'!$B$2:$B$152,MATCH(B1737,'Wood Density Lookup'!$A$2:$A$152,0))</f>
        <v>0.95</v>
      </c>
      <c r="J1737" s="2">
        <f t="shared" si="274"/>
        <v>7102.7628240877439</v>
      </c>
      <c r="K1737" s="2">
        <f t="shared" si="278"/>
        <v>1988.7735907445685</v>
      </c>
      <c r="L1737" s="2">
        <f t="shared" si="279"/>
        <v>9091.5364148323133</v>
      </c>
      <c r="M1737" s="2">
        <f t="shared" si="275"/>
        <v>6591.3639007534266</v>
      </c>
      <c r="N1737" s="2">
        <f t="shared" si="276"/>
        <v>3295.6819503767133</v>
      </c>
      <c r="O1737" s="2">
        <f t="shared" si="277"/>
        <v>12095.152757882537</v>
      </c>
      <c r="P1737" s="2">
        <v>72.552355000000006</v>
      </c>
      <c r="Q1737" s="2">
        <v>23.036557999999999</v>
      </c>
    </row>
    <row r="1738" spans="1:17" x14ac:dyDescent="0.25">
      <c r="A1738" s="2">
        <v>1916</v>
      </c>
      <c r="B1738" s="2" t="s">
        <v>15</v>
      </c>
      <c r="C1738" s="2">
        <v>207</v>
      </c>
      <c r="D1738" s="2">
        <f t="shared" si="270"/>
        <v>525.78</v>
      </c>
      <c r="E1738" s="2">
        <f t="shared" si="271"/>
        <v>167.36097195771345</v>
      </c>
      <c r="F1738" s="2">
        <f t="shared" si="272"/>
        <v>65.890146440044674</v>
      </c>
      <c r="G1738" s="2">
        <v>10.373215999999999</v>
      </c>
      <c r="H1738" s="2">
        <f t="shared" si="273"/>
        <v>34.03286198144</v>
      </c>
      <c r="I1738" s="2">
        <f>INDEX('Wood Density Lookup'!$B$2:$B$152,MATCH(B1738,'Wood Density Lookup'!$A$2:$A$152,0))</f>
        <v>0.75</v>
      </c>
      <c r="J1738" s="2">
        <f t="shared" si="274"/>
        <v>10918.911201860943</v>
      </c>
      <c r="K1738" s="2">
        <f t="shared" si="278"/>
        <v>3057.2951365210643</v>
      </c>
      <c r="L1738" s="2">
        <f t="shared" si="279"/>
        <v>13976.206338382008</v>
      </c>
      <c r="M1738" s="2">
        <f t="shared" si="275"/>
        <v>10132.749595326955</v>
      </c>
      <c r="N1738" s="2">
        <f t="shared" si="276"/>
        <v>5066.3747976634777</v>
      </c>
      <c r="O1738" s="2">
        <f t="shared" si="277"/>
        <v>18593.595507424961</v>
      </c>
      <c r="P1738" s="2">
        <v>72.552357000000001</v>
      </c>
      <c r="Q1738" s="2">
        <v>23.036791000000001</v>
      </c>
    </row>
    <row r="1739" spans="1:17" x14ac:dyDescent="0.25">
      <c r="A1739" s="2">
        <v>1917</v>
      </c>
      <c r="B1739" s="2" t="s">
        <v>129</v>
      </c>
      <c r="C1739" s="2">
        <v>4</v>
      </c>
      <c r="D1739" s="2">
        <f t="shared" si="270"/>
        <v>10.16</v>
      </c>
      <c r="E1739" s="2">
        <f t="shared" si="271"/>
        <v>3.2340284436273135</v>
      </c>
      <c r="F1739" s="2">
        <f t="shared" si="272"/>
        <v>1.2732395447351628</v>
      </c>
      <c r="G1739" s="2">
        <v>4.3630659999999999</v>
      </c>
      <c r="H1739" s="2">
        <f t="shared" si="273"/>
        <v>14.31452145544</v>
      </c>
      <c r="I1739" s="2">
        <f>INDEX('Wood Density Lookup'!$B$2:$B$152,MATCH(B1739,'Wood Density Lookup'!$A$2:$A$152,0))</f>
        <v>0.4</v>
      </c>
      <c r="J1739" s="2">
        <f t="shared" si="274"/>
        <v>1.1457302034158281</v>
      </c>
      <c r="K1739" s="2">
        <f t="shared" si="278"/>
        <v>0.32080445695643189</v>
      </c>
      <c r="L1739" s="2">
        <f t="shared" si="279"/>
        <v>1.46653466037226</v>
      </c>
      <c r="M1739" s="2">
        <f t="shared" si="275"/>
        <v>1.0632376287698884</v>
      </c>
      <c r="N1739" s="2">
        <f t="shared" si="276"/>
        <v>0.53161881438494418</v>
      </c>
      <c r="O1739" s="2">
        <f t="shared" si="277"/>
        <v>1.9510410487927452</v>
      </c>
      <c r="P1739" s="2">
        <v>72.552359999999993</v>
      </c>
      <c r="Q1739" s="2">
        <v>23.038205999999999</v>
      </c>
    </row>
    <row r="1740" spans="1:17" x14ac:dyDescent="0.25">
      <c r="A1740" s="2">
        <v>1918</v>
      </c>
      <c r="B1740" s="2" t="s">
        <v>143</v>
      </c>
      <c r="C1740" s="2">
        <v>12</v>
      </c>
      <c r="D1740" s="2">
        <f t="shared" si="270"/>
        <v>30.48</v>
      </c>
      <c r="E1740" s="2">
        <f t="shared" si="271"/>
        <v>9.7020853308819408</v>
      </c>
      <c r="F1740" s="2">
        <f t="shared" si="272"/>
        <v>3.8197186342054881</v>
      </c>
      <c r="G1740" s="2">
        <v>2.022097</v>
      </c>
      <c r="H1740" s="2">
        <f t="shared" si="273"/>
        <v>6.6341767214800003</v>
      </c>
      <c r="I1740" s="2">
        <f>INDEX('Wood Density Lookup'!$B$2:$B$152,MATCH(B1740,'Wood Density Lookup'!$A$2:$A$152,0))</f>
        <v>0.75</v>
      </c>
      <c r="J1740" s="2">
        <f t="shared" si="274"/>
        <v>8.52900266572615</v>
      </c>
      <c r="K1740" s="2">
        <f t="shared" si="278"/>
        <v>2.3881207464033221</v>
      </c>
      <c r="L1740" s="2">
        <f t="shared" si="279"/>
        <v>10.917123412129472</v>
      </c>
      <c r="M1740" s="2">
        <f t="shared" si="275"/>
        <v>7.9149144737938668</v>
      </c>
      <c r="N1740" s="2">
        <f t="shared" si="276"/>
        <v>3.9574572368969334</v>
      </c>
      <c r="O1740" s="2">
        <f t="shared" si="277"/>
        <v>14.523868059411745</v>
      </c>
      <c r="P1740" s="2">
        <v>72.552359999999993</v>
      </c>
      <c r="Q1740" s="2">
        <v>23.038080999999998</v>
      </c>
    </row>
    <row r="1741" spans="1:17" x14ac:dyDescent="0.25">
      <c r="A1741" s="2">
        <v>1919</v>
      </c>
      <c r="B1741" s="2" t="s">
        <v>116</v>
      </c>
      <c r="C1741" s="2">
        <v>88</v>
      </c>
      <c r="D1741" s="2">
        <f t="shared" si="270"/>
        <v>223.52</v>
      </c>
      <c r="E1741" s="2">
        <f t="shared" si="271"/>
        <v>71.148625759800893</v>
      </c>
      <c r="F1741" s="2">
        <f t="shared" si="272"/>
        <v>28.01126998417358</v>
      </c>
      <c r="G1741" s="2">
        <v>12.950017000000001</v>
      </c>
      <c r="H1741" s="2">
        <f t="shared" si="273"/>
        <v>42.486933774280004</v>
      </c>
      <c r="I1741" s="2">
        <f>INDEX('Wood Density Lookup'!$B$2:$B$152,MATCH(B1741,'Wood Density Lookup'!$A$2:$A$152,0))</f>
        <v>0.85</v>
      </c>
      <c r="J1741" s="2">
        <f t="shared" si="274"/>
        <v>2884.9136961007785</v>
      </c>
      <c r="K1741" s="2">
        <f t="shared" si="278"/>
        <v>807.77583490821803</v>
      </c>
      <c r="L1741" s="2">
        <f t="shared" si="279"/>
        <v>3692.6895310089967</v>
      </c>
      <c r="M1741" s="2">
        <f t="shared" si="275"/>
        <v>2677.1999099815225</v>
      </c>
      <c r="N1741" s="2">
        <f t="shared" si="276"/>
        <v>1338.5999549907613</v>
      </c>
      <c r="O1741" s="2">
        <f t="shared" si="277"/>
        <v>4912.6618348160937</v>
      </c>
      <c r="P1741" s="2">
        <v>72.552359999999993</v>
      </c>
      <c r="Q1741" s="2">
        <v>23.036403</v>
      </c>
    </row>
    <row r="1742" spans="1:17" x14ac:dyDescent="0.25">
      <c r="A1742" s="2">
        <v>1920</v>
      </c>
      <c r="B1742" s="2" t="s">
        <v>62</v>
      </c>
      <c r="C1742" s="2">
        <v>47</v>
      </c>
      <c r="D1742" s="2">
        <f t="shared" si="270"/>
        <v>119.38</v>
      </c>
      <c r="E1742" s="2">
        <f t="shared" si="271"/>
        <v>37.999834212620932</v>
      </c>
      <c r="F1742" s="2">
        <f t="shared" si="272"/>
        <v>14.960564650638162</v>
      </c>
      <c r="G1742" s="2">
        <v>12.904042</v>
      </c>
      <c r="H1742" s="2">
        <f t="shared" si="273"/>
        <v>42.336097155280001</v>
      </c>
      <c r="I1742" s="2">
        <f>INDEX('Wood Density Lookup'!$B$2:$B$152,MATCH(B1742,'Wood Density Lookup'!$A$2:$A$152,0))</f>
        <v>0.47</v>
      </c>
      <c r="J1742" s="2">
        <f t="shared" si="274"/>
        <v>474.00705439395819</v>
      </c>
      <c r="K1742" s="2">
        <f t="shared" si="278"/>
        <v>132.72197523030832</v>
      </c>
      <c r="L1742" s="2">
        <f t="shared" si="279"/>
        <v>606.72902962426656</v>
      </c>
      <c r="M1742" s="2">
        <f t="shared" si="275"/>
        <v>439.87854647759326</v>
      </c>
      <c r="N1742" s="2">
        <f t="shared" si="276"/>
        <v>219.93927323879663</v>
      </c>
      <c r="O1742" s="2">
        <f t="shared" si="277"/>
        <v>807.17713278638359</v>
      </c>
      <c r="P1742" s="2">
        <v>72.552359999999993</v>
      </c>
      <c r="Q1742" s="2">
        <v>23.036830999999999</v>
      </c>
    </row>
    <row r="1743" spans="1:17" x14ac:dyDescent="0.25">
      <c r="A1743" s="2">
        <v>1921</v>
      </c>
      <c r="B1743" s="2" t="s">
        <v>11</v>
      </c>
      <c r="C1743" s="2">
        <v>11</v>
      </c>
      <c r="D1743" s="2">
        <f t="shared" si="270"/>
        <v>27.94</v>
      </c>
      <c r="E1743" s="2">
        <f t="shared" si="271"/>
        <v>8.8935782199751117</v>
      </c>
      <c r="F1743" s="2">
        <f t="shared" si="272"/>
        <v>3.5014087480216975</v>
      </c>
      <c r="G1743" s="2">
        <v>3.0225879999999998</v>
      </c>
      <c r="H1743" s="2">
        <f t="shared" si="273"/>
        <v>9.9166276139199994</v>
      </c>
      <c r="I1743" s="2">
        <f>INDEX('Wood Density Lookup'!$B$2:$B$152,MATCH(B1743,'Wood Density Lookup'!$A$2:$A$152,0))</f>
        <v>0.45</v>
      </c>
      <c r="J1743" s="2">
        <f t="shared" si="274"/>
        <v>6.4713922036739451</v>
      </c>
      <c r="K1743" s="2">
        <f t="shared" si="278"/>
        <v>1.8119898170287048</v>
      </c>
      <c r="L1743" s="2">
        <f t="shared" si="279"/>
        <v>8.2833820207026498</v>
      </c>
      <c r="M1743" s="2">
        <f t="shared" si="275"/>
        <v>6.0054519650094207</v>
      </c>
      <c r="N1743" s="2">
        <f t="shared" si="276"/>
        <v>3.0027259825047103</v>
      </c>
      <c r="O1743" s="2">
        <f t="shared" si="277"/>
        <v>11.020004355792286</v>
      </c>
      <c r="P1743" s="2">
        <v>72.552363</v>
      </c>
      <c r="Q1743" s="2">
        <v>23.038048</v>
      </c>
    </row>
    <row r="1744" spans="1:17" x14ac:dyDescent="0.25">
      <c r="A1744" s="2">
        <v>1922</v>
      </c>
      <c r="B1744" s="2" t="s">
        <v>57</v>
      </c>
      <c r="C1744" s="2">
        <v>2</v>
      </c>
      <c r="D1744" s="2">
        <f t="shared" si="270"/>
        <v>5.08</v>
      </c>
      <c r="E1744" s="2">
        <f t="shared" si="271"/>
        <v>1.6170142218136567</v>
      </c>
      <c r="F1744" s="2">
        <f t="shared" si="272"/>
        <v>0.63661977236758138</v>
      </c>
      <c r="G1744" s="2">
        <v>11.136983000000001</v>
      </c>
      <c r="H1744" s="2">
        <f t="shared" si="273"/>
        <v>36.538659305720003</v>
      </c>
      <c r="I1744" s="2">
        <f>INDEX('Wood Density Lookup'!$B$2:$B$152,MATCH(B1744,'Wood Density Lookup'!$A$2:$A$152,0))</f>
        <v>0.6</v>
      </c>
      <c r="J1744" s="2">
        <f t="shared" si="274"/>
        <v>1.0978556337693561</v>
      </c>
      <c r="K1744" s="2">
        <f t="shared" si="278"/>
        <v>0.30739957745541974</v>
      </c>
      <c r="L1744" s="2">
        <f t="shared" si="279"/>
        <v>1.4052552112247758</v>
      </c>
      <c r="M1744" s="2">
        <f t="shared" si="275"/>
        <v>1.0188100281379624</v>
      </c>
      <c r="N1744" s="2">
        <f t="shared" si="276"/>
        <v>0.5094050140689812</v>
      </c>
      <c r="O1744" s="2">
        <f t="shared" si="277"/>
        <v>1.8695164016331609</v>
      </c>
      <c r="P1744" s="2">
        <v>72.552363</v>
      </c>
      <c r="Q1744" s="2">
        <v>23.035060000000001</v>
      </c>
    </row>
    <row r="1745" spans="1:17" x14ac:dyDescent="0.25">
      <c r="A1745" s="2">
        <v>1923</v>
      </c>
      <c r="B1745" s="2" t="s">
        <v>115</v>
      </c>
      <c r="C1745" s="2">
        <v>5</v>
      </c>
      <c r="D1745" s="2">
        <f t="shared" si="270"/>
        <v>12.7</v>
      </c>
      <c r="E1745" s="2">
        <f t="shared" si="271"/>
        <v>4.0425355545341413</v>
      </c>
      <c r="F1745" s="2">
        <f t="shared" si="272"/>
        <v>1.5915494309189535</v>
      </c>
      <c r="G1745" s="2">
        <v>3.0053990000000002</v>
      </c>
      <c r="H1745" s="2">
        <f t="shared" si="273"/>
        <v>9.8602332551600007</v>
      </c>
      <c r="I1745" s="2">
        <f>INDEX('Wood Density Lookup'!$B$2:$B$152,MATCH(B1745,'Wood Density Lookup'!$A$2:$A$152,0))</f>
        <v>0.65</v>
      </c>
      <c r="J1745" s="2">
        <f t="shared" si="274"/>
        <v>1.9771485399714483</v>
      </c>
      <c r="K1745" s="2">
        <f t="shared" si="278"/>
        <v>0.55360159119200558</v>
      </c>
      <c r="L1745" s="2">
        <f t="shared" si="279"/>
        <v>2.5307501311634537</v>
      </c>
      <c r="M1745" s="2">
        <f t="shared" si="275"/>
        <v>1.834793845093504</v>
      </c>
      <c r="N1745" s="2">
        <f t="shared" si="276"/>
        <v>0.91739692254675198</v>
      </c>
      <c r="O1745" s="2">
        <f t="shared" si="277"/>
        <v>3.3668467057465796</v>
      </c>
      <c r="P1745" s="2">
        <v>72.552364999999995</v>
      </c>
      <c r="Q1745" s="2">
        <v>23.038008999999999</v>
      </c>
    </row>
    <row r="1746" spans="1:17" x14ac:dyDescent="0.25">
      <c r="A1746" s="2">
        <v>1924</v>
      </c>
      <c r="B1746" s="2" t="s">
        <v>15</v>
      </c>
      <c r="C1746" s="2">
        <v>17</v>
      </c>
      <c r="D1746" s="2">
        <f t="shared" si="270"/>
        <v>43.18</v>
      </c>
      <c r="E1746" s="2">
        <f t="shared" si="271"/>
        <v>13.744620885416081</v>
      </c>
      <c r="F1746" s="2">
        <f t="shared" si="272"/>
        <v>5.4112680651244416</v>
      </c>
      <c r="G1746" s="2">
        <v>5.9258189999999997</v>
      </c>
      <c r="H1746" s="2">
        <f t="shared" si="273"/>
        <v>19.44166400796</v>
      </c>
      <c r="I1746" s="2">
        <f>INDEX('Wood Density Lookup'!$B$2:$B$152,MATCH(B1746,'Wood Density Lookup'!$A$2:$A$152,0))</f>
        <v>0.75</v>
      </c>
      <c r="J1746" s="2">
        <f t="shared" si="274"/>
        <v>48.074240981594578</v>
      </c>
      <c r="K1746" s="2">
        <f t="shared" si="278"/>
        <v>13.460787474846484</v>
      </c>
      <c r="L1746" s="2">
        <f t="shared" si="279"/>
        <v>61.535028456441061</v>
      </c>
      <c r="M1746" s="2">
        <f t="shared" si="275"/>
        <v>44.612895630919766</v>
      </c>
      <c r="N1746" s="2">
        <f t="shared" si="276"/>
        <v>22.306447815459883</v>
      </c>
      <c r="O1746" s="2">
        <f t="shared" si="277"/>
        <v>81.864663482737768</v>
      </c>
      <c r="P1746" s="2">
        <v>72.552366000000006</v>
      </c>
      <c r="Q1746" s="2">
        <v>23.035029999999999</v>
      </c>
    </row>
    <row r="1747" spans="1:17" x14ac:dyDescent="0.25">
      <c r="A1747" s="2">
        <v>1925</v>
      </c>
      <c r="B1747" s="2" t="s">
        <v>102</v>
      </c>
      <c r="C1747" s="2">
        <v>2</v>
      </c>
      <c r="D1747" s="2">
        <f t="shared" si="270"/>
        <v>5.08</v>
      </c>
      <c r="E1747" s="2">
        <f t="shared" si="271"/>
        <v>1.6170142218136567</v>
      </c>
      <c r="F1747" s="2">
        <f t="shared" si="272"/>
        <v>0.63661977236758138</v>
      </c>
      <c r="G1747" s="2">
        <v>2.0911339999999998</v>
      </c>
      <c r="H1747" s="2">
        <f t="shared" si="273"/>
        <v>6.8606760725599996</v>
      </c>
      <c r="I1747" s="2">
        <f>INDEX('Wood Density Lookup'!$B$2:$B$152,MATCH(B1747,'Wood Density Lookup'!$A$2:$A$152,0))</f>
        <v>0.45</v>
      </c>
      <c r="J1747" s="2">
        <f t="shared" si="274"/>
        <v>0.16205132679027948</v>
      </c>
      <c r="K1747" s="2">
        <f t="shared" si="278"/>
        <v>4.5374371501278259E-2</v>
      </c>
      <c r="L1747" s="2">
        <f t="shared" si="279"/>
        <v>0.20742569829155774</v>
      </c>
      <c r="M1747" s="2">
        <f t="shared" si="275"/>
        <v>0.15038363126137935</v>
      </c>
      <c r="N1747" s="2">
        <f t="shared" si="276"/>
        <v>7.5191815630689676E-2</v>
      </c>
      <c r="O1747" s="2">
        <f t="shared" si="277"/>
        <v>0.27595396336463113</v>
      </c>
      <c r="P1747" s="2">
        <v>72.552366000000006</v>
      </c>
      <c r="Q1747" s="2">
        <v>23.037918000000001</v>
      </c>
    </row>
    <row r="1748" spans="1:17" x14ac:dyDescent="0.25">
      <c r="A1748" s="2">
        <v>1926</v>
      </c>
      <c r="B1748" s="2" t="s">
        <v>143</v>
      </c>
      <c r="C1748" s="2">
        <v>2</v>
      </c>
      <c r="D1748" s="2">
        <f t="shared" si="270"/>
        <v>5.08</v>
      </c>
      <c r="E1748" s="2">
        <f t="shared" si="271"/>
        <v>1.6170142218136567</v>
      </c>
      <c r="F1748" s="2">
        <f t="shared" si="272"/>
        <v>0.63661977236758138</v>
      </c>
      <c r="G1748" s="2">
        <v>1.09188</v>
      </c>
      <c r="H1748" s="2">
        <f t="shared" si="273"/>
        <v>3.5822835791999998</v>
      </c>
      <c r="I1748" s="2">
        <f>INDEX('Wood Density Lookup'!$B$2:$B$152,MATCH(B1748,'Wood Density Lookup'!$A$2:$A$152,0))</f>
        <v>0.75</v>
      </c>
      <c r="J1748" s="2">
        <f t="shared" si="274"/>
        <v>0.14149561638759303</v>
      </c>
      <c r="K1748" s="2">
        <f t="shared" si="278"/>
        <v>3.9618772588526051E-2</v>
      </c>
      <c r="L1748" s="2">
        <f t="shared" si="279"/>
        <v>0.18111438897611909</v>
      </c>
      <c r="M1748" s="2">
        <f t="shared" si="275"/>
        <v>0.13130793200768634</v>
      </c>
      <c r="N1748" s="2">
        <f t="shared" si="276"/>
        <v>6.565396600384317E-2</v>
      </c>
      <c r="O1748" s="2">
        <f t="shared" si="277"/>
        <v>0.24095005523410443</v>
      </c>
      <c r="P1748" s="2">
        <v>72.552370999999994</v>
      </c>
      <c r="Q1748" s="2">
        <v>23.037963999999999</v>
      </c>
    </row>
    <row r="1749" spans="1:17" x14ac:dyDescent="0.25">
      <c r="A1749" s="2">
        <v>1927</v>
      </c>
      <c r="B1749" s="2" t="s">
        <v>59</v>
      </c>
      <c r="C1749" s="2">
        <v>17</v>
      </c>
      <c r="D1749" s="2">
        <f t="shared" si="270"/>
        <v>43.18</v>
      </c>
      <c r="E1749" s="2">
        <f t="shared" si="271"/>
        <v>13.744620885416081</v>
      </c>
      <c r="F1749" s="2">
        <f t="shared" si="272"/>
        <v>5.4112680651244416</v>
      </c>
      <c r="G1749" s="2">
        <v>4.0049700000000001</v>
      </c>
      <c r="H1749" s="2">
        <f t="shared" si="273"/>
        <v>13.139665774800001</v>
      </c>
      <c r="I1749" s="2">
        <f>INDEX('Wood Density Lookup'!$B$2:$B$152,MATCH(B1749,'Wood Density Lookup'!$A$2:$A$152,0))</f>
        <v>0.45</v>
      </c>
      <c r="J1749" s="2">
        <f t="shared" si="274"/>
        <v>19.921522230890094</v>
      </c>
      <c r="K1749" s="2">
        <f t="shared" si="278"/>
        <v>5.5780262246492267</v>
      </c>
      <c r="L1749" s="2">
        <f t="shared" si="279"/>
        <v>25.499548455539319</v>
      </c>
      <c r="M1749" s="2">
        <f t="shared" si="275"/>
        <v>18.487172630266006</v>
      </c>
      <c r="N1749" s="2">
        <f t="shared" si="276"/>
        <v>9.2435863151330029</v>
      </c>
      <c r="O1749" s="2">
        <f t="shared" si="277"/>
        <v>33.923961776538121</v>
      </c>
      <c r="P1749" s="2">
        <v>72.552373000000003</v>
      </c>
      <c r="Q1749" s="2">
        <v>23.037956000000001</v>
      </c>
    </row>
    <row r="1750" spans="1:17" x14ac:dyDescent="0.25">
      <c r="A1750" s="2">
        <v>1928</v>
      </c>
      <c r="B1750" s="2" t="s">
        <v>143</v>
      </c>
      <c r="C1750" s="2">
        <v>18</v>
      </c>
      <c r="D1750" s="2">
        <f t="shared" si="270"/>
        <v>45.72</v>
      </c>
      <c r="E1750" s="2">
        <f t="shared" si="271"/>
        <v>14.55312799632291</v>
      </c>
      <c r="F1750" s="2">
        <f t="shared" si="272"/>
        <v>5.7295779513082321</v>
      </c>
      <c r="G1750" s="2">
        <v>8.7356119999999997</v>
      </c>
      <c r="H1750" s="2">
        <f t="shared" si="273"/>
        <v>28.660145274079998</v>
      </c>
      <c r="I1750" s="2">
        <f>INDEX('Wood Density Lookup'!$B$2:$B$152,MATCH(B1750,'Wood Density Lookup'!$A$2:$A$152,0))</f>
        <v>0.75</v>
      </c>
      <c r="J1750" s="2">
        <f t="shared" si="274"/>
        <v>78.499690912545148</v>
      </c>
      <c r="K1750" s="2">
        <f t="shared" si="278"/>
        <v>21.979913455512644</v>
      </c>
      <c r="L1750" s="2">
        <f t="shared" si="279"/>
        <v>100.47960436805779</v>
      </c>
      <c r="M1750" s="2">
        <f t="shared" si="275"/>
        <v>72.847713166841899</v>
      </c>
      <c r="N1750" s="2">
        <f t="shared" si="276"/>
        <v>36.42385658342095</v>
      </c>
      <c r="O1750" s="2">
        <f t="shared" si="277"/>
        <v>133.67555366115488</v>
      </c>
      <c r="P1750" s="2">
        <v>72.552374999999998</v>
      </c>
      <c r="Q1750" s="2">
        <v>23.037807000000001</v>
      </c>
    </row>
    <row r="1751" spans="1:17" x14ac:dyDescent="0.25">
      <c r="A1751" s="2">
        <v>1929</v>
      </c>
      <c r="B1751" s="2" t="s">
        <v>103</v>
      </c>
      <c r="C1751" s="2">
        <v>5</v>
      </c>
      <c r="D1751" s="2">
        <f t="shared" si="270"/>
        <v>12.7</v>
      </c>
      <c r="E1751" s="2">
        <f t="shared" si="271"/>
        <v>4.0425355545341413</v>
      </c>
      <c r="F1751" s="2">
        <f t="shared" si="272"/>
        <v>1.5915494309189535</v>
      </c>
      <c r="G1751" s="2">
        <v>3.8962759999999999</v>
      </c>
      <c r="H1751" s="2">
        <f t="shared" si="273"/>
        <v>12.783058151839999</v>
      </c>
      <c r="I1751" s="2">
        <f>INDEX('Wood Density Lookup'!$B$2:$B$152,MATCH(B1751,'Wood Density Lookup'!$A$2:$A$152,0))</f>
        <v>0.6</v>
      </c>
      <c r="J1751" s="2">
        <f t="shared" si="274"/>
        <v>2.3558797361131858</v>
      </c>
      <c r="K1751" s="2">
        <f t="shared" si="278"/>
        <v>0.65964632611169205</v>
      </c>
      <c r="L1751" s="2">
        <f t="shared" si="279"/>
        <v>3.0155260622248781</v>
      </c>
      <c r="M1751" s="2">
        <f t="shared" si="275"/>
        <v>2.1862563951130367</v>
      </c>
      <c r="N1751" s="2">
        <f t="shared" si="276"/>
        <v>1.0931281975565184</v>
      </c>
      <c r="O1751" s="2">
        <f t="shared" si="277"/>
        <v>4.0117804850324221</v>
      </c>
      <c r="P1751" s="2">
        <v>72.552378000000004</v>
      </c>
      <c r="Q1751" s="2">
        <v>23.035654999999998</v>
      </c>
    </row>
    <row r="1752" spans="1:17" x14ac:dyDescent="0.25">
      <c r="A1752" s="2">
        <v>1930</v>
      </c>
      <c r="B1752" s="2" t="s">
        <v>15</v>
      </c>
      <c r="C1752" s="2">
        <v>78</v>
      </c>
      <c r="D1752" s="2">
        <f t="shared" si="270"/>
        <v>198.12</v>
      </c>
      <c r="E1752" s="2">
        <f t="shared" si="271"/>
        <v>63.063554650732613</v>
      </c>
      <c r="F1752" s="2">
        <f t="shared" si="272"/>
        <v>24.828171122335672</v>
      </c>
      <c r="G1752" s="2">
        <v>13.234683</v>
      </c>
      <c r="H1752" s="2">
        <f t="shared" si="273"/>
        <v>43.420877373720003</v>
      </c>
      <c r="I1752" s="2">
        <f>INDEX('Wood Density Lookup'!$B$2:$B$152,MATCH(B1752,'Wood Density Lookup'!$A$2:$A$152,0))</f>
        <v>0.75</v>
      </c>
      <c r="J1752" s="2">
        <f t="shared" si="274"/>
        <v>2060.7950546545749</v>
      </c>
      <c r="K1752" s="2">
        <f t="shared" si="278"/>
        <v>577.02261530328099</v>
      </c>
      <c r="L1752" s="2">
        <f t="shared" si="279"/>
        <v>2637.8176699578557</v>
      </c>
      <c r="M1752" s="2">
        <f t="shared" si="275"/>
        <v>1912.4178107194452</v>
      </c>
      <c r="N1752" s="2">
        <f t="shared" si="276"/>
        <v>956.20890535972262</v>
      </c>
      <c r="O1752" s="2">
        <f t="shared" si="277"/>
        <v>3509.286682670182</v>
      </c>
      <c r="P1752" s="2">
        <v>72.552384000000004</v>
      </c>
      <c r="Q1752" s="2">
        <v>23.035101999999998</v>
      </c>
    </row>
    <row r="1753" spans="1:17" x14ac:dyDescent="0.25">
      <c r="A1753" s="2">
        <v>1931</v>
      </c>
      <c r="B1753" s="2" t="s">
        <v>57</v>
      </c>
      <c r="C1753" s="2">
        <v>5</v>
      </c>
      <c r="D1753" s="2">
        <f t="shared" si="270"/>
        <v>12.7</v>
      </c>
      <c r="E1753" s="2">
        <f t="shared" si="271"/>
        <v>4.0425355545341413</v>
      </c>
      <c r="F1753" s="2">
        <f t="shared" si="272"/>
        <v>1.5915494309189535</v>
      </c>
      <c r="G1753" s="2">
        <v>11.406204000000001</v>
      </c>
      <c r="H1753" s="2">
        <f t="shared" si="273"/>
        <v>37.421930331360002</v>
      </c>
      <c r="I1753" s="2">
        <f>INDEX('Wood Density Lookup'!$B$2:$B$152,MATCH(B1753,'Wood Density Lookup'!$A$2:$A$152,0))</f>
        <v>0.6</v>
      </c>
      <c r="J1753" s="2">
        <f t="shared" si="274"/>
        <v>6.721229793696696</v>
      </c>
      <c r="K1753" s="2">
        <f t="shared" si="278"/>
        <v>1.881944342235075</v>
      </c>
      <c r="L1753" s="2">
        <f t="shared" si="279"/>
        <v>8.6031741359317717</v>
      </c>
      <c r="M1753" s="2">
        <f t="shared" si="275"/>
        <v>6.2373012485505344</v>
      </c>
      <c r="N1753" s="2">
        <f t="shared" si="276"/>
        <v>3.1186506242752672</v>
      </c>
      <c r="O1753" s="2">
        <f t="shared" si="277"/>
        <v>11.445447791090229</v>
      </c>
      <c r="P1753" s="2">
        <v>72.552384000000004</v>
      </c>
      <c r="Q1753" s="2">
        <v>23.035073000000001</v>
      </c>
    </row>
    <row r="1754" spans="1:17" x14ac:dyDescent="0.25">
      <c r="A1754" s="2">
        <v>1932</v>
      </c>
      <c r="B1754" s="2" t="s">
        <v>57</v>
      </c>
      <c r="C1754" s="2">
        <v>4</v>
      </c>
      <c r="D1754" s="2">
        <f t="shared" si="270"/>
        <v>10.16</v>
      </c>
      <c r="E1754" s="2">
        <f t="shared" si="271"/>
        <v>3.2340284436273135</v>
      </c>
      <c r="F1754" s="2">
        <f t="shared" si="272"/>
        <v>1.2732395447351628</v>
      </c>
      <c r="G1754" s="2">
        <v>7.6427129999999996</v>
      </c>
      <c r="H1754" s="2">
        <f t="shared" si="273"/>
        <v>25.074518518919998</v>
      </c>
      <c r="I1754" s="2">
        <f>INDEX('Wood Density Lookup'!$B$2:$B$152,MATCH(B1754,'Wood Density Lookup'!$A$2:$A$152,0))</f>
        <v>0.6</v>
      </c>
      <c r="J1754" s="2">
        <f t="shared" si="274"/>
        <v>2.9414418083786091</v>
      </c>
      <c r="K1754" s="2">
        <f t="shared" si="278"/>
        <v>0.82360370634601066</v>
      </c>
      <c r="L1754" s="2">
        <f t="shared" si="279"/>
        <v>3.76504551472462</v>
      </c>
      <c r="M1754" s="2">
        <f t="shared" si="275"/>
        <v>2.7296579981753495</v>
      </c>
      <c r="N1754" s="2">
        <f t="shared" si="276"/>
        <v>1.3648289990876747</v>
      </c>
      <c r="O1754" s="2">
        <f t="shared" si="277"/>
        <v>5.0089224266517665</v>
      </c>
      <c r="P1754" s="2">
        <v>72.552384000000004</v>
      </c>
      <c r="Q1754" s="2">
        <v>23.035049000000001</v>
      </c>
    </row>
    <row r="1755" spans="1:17" x14ac:dyDescent="0.25">
      <c r="A1755" s="2">
        <v>1933</v>
      </c>
      <c r="B1755" s="2" t="s">
        <v>105</v>
      </c>
      <c r="C1755" s="2">
        <v>23</v>
      </c>
      <c r="D1755" s="2">
        <f t="shared" si="270"/>
        <v>58.42</v>
      </c>
      <c r="E1755" s="2">
        <f t="shared" si="271"/>
        <v>18.595663550857051</v>
      </c>
      <c r="F1755" s="2">
        <f t="shared" si="272"/>
        <v>7.3211273822271856</v>
      </c>
      <c r="G1755" s="2">
        <v>2.1749909999999999</v>
      </c>
      <c r="H1755" s="2">
        <f t="shared" si="273"/>
        <v>7.1357974724399993</v>
      </c>
      <c r="I1755" s="2">
        <f>INDEX('Wood Density Lookup'!$B$2:$B$152,MATCH(B1755,'Wood Density Lookup'!$A$2:$A$152,0))</f>
        <v>0.65</v>
      </c>
      <c r="J1755" s="2">
        <f t="shared" si="274"/>
        <v>28.357542041754026</v>
      </c>
      <c r="K1755" s="2">
        <f t="shared" si="278"/>
        <v>7.9401117716911278</v>
      </c>
      <c r="L1755" s="2">
        <f t="shared" si="279"/>
        <v>36.297653813445152</v>
      </c>
      <c r="M1755" s="2">
        <f t="shared" si="275"/>
        <v>26.315799014747736</v>
      </c>
      <c r="N1755" s="2">
        <f t="shared" si="276"/>
        <v>13.157899507373868</v>
      </c>
      <c r="O1755" s="2">
        <f t="shared" si="277"/>
        <v>48.289491192062094</v>
      </c>
      <c r="P1755" s="2">
        <v>72.552385000000001</v>
      </c>
      <c r="Q1755" s="2">
        <v>23.037849000000001</v>
      </c>
    </row>
    <row r="1756" spans="1:17" x14ac:dyDescent="0.25">
      <c r="A1756" s="2">
        <v>1934</v>
      </c>
      <c r="B1756" s="2" t="s">
        <v>107</v>
      </c>
      <c r="C1756" s="2">
        <v>26</v>
      </c>
      <c r="D1756" s="2">
        <f t="shared" si="270"/>
        <v>66.040000000000006</v>
      </c>
      <c r="E1756" s="2">
        <f t="shared" si="271"/>
        <v>21.02118488357754</v>
      </c>
      <c r="F1756" s="2">
        <f t="shared" si="272"/>
        <v>8.2760570407785572</v>
      </c>
      <c r="G1756" s="2">
        <v>11.732213</v>
      </c>
      <c r="H1756" s="2">
        <f t="shared" si="273"/>
        <v>38.491513698920002</v>
      </c>
      <c r="I1756" s="2">
        <f>INDEX('Wood Density Lookup'!$B$2:$B$152,MATCH(B1756,'Wood Density Lookup'!$A$2:$A$152,0))</f>
        <v>0.65</v>
      </c>
      <c r="J1756" s="2">
        <f t="shared" si="274"/>
        <v>186.62084838321036</v>
      </c>
      <c r="K1756" s="2">
        <f t="shared" si="278"/>
        <v>52.253837547298907</v>
      </c>
      <c r="L1756" s="2">
        <f t="shared" si="279"/>
        <v>238.87468593050926</v>
      </c>
      <c r="M1756" s="2">
        <f t="shared" si="275"/>
        <v>173.18414729961921</v>
      </c>
      <c r="N1756" s="2">
        <f t="shared" si="276"/>
        <v>86.592073649809606</v>
      </c>
      <c r="O1756" s="2">
        <f t="shared" si="277"/>
        <v>317.79291029480123</v>
      </c>
      <c r="P1756" s="2">
        <v>72.552385000000001</v>
      </c>
      <c r="Q1756" s="2">
        <v>23.036297999999999</v>
      </c>
    </row>
    <row r="1757" spans="1:17" x14ac:dyDescent="0.25">
      <c r="A1757" s="2">
        <v>1935</v>
      </c>
      <c r="B1757" s="2" t="s">
        <v>148</v>
      </c>
      <c r="C1757" s="2">
        <v>3</v>
      </c>
      <c r="D1757" s="2">
        <f t="shared" si="270"/>
        <v>7.62</v>
      </c>
      <c r="E1757" s="2">
        <f t="shared" si="271"/>
        <v>2.4255213327204852</v>
      </c>
      <c r="F1757" s="2">
        <f t="shared" si="272"/>
        <v>0.95492965855137202</v>
      </c>
      <c r="G1757" s="2">
        <v>4.3510600000000004</v>
      </c>
      <c r="H1757" s="2">
        <f t="shared" si="273"/>
        <v>14.2751316904</v>
      </c>
      <c r="I1757" s="2">
        <f>INDEX('Wood Density Lookup'!$B$2:$B$152,MATCH(B1757,'Wood Density Lookup'!$A$2:$A$152,0))</f>
        <v>0.5</v>
      </c>
      <c r="J1757" s="2">
        <f t="shared" si="274"/>
        <v>0.81024830545062365</v>
      </c>
      <c r="K1757" s="2">
        <f t="shared" si="278"/>
        <v>0.22686952552617465</v>
      </c>
      <c r="L1757" s="2">
        <f t="shared" si="279"/>
        <v>1.0371178309767983</v>
      </c>
      <c r="M1757" s="2">
        <f t="shared" si="275"/>
        <v>0.75191042745817871</v>
      </c>
      <c r="N1757" s="2">
        <f t="shared" si="276"/>
        <v>0.37595521372908935</v>
      </c>
      <c r="O1757" s="2">
        <f t="shared" si="277"/>
        <v>1.379755634385758</v>
      </c>
      <c r="P1757" s="2">
        <v>72.552385999999998</v>
      </c>
      <c r="Q1757" s="2">
        <v>23.035653</v>
      </c>
    </row>
    <row r="1758" spans="1:17" x14ac:dyDescent="0.25">
      <c r="A1758" s="2">
        <v>1936</v>
      </c>
      <c r="B1758" s="2" t="s">
        <v>148</v>
      </c>
      <c r="C1758" s="2">
        <v>2</v>
      </c>
      <c r="D1758" s="2">
        <f t="shared" si="270"/>
        <v>5.08</v>
      </c>
      <c r="E1758" s="2">
        <f t="shared" si="271"/>
        <v>1.6170142218136567</v>
      </c>
      <c r="F1758" s="2">
        <f t="shared" si="272"/>
        <v>0.63661977236758138</v>
      </c>
      <c r="G1758" s="2">
        <v>4.6817859999999998</v>
      </c>
      <c r="H1758" s="2">
        <f t="shared" si="273"/>
        <v>15.36019078024</v>
      </c>
      <c r="I1758" s="2">
        <f>INDEX('Wood Density Lookup'!$B$2:$B$152,MATCH(B1758,'Wood Density Lookup'!$A$2:$A$152,0))</f>
        <v>0.5</v>
      </c>
      <c r="J1758" s="2">
        <f t="shared" si="274"/>
        <v>0.39440361285382514</v>
      </c>
      <c r="K1758" s="2">
        <f t="shared" si="278"/>
        <v>0.11043301159907105</v>
      </c>
      <c r="L1758" s="2">
        <f t="shared" si="279"/>
        <v>0.50483662445289623</v>
      </c>
      <c r="M1758" s="2">
        <f t="shared" si="275"/>
        <v>0.36600655272834975</v>
      </c>
      <c r="N1758" s="2">
        <f t="shared" si="276"/>
        <v>0.18300327636417488</v>
      </c>
      <c r="O1758" s="2">
        <f t="shared" si="277"/>
        <v>0.67162202425652173</v>
      </c>
      <c r="P1758" s="2">
        <v>72.552386999999996</v>
      </c>
      <c r="Q1758" s="2">
        <v>23.035641999999999</v>
      </c>
    </row>
    <row r="1759" spans="1:17" x14ac:dyDescent="0.25">
      <c r="A1759" s="2">
        <v>1937</v>
      </c>
      <c r="B1759" s="2" t="s">
        <v>148</v>
      </c>
      <c r="C1759" s="2">
        <v>3</v>
      </c>
      <c r="D1759" s="2">
        <f t="shared" si="270"/>
        <v>7.62</v>
      </c>
      <c r="E1759" s="2">
        <f t="shared" si="271"/>
        <v>2.4255213327204852</v>
      </c>
      <c r="F1759" s="2">
        <f t="shared" si="272"/>
        <v>0.95492965855137202</v>
      </c>
      <c r="G1759" s="2">
        <v>4.407775</v>
      </c>
      <c r="H1759" s="2">
        <f t="shared" si="273"/>
        <v>14.461204531</v>
      </c>
      <c r="I1759" s="2">
        <f>INDEX('Wood Density Lookup'!$B$2:$B$152,MATCH(B1759,'Wood Density Lookup'!$A$2:$A$152,0))</f>
        <v>0.5</v>
      </c>
      <c r="J1759" s="2">
        <f t="shared" si="274"/>
        <v>0.82055461488053283</v>
      </c>
      <c r="K1759" s="2">
        <f t="shared" si="278"/>
        <v>0.22975529216654922</v>
      </c>
      <c r="L1759" s="2">
        <f t="shared" si="279"/>
        <v>1.050309907047082</v>
      </c>
      <c r="M1759" s="2">
        <f t="shared" si="275"/>
        <v>0.76147468260913442</v>
      </c>
      <c r="N1759" s="2">
        <f t="shared" si="276"/>
        <v>0.38073734130456721</v>
      </c>
      <c r="O1759" s="2">
        <f t="shared" si="277"/>
        <v>1.3973060425877617</v>
      </c>
      <c r="P1759" s="2">
        <v>72.552389000000005</v>
      </c>
      <c r="Q1759" s="2">
        <v>23.035623999999999</v>
      </c>
    </row>
    <row r="1760" spans="1:17" x14ac:dyDescent="0.25">
      <c r="A1760" s="2">
        <v>1938</v>
      </c>
      <c r="B1760" s="2" t="s">
        <v>148</v>
      </c>
      <c r="C1760" s="2">
        <v>2</v>
      </c>
      <c r="D1760" s="2">
        <f t="shared" si="270"/>
        <v>5.08</v>
      </c>
      <c r="E1760" s="2">
        <f t="shared" si="271"/>
        <v>1.6170142218136567</v>
      </c>
      <c r="F1760" s="2">
        <f t="shared" si="272"/>
        <v>0.63661977236758138</v>
      </c>
      <c r="G1760" s="2">
        <v>4.6586280000000002</v>
      </c>
      <c r="H1760" s="2">
        <f t="shared" si="273"/>
        <v>15.284213087520001</v>
      </c>
      <c r="I1760" s="2">
        <f>INDEX('Wood Density Lookup'!$B$2:$B$152,MATCH(B1760,'Wood Density Lookup'!$A$2:$A$152,0))</f>
        <v>0.5</v>
      </c>
      <c r="J1760" s="2">
        <f t="shared" si="274"/>
        <v>0.39249944155692873</v>
      </c>
      <c r="K1760" s="2">
        <f t="shared" si="278"/>
        <v>0.10989984363594006</v>
      </c>
      <c r="L1760" s="2">
        <f t="shared" si="279"/>
        <v>0.50239928519286881</v>
      </c>
      <c r="M1760" s="2">
        <f t="shared" si="275"/>
        <v>0.3642394817648299</v>
      </c>
      <c r="N1760" s="2">
        <f t="shared" si="276"/>
        <v>0.18211974088241495</v>
      </c>
      <c r="O1760" s="2">
        <f t="shared" si="277"/>
        <v>0.6683794490384628</v>
      </c>
      <c r="P1760" s="2">
        <v>72.552389000000005</v>
      </c>
      <c r="Q1760" s="2">
        <v>23.035613999999999</v>
      </c>
    </row>
    <row r="1761" spans="1:17" x14ac:dyDescent="0.25">
      <c r="A1761" s="2">
        <v>1939</v>
      </c>
      <c r="B1761" s="2" t="s">
        <v>50</v>
      </c>
      <c r="C1761" s="2">
        <v>2</v>
      </c>
      <c r="D1761" s="2">
        <f t="shared" si="270"/>
        <v>5.08</v>
      </c>
      <c r="E1761" s="2">
        <f t="shared" si="271"/>
        <v>1.6170142218136567</v>
      </c>
      <c r="F1761" s="2">
        <f t="shared" si="272"/>
        <v>0.63661977236758138</v>
      </c>
      <c r="G1761" s="2">
        <v>15.013298000000001</v>
      </c>
      <c r="H1761" s="2">
        <f t="shared" si="273"/>
        <v>49.256228610320001</v>
      </c>
      <c r="I1761" s="2">
        <f>INDEX('Wood Density Lookup'!$B$2:$B$152,MATCH(B1761,'Wood Density Lookup'!$A$2:$A$152,0))</f>
        <v>0.5</v>
      </c>
      <c r="J1761" s="2">
        <f t="shared" si="274"/>
        <v>1.2298719083206204</v>
      </c>
      <c r="K1761" s="2">
        <f t="shared" si="278"/>
        <v>0.34436413432977375</v>
      </c>
      <c r="L1761" s="2">
        <f t="shared" si="279"/>
        <v>1.5742360426503943</v>
      </c>
      <c r="M1761" s="2">
        <f t="shared" si="275"/>
        <v>1.1413211309215359</v>
      </c>
      <c r="N1761" s="2">
        <f t="shared" si="276"/>
        <v>0.57066056546076793</v>
      </c>
      <c r="O1761" s="2">
        <f t="shared" si="277"/>
        <v>2.0943242752410183</v>
      </c>
      <c r="P1761" s="2">
        <v>72.552389000000005</v>
      </c>
      <c r="Q1761" s="2">
        <v>23.036577999999999</v>
      </c>
    </row>
    <row r="1762" spans="1:17" x14ac:dyDescent="0.25">
      <c r="A1762" s="2">
        <v>1940</v>
      </c>
      <c r="B1762" s="2" t="s">
        <v>15</v>
      </c>
      <c r="C1762" s="2">
        <v>16</v>
      </c>
      <c r="D1762" s="2">
        <f t="shared" si="270"/>
        <v>40.64</v>
      </c>
      <c r="E1762" s="2">
        <f t="shared" si="271"/>
        <v>12.936113774509254</v>
      </c>
      <c r="F1762" s="2">
        <f t="shared" si="272"/>
        <v>5.0929581789406511</v>
      </c>
      <c r="G1762" s="2">
        <v>9.0668780000000009</v>
      </c>
      <c r="H1762" s="2">
        <f t="shared" si="273"/>
        <v>29.746976017520002</v>
      </c>
      <c r="I1762" s="2">
        <f>INDEX('Wood Density Lookup'!$B$2:$B$152,MATCH(B1762,'Wood Density Lookup'!$A$2:$A$152,0))</f>
        <v>0.75</v>
      </c>
      <c r="J1762" s="2">
        <f t="shared" si="274"/>
        <v>64.683678870263435</v>
      </c>
      <c r="K1762" s="2">
        <f t="shared" si="278"/>
        <v>18.111430083673763</v>
      </c>
      <c r="L1762" s="2">
        <f t="shared" si="279"/>
        <v>82.795108953937202</v>
      </c>
      <c r="M1762" s="2">
        <f t="shared" si="275"/>
        <v>60.02645399160447</v>
      </c>
      <c r="N1762" s="2">
        <f t="shared" si="276"/>
        <v>30.013226995802235</v>
      </c>
      <c r="O1762" s="2">
        <f t="shared" si="277"/>
        <v>110.1485430745942</v>
      </c>
      <c r="P1762" s="2">
        <v>72.552391</v>
      </c>
      <c r="Q1762" s="2">
        <v>23.036352999999998</v>
      </c>
    </row>
    <row r="1763" spans="1:17" x14ac:dyDescent="0.25">
      <c r="A1763" s="2">
        <v>1941</v>
      </c>
      <c r="B1763" s="2" t="s">
        <v>10</v>
      </c>
      <c r="C1763" s="2">
        <v>19</v>
      </c>
      <c r="D1763" s="2">
        <f t="shared" si="270"/>
        <v>48.26</v>
      </c>
      <c r="E1763" s="2">
        <f t="shared" si="271"/>
        <v>15.361635107229738</v>
      </c>
      <c r="F1763" s="2">
        <f t="shared" si="272"/>
        <v>6.0478878374920226</v>
      </c>
      <c r="G1763" s="2">
        <v>13.965992</v>
      </c>
      <c r="H1763" s="2">
        <f t="shared" si="273"/>
        <v>45.820185193279997</v>
      </c>
      <c r="I1763" s="2">
        <f>INDEX('Wood Density Lookup'!$B$2:$B$152,MATCH(B1763,'Wood Density Lookup'!$A$2:$A$152,0))</f>
        <v>0.65</v>
      </c>
      <c r="J1763" s="2">
        <f t="shared" si="274"/>
        <v>119.93182950898009</v>
      </c>
      <c r="K1763" s="2">
        <f t="shared" si="278"/>
        <v>33.580912262514424</v>
      </c>
      <c r="L1763" s="2">
        <f t="shared" si="279"/>
        <v>153.51274177149452</v>
      </c>
      <c r="M1763" s="2">
        <f t="shared" si="275"/>
        <v>111.29673778433352</v>
      </c>
      <c r="N1763" s="2">
        <f t="shared" si="276"/>
        <v>55.648368892166758</v>
      </c>
      <c r="O1763" s="2">
        <f t="shared" si="277"/>
        <v>204.229513834252</v>
      </c>
      <c r="P1763" s="2">
        <v>72.552391</v>
      </c>
      <c r="Q1763" s="2">
        <v>23.035187000000001</v>
      </c>
    </row>
    <row r="1764" spans="1:17" x14ac:dyDescent="0.25">
      <c r="A1764" s="2">
        <v>1942</v>
      </c>
      <c r="B1764" s="2" t="s">
        <v>50</v>
      </c>
      <c r="C1764" s="2">
        <v>1</v>
      </c>
      <c r="D1764" s="2">
        <f t="shared" si="270"/>
        <v>2.54</v>
      </c>
      <c r="E1764" s="2">
        <f t="shared" si="271"/>
        <v>0.80850711090682836</v>
      </c>
      <c r="F1764" s="2">
        <f t="shared" si="272"/>
        <v>0.31830988618379069</v>
      </c>
      <c r="G1764" s="2">
        <v>13.83196</v>
      </c>
      <c r="H1764" s="2">
        <f t="shared" si="273"/>
        <v>45.3804476464</v>
      </c>
      <c r="I1764" s="2">
        <f>INDEX('Wood Density Lookup'!$B$2:$B$152,MATCH(B1764,'Wood Density Lookup'!$A$2:$A$152,0))</f>
        <v>0.5</v>
      </c>
      <c r="J1764" s="2">
        <f t="shared" si="274"/>
        <v>0.29343449521246218</v>
      </c>
      <c r="K1764" s="2">
        <f t="shared" si="278"/>
        <v>8.216165865948942E-2</v>
      </c>
      <c r="L1764" s="2">
        <f t="shared" si="279"/>
        <v>0.37559615387195161</v>
      </c>
      <c r="M1764" s="2">
        <f t="shared" si="275"/>
        <v>0.27230721155716492</v>
      </c>
      <c r="N1764" s="2">
        <f t="shared" si="276"/>
        <v>0.13615360577858246</v>
      </c>
      <c r="O1764" s="2">
        <f t="shared" si="277"/>
        <v>0.49968373320739762</v>
      </c>
      <c r="P1764" s="2">
        <v>72.552391999999998</v>
      </c>
      <c r="Q1764" s="2">
        <v>23.036552</v>
      </c>
    </row>
    <row r="1765" spans="1:17" x14ac:dyDescent="0.25">
      <c r="A1765" s="2">
        <v>1943</v>
      </c>
      <c r="B1765" s="2" t="s">
        <v>148</v>
      </c>
      <c r="C1765" s="2">
        <v>2</v>
      </c>
      <c r="D1765" s="2">
        <f t="shared" si="270"/>
        <v>5.08</v>
      </c>
      <c r="E1765" s="2">
        <f t="shared" si="271"/>
        <v>1.6170142218136567</v>
      </c>
      <c r="F1765" s="2">
        <f t="shared" si="272"/>
        <v>0.63661977236758138</v>
      </c>
      <c r="G1765" s="2">
        <v>4.3944739999999998</v>
      </c>
      <c r="H1765" s="2">
        <f t="shared" si="273"/>
        <v>14.417566078159998</v>
      </c>
      <c r="I1765" s="2">
        <f>INDEX('Wood Density Lookup'!$B$2:$B$152,MATCH(B1765,'Wood Density Lookup'!$A$2:$A$152,0))</f>
        <v>0.5</v>
      </c>
      <c r="J1765" s="2">
        <f t="shared" si="274"/>
        <v>0.37076295688250349</v>
      </c>
      <c r="K1765" s="2">
        <f t="shared" si="278"/>
        <v>0.10381362792710098</v>
      </c>
      <c r="L1765" s="2">
        <f t="shared" si="279"/>
        <v>0.47457658480960446</v>
      </c>
      <c r="M1765" s="2">
        <f t="shared" si="275"/>
        <v>0.34406802398696323</v>
      </c>
      <c r="N1765" s="2">
        <f t="shared" si="276"/>
        <v>0.17203401199348162</v>
      </c>
      <c r="O1765" s="2">
        <f t="shared" si="277"/>
        <v>0.63136482401607752</v>
      </c>
      <c r="P1765" s="2">
        <v>72.552392999999995</v>
      </c>
      <c r="Q1765" s="2">
        <v>23.035599000000001</v>
      </c>
    </row>
    <row r="1766" spans="1:17" x14ac:dyDescent="0.25">
      <c r="A1766" s="2">
        <v>1944</v>
      </c>
      <c r="B1766" s="2" t="s">
        <v>50</v>
      </c>
      <c r="C1766" s="2">
        <v>2</v>
      </c>
      <c r="D1766" s="2">
        <f t="shared" si="270"/>
        <v>5.08</v>
      </c>
      <c r="E1766" s="2">
        <f t="shared" si="271"/>
        <v>1.6170142218136567</v>
      </c>
      <c r="F1766" s="2">
        <f t="shared" si="272"/>
        <v>0.63661977236758138</v>
      </c>
      <c r="G1766" s="2">
        <v>13.749224</v>
      </c>
      <c r="H1766" s="2">
        <f t="shared" si="273"/>
        <v>45.109004068159997</v>
      </c>
      <c r="I1766" s="2">
        <f>INDEX('Wood Density Lookup'!$B$2:$B$152,MATCH(B1766,'Wood Density Lookup'!$A$2:$A$152,0))</f>
        <v>0.5</v>
      </c>
      <c r="J1766" s="2">
        <f t="shared" si="274"/>
        <v>1.1287004918848675</v>
      </c>
      <c r="K1766" s="2">
        <f t="shared" si="278"/>
        <v>0.31603613772776296</v>
      </c>
      <c r="L1766" s="2">
        <f t="shared" si="279"/>
        <v>1.4447366296126305</v>
      </c>
      <c r="M1766" s="2">
        <f t="shared" si="275"/>
        <v>1.0474340564691571</v>
      </c>
      <c r="N1766" s="2">
        <f t="shared" si="276"/>
        <v>0.52371702823457855</v>
      </c>
      <c r="O1766" s="2">
        <f t="shared" si="277"/>
        <v>1.9220414936209032</v>
      </c>
      <c r="P1766" s="2">
        <v>72.552392999999995</v>
      </c>
      <c r="Q1766" s="2">
        <v>23.036521</v>
      </c>
    </row>
    <row r="1767" spans="1:17" x14ac:dyDescent="0.25">
      <c r="A1767" s="2">
        <v>1945</v>
      </c>
      <c r="B1767" s="2" t="s">
        <v>148</v>
      </c>
      <c r="C1767" s="2">
        <v>1</v>
      </c>
      <c r="D1767" s="2">
        <f t="shared" si="270"/>
        <v>2.54</v>
      </c>
      <c r="E1767" s="2">
        <f t="shared" si="271"/>
        <v>0.80850711090682836</v>
      </c>
      <c r="F1767" s="2">
        <f t="shared" si="272"/>
        <v>0.31830988618379069</v>
      </c>
      <c r="G1767" s="2">
        <v>4.64656</v>
      </c>
      <c r="H1767" s="2">
        <f t="shared" si="273"/>
        <v>15.244619910400001</v>
      </c>
      <c r="I1767" s="2">
        <f>INDEX('Wood Density Lookup'!$B$2:$B$152,MATCH(B1767,'Wood Density Lookup'!$A$2:$A$152,0))</f>
        <v>0.5</v>
      </c>
      <c r="J1767" s="2">
        <f t="shared" si="274"/>
        <v>0.10118800745615836</v>
      </c>
      <c r="K1767" s="2">
        <f t="shared" si="278"/>
        <v>2.8332642087724343E-2</v>
      </c>
      <c r="L1767" s="2">
        <f t="shared" si="279"/>
        <v>0.1295206495438827</v>
      </c>
      <c r="M1767" s="2">
        <f t="shared" si="275"/>
        <v>9.3902470919314959E-2</v>
      </c>
      <c r="N1767" s="2">
        <f t="shared" si="276"/>
        <v>4.695123545965748E-2</v>
      </c>
      <c r="O1767" s="2">
        <f t="shared" si="277"/>
        <v>0.17231103413694296</v>
      </c>
      <c r="P1767" s="2">
        <v>72.552395000000004</v>
      </c>
      <c r="Q1767" s="2">
        <v>23.035561999999999</v>
      </c>
    </row>
    <row r="1768" spans="1:17" x14ac:dyDescent="0.25">
      <c r="A1768" s="2">
        <v>1946</v>
      </c>
      <c r="B1768" s="2" t="s">
        <v>148</v>
      </c>
      <c r="C1768" s="2">
        <v>2</v>
      </c>
      <c r="D1768" s="2">
        <f t="shared" si="270"/>
        <v>5.08</v>
      </c>
      <c r="E1768" s="2">
        <f t="shared" si="271"/>
        <v>1.6170142218136567</v>
      </c>
      <c r="F1768" s="2">
        <f t="shared" si="272"/>
        <v>0.63661977236758138</v>
      </c>
      <c r="G1768" s="2">
        <v>4.8283659999999999</v>
      </c>
      <c r="H1768" s="2">
        <f t="shared" si="273"/>
        <v>15.841096307439999</v>
      </c>
      <c r="I1768" s="2">
        <f>INDEX('Wood Density Lookup'!$B$2:$B$152,MATCH(B1768,'Wood Density Lookup'!$A$2:$A$152,0))</f>
        <v>0.5</v>
      </c>
      <c r="J1768" s="2">
        <f t="shared" si="274"/>
        <v>0.40645098654977913</v>
      </c>
      <c r="K1768" s="2">
        <f t="shared" si="278"/>
        <v>0.11380627623393817</v>
      </c>
      <c r="L1768" s="2">
        <f t="shared" si="279"/>
        <v>0.52025726278371731</v>
      </c>
      <c r="M1768" s="2">
        <f t="shared" si="275"/>
        <v>0.37718651551819504</v>
      </c>
      <c r="N1768" s="2">
        <f t="shared" si="276"/>
        <v>0.18859325775909752</v>
      </c>
      <c r="O1768" s="2">
        <f t="shared" si="277"/>
        <v>0.69213725597588793</v>
      </c>
      <c r="P1768" s="2">
        <v>72.552395000000004</v>
      </c>
      <c r="Q1768" s="2">
        <v>23.035582999999999</v>
      </c>
    </row>
    <row r="1769" spans="1:17" x14ac:dyDescent="0.25">
      <c r="A1769" s="2">
        <v>1947</v>
      </c>
      <c r="B1769" s="2" t="s">
        <v>62</v>
      </c>
      <c r="C1769" s="2">
        <v>7</v>
      </c>
      <c r="D1769" s="2">
        <f t="shared" si="270"/>
        <v>17.78</v>
      </c>
      <c r="E1769" s="2">
        <f t="shared" si="271"/>
        <v>5.6595497763477987</v>
      </c>
      <c r="F1769" s="2">
        <f t="shared" si="272"/>
        <v>2.228169203286535</v>
      </c>
      <c r="G1769" s="2">
        <v>6.2021689999999996</v>
      </c>
      <c r="H1769" s="2">
        <f t="shared" si="273"/>
        <v>20.348324141959999</v>
      </c>
      <c r="I1769" s="2">
        <f>INDEX('Wood Density Lookup'!$B$2:$B$152,MATCH(B1769,'Wood Density Lookup'!$A$2:$A$152,0))</f>
        <v>0.47</v>
      </c>
      <c r="J1769" s="2">
        <f t="shared" si="274"/>
        <v>5.6355377161271862</v>
      </c>
      <c r="K1769" s="2">
        <f t="shared" si="278"/>
        <v>1.5779505605156123</v>
      </c>
      <c r="L1769" s="2">
        <f t="shared" si="279"/>
        <v>7.2134882766427983</v>
      </c>
      <c r="M1769" s="2">
        <f t="shared" si="275"/>
        <v>5.2297790005660287</v>
      </c>
      <c r="N1769" s="2">
        <f t="shared" si="276"/>
        <v>2.6148895002830144</v>
      </c>
      <c r="O1769" s="2">
        <f t="shared" si="277"/>
        <v>9.5966444660386632</v>
      </c>
      <c r="P1769" s="2">
        <v>72.552396000000002</v>
      </c>
      <c r="Q1769" s="2">
        <v>23.038125999999998</v>
      </c>
    </row>
    <row r="1770" spans="1:17" x14ac:dyDescent="0.25">
      <c r="A1770" s="2">
        <v>1948</v>
      </c>
      <c r="B1770" s="2" t="s">
        <v>50</v>
      </c>
      <c r="C1770" s="2">
        <v>2</v>
      </c>
      <c r="D1770" s="2">
        <f t="shared" si="270"/>
        <v>5.08</v>
      </c>
      <c r="E1770" s="2">
        <f t="shared" si="271"/>
        <v>1.6170142218136567</v>
      </c>
      <c r="F1770" s="2">
        <f t="shared" si="272"/>
        <v>0.63661977236758138</v>
      </c>
      <c r="G1770" s="2">
        <v>11.142904</v>
      </c>
      <c r="H1770" s="2">
        <f t="shared" si="273"/>
        <v>36.558085159359997</v>
      </c>
      <c r="I1770" s="2">
        <f>INDEX('Wood Density Lookup'!$B$2:$B$152,MATCH(B1770,'Wood Density Lookup'!$A$2:$A$152,0))</f>
        <v>0.5</v>
      </c>
      <c r="J1770" s="2">
        <f t="shared" si="274"/>
        <v>0.91936852402110281</v>
      </c>
      <c r="K1770" s="2">
        <f t="shared" si="278"/>
        <v>0.2574231867259088</v>
      </c>
      <c r="L1770" s="2">
        <f t="shared" si="279"/>
        <v>1.1767917107470116</v>
      </c>
      <c r="M1770" s="2">
        <f t="shared" si="275"/>
        <v>0.85317399029158336</v>
      </c>
      <c r="N1770" s="2">
        <f t="shared" si="276"/>
        <v>0.42658699514579168</v>
      </c>
      <c r="O1770" s="2">
        <f t="shared" si="277"/>
        <v>1.5655742721850554</v>
      </c>
      <c r="P1770" s="2">
        <v>72.552396000000002</v>
      </c>
      <c r="Q1770" s="2">
        <v>23.0365</v>
      </c>
    </row>
    <row r="1771" spans="1:17" x14ac:dyDescent="0.25">
      <c r="A1771" s="2">
        <v>1949</v>
      </c>
      <c r="B1771" s="2" t="s">
        <v>143</v>
      </c>
      <c r="C1771" s="2">
        <v>3</v>
      </c>
      <c r="D1771" s="2">
        <f t="shared" si="270"/>
        <v>7.62</v>
      </c>
      <c r="E1771" s="2">
        <f t="shared" si="271"/>
        <v>2.4255213327204852</v>
      </c>
      <c r="F1771" s="2">
        <f t="shared" si="272"/>
        <v>0.95492965855137202</v>
      </c>
      <c r="G1771" s="2">
        <v>3.7714699999999999</v>
      </c>
      <c r="H1771" s="2">
        <f t="shared" si="273"/>
        <v>12.3735896348</v>
      </c>
      <c r="I1771" s="2">
        <f>INDEX('Wood Density Lookup'!$B$2:$B$152,MATCH(B1771,'Wood Density Lookup'!$A$2:$A$152,0))</f>
        <v>0.75</v>
      </c>
      <c r="J1771" s="2">
        <f t="shared" si="274"/>
        <v>1.046860495628227</v>
      </c>
      <c r="K1771" s="2">
        <f t="shared" si="278"/>
        <v>0.29312093877590362</v>
      </c>
      <c r="L1771" s="2">
        <f t="shared" si="279"/>
        <v>1.3399814344041308</v>
      </c>
      <c r="M1771" s="2">
        <f t="shared" si="275"/>
        <v>0.97148653994299472</v>
      </c>
      <c r="N1771" s="2">
        <f t="shared" si="276"/>
        <v>0.48574326997149736</v>
      </c>
      <c r="O1771" s="2">
        <f t="shared" si="277"/>
        <v>1.7826778007953952</v>
      </c>
      <c r="P1771" s="2">
        <v>72.552396000000002</v>
      </c>
      <c r="Q1771" s="2">
        <v>23.037806</v>
      </c>
    </row>
    <row r="1772" spans="1:17" x14ac:dyDescent="0.25">
      <c r="A1772" s="2">
        <v>1950</v>
      </c>
      <c r="B1772" s="2" t="s">
        <v>148</v>
      </c>
      <c r="C1772" s="2">
        <v>3</v>
      </c>
      <c r="D1772" s="2">
        <f t="shared" si="270"/>
        <v>7.62</v>
      </c>
      <c r="E1772" s="2">
        <f t="shared" si="271"/>
        <v>2.4255213327204852</v>
      </c>
      <c r="F1772" s="2">
        <f t="shared" si="272"/>
        <v>0.95492965855137202</v>
      </c>
      <c r="G1772" s="2">
        <v>4.6743129999999997</v>
      </c>
      <c r="H1772" s="2">
        <f t="shared" si="273"/>
        <v>15.33567306292</v>
      </c>
      <c r="I1772" s="2">
        <f>INDEX('Wood Density Lookup'!$B$2:$B$152,MATCH(B1772,'Wood Density Lookup'!$A$2:$A$152,0))</f>
        <v>0.5</v>
      </c>
      <c r="J1772" s="2">
        <f t="shared" si="274"/>
        <v>0.86894823251908926</v>
      </c>
      <c r="K1772" s="2">
        <f t="shared" si="278"/>
        <v>0.24330550510534502</v>
      </c>
      <c r="L1772" s="2">
        <f t="shared" si="279"/>
        <v>1.1122537376244344</v>
      </c>
      <c r="M1772" s="2">
        <f t="shared" si="275"/>
        <v>0.80638395977771493</v>
      </c>
      <c r="N1772" s="2">
        <f t="shared" si="276"/>
        <v>0.40319197988885747</v>
      </c>
      <c r="O1772" s="2">
        <f t="shared" si="277"/>
        <v>1.479714566192107</v>
      </c>
      <c r="P1772" s="2">
        <v>72.552396999999999</v>
      </c>
      <c r="Q1772" s="2">
        <v>23.035547999999999</v>
      </c>
    </row>
    <row r="1773" spans="1:17" x14ac:dyDescent="0.25">
      <c r="A1773" s="2">
        <v>1951</v>
      </c>
      <c r="B1773" s="2" t="s">
        <v>148</v>
      </c>
      <c r="C1773" s="2">
        <v>1</v>
      </c>
      <c r="D1773" s="2">
        <f t="shared" si="270"/>
        <v>2.54</v>
      </c>
      <c r="E1773" s="2">
        <f t="shared" si="271"/>
        <v>0.80850711090682836</v>
      </c>
      <c r="F1773" s="2">
        <f t="shared" si="272"/>
        <v>0.31830988618379069</v>
      </c>
      <c r="G1773" s="2">
        <v>4.5052919999999999</v>
      </c>
      <c r="H1773" s="2">
        <f t="shared" si="273"/>
        <v>14.78114220528</v>
      </c>
      <c r="I1773" s="2">
        <f>INDEX('Wood Density Lookup'!$B$2:$B$152,MATCH(B1773,'Wood Density Lookup'!$A$2:$A$152,0))</f>
        <v>0.5</v>
      </c>
      <c r="J1773" s="2">
        <f t="shared" si="274"/>
        <v>9.8184344529475318E-2</v>
      </c>
      <c r="K1773" s="2">
        <f t="shared" si="278"/>
        <v>2.7491616468253093E-2</v>
      </c>
      <c r="L1773" s="2">
        <f t="shared" si="279"/>
        <v>0.1256759609977284</v>
      </c>
      <c r="M1773" s="2">
        <f t="shared" si="275"/>
        <v>9.1115071723353092E-2</v>
      </c>
      <c r="N1773" s="2">
        <f t="shared" si="276"/>
        <v>4.5557535861676546E-2</v>
      </c>
      <c r="O1773" s="2">
        <f t="shared" si="277"/>
        <v>0.16719615661235293</v>
      </c>
      <c r="P1773" s="2">
        <v>72.552396999999999</v>
      </c>
      <c r="Q1773" s="2">
        <v>23.035536</v>
      </c>
    </row>
    <row r="1774" spans="1:17" x14ac:dyDescent="0.25">
      <c r="A1774" s="2">
        <v>1952</v>
      </c>
      <c r="B1774" s="2" t="s">
        <v>50</v>
      </c>
      <c r="C1774" s="2">
        <v>1</v>
      </c>
      <c r="D1774" s="2">
        <f t="shared" si="270"/>
        <v>2.54</v>
      </c>
      <c r="E1774" s="2">
        <f t="shared" si="271"/>
        <v>0.80850711090682836</v>
      </c>
      <c r="F1774" s="2">
        <f t="shared" si="272"/>
        <v>0.31830988618379069</v>
      </c>
      <c r="G1774" s="2">
        <v>8.5897199999999998</v>
      </c>
      <c r="H1774" s="2">
        <f t="shared" si="273"/>
        <v>28.181496964800001</v>
      </c>
      <c r="I1774" s="2">
        <f>INDEX('Wood Density Lookup'!$B$2:$B$152,MATCH(B1774,'Wood Density Lookup'!$A$2:$A$152,0))</f>
        <v>0.5</v>
      </c>
      <c r="J1774" s="2">
        <f t="shared" si="274"/>
        <v>0.18431987318546711</v>
      </c>
      <c r="K1774" s="2">
        <f t="shared" si="278"/>
        <v>5.1609564491930798E-2</v>
      </c>
      <c r="L1774" s="2">
        <f t="shared" si="279"/>
        <v>0.23592943767739791</v>
      </c>
      <c r="M1774" s="2">
        <f t="shared" si="275"/>
        <v>0.17104884231611348</v>
      </c>
      <c r="N1774" s="2">
        <f t="shared" si="276"/>
        <v>8.5524421158056738E-2</v>
      </c>
      <c r="O1774" s="2">
        <f t="shared" si="277"/>
        <v>0.31387462565006824</v>
      </c>
      <c r="P1774" s="2">
        <v>72.552396999999999</v>
      </c>
      <c r="Q1774" s="2">
        <v>23.036472</v>
      </c>
    </row>
    <row r="1775" spans="1:17" x14ac:dyDescent="0.25">
      <c r="A1775" s="2">
        <v>1953</v>
      </c>
      <c r="B1775" s="2" t="s">
        <v>15</v>
      </c>
      <c r="C1775" s="2">
        <v>12</v>
      </c>
      <c r="D1775" s="2">
        <f t="shared" si="270"/>
        <v>30.48</v>
      </c>
      <c r="E1775" s="2">
        <f t="shared" si="271"/>
        <v>9.7020853308819408</v>
      </c>
      <c r="F1775" s="2">
        <f t="shared" si="272"/>
        <v>3.8197186342054881</v>
      </c>
      <c r="G1775" s="2">
        <v>7.8061350000000003</v>
      </c>
      <c r="H1775" s="2">
        <f t="shared" si="273"/>
        <v>25.610679953400002</v>
      </c>
      <c r="I1775" s="2">
        <f>INDEX('Wood Density Lookup'!$B$2:$B$152,MATCH(B1775,'Wood Density Lookup'!$A$2:$A$152,0))</f>
        <v>0.75</v>
      </c>
      <c r="J1775" s="2">
        <f t="shared" si="274"/>
        <v>31.875213714382195</v>
      </c>
      <c r="K1775" s="2">
        <f t="shared" si="278"/>
        <v>8.925059840027016</v>
      </c>
      <c r="L1775" s="2">
        <f t="shared" si="279"/>
        <v>40.800273554409209</v>
      </c>
      <c r="M1775" s="2">
        <f t="shared" si="275"/>
        <v>29.580198326946675</v>
      </c>
      <c r="N1775" s="2">
        <f t="shared" si="276"/>
        <v>14.790099163473338</v>
      </c>
      <c r="O1775" s="2">
        <f t="shared" si="277"/>
        <v>54.279663929947148</v>
      </c>
      <c r="P1775" s="2">
        <v>72.552397999999997</v>
      </c>
      <c r="Q1775" s="2">
        <v>23.036234</v>
      </c>
    </row>
    <row r="1776" spans="1:17" x14ac:dyDescent="0.25">
      <c r="A1776" s="2">
        <v>1954</v>
      </c>
      <c r="B1776" s="2" t="s">
        <v>31</v>
      </c>
      <c r="C1776" s="2">
        <v>9</v>
      </c>
      <c r="D1776" s="2">
        <f t="shared" si="270"/>
        <v>22.86</v>
      </c>
      <c r="E1776" s="2">
        <f t="shared" si="271"/>
        <v>7.2765639981614552</v>
      </c>
      <c r="F1776" s="2">
        <f t="shared" si="272"/>
        <v>2.8647889756541161</v>
      </c>
      <c r="G1776" s="2">
        <v>6.5141210000000003</v>
      </c>
      <c r="H1776" s="2">
        <f t="shared" si="273"/>
        <v>21.37178874164</v>
      </c>
      <c r="I1776" s="2">
        <f>INDEX('Wood Density Lookup'!$B$2:$B$152,MATCH(B1776,'Wood Density Lookup'!$A$2:$A$152,0))</f>
        <v>0.78</v>
      </c>
      <c r="J1776" s="2">
        <f t="shared" si="274"/>
        <v>15.83080210017804</v>
      </c>
      <c r="K1776" s="2">
        <f t="shared" si="278"/>
        <v>4.432624588049852</v>
      </c>
      <c r="L1776" s="2">
        <f t="shared" si="279"/>
        <v>20.263426688227892</v>
      </c>
      <c r="M1776" s="2">
        <f t="shared" si="275"/>
        <v>14.690984348965221</v>
      </c>
      <c r="N1776" s="2">
        <f t="shared" si="276"/>
        <v>7.3454921744826107</v>
      </c>
      <c r="O1776" s="2">
        <f t="shared" si="277"/>
        <v>26.95795628035118</v>
      </c>
      <c r="P1776" s="2">
        <v>72.552397999999997</v>
      </c>
      <c r="Q1776" s="2">
        <v>23.035035000000001</v>
      </c>
    </row>
    <row r="1777" spans="1:17" x14ac:dyDescent="0.25">
      <c r="A1777" s="2">
        <v>1955</v>
      </c>
      <c r="B1777" s="2" t="s">
        <v>55</v>
      </c>
      <c r="C1777" s="2">
        <v>78</v>
      </c>
      <c r="D1777" s="2">
        <f t="shared" si="270"/>
        <v>198.12</v>
      </c>
      <c r="E1777" s="2">
        <f t="shared" si="271"/>
        <v>63.063554650732613</v>
      </c>
      <c r="F1777" s="2">
        <f t="shared" si="272"/>
        <v>24.828171122335672</v>
      </c>
      <c r="G1777" s="2">
        <v>9.2726190000000006</v>
      </c>
      <c r="H1777" s="2">
        <f t="shared" si="273"/>
        <v>30.421979319960002</v>
      </c>
      <c r="I1777" s="2">
        <f>INDEX('Wood Density Lookup'!$B$2:$B$152,MATCH(B1777,'Wood Density Lookup'!$A$2:$A$152,0))</f>
        <v>0.75</v>
      </c>
      <c r="J1777" s="2">
        <f t="shared" si="274"/>
        <v>1456.2366018997518</v>
      </c>
      <c r="K1777" s="2">
        <f t="shared" si="278"/>
        <v>407.74624853193052</v>
      </c>
      <c r="L1777" s="2">
        <f t="shared" si="279"/>
        <v>1863.9828504316824</v>
      </c>
      <c r="M1777" s="2">
        <f t="shared" si="275"/>
        <v>1351.3875665629698</v>
      </c>
      <c r="N1777" s="2">
        <f t="shared" si="276"/>
        <v>675.69378328148491</v>
      </c>
      <c r="O1777" s="2">
        <f t="shared" si="277"/>
        <v>2479.7961846430494</v>
      </c>
      <c r="P1777" s="2">
        <v>72.552400000000006</v>
      </c>
      <c r="Q1777" s="2">
        <v>23.034873000000001</v>
      </c>
    </row>
    <row r="1778" spans="1:17" x14ac:dyDescent="0.25">
      <c r="A1778" s="2">
        <v>1956</v>
      </c>
      <c r="B1778" s="2" t="s">
        <v>148</v>
      </c>
      <c r="C1778" s="2">
        <v>2</v>
      </c>
      <c r="D1778" s="2">
        <f t="shared" si="270"/>
        <v>5.08</v>
      </c>
      <c r="E1778" s="2">
        <f t="shared" si="271"/>
        <v>1.6170142218136567</v>
      </c>
      <c r="F1778" s="2">
        <f t="shared" si="272"/>
        <v>0.63661977236758138</v>
      </c>
      <c r="G1778" s="2">
        <v>4.2744460000000002</v>
      </c>
      <c r="H1778" s="2">
        <f t="shared" si="273"/>
        <v>14.023773414640001</v>
      </c>
      <c r="I1778" s="2">
        <f>INDEX('Wood Density Lookup'!$B$2:$B$152,MATCH(B1778,'Wood Density Lookup'!$A$2:$A$152,0))</f>
        <v>0.5</v>
      </c>
      <c r="J1778" s="2">
        <f t="shared" si="274"/>
        <v>0.36087593508427096</v>
      </c>
      <c r="K1778" s="2">
        <f t="shared" si="278"/>
        <v>0.10104526182359588</v>
      </c>
      <c r="L1778" s="2">
        <f t="shared" si="279"/>
        <v>0.46192119690786682</v>
      </c>
      <c r="M1778" s="2">
        <f t="shared" si="275"/>
        <v>0.33489286775820343</v>
      </c>
      <c r="N1778" s="2">
        <f t="shared" si="276"/>
        <v>0.16744643387910171</v>
      </c>
      <c r="O1778" s="2">
        <f t="shared" si="277"/>
        <v>0.61452841233630329</v>
      </c>
      <c r="P1778" s="2">
        <v>72.552402000000001</v>
      </c>
      <c r="Q1778" s="2">
        <v>23.035637000000001</v>
      </c>
    </row>
    <row r="1779" spans="1:17" x14ac:dyDescent="0.25">
      <c r="A1779" s="2">
        <v>1957</v>
      </c>
      <c r="B1779" s="2" t="s">
        <v>50</v>
      </c>
      <c r="C1779" s="2">
        <v>1</v>
      </c>
      <c r="D1779" s="2">
        <f t="shared" si="270"/>
        <v>2.54</v>
      </c>
      <c r="E1779" s="2">
        <f t="shared" si="271"/>
        <v>0.80850711090682836</v>
      </c>
      <c r="F1779" s="2">
        <f t="shared" si="272"/>
        <v>0.31830988618379069</v>
      </c>
      <c r="G1779" s="2">
        <v>2.0208680000000001</v>
      </c>
      <c r="H1779" s="2">
        <f t="shared" si="273"/>
        <v>6.6301445691200005</v>
      </c>
      <c r="I1779" s="2">
        <f>INDEX('Wood Density Lookup'!$B$2:$B$152,MATCH(B1779,'Wood Density Lookup'!$A$2:$A$152,0))</f>
        <v>0.5</v>
      </c>
      <c r="J1779" s="2">
        <f t="shared" si="274"/>
        <v>4.4896624267728856E-2</v>
      </c>
      <c r="K1779" s="2">
        <f t="shared" si="278"/>
        <v>1.2571054794964081E-2</v>
      </c>
      <c r="L1779" s="2">
        <f t="shared" si="279"/>
        <v>5.7467679062692935E-2</v>
      </c>
      <c r="M1779" s="2">
        <f t="shared" si="275"/>
        <v>4.1664067320452379E-2</v>
      </c>
      <c r="N1779" s="2">
        <f t="shared" si="276"/>
        <v>2.0832033660226189E-2</v>
      </c>
      <c r="O1779" s="2">
        <f t="shared" si="277"/>
        <v>7.6453563533030108E-2</v>
      </c>
      <c r="P1779" s="2">
        <v>72.552402000000001</v>
      </c>
      <c r="Q1779" s="2">
        <v>23.036446999999999</v>
      </c>
    </row>
    <row r="1780" spans="1:17" x14ac:dyDescent="0.25">
      <c r="A1780" s="2">
        <v>1958</v>
      </c>
      <c r="B1780" s="2" t="s">
        <v>31</v>
      </c>
      <c r="C1780" s="2">
        <v>23</v>
      </c>
      <c r="D1780" s="2">
        <f t="shared" si="270"/>
        <v>58.42</v>
      </c>
      <c r="E1780" s="2">
        <f t="shared" si="271"/>
        <v>18.595663550857051</v>
      </c>
      <c r="F1780" s="2">
        <f t="shared" si="272"/>
        <v>7.3211273822271856</v>
      </c>
      <c r="G1780" s="2">
        <v>12.38435</v>
      </c>
      <c r="H1780" s="2">
        <f t="shared" si="273"/>
        <v>40.631070854000001</v>
      </c>
      <c r="I1780" s="2">
        <f>INDEX('Wood Density Lookup'!$B$2:$B$152,MATCH(B1780,'Wood Density Lookup'!$A$2:$A$152,0))</f>
        <v>0.78</v>
      </c>
      <c r="J1780" s="2">
        <f t="shared" si="274"/>
        <v>185.02706326771536</v>
      </c>
      <c r="K1780" s="2">
        <f t="shared" si="278"/>
        <v>51.80757771496031</v>
      </c>
      <c r="L1780" s="2">
        <f t="shared" si="279"/>
        <v>236.83464098267567</v>
      </c>
      <c r="M1780" s="2">
        <f t="shared" si="275"/>
        <v>171.70511471243987</v>
      </c>
      <c r="N1780" s="2">
        <f t="shared" si="276"/>
        <v>85.852557356219933</v>
      </c>
      <c r="O1780" s="2">
        <f t="shared" si="277"/>
        <v>315.07888549732712</v>
      </c>
      <c r="P1780" s="2">
        <v>72.552402000000001</v>
      </c>
      <c r="Q1780" s="2">
        <v>23.035959999999999</v>
      </c>
    </row>
    <row r="1781" spans="1:17" x14ac:dyDescent="0.25">
      <c r="A1781" s="2">
        <v>1959</v>
      </c>
      <c r="B1781" s="2" t="s">
        <v>15</v>
      </c>
      <c r="C1781" s="2">
        <v>7</v>
      </c>
      <c r="D1781" s="2">
        <f t="shared" si="270"/>
        <v>17.78</v>
      </c>
      <c r="E1781" s="2">
        <f t="shared" si="271"/>
        <v>5.6595497763477987</v>
      </c>
      <c r="F1781" s="2">
        <f t="shared" si="272"/>
        <v>2.228169203286535</v>
      </c>
      <c r="G1781" s="2">
        <v>4.2395909999999999</v>
      </c>
      <c r="H1781" s="2">
        <f t="shared" si="273"/>
        <v>13.90941973644</v>
      </c>
      <c r="I1781" s="2">
        <f>INDEX('Wood Density Lookup'!$B$2:$B$152,MATCH(B1781,'Wood Density Lookup'!$A$2:$A$152,0))</f>
        <v>0.75</v>
      </c>
      <c r="J1781" s="2">
        <f t="shared" si="274"/>
        <v>6.1344168089346498</v>
      </c>
      <c r="K1781" s="2">
        <f t="shared" si="278"/>
        <v>1.7176367065017022</v>
      </c>
      <c r="L1781" s="2">
        <f t="shared" si="279"/>
        <v>7.852053515436352</v>
      </c>
      <c r="M1781" s="2">
        <f t="shared" si="275"/>
        <v>5.6927387986913551</v>
      </c>
      <c r="N1781" s="2">
        <f t="shared" si="276"/>
        <v>2.8463693993456776</v>
      </c>
      <c r="O1781" s="2">
        <f t="shared" si="277"/>
        <v>10.446175695598637</v>
      </c>
      <c r="P1781" s="2">
        <v>72.552402999999998</v>
      </c>
      <c r="Q1781" s="2">
        <v>23.03614</v>
      </c>
    </row>
    <row r="1782" spans="1:17" x14ac:dyDescent="0.25">
      <c r="A1782" s="2">
        <v>1960</v>
      </c>
      <c r="B1782" s="2" t="s">
        <v>50</v>
      </c>
      <c r="C1782" s="2">
        <v>2</v>
      </c>
      <c r="D1782" s="2">
        <f t="shared" si="270"/>
        <v>5.08</v>
      </c>
      <c r="E1782" s="2">
        <f t="shared" si="271"/>
        <v>1.6170142218136567</v>
      </c>
      <c r="F1782" s="2">
        <f t="shared" si="272"/>
        <v>0.63661977236758138</v>
      </c>
      <c r="G1782" s="2">
        <v>1.015209</v>
      </c>
      <c r="H1782" s="2">
        <f t="shared" si="273"/>
        <v>3.3307382955600002</v>
      </c>
      <c r="I1782" s="2">
        <f>INDEX('Wood Density Lookup'!$B$2:$B$152,MATCH(B1782,'Wood Density Lookup'!$A$2:$A$152,0))</f>
        <v>0.5</v>
      </c>
      <c r="J1782" s="2">
        <f t="shared" si="274"/>
        <v>8.8719141672965865E-2</v>
      </c>
      <c r="K1782" s="2">
        <f t="shared" si="278"/>
        <v>2.4841359668430443E-2</v>
      </c>
      <c r="L1782" s="2">
        <f t="shared" si="279"/>
        <v>0.11356050134139631</v>
      </c>
      <c r="M1782" s="2">
        <f t="shared" si="275"/>
        <v>8.2331363472512326E-2</v>
      </c>
      <c r="N1782" s="2">
        <f t="shared" si="276"/>
        <v>4.1165681736256163E-2</v>
      </c>
      <c r="O1782" s="2">
        <f t="shared" si="277"/>
        <v>0.15107805197206012</v>
      </c>
      <c r="P1782" s="2">
        <v>72.552403999999996</v>
      </c>
      <c r="Q1782" s="2">
        <v>23.036421000000001</v>
      </c>
    </row>
    <row r="1783" spans="1:17" x14ac:dyDescent="0.25">
      <c r="A1783" s="2">
        <v>1961</v>
      </c>
      <c r="B1783" s="2" t="s">
        <v>82</v>
      </c>
      <c r="C1783" s="2">
        <v>1</v>
      </c>
      <c r="D1783" s="2">
        <f t="shared" si="270"/>
        <v>2.54</v>
      </c>
      <c r="E1783" s="2">
        <f t="shared" si="271"/>
        <v>0.80850711090682836</v>
      </c>
      <c r="F1783" s="2">
        <f t="shared" si="272"/>
        <v>0.31830988618379069</v>
      </c>
      <c r="G1783" s="2">
        <v>7.8750039999999997</v>
      </c>
      <c r="H1783" s="2">
        <f t="shared" si="273"/>
        <v>25.836628123359997</v>
      </c>
      <c r="I1783" s="2">
        <f>INDEX('Wood Density Lookup'!$B$2:$B$152,MATCH(B1783,'Wood Density Lookup'!$A$2:$A$152,0))</f>
        <v>0.7</v>
      </c>
      <c r="J1783" s="2">
        <f t="shared" si="274"/>
        <v>0.23516375103188356</v>
      </c>
      <c r="K1783" s="2">
        <f t="shared" si="278"/>
        <v>6.5845850288927407E-2</v>
      </c>
      <c r="L1783" s="2">
        <f t="shared" si="279"/>
        <v>0.30100960132081095</v>
      </c>
      <c r="M1783" s="2">
        <f t="shared" si="275"/>
        <v>0.21823196095758793</v>
      </c>
      <c r="N1783" s="2">
        <f t="shared" si="276"/>
        <v>0.10911598047879396</v>
      </c>
      <c r="O1783" s="2">
        <f t="shared" si="277"/>
        <v>0.40045564835717384</v>
      </c>
      <c r="P1783" s="2">
        <v>72.552403999999996</v>
      </c>
      <c r="Q1783" s="2">
        <v>23.037915000000002</v>
      </c>
    </row>
    <row r="1784" spans="1:17" x14ac:dyDescent="0.25">
      <c r="A1784" s="2">
        <v>1962</v>
      </c>
      <c r="B1784" s="2" t="s">
        <v>9</v>
      </c>
      <c r="C1784" s="2">
        <v>18</v>
      </c>
      <c r="D1784" s="2">
        <f t="shared" si="270"/>
        <v>45.72</v>
      </c>
      <c r="E1784" s="2">
        <f t="shared" si="271"/>
        <v>14.55312799632291</v>
      </c>
      <c r="F1784" s="2">
        <f t="shared" si="272"/>
        <v>5.7295779513082321</v>
      </c>
      <c r="G1784" s="2">
        <v>2.0960000000000001</v>
      </c>
      <c r="H1784" s="2">
        <f t="shared" si="273"/>
        <v>6.8766406400000006</v>
      </c>
      <c r="I1784" s="2">
        <f>INDEX('Wood Density Lookup'!$B$2:$B$152,MATCH(B1784,'Wood Density Lookup'!$A$2:$A$152,0))</f>
        <v>0.42</v>
      </c>
      <c r="J1784" s="2">
        <f t="shared" si="274"/>
        <v>11.06815041663134</v>
      </c>
      <c r="K1784" s="2">
        <f t="shared" si="278"/>
        <v>3.0990821166567755</v>
      </c>
      <c r="L1784" s="2">
        <f t="shared" si="279"/>
        <v>14.167232533288116</v>
      </c>
      <c r="M1784" s="2">
        <f t="shared" si="275"/>
        <v>10.271243586633885</v>
      </c>
      <c r="N1784" s="2">
        <f t="shared" si="276"/>
        <v>5.1356217933169424</v>
      </c>
      <c r="O1784" s="2">
        <f t="shared" si="277"/>
        <v>18.847731981473178</v>
      </c>
      <c r="P1784" s="2">
        <v>72.552404999999993</v>
      </c>
      <c r="Q1784" s="2">
        <v>23.036169000000001</v>
      </c>
    </row>
    <row r="1785" spans="1:17" x14ac:dyDescent="0.25">
      <c r="A1785" s="2">
        <v>1963</v>
      </c>
      <c r="B1785" s="2" t="s">
        <v>50</v>
      </c>
      <c r="C1785" s="2">
        <v>3</v>
      </c>
      <c r="D1785" s="2">
        <f t="shared" si="270"/>
        <v>7.62</v>
      </c>
      <c r="E1785" s="2">
        <f t="shared" si="271"/>
        <v>2.4255213327204852</v>
      </c>
      <c r="F1785" s="2">
        <f t="shared" si="272"/>
        <v>0.95492965855137202</v>
      </c>
      <c r="G1785" s="2">
        <v>2.0572710000000001</v>
      </c>
      <c r="H1785" s="2">
        <f t="shared" si="273"/>
        <v>6.7495769876400002</v>
      </c>
      <c r="I1785" s="2">
        <f>INDEX('Wood Density Lookup'!$B$2:$B$152,MATCH(B1785,'Wood Density Lookup'!$A$2:$A$152,0))</f>
        <v>0.5</v>
      </c>
      <c r="J1785" s="2">
        <f t="shared" si="274"/>
        <v>0.39005140721813703</v>
      </c>
      <c r="K1785" s="2">
        <f t="shared" si="278"/>
        <v>0.10921439402107838</v>
      </c>
      <c r="L1785" s="2">
        <f t="shared" si="279"/>
        <v>0.49926580123921538</v>
      </c>
      <c r="M1785" s="2">
        <f t="shared" si="275"/>
        <v>0.36196770589843114</v>
      </c>
      <c r="N1785" s="2">
        <f t="shared" si="276"/>
        <v>0.18098385294921557</v>
      </c>
      <c r="O1785" s="2">
        <f t="shared" si="277"/>
        <v>0.66421074032362115</v>
      </c>
      <c r="P1785" s="2">
        <v>72.552406000000005</v>
      </c>
      <c r="Q1785" s="2">
        <v>23.036401000000001</v>
      </c>
    </row>
    <row r="1786" spans="1:17" x14ac:dyDescent="0.25">
      <c r="A1786" s="2">
        <v>1964</v>
      </c>
      <c r="B1786" s="2" t="s">
        <v>50</v>
      </c>
      <c r="C1786" s="2">
        <v>2</v>
      </c>
      <c r="D1786" s="2">
        <f t="shared" si="270"/>
        <v>5.08</v>
      </c>
      <c r="E1786" s="2">
        <f t="shared" si="271"/>
        <v>1.6170142218136567</v>
      </c>
      <c r="F1786" s="2">
        <f t="shared" si="272"/>
        <v>0.63661977236758138</v>
      </c>
      <c r="G1786" s="2">
        <v>1.0572710000000001</v>
      </c>
      <c r="H1786" s="2">
        <f t="shared" si="273"/>
        <v>3.4687369876400003</v>
      </c>
      <c r="I1786" s="2">
        <f>INDEX('Wood Density Lookup'!$B$2:$B$152,MATCH(B1786,'Wood Density Lookup'!$A$2:$A$152,0))</f>
        <v>0.5</v>
      </c>
      <c r="J1786" s="2">
        <f t="shared" si="274"/>
        <v>9.2304962822543496E-2</v>
      </c>
      <c r="K1786" s="2">
        <f t="shared" si="278"/>
        <v>2.5845389590312181E-2</v>
      </c>
      <c r="L1786" s="2">
        <f t="shared" si="279"/>
        <v>0.11815035241285568</v>
      </c>
      <c r="M1786" s="2">
        <f t="shared" si="275"/>
        <v>8.5659005499320359E-2</v>
      </c>
      <c r="N1786" s="2">
        <f t="shared" si="276"/>
        <v>4.282950274966018E-2</v>
      </c>
      <c r="O1786" s="2">
        <f t="shared" si="277"/>
        <v>0.15718427509125285</v>
      </c>
      <c r="P1786" s="2">
        <v>72.552406000000005</v>
      </c>
      <c r="Q1786" s="2">
        <v>23.036401000000001</v>
      </c>
    </row>
    <row r="1787" spans="1:17" x14ac:dyDescent="0.25">
      <c r="A1787" s="2">
        <v>1965</v>
      </c>
      <c r="B1787" s="2" t="s">
        <v>78</v>
      </c>
      <c r="C1787" s="2">
        <v>6</v>
      </c>
      <c r="D1787" s="2">
        <f t="shared" si="270"/>
        <v>15.24</v>
      </c>
      <c r="E1787" s="2">
        <f t="shared" si="271"/>
        <v>4.8510426654409704</v>
      </c>
      <c r="F1787" s="2">
        <f t="shared" si="272"/>
        <v>1.909859317102744</v>
      </c>
      <c r="G1787" s="2">
        <v>3.2565170000000001</v>
      </c>
      <c r="H1787" s="2">
        <f t="shared" si="273"/>
        <v>10.68411123428</v>
      </c>
      <c r="I1787" s="2">
        <f>INDEX('Wood Density Lookup'!$B$2:$B$152,MATCH(B1787,'Wood Density Lookup'!$A$2:$A$152,0))</f>
        <v>0.55000000000000004</v>
      </c>
      <c r="J1787" s="2">
        <f t="shared" si="274"/>
        <v>2.5930233198787849</v>
      </c>
      <c r="K1787" s="2">
        <f t="shared" si="278"/>
        <v>0.72604652956605986</v>
      </c>
      <c r="L1787" s="2">
        <f t="shared" si="279"/>
        <v>3.319069849444845</v>
      </c>
      <c r="M1787" s="2">
        <f t="shared" si="275"/>
        <v>2.4063256408475127</v>
      </c>
      <c r="N1787" s="2">
        <f t="shared" si="276"/>
        <v>1.2031628204237563</v>
      </c>
      <c r="O1787" s="2">
        <f t="shared" si="277"/>
        <v>4.415607550955186</v>
      </c>
      <c r="P1787" s="2">
        <v>72.552407000000002</v>
      </c>
      <c r="Q1787" s="2">
        <v>23.038160999999999</v>
      </c>
    </row>
    <row r="1788" spans="1:17" x14ac:dyDescent="0.25">
      <c r="A1788" s="2">
        <v>1966</v>
      </c>
      <c r="B1788" s="2" t="s">
        <v>31</v>
      </c>
      <c r="C1788" s="2">
        <v>17</v>
      </c>
      <c r="D1788" s="2">
        <f t="shared" si="270"/>
        <v>43.18</v>
      </c>
      <c r="E1788" s="2">
        <f t="shared" si="271"/>
        <v>13.744620885416081</v>
      </c>
      <c r="F1788" s="2">
        <f t="shared" si="272"/>
        <v>5.4112680651244416</v>
      </c>
      <c r="G1788" s="2">
        <v>8.0033530000000006</v>
      </c>
      <c r="H1788" s="2">
        <f t="shared" si="273"/>
        <v>26.25772065652</v>
      </c>
      <c r="I1788" s="2">
        <f>INDEX('Wood Density Lookup'!$B$2:$B$152,MATCH(B1788,'Wood Density Lookup'!$A$2:$A$152,0))</f>
        <v>0.78</v>
      </c>
      <c r="J1788" s="2">
        <f t="shared" si="274"/>
        <v>66.977356029870919</v>
      </c>
      <c r="K1788" s="2">
        <f t="shared" si="278"/>
        <v>18.753659688363857</v>
      </c>
      <c r="L1788" s="2">
        <f t="shared" si="279"/>
        <v>85.731015718234772</v>
      </c>
      <c r="M1788" s="2">
        <f t="shared" si="275"/>
        <v>62.154986395720208</v>
      </c>
      <c r="N1788" s="2">
        <f t="shared" si="276"/>
        <v>31.077493197860104</v>
      </c>
      <c r="O1788" s="2">
        <f t="shared" si="277"/>
        <v>114.05440003614657</v>
      </c>
      <c r="P1788" s="2">
        <v>72.552408999999997</v>
      </c>
      <c r="Q1788" s="2">
        <v>23.036383000000001</v>
      </c>
    </row>
    <row r="1789" spans="1:17" x14ac:dyDescent="0.25">
      <c r="A1789" s="2">
        <v>1967</v>
      </c>
      <c r="B1789" s="2" t="s">
        <v>37</v>
      </c>
      <c r="C1789" s="2">
        <v>20</v>
      </c>
      <c r="D1789" s="2">
        <f t="shared" si="270"/>
        <v>50.8</v>
      </c>
      <c r="E1789" s="2">
        <f t="shared" si="271"/>
        <v>16.170142218136565</v>
      </c>
      <c r="F1789" s="2">
        <f t="shared" si="272"/>
        <v>6.366197723675814</v>
      </c>
      <c r="G1789" s="2">
        <v>3.0094219999999998</v>
      </c>
      <c r="H1789" s="2">
        <f t="shared" si="273"/>
        <v>9.8734320744800002</v>
      </c>
      <c r="I1789" s="2">
        <f>INDEX('Wood Density Lookup'!$B$2:$B$152,MATCH(B1789,'Wood Density Lookup'!$A$2:$A$152,0))</f>
        <v>0.27</v>
      </c>
      <c r="J1789" s="2">
        <f t="shared" si="274"/>
        <v>12.572886939786688</v>
      </c>
      <c r="K1789" s="2">
        <f t="shared" si="278"/>
        <v>3.5204083431402728</v>
      </c>
      <c r="L1789" s="2">
        <f t="shared" si="279"/>
        <v>16.09329528292696</v>
      </c>
      <c r="M1789" s="2">
        <f t="shared" si="275"/>
        <v>11.667639080122045</v>
      </c>
      <c r="N1789" s="2">
        <f t="shared" si="276"/>
        <v>5.8338195400610227</v>
      </c>
      <c r="O1789" s="2">
        <f t="shared" si="277"/>
        <v>21.410117712023954</v>
      </c>
      <c r="P1789" s="2">
        <v>72.552411000000006</v>
      </c>
      <c r="Q1789" s="2">
        <v>23.038081999999999</v>
      </c>
    </row>
    <row r="1790" spans="1:17" x14ac:dyDescent="0.25">
      <c r="A1790" s="2">
        <v>1968</v>
      </c>
      <c r="B1790" s="2" t="s">
        <v>103</v>
      </c>
      <c r="C1790" s="2">
        <v>2</v>
      </c>
      <c r="D1790" s="2">
        <f t="shared" si="270"/>
        <v>5.08</v>
      </c>
      <c r="E1790" s="2">
        <f t="shared" si="271"/>
        <v>1.6170142218136567</v>
      </c>
      <c r="F1790" s="2">
        <f t="shared" si="272"/>
        <v>0.63661977236758138</v>
      </c>
      <c r="G1790" s="2">
        <v>2.0119259999999999</v>
      </c>
      <c r="H1790" s="2">
        <f t="shared" si="273"/>
        <v>6.6008072978399994</v>
      </c>
      <c r="I1790" s="2">
        <f>INDEX('Wood Density Lookup'!$B$2:$B$152,MATCH(B1790,'Wood Density Lookup'!$A$2:$A$152,0))</f>
        <v>0.6</v>
      </c>
      <c r="J1790" s="2">
        <f t="shared" si="274"/>
        <v>0.20664524405604576</v>
      </c>
      <c r="K1790" s="2">
        <f t="shared" si="278"/>
        <v>5.7860668335692818E-2</v>
      </c>
      <c r="L1790" s="2">
        <f t="shared" si="279"/>
        <v>0.2645059123917386</v>
      </c>
      <c r="M1790" s="2">
        <f t="shared" si="275"/>
        <v>0.19176678648401047</v>
      </c>
      <c r="N1790" s="2">
        <f t="shared" si="276"/>
        <v>9.5883393242005233E-2</v>
      </c>
      <c r="O1790" s="2">
        <f t="shared" si="277"/>
        <v>0.35189205319815919</v>
      </c>
      <c r="P1790" s="2">
        <v>72.552411000000006</v>
      </c>
      <c r="Q1790" s="2">
        <v>23.038046000000001</v>
      </c>
    </row>
    <row r="1791" spans="1:17" x14ac:dyDescent="0.25">
      <c r="A1791" s="2">
        <v>1969</v>
      </c>
      <c r="B1791" s="2" t="s">
        <v>107</v>
      </c>
      <c r="C1791" s="2">
        <v>23</v>
      </c>
      <c r="D1791" s="2">
        <f t="shared" si="270"/>
        <v>58.42</v>
      </c>
      <c r="E1791" s="2">
        <f t="shared" si="271"/>
        <v>18.595663550857051</v>
      </c>
      <c r="F1791" s="2">
        <f t="shared" si="272"/>
        <v>7.3211273822271856</v>
      </c>
      <c r="G1791" s="2">
        <v>8.3791390000000003</v>
      </c>
      <c r="H1791" s="2">
        <f t="shared" si="273"/>
        <v>27.490614396760002</v>
      </c>
      <c r="I1791" s="2">
        <f>INDEX('Wood Density Lookup'!$B$2:$B$152,MATCH(B1791,'Wood Density Lookup'!$A$2:$A$152,0))</f>
        <v>0.65</v>
      </c>
      <c r="J1791" s="2">
        <f t="shared" si="274"/>
        <v>105.76761442101508</v>
      </c>
      <c r="K1791" s="2">
        <f t="shared" si="278"/>
        <v>29.614932037884227</v>
      </c>
      <c r="L1791" s="2">
        <f t="shared" si="279"/>
        <v>135.3825464588993</v>
      </c>
      <c r="M1791" s="2">
        <f t="shared" si="275"/>
        <v>98.15234618270199</v>
      </c>
      <c r="N1791" s="2">
        <f t="shared" si="276"/>
        <v>49.076173091350995</v>
      </c>
      <c r="O1791" s="2">
        <f t="shared" si="277"/>
        <v>180.10955524525815</v>
      </c>
      <c r="P1791" s="2">
        <v>72.552412000000004</v>
      </c>
      <c r="Q1791" s="2">
        <v>23.036048999999998</v>
      </c>
    </row>
    <row r="1792" spans="1:17" x14ac:dyDescent="0.25">
      <c r="A1792" s="2">
        <v>1970</v>
      </c>
      <c r="B1792" s="2" t="s">
        <v>15</v>
      </c>
      <c r="C1792" s="2">
        <v>7</v>
      </c>
      <c r="D1792" s="2">
        <f t="shared" si="270"/>
        <v>17.78</v>
      </c>
      <c r="E1792" s="2">
        <f t="shared" si="271"/>
        <v>5.6595497763477987</v>
      </c>
      <c r="F1792" s="2">
        <f t="shared" si="272"/>
        <v>2.228169203286535</v>
      </c>
      <c r="G1792" s="2">
        <v>8.4691829999999992</v>
      </c>
      <c r="H1792" s="2">
        <f t="shared" si="273"/>
        <v>27.786034353719998</v>
      </c>
      <c r="I1792" s="2">
        <f>INDEX('Wood Density Lookup'!$B$2:$B$152,MATCH(B1792,'Wood Density Lookup'!$A$2:$A$152,0))</f>
        <v>0.75</v>
      </c>
      <c r="J1792" s="2">
        <f t="shared" si="274"/>
        <v>12.052535391366968</v>
      </c>
      <c r="K1792" s="2">
        <f t="shared" si="278"/>
        <v>3.3747099095827515</v>
      </c>
      <c r="L1792" s="2">
        <f t="shared" si="279"/>
        <v>15.427245300949719</v>
      </c>
      <c r="M1792" s="2">
        <f t="shared" si="275"/>
        <v>11.184752843188546</v>
      </c>
      <c r="N1792" s="2">
        <f t="shared" si="276"/>
        <v>5.5923764215942731</v>
      </c>
      <c r="O1792" s="2">
        <f t="shared" si="277"/>
        <v>20.524021467250982</v>
      </c>
      <c r="P1792" s="2">
        <v>72.552412000000004</v>
      </c>
      <c r="Q1792" s="2">
        <v>23.036352000000001</v>
      </c>
    </row>
    <row r="1793" spans="1:17" x14ac:dyDescent="0.25">
      <c r="A1793" s="2">
        <v>1971</v>
      </c>
      <c r="B1793" s="2" t="s">
        <v>129</v>
      </c>
      <c r="C1793" s="2">
        <v>8</v>
      </c>
      <c r="D1793" s="2">
        <f t="shared" ref="D1793:D1856" si="280">C1793*2.54</f>
        <v>20.32</v>
      </c>
      <c r="E1793" s="2">
        <f t="shared" ref="E1793:E1856" si="281">D1793/PI()</f>
        <v>6.4680568872546269</v>
      </c>
      <c r="F1793" s="2">
        <f t="shared" ref="F1793:F1856" si="282">C1793/PI()</f>
        <v>2.5464790894703255</v>
      </c>
      <c r="G1793" s="2">
        <v>4.1266670000000003</v>
      </c>
      <c r="H1793" s="2">
        <f t="shared" ref="H1793:H1856" si="283">G1793*3.28084</f>
        <v>13.53893416028</v>
      </c>
      <c r="I1793" s="2">
        <f>INDEX('Wood Density Lookup'!$B$2:$B$152,MATCH(B1793,'Wood Density Lookup'!$A$2:$A$152,0))</f>
        <v>0.4</v>
      </c>
      <c r="J1793" s="2">
        <f t="shared" ref="J1793:J1856" si="284">0.0673*POWER(I1793*E1793^2*G1793,0.976)</f>
        <v>4.1983744709644819</v>
      </c>
      <c r="K1793" s="2">
        <f t="shared" si="278"/>
        <v>1.1755448518700551</v>
      </c>
      <c r="L1793" s="2">
        <f t="shared" si="279"/>
        <v>5.3739193228345368</v>
      </c>
      <c r="M1793" s="2">
        <f t="shared" ref="M1793:M1856" si="285">0.725*L1793</f>
        <v>3.8960915090550392</v>
      </c>
      <c r="N1793" s="2">
        <f t="shared" ref="N1793:N1856" si="286">0.5*M1793</f>
        <v>1.9480457545275196</v>
      </c>
      <c r="O1793" s="2">
        <f t="shared" ref="O1793:O1856" si="287">3.67*N1793</f>
        <v>7.1493279191159971</v>
      </c>
      <c r="P1793" s="2">
        <v>72.552413000000001</v>
      </c>
      <c r="Q1793" s="2">
        <v>23.038205999999999</v>
      </c>
    </row>
    <row r="1794" spans="1:17" x14ac:dyDescent="0.25">
      <c r="A1794" s="2">
        <v>1972</v>
      </c>
      <c r="B1794" s="2" t="s">
        <v>15</v>
      </c>
      <c r="C1794" s="2">
        <v>9</v>
      </c>
      <c r="D1794" s="2">
        <f t="shared" si="280"/>
        <v>22.86</v>
      </c>
      <c r="E1794" s="2">
        <f t="shared" si="281"/>
        <v>7.2765639981614552</v>
      </c>
      <c r="F1794" s="2">
        <f t="shared" si="282"/>
        <v>2.8647889756541161</v>
      </c>
      <c r="G1794" s="2">
        <v>10.455178999999999</v>
      </c>
      <c r="H1794" s="2">
        <f t="shared" si="283"/>
        <v>34.30176947036</v>
      </c>
      <c r="I1794" s="2">
        <f>INDEX('Wood Density Lookup'!$B$2:$B$152,MATCH(B1794,'Wood Density Lookup'!$A$2:$A$152,0))</f>
        <v>0.75</v>
      </c>
      <c r="J1794" s="2">
        <f t="shared" si="284"/>
        <v>24.178124878937897</v>
      </c>
      <c r="K1794" s="2">
        <f t="shared" si="278"/>
        <v>6.7698749661026119</v>
      </c>
      <c r="L1794" s="2">
        <f t="shared" si="279"/>
        <v>30.94799984504051</v>
      </c>
      <c r="M1794" s="2">
        <f t="shared" si="285"/>
        <v>22.437299887654369</v>
      </c>
      <c r="N1794" s="2">
        <f t="shared" si="286"/>
        <v>11.218649943827185</v>
      </c>
      <c r="O1794" s="2">
        <f t="shared" si="287"/>
        <v>41.172445293845769</v>
      </c>
      <c r="P1794" s="2">
        <v>72.552417000000005</v>
      </c>
      <c r="Q1794" s="2">
        <v>23.036263999999999</v>
      </c>
    </row>
    <row r="1795" spans="1:17" x14ac:dyDescent="0.25">
      <c r="A1795" s="2">
        <v>1973</v>
      </c>
      <c r="B1795" s="2" t="s">
        <v>115</v>
      </c>
      <c r="C1795" s="2">
        <v>9</v>
      </c>
      <c r="D1795" s="2">
        <f t="shared" si="280"/>
        <v>22.86</v>
      </c>
      <c r="E1795" s="2">
        <f t="shared" si="281"/>
        <v>7.2765639981614552</v>
      </c>
      <c r="F1795" s="2">
        <f t="shared" si="282"/>
        <v>2.8647889756541161</v>
      </c>
      <c r="G1795" s="2">
        <v>2.0113340000000002</v>
      </c>
      <c r="H1795" s="2">
        <f t="shared" si="283"/>
        <v>6.5988650405600007</v>
      </c>
      <c r="I1795" s="2">
        <f>INDEX('Wood Density Lookup'!$B$2:$B$152,MATCH(B1795,'Wood Density Lookup'!$A$2:$A$152,0))</f>
        <v>0.65</v>
      </c>
      <c r="J1795" s="2">
        <f t="shared" si="284"/>
        <v>4.208228530902236</v>
      </c>
      <c r="K1795" s="2">
        <f t="shared" ref="K1795:K1858" si="288">0.28*J1795</f>
        <v>1.1783039886526263</v>
      </c>
      <c r="L1795" s="2">
        <f t="shared" ref="L1795:L1858" si="289">J1795+K1795</f>
        <v>5.3865325195548621</v>
      </c>
      <c r="M1795" s="2">
        <f t="shared" si="285"/>
        <v>3.9052360766772751</v>
      </c>
      <c r="N1795" s="2">
        <f t="shared" si="286"/>
        <v>1.9526180383386376</v>
      </c>
      <c r="O1795" s="2">
        <f t="shared" si="287"/>
        <v>7.1661082007027996</v>
      </c>
      <c r="P1795" s="2">
        <v>72.552417000000005</v>
      </c>
      <c r="Q1795" s="2">
        <v>23.036097999999999</v>
      </c>
    </row>
    <row r="1796" spans="1:17" x14ac:dyDescent="0.25">
      <c r="A1796" s="2">
        <v>1974</v>
      </c>
      <c r="B1796" s="2" t="s">
        <v>9</v>
      </c>
      <c r="C1796" s="2">
        <v>16</v>
      </c>
      <c r="D1796" s="2">
        <f t="shared" si="280"/>
        <v>40.64</v>
      </c>
      <c r="E1796" s="2">
        <f t="shared" si="281"/>
        <v>12.936113774509254</v>
      </c>
      <c r="F1796" s="2">
        <f t="shared" si="282"/>
        <v>5.0929581789406511</v>
      </c>
      <c r="G1796" s="2">
        <v>2.0498889999999999</v>
      </c>
      <c r="H1796" s="2">
        <f t="shared" si="283"/>
        <v>6.7253578267599998</v>
      </c>
      <c r="I1796" s="2">
        <f>INDEX('Wood Density Lookup'!$B$2:$B$152,MATCH(B1796,'Wood Density Lookup'!$A$2:$A$152,0))</f>
        <v>0.42</v>
      </c>
      <c r="J1796" s="2">
        <f t="shared" si="284"/>
        <v>8.60589925731162</v>
      </c>
      <c r="K1796" s="2">
        <f t="shared" si="288"/>
        <v>2.4096517920472538</v>
      </c>
      <c r="L1796" s="2">
        <f t="shared" si="289"/>
        <v>11.015551049358873</v>
      </c>
      <c r="M1796" s="2">
        <f t="shared" si="285"/>
        <v>7.9862745107851829</v>
      </c>
      <c r="N1796" s="2">
        <f t="shared" si="286"/>
        <v>3.9931372553925915</v>
      </c>
      <c r="O1796" s="2">
        <f t="shared" si="287"/>
        <v>14.65481372729081</v>
      </c>
      <c r="P1796" s="2">
        <v>72.552417000000005</v>
      </c>
      <c r="Q1796" s="2">
        <v>23.036159000000001</v>
      </c>
    </row>
    <row r="1797" spans="1:17" x14ac:dyDescent="0.25">
      <c r="A1797" s="2">
        <v>1975</v>
      </c>
      <c r="B1797" s="2" t="s">
        <v>115</v>
      </c>
      <c r="C1797" s="2">
        <v>4</v>
      </c>
      <c r="D1797" s="2">
        <f t="shared" si="280"/>
        <v>10.16</v>
      </c>
      <c r="E1797" s="2">
        <f t="shared" si="281"/>
        <v>3.2340284436273135</v>
      </c>
      <c r="F1797" s="2">
        <f t="shared" si="282"/>
        <v>1.2732395447351628</v>
      </c>
      <c r="G1797" s="2">
        <v>2.0983399999999999</v>
      </c>
      <c r="H1797" s="2">
        <f t="shared" si="283"/>
        <v>6.8843178055999994</v>
      </c>
      <c r="I1797" s="2">
        <f>INDEX('Wood Density Lookup'!$B$2:$B$152,MATCH(B1797,'Wood Density Lookup'!$A$2:$A$152,0))</f>
        <v>0.65</v>
      </c>
      <c r="J1797" s="2">
        <f t="shared" si="284"/>
        <v>0.90071896196953194</v>
      </c>
      <c r="K1797" s="2">
        <f t="shared" si="288"/>
        <v>0.25220130935146895</v>
      </c>
      <c r="L1797" s="2">
        <f t="shared" si="289"/>
        <v>1.1529202713210009</v>
      </c>
      <c r="M1797" s="2">
        <f t="shared" si="285"/>
        <v>0.83586719670772569</v>
      </c>
      <c r="N1797" s="2">
        <f t="shared" si="286"/>
        <v>0.41793359835386285</v>
      </c>
      <c r="O1797" s="2">
        <f t="shared" si="287"/>
        <v>1.5338163059586767</v>
      </c>
      <c r="P1797" s="2">
        <v>72.552418000000003</v>
      </c>
      <c r="Q1797" s="2">
        <v>23.037845999999998</v>
      </c>
    </row>
    <row r="1798" spans="1:17" x14ac:dyDescent="0.25">
      <c r="A1798" s="2">
        <v>1976</v>
      </c>
      <c r="B1798" s="2" t="s">
        <v>72</v>
      </c>
      <c r="C1798" s="2">
        <v>47</v>
      </c>
      <c r="D1798" s="2">
        <f t="shared" si="280"/>
        <v>119.38</v>
      </c>
      <c r="E1798" s="2">
        <f t="shared" si="281"/>
        <v>37.999834212620932</v>
      </c>
      <c r="F1798" s="2">
        <f t="shared" si="282"/>
        <v>14.960564650638162</v>
      </c>
      <c r="G1798" s="2">
        <v>15.218462000000001</v>
      </c>
      <c r="H1798" s="2">
        <f t="shared" si="283"/>
        <v>49.929338868080002</v>
      </c>
      <c r="I1798" s="2">
        <f>INDEX('Wood Density Lookup'!$B$2:$B$152,MATCH(B1798,'Wood Density Lookup'!$A$2:$A$152,0))</f>
        <v>0.65</v>
      </c>
      <c r="J1798" s="2">
        <f t="shared" si="284"/>
        <v>764.09304780167042</v>
      </c>
      <c r="K1798" s="2">
        <f t="shared" si="288"/>
        <v>213.94605338446775</v>
      </c>
      <c r="L1798" s="2">
        <f t="shared" si="289"/>
        <v>978.03910118613817</v>
      </c>
      <c r="M1798" s="2">
        <f t="shared" si="285"/>
        <v>709.07834835995016</v>
      </c>
      <c r="N1798" s="2">
        <f t="shared" si="286"/>
        <v>354.53917417997508</v>
      </c>
      <c r="O1798" s="2">
        <f t="shared" si="287"/>
        <v>1301.1587692405085</v>
      </c>
      <c r="P1798" s="2">
        <v>72.552419</v>
      </c>
      <c r="Q1798" s="2">
        <v>23.034659000000001</v>
      </c>
    </row>
    <row r="1799" spans="1:17" x14ac:dyDescent="0.25">
      <c r="A1799" s="2">
        <v>1977</v>
      </c>
      <c r="B1799" s="2" t="s">
        <v>57</v>
      </c>
      <c r="C1799" s="2">
        <v>3</v>
      </c>
      <c r="D1799" s="2">
        <f t="shared" si="280"/>
        <v>7.62</v>
      </c>
      <c r="E1799" s="2">
        <f t="shared" si="281"/>
        <v>2.4255213327204852</v>
      </c>
      <c r="F1799" s="2">
        <f t="shared" si="282"/>
        <v>0.95492965855137202</v>
      </c>
      <c r="G1799" s="2">
        <v>11.968294999999999</v>
      </c>
      <c r="H1799" s="2">
        <f t="shared" si="283"/>
        <v>39.266060967800001</v>
      </c>
      <c r="I1799" s="2">
        <f>INDEX('Wood Density Lookup'!$B$2:$B$152,MATCH(B1799,'Wood Density Lookup'!$A$2:$A$152,0))</f>
        <v>0.6</v>
      </c>
      <c r="J1799" s="2">
        <f t="shared" si="284"/>
        <v>2.5989010683485207</v>
      </c>
      <c r="K1799" s="2">
        <f t="shared" si="288"/>
        <v>0.72769229913758593</v>
      </c>
      <c r="L1799" s="2">
        <f t="shared" si="289"/>
        <v>3.3265933674861068</v>
      </c>
      <c r="M1799" s="2">
        <f t="shared" si="285"/>
        <v>2.4117801914274275</v>
      </c>
      <c r="N1799" s="2">
        <f t="shared" si="286"/>
        <v>1.2058900957137137</v>
      </c>
      <c r="O1799" s="2">
        <f t="shared" si="287"/>
        <v>4.4256166512693298</v>
      </c>
      <c r="P1799" s="2">
        <v>72.552420999999995</v>
      </c>
      <c r="Q1799" s="2">
        <v>23.035112999999999</v>
      </c>
    </row>
    <row r="1800" spans="1:17" x14ac:dyDescent="0.25">
      <c r="A1800" s="2">
        <v>1978</v>
      </c>
      <c r="B1800" s="2" t="s">
        <v>95</v>
      </c>
      <c r="C1800" s="2">
        <v>40</v>
      </c>
      <c r="D1800" s="2">
        <f t="shared" si="280"/>
        <v>101.6</v>
      </c>
      <c r="E1800" s="2">
        <f t="shared" si="281"/>
        <v>32.34028443627313</v>
      </c>
      <c r="F1800" s="2">
        <f t="shared" si="282"/>
        <v>12.732395447351628</v>
      </c>
      <c r="G1800" s="2">
        <v>8.3196860000000008</v>
      </c>
      <c r="H1800" s="2">
        <f t="shared" si="283"/>
        <v>27.295558616240001</v>
      </c>
      <c r="I1800" s="2">
        <f>INDEX('Wood Density Lookup'!$B$2:$B$152,MATCH(B1800,'Wood Density Lookup'!$A$2:$A$152,0))</f>
        <v>0.3</v>
      </c>
      <c r="J1800" s="2">
        <f t="shared" si="284"/>
        <v>145.45536495465427</v>
      </c>
      <c r="K1800" s="2">
        <f t="shared" si="288"/>
        <v>40.727502187303202</v>
      </c>
      <c r="L1800" s="2">
        <f t="shared" si="289"/>
        <v>186.18286714195747</v>
      </c>
      <c r="M1800" s="2">
        <f t="shared" si="285"/>
        <v>134.98257867791915</v>
      </c>
      <c r="N1800" s="2">
        <f t="shared" si="286"/>
        <v>67.491289338959575</v>
      </c>
      <c r="O1800" s="2">
        <f t="shared" si="287"/>
        <v>247.69303187398162</v>
      </c>
      <c r="P1800" s="2">
        <v>72.552422000000007</v>
      </c>
      <c r="Q1800" s="2">
        <v>23.037921999999998</v>
      </c>
    </row>
    <row r="1801" spans="1:17" x14ac:dyDescent="0.25">
      <c r="A1801" s="2">
        <v>1979</v>
      </c>
      <c r="B1801" s="2" t="s">
        <v>115</v>
      </c>
      <c r="C1801" s="2">
        <v>6</v>
      </c>
      <c r="D1801" s="2">
        <f t="shared" si="280"/>
        <v>15.24</v>
      </c>
      <c r="E1801" s="2">
        <f t="shared" si="281"/>
        <v>4.8510426654409704</v>
      </c>
      <c r="F1801" s="2">
        <f t="shared" si="282"/>
        <v>1.909859317102744</v>
      </c>
      <c r="G1801" s="2">
        <v>3.0856140000000001</v>
      </c>
      <c r="H1801" s="2">
        <f t="shared" si="283"/>
        <v>10.12340583576</v>
      </c>
      <c r="I1801" s="2">
        <f>INDEX('Wood Density Lookup'!$B$2:$B$152,MATCH(B1801,'Wood Density Lookup'!$A$2:$A$152,0))</f>
        <v>0.65</v>
      </c>
      <c r="J1801" s="2">
        <f t="shared" si="284"/>
        <v>2.8957829213974531</v>
      </c>
      <c r="K1801" s="2">
        <f t="shared" si="288"/>
        <v>0.81081921799128698</v>
      </c>
      <c r="L1801" s="2">
        <f t="shared" si="289"/>
        <v>3.7066021393887398</v>
      </c>
      <c r="M1801" s="2">
        <f t="shared" si="285"/>
        <v>2.6872865510568364</v>
      </c>
      <c r="N1801" s="2">
        <f t="shared" si="286"/>
        <v>1.3436432755284182</v>
      </c>
      <c r="O1801" s="2">
        <f t="shared" si="287"/>
        <v>4.9311708211892951</v>
      </c>
      <c r="P1801" s="2">
        <v>72.552426999999994</v>
      </c>
      <c r="Q1801" s="2">
        <v>23.037848</v>
      </c>
    </row>
    <row r="1802" spans="1:17" x14ac:dyDescent="0.25">
      <c r="A1802" s="2">
        <v>1980</v>
      </c>
      <c r="B1802" s="2" t="s">
        <v>8</v>
      </c>
      <c r="C1802" s="2">
        <v>2</v>
      </c>
      <c r="D1802" s="2">
        <f t="shared" si="280"/>
        <v>5.08</v>
      </c>
      <c r="E1802" s="2">
        <f t="shared" si="281"/>
        <v>1.6170142218136567</v>
      </c>
      <c r="F1802" s="2">
        <f t="shared" si="282"/>
        <v>0.63661977236758138</v>
      </c>
      <c r="G1802" s="2">
        <v>5.8054160000000001</v>
      </c>
      <c r="H1802" s="2">
        <f t="shared" si="283"/>
        <v>19.04664102944</v>
      </c>
      <c r="I1802" s="2">
        <f>INDEX('Wood Density Lookup'!$B$2:$B$152,MATCH(B1802,'Wood Density Lookup'!$A$2:$A$152,0))</f>
        <v>0.75</v>
      </c>
      <c r="J1802" s="2">
        <f t="shared" si="284"/>
        <v>0.72274586792817208</v>
      </c>
      <c r="K1802" s="2">
        <f t="shared" si="288"/>
        <v>0.20236884301988819</v>
      </c>
      <c r="L1802" s="2">
        <f t="shared" si="289"/>
        <v>0.9251147109480603</v>
      </c>
      <c r="M1802" s="2">
        <f t="shared" si="285"/>
        <v>0.67070816543734368</v>
      </c>
      <c r="N1802" s="2">
        <f t="shared" si="286"/>
        <v>0.33535408271867184</v>
      </c>
      <c r="O1802" s="2">
        <f t="shared" si="287"/>
        <v>1.2307494835775257</v>
      </c>
      <c r="P1802" s="2">
        <v>72.552430000000001</v>
      </c>
      <c r="Q1802" s="2">
        <v>23.035564000000001</v>
      </c>
    </row>
    <row r="1803" spans="1:17" x14ac:dyDescent="0.25">
      <c r="A1803" s="2">
        <v>1981</v>
      </c>
      <c r="B1803" s="2" t="s">
        <v>71</v>
      </c>
      <c r="C1803" s="2">
        <v>12</v>
      </c>
      <c r="D1803" s="2">
        <f t="shared" si="280"/>
        <v>30.48</v>
      </c>
      <c r="E1803" s="2">
        <f t="shared" si="281"/>
        <v>9.7020853308819408</v>
      </c>
      <c r="F1803" s="2">
        <f t="shared" si="282"/>
        <v>3.8197186342054881</v>
      </c>
      <c r="G1803" s="2">
        <v>3.8887510000000001</v>
      </c>
      <c r="H1803" s="2">
        <f t="shared" si="283"/>
        <v>12.75836983084</v>
      </c>
      <c r="I1803" s="2">
        <f>INDEX('Wood Density Lookup'!$B$2:$B$152,MATCH(B1803,'Wood Density Lookup'!$A$2:$A$152,0))</f>
        <v>0.45</v>
      </c>
      <c r="J1803" s="2">
        <f t="shared" si="284"/>
        <v>9.8076695749706921</v>
      </c>
      <c r="K1803" s="2">
        <f t="shared" si="288"/>
        <v>2.7461474809917941</v>
      </c>
      <c r="L1803" s="2">
        <f t="shared" si="289"/>
        <v>12.553817055962487</v>
      </c>
      <c r="M1803" s="2">
        <f t="shared" si="285"/>
        <v>9.1015173655728017</v>
      </c>
      <c r="N1803" s="2">
        <f t="shared" si="286"/>
        <v>4.5507586827864008</v>
      </c>
      <c r="O1803" s="2">
        <f t="shared" si="287"/>
        <v>16.701284365826091</v>
      </c>
      <c r="P1803" s="2">
        <v>72.552431999999996</v>
      </c>
      <c r="Q1803" s="2">
        <v>23.035533999999998</v>
      </c>
    </row>
    <row r="1804" spans="1:17" x14ac:dyDescent="0.25">
      <c r="A1804" s="2">
        <v>1982</v>
      </c>
      <c r="B1804" s="2" t="s">
        <v>15</v>
      </c>
      <c r="C1804" s="2">
        <v>9</v>
      </c>
      <c r="D1804" s="2">
        <f t="shared" si="280"/>
        <v>22.86</v>
      </c>
      <c r="E1804" s="2">
        <f t="shared" si="281"/>
        <v>7.2765639981614552</v>
      </c>
      <c r="F1804" s="2">
        <f t="shared" si="282"/>
        <v>2.8647889756541161</v>
      </c>
      <c r="G1804" s="2">
        <v>1.896177</v>
      </c>
      <c r="H1804" s="2">
        <f t="shared" si="283"/>
        <v>6.2210533486799999</v>
      </c>
      <c r="I1804" s="2">
        <f>INDEX('Wood Density Lookup'!$B$2:$B$152,MATCH(B1804,'Wood Density Lookup'!$A$2:$A$152,0))</f>
        <v>0.75</v>
      </c>
      <c r="J1804" s="2">
        <f t="shared" si="284"/>
        <v>4.568407969705035</v>
      </c>
      <c r="K1804" s="2">
        <f t="shared" si="288"/>
        <v>1.27915423151741</v>
      </c>
      <c r="L1804" s="2">
        <f t="shared" si="289"/>
        <v>5.8475622012224449</v>
      </c>
      <c r="M1804" s="2">
        <f t="shared" si="285"/>
        <v>4.2394825958862725</v>
      </c>
      <c r="N1804" s="2">
        <f t="shared" si="286"/>
        <v>2.1197412979431363</v>
      </c>
      <c r="O1804" s="2">
        <f t="shared" si="287"/>
        <v>7.7794505634513103</v>
      </c>
      <c r="P1804" s="2">
        <v>72.552432999999994</v>
      </c>
      <c r="Q1804" s="2">
        <v>23.035990000000002</v>
      </c>
    </row>
    <row r="1805" spans="1:17" x14ac:dyDescent="0.25">
      <c r="A1805" s="2">
        <v>1983</v>
      </c>
      <c r="B1805" s="2" t="s">
        <v>114</v>
      </c>
      <c r="C1805" s="2">
        <v>48</v>
      </c>
      <c r="D1805" s="2">
        <f t="shared" si="280"/>
        <v>121.92</v>
      </c>
      <c r="E1805" s="2">
        <f t="shared" si="281"/>
        <v>38.808341323527763</v>
      </c>
      <c r="F1805" s="2">
        <f t="shared" si="282"/>
        <v>15.278874536821952</v>
      </c>
      <c r="G1805" s="2">
        <v>17.664287999999999</v>
      </c>
      <c r="H1805" s="2">
        <f t="shared" si="283"/>
        <v>57.953702641919996</v>
      </c>
      <c r="I1805" s="2">
        <f>INDEX('Wood Density Lookup'!$B$2:$B$152,MATCH(B1805,'Wood Density Lookup'!$A$2:$A$152,0))</f>
        <v>0.55000000000000004</v>
      </c>
      <c r="J1805" s="2">
        <f t="shared" si="284"/>
        <v>782.26993166620389</v>
      </c>
      <c r="K1805" s="2">
        <f t="shared" si="288"/>
        <v>219.03558086653712</v>
      </c>
      <c r="L1805" s="2">
        <f t="shared" si="289"/>
        <v>1001.305512532741</v>
      </c>
      <c r="M1805" s="2">
        <f t="shared" si="285"/>
        <v>725.94649658623723</v>
      </c>
      <c r="N1805" s="2">
        <f t="shared" si="286"/>
        <v>362.97324829311862</v>
      </c>
      <c r="O1805" s="2">
        <f t="shared" si="287"/>
        <v>1332.1118212357453</v>
      </c>
      <c r="P1805" s="2">
        <v>72.552434000000005</v>
      </c>
      <c r="Q1805" s="2">
        <v>23.034716</v>
      </c>
    </row>
    <row r="1806" spans="1:17" x14ac:dyDescent="0.25">
      <c r="A1806" s="2">
        <v>1984</v>
      </c>
      <c r="B1806" s="2" t="s">
        <v>31</v>
      </c>
      <c r="C1806" s="2">
        <v>14</v>
      </c>
      <c r="D1806" s="2">
        <f t="shared" si="280"/>
        <v>35.56</v>
      </c>
      <c r="E1806" s="2">
        <f t="shared" si="281"/>
        <v>11.319099552695597</v>
      </c>
      <c r="F1806" s="2">
        <f t="shared" si="282"/>
        <v>4.45633840657307</v>
      </c>
      <c r="G1806" s="2">
        <v>10.367205999999999</v>
      </c>
      <c r="H1806" s="2">
        <f t="shared" si="283"/>
        <v>34.013144133040001</v>
      </c>
      <c r="I1806" s="2">
        <f>INDEX('Wood Density Lookup'!$B$2:$B$152,MATCH(B1806,'Wood Density Lookup'!$A$2:$A$152,0))</f>
        <v>0.78</v>
      </c>
      <c r="J1806" s="2">
        <f t="shared" si="284"/>
        <v>59.023645863628211</v>
      </c>
      <c r="K1806" s="2">
        <f t="shared" si="288"/>
        <v>16.526620841815902</v>
      </c>
      <c r="L1806" s="2">
        <f t="shared" si="289"/>
        <v>75.550266705444116</v>
      </c>
      <c r="M1806" s="2">
        <f t="shared" si="285"/>
        <v>54.773943361446982</v>
      </c>
      <c r="N1806" s="2">
        <f t="shared" si="286"/>
        <v>27.386971680723491</v>
      </c>
      <c r="O1806" s="2">
        <f t="shared" si="287"/>
        <v>100.51018606825521</v>
      </c>
      <c r="P1806" s="2">
        <v>72.552436999999998</v>
      </c>
      <c r="Q1806" s="2">
        <v>23.038720999999999</v>
      </c>
    </row>
    <row r="1807" spans="1:17" x14ac:dyDescent="0.25">
      <c r="A1807" s="2">
        <v>1985</v>
      </c>
      <c r="B1807" s="2" t="s">
        <v>31</v>
      </c>
      <c r="C1807" s="2">
        <v>9</v>
      </c>
      <c r="D1807" s="2">
        <f t="shared" si="280"/>
        <v>22.86</v>
      </c>
      <c r="E1807" s="2">
        <f t="shared" si="281"/>
        <v>7.2765639981614552</v>
      </c>
      <c r="F1807" s="2">
        <f t="shared" si="282"/>
        <v>2.8647889756541161</v>
      </c>
      <c r="G1807" s="2">
        <v>6.1374139999999997</v>
      </c>
      <c r="H1807" s="2">
        <f t="shared" si="283"/>
        <v>20.13587334776</v>
      </c>
      <c r="I1807" s="2">
        <f>INDEX('Wood Density Lookup'!$B$2:$B$152,MATCH(B1807,'Wood Density Lookup'!$A$2:$A$152,0))</f>
        <v>0.78</v>
      </c>
      <c r="J1807" s="2">
        <f t="shared" si="284"/>
        <v>14.936656988907957</v>
      </c>
      <c r="K1807" s="2">
        <f t="shared" si="288"/>
        <v>4.1822639568942286</v>
      </c>
      <c r="L1807" s="2">
        <f t="shared" si="289"/>
        <v>19.118920945802188</v>
      </c>
      <c r="M1807" s="2">
        <f t="shared" si="285"/>
        <v>13.861217685706587</v>
      </c>
      <c r="N1807" s="2">
        <f t="shared" si="286"/>
        <v>6.9306088428532933</v>
      </c>
      <c r="O1807" s="2">
        <f t="shared" si="287"/>
        <v>25.435334453271587</v>
      </c>
      <c r="P1807" s="2">
        <v>72.552440000000004</v>
      </c>
      <c r="Q1807" s="2">
        <v>23.038775000000001</v>
      </c>
    </row>
    <row r="1808" spans="1:17" x14ac:dyDescent="0.25">
      <c r="A1808" s="2">
        <v>1986</v>
      </c>
      <c r="B1808" s="2" t="s">
        <v>15</v>
      </c>
      <c r="C1808" s="2">
        <v>6</v>
      </c>
      <c r="D1808" s="2">
        <f t="shared" si="280"/>
        <v>15.24</v>
      </c>
      <c r="E1808" s="2">
        <f t="shared" si="281"/>
        <v>4.8510426654409704</v>
      </c>
      <c r="F1808" s="2">
        <f t="shared" si="282"/>
        <v>1.909859317102744</v>
      </c>
      <c r="G1808" s="2">
        <v>2.1088870000000002</v>
      </c>
      <c r="H1808" s="2">
        <f t="shared" si="283"/>
        <v>6.9189208250800007</v>
      </c>
      <c r="I1808" s="2">
        <f>INDEX('Wood Density Lookup'!$B$2:$B$152,MATCH(B1808,'Wood Density Lookup'!$A$2:$A$152,0))</f>
        <v>0.75</v>
      </c>
      <c r="J1808" s="2">
        <f t="shared" si="284"/>
        <v>2.2966826607233548</v>
      </c>
      <c r="K1808" s="2">
        <f t="shared" si="288"/>
        <v>0.64307114500253937</v>
      </c>
      <c r="L1808" s="2">
        <f t="shared" si="289"/>
        <v>2.9397538057258941</v>
      </c>
      <c r="M1808" s="2">
        <f t="shared" si="285"/>
        <v>2.1313215091512729</v>
      </c>
      <c r="N1808" s="2">
        <f t="shared" si="286"/>
        <v>1.0656607545756365</v>
      </c>
      <c r="O1808" s="2">
        <f t="shared" si="287"/>
        <v>3.9109749692925857</v>
      </c>
      <c r="P1808" s="2">
        <v>72.552440000000004</v>
      </c>
      <c r="Q1808" s="2">
        <v>23.036207000000001</v>
      </c>
    </row>
    <row r="1809" spans="1:17" x14ac:dyDescent="0.25">
      <c r="A1809" s="2">
        <v>1987</v>
      </c>
      <c r="B1809" s="2" t="s">
        <v>74</v>
      </c>
      <c r="C1809" s="2">
        <v>2</v>
      </c>
      <c r="D1809" s="2">
        <f t="shared" si="280"/>
        <v>5.08</v>
      </c>
      <c r="E1809" s="2">
        <f t="shared" si="281"/>
        <v>1.6170142218136567</v>
      </c>
      <c r="F1809" s="2">
        <f t="shared" si="282"/>
        <v>0.63661977236758138</v>
      </c>
      <c r="G1809" s="2">
        <v>2.0532499999999998</v>
      </c>
      <c r="H1809" s="2">
        <f t="shared" si="283"/>
        <v>6.7363847299999993</v>
      </c>
      <c r="I1809" s="2">
        <f>INDEX('Wood Density Lookup'!$B$2:$B$152,MATCH(B1809,'Wood Density Lookup'!$A$2:$A$152,0))</f>
        <v>0.5</v>
      </c>
      <c r="J1809" s="2">
        <f t="shared" si="284"/>
        <v>0.17642593627841122</v>
      </c>
      <c r="K1809" s="2">
        <f t="shared" si="288"/>
        <v>4.9399262157955148E-2</v>
      </c>
      <c r="L1809" s="2">
        <f t="shared" si="289"/>
        <v>0.22582519843636636</v>
      </c>
      <c r="M1809" s="2">
        <f t="shared" si="285"/>
        <v>0.1637232688663656</v>
      </c>
      <c r="N1809" s="2">
        <f t="shared" si="286"/>
        <v>8.1861634433182798E-2</v>
      </c>
      <c r="O1809" s="2">
        <f t="shared" si="287"/>
        <v>0.30043219836978086</v>
      </c>
      <c r="P1809" s="2">
        <v>72.552440000000004</v>
      </c>
      <c r="Q1809" s="2">
        <v>23.036187999999999</v>
      </c>
    </row>
    <row r="1810" spans="1:17" x14ac:dyDescent="0.25">
      <c r="A1810" s="2">
        <v>1988</v>
      </c>
      <c r="B1810" s="2" t="s">
        <v>15</v>
      </c>
      <c r="C1810" s="2">
        <v>13</v>
      </c>
      <c r="D1810" s="2">
        <f t="shared" si="280"/>
        <v>33.020000000000003</v>
      </c>
      <c r="E1810" s="2">
        <f t="shared" si="281"/>
        <v>10.51059244178877</v>
      </c>
      <c r="F1810" s="2">
        <f t="shared" si="282"/>
        <v>4.1380285203892786</v>
      </c>
      <c r="G1810" s="2">
        <v>7.8355009999999998</v>
      </c>
      <c r="H1810" s="2">
        <f t="shared" si="283"/>
        <v>25.707025100839999</v>
      </c>
      <c r="I1810" s="2">
        <f>INDEX('Wood Density Lookup'!$B$2:$B$152,MATCH(B1810,'Wood Density Lookup'!$A$2:$A$152,0))</f>
        <v>0.75</v>
      </c>
      <c r="J1810" s="2">
        <f t="shared" si="284"/>
        <v>37.402472493858042</v>
      </c>
      <c r="K1810" s="2">
        <f t="shared" si="288"/>
        <v>10.472692298280252</v>
      </c>
      <c r="L1810" s="2">
        <f t="shared" si="289"/>
        <v>47.875164792138293</v>
      </c>
      <c r="M1810" s="2">
        <f t="shared" si="285"/>
        <v>34.709494474300264</v>
      </c>
      <c r="N1810" s="2">
        <f t="shared" si="286"/>
        <v>17.354747237150132</v>
      </c>
      <c r="O1810" s="2">
        <f t="shared" si="287"/>
        <v>63.691922360340982</v>
      </c>
      <c r="P1810" s="2">
        <v>72.552441000000002</v>
      </c>
      <c r="Q1810" s="2">
        <v>23.035578000000001</v>
      </c>
    </row>
    <row r="1811" spans="1:17" x14ac:dyDescent="0.25">
      <c r="A1811" s="2">
        <v>1989</v>
      </c>
      <c r="B1811" s="2" t="s">
        <v>59</v>
      </c>
      <c r="C1811" s="2">
        <v>26</v>
      </c>
      <c r="D1811" s="2">
        <f t="shared" si="280"/>
        <v>66.040000000000006</v>
      </c>
      <c r="E1811" s="2">
        <f t="shared" si="281"/>
        <v>21.02118488357754</v>
      </c>
      <c r="F1811" s="2">
        <f t="shared" si="282"/>
        <v>8.2760570407785572</v>
      </c>
      <c r="G1811" s="2">
        <v>6.6029340000000003</v>
      </c>
      <c r="H1811" s="2">
        <f t="shared" si="283"/>
        <v>21.66316998456</v>
      </c>
      <c r="I1811" s="2">
        <f>INDEX('Wood Density Lookup'!$B$2:$B$152,MATCH(B1811,'Wood Density Lookup'!$A$2:$A$152,0))</f>
        <v>0.45</v>
      </c>
      <c r="J1811" s="2">
        <f t="shared" si="284"/>
        <v>74.377330273268115</v>
      </c>
      <c r="K1811" s="2">
        <f t="shared" si="288"/>
        <v>20.825652476515074</v>
      </c>
      <c r="L1811" s="2">
        <f t="shared" si="289"/>
        <v>95.202982749783189</v>
      </c>
      <c r="M1811" s="2">
        <f t="shared" si="285"/>
        <v>69.022162493592816</v>
      </c>
      <c r="N1811" s="2">
        <f t="shared" si="286"/>
        <v>34.511081246796408</v>
      </c>
      <c r="O1811" s="2">
        <f t="shared" si="287"/>
        <v>126.65566817574282</v>
      </c>
      <c r="P1811" s="2">
        <v>72.552441999999999</v>
      </c>
      <c r="Q1811" s="2">
        <v>23.035557000000001</v>
      </c>
    </row>
    <row r="1812" spans="1:17" x14ac:dyDescent="0.25">
      <c r="A1812" s="2">
        <v>1990</v>
      </c>
      <c r="B1812" s="2" t="s">
        <v>74</v>
      </c>
      <c r="C1812" s="2">
        <v>2</v>
      </c>
      <c r="D1812" s="2">
        <f t="shared" si="280"/>
        <v>5.08</v>
      </c>
      <c r="E1812" s="2">
        <f t="shared" si="281"/>
        <v>1.6170142218136567</v>
      </c>
      <c r="F1812" s="2">
        <f t="shared" si="282"/>
        <v>0.63661977236758138</v>
      </c>
      <c r="G1812" s="2">
        <v>1.083782</v>
      </c>
      <c r="H1812" s="2">
        <f t="shared" si="283"/>
        <v>3.5557153368800001</v>
      </c>
      <c r="I1812" s="2">
        <f>INDEX('Wood Density Lookup'!$B$2:$B$152,MATCH(B1812,'Wood Density Lookup'!$A$2:$A$152,0))</f>
        <v>0.5</v>
      </c>
      <c r="J1812" s="2">
        <f t="shared" si="284"/>
        <v>9.4563280662514376E-2</v>
      </c>
      <c r="K1812" s="2">
        <f t="shared" si="288"/>
        <v>2.6477718585504028E-2</v>
      </c>
      <c r="L1812" s="2">
        <f t="shared" si="289"/>
        <v>0.12104099924801841</v>
      </c>
      <c r="M1812" s="2">
        <f t="shared" si="285"/>
        <v>8.7754724454813346E-2</v>
      </c>
      <c r="N1812" s="2">
        <f t="shared" si="286"/>
        <v>4.3877362227406673E-2</v>
      </c>
      <c r="O1812" s="2">
        <f t="shared" si="287"/>
        <v>0.1610299193745825</v>
      </c>
      <c r="P1812" s="2">
        <v>72.552441999999999</v>
      </c>
      <c r="Q1812" s="2">
        <v>23.036152000000001</v>
      </c>
    </row>
    <row r="1813" spans="1:17" x14ac:dyDescent="0.25">
      <c r="A1813" s="2">
        <v>1991</v>
      </c>
      <c r="B1813" s="2" t="s">
        <v>74</v>
      </c>
      <c r="C1813" s="2">
        <v>3</v>
      </c>
      <c r="D1813" s="2">
        <f t="shared" si="280"/>
        <v>7.62</v>
      </c>
      <c r="E1813" s="2">
        <f t="shared" si="281"/>
        <v>2.4255213327204852</v>
      </c>
      <c r="F1813" s="2">
        <f t="shared" si="282"/>
        <v>0.95492965855137202</v>
      </c>
      <c r="G1813" s="2">
        <v>2.1032169999999999</v>
      </c>
      <c r="H1813" s="2">
        <f t="shared" si="283"/>
        <v>6.9003184622799996</v>
      </c>
      <c r="I1813" s="2">
        <f>INDEX('Wood Density Lookup'!$B$2:$B$152,MATCH(B1813,'Wood Density Lookup'!$A$2:$A$152,0))</f>
        <v>0.5</v>
      </c>
      <c r="J1813" s="2">
        <f t="shared" si="284"/>
        <v>0.39855127834726656</v>
      </c>
      <c r="K1813" s="2">
        <f t="shared" si="288"/>
        <v>0.11159435793723464</v>
      </c>
      <c r="L1813" s="2">
        <f t="shared" si="289"/>
        <v>0.51014563628450116</v>
      </c>
      <c r="M1813" s="2">
        <f t="shared" si="285"/>
        <v>0.36985558630626331</v>
      </c>
      <c r="N1813" s="2">
        <f t="shared" si="286"/>
        <v>0.18492779315313165</v>
      </c>
      <c r="O1813" s="2">
        <f t="shared" si="287"/>
        <v>0.67868500087199313</v>
      </c>
      <c r="P1813" s="2">
        <v>72.552442999999997</v>
      </c>
      <c r="Q1813" s="2">
        <v>23.036173999999999</v>
      </c>
    </row>
    <row r="1814" spans="1:17" x14ac:dyDescent="0.25">
      <c r="A1814" s="2">
        <v>1992</v>
      </c>
      <c r="B1814" s="2" t="s">
        <v>33</v>
      </c>
      <c r="C1814" s="2">
        <v>11</v>
      </c>
      <c r="D1814" s="2">
        <f t="shared" si="280"/>
        <v>27.94</v>
      </c>
      <c r="E1814" s="2">
        <f t="shared" si="281"/>
        <v>8.8935782199751117</v>
      </c>
      <c r="F1814" s="2">
        <f t="shared" si="282"/>
        <v>3.5014087480216975</v>
      </c>
      <c r="G1814" s="2">
        <v>2.0505140000000002</v>
      </c>
      <c r="H1814" s="2">
        <f t="shared" si="283"/>
        <v>6.7274083517600003</v>
      </c>
      <c r="I1814" s="2">
        <f>INDEX('Wood Density Lookup'!$B$2:$B$152,MATCH(B1814,'Wood Density Lookup'!$A$2:$A$152,0))</f>
        <v>0.65</v>
      </c>
      <c r="J1814" s="2">
        <f t="shared" si="284"/>
        <v>6.3444491096415483</v>
      </c>
      <c r="K1814" s="2">
        <f t="shared" si="288"/>
        <v>1.7764457506996336</v>
      </c>
      <c r="L1814" s="2">
        <f t="shared" si="289"/>
        <v>8.1208948603411812</v>
      </c>
      <c r="M1814" s="2">
        <f t="shared" si="285"/>
        <v>5.8876487737473564</v>
      </c>
      <c r="N1814" s="2">
        <f t="shared" si="286"/>
        <v>2.9438243868736782</v>
      </c>
      <c r="O1814" s="2">
        <f t="shared" si="287"/>
        <v>10.803835499826398</v>
      </c>
      <c r="P1814" s="2">
        <v>72.552443999999994</v>
      </c>
      <c r="Q1814" s="2">
        <v>23.038136000000002</v>
      </c>
    </row>
    <row r="1815" spans="1:17" x14ac:dyDescent="0.25">
      <c r="A1815" s="2">
        <v>1993</v>
      </c>
      <c r="B1815" s="2" t="s">
        <v>93</v>
      </c>
      <c r="C1815" s="2">
        <v>4</v>
      </c>
      <c r="D1815" s="2">
        <f t="shared" si="280"/>
        <v>10.16</v>
      </c>
      <c r="E1815" s="2">
        <f t="shared" si="281"/>
        <v>3.2340284436273135</v>
      </c>
      <c r="F1815" s="2">
        <f t="shared" si="282"/>
        <v>1.2732395447351628</v>
      </c>
      <c r="G1815" s="2">
        <v>2.6067420000000001</v>
      </c>
      <c r="H1815" s="2">
        <f t="shared" si="283"/>
        <v>8.5523034232799997</v>
      </c>
      <c r="I1815" s="2">
        <f>INDEX('Wood Density Lookup'!$B$2:$B$152,MATCH(B1815,'Wood Density Lookup'!$A$2:$A$152,0))</f>
        <v>0.9</v>
      </c>
      <c r="J1815" s="2">
        <f t="shared" si="284"/>
        <v>1.5292814338965464</v>
      </c>
      <c r="K1815" s="2">
        <f t="shared" si="288"/>
        <v>0.42819880149103301</v>
      </c>
      <c r="L1815" s="2">
        <f t="shared" si="289"/>
        <v>1.9574802353875793</v>
      </c>
      <c r="M1815" s="2">
        <f t="shared" si="285"/>
        <v>1.4191731706559949</v>
      </c>
      <c r="N1815" s="2">
        <f t="shared" si="286"/>
        <v>0.70958658532799745</v>
      </c>
      <c r="O1815" s="2">
        <f t="shared" si="287"/>
        <v>2.6041827681537506</v>
      </c>
      <c r="P1815" s="2">
        <v>72.552445000000006</v>
      </c>
      <c r="Q1815" s="2">
        <v>23.035641999999999</v>
      </c>
    </row>
    <row r="1816" spans="1:17" x14ac:dyDescent="0.25">
      <c r="A1816" s="2">
        <v>1994</v>
      </c>
      <c r="B1816" s="2" t="s">
        <v>50</v>
      </c>
      <c r="C1816" s="2">
        <v>2</v>
      </c>
      <c r="D1816" s="2">
        <f t="shared" si="280"/>
        <v>5.08</v>
      </c>
      <c r="E1816" s="2">
        <f t="shared" si="281"/>
        <v>1.6170142218136567</v>
      </c>
      <c r="F1816" s="2">
        <f t="shared" si="282"/>
        <v>0.63661977236758138</v>
      </c>
      <c r="G1816" s="2">
        <v>1.132209</v>
      </c>
      <c r="H1816" s="2">
        <f t="shared" si="283"/>
        <v>3.7145965755599999</v>
      </c>
      <c r="I1816" s="2">
        <f>INDEX('Wood Density Lookup'!$B$2:$B$152,MATCH(B1816,'Wood Density Lookup'!$A$2:$A$152,0))</f>
        <v>0.5</v>
      </c>
      <c r="J1816" s="2">
        <f t="shared" si="284"/>
        <v>9.8685095939412451E-2</v>
      </c>
      <c r="K1816" s="2">
        <f t="shared" si="288"/>
        <v>2.7631826863035489E-2</v>
      </c>
      <c r="L1816" s="2">
        <f t="shared" si="289"/>
        <v>0.12631692280244794</v>
      </c>
      <c r="M1816" s="2">
        <f t="shared" si="285"/>
        <v>9.1579769031774755E-2</v>
      </c>
      <c r="N1816" s="2">
        <f t="shared" si="286"/>
        <v>4.5789884515887377E-2</v>
      </c>
      <c r="O1816" s="2">
        <f t="shared" si="287"/>
        <v>0.16804887617330666</v>
      </c>
      <c r="P1816" s="2">
        <v>72.552445000000006</v>
      </c>
      <c r="Q1816" s="2">
        <v>23.036107999999999</v>
      </c>
    </row>
    <row r="1817" spans="1:17" x14ac:dyDescent="0.25">
      <c r="A1817" s="2">
        <v>1995</v>
      </c>
      <c r="B1817" s="2" t="s">
        <v>50</v>
      </c>
      <c r="C1817" s="2">
        <v>3</v>
      </c>
      <c r="D1817" s="2">
        <f t="shared" si="280"/>
        <v>7.62</v>
      </c>
      <c r="E1817" s="2">
        <f t="shared" si="281"/>
        <v>2.4255213327204852</v>
      </c>
      <c r="F1817" s="2">
        <f t="shared" si="282"/>
        <v>0.95492965855137202</v>
      </c>
      <c r="G1817" s="2">
        <v>2.0650840000000001</v>
      </c>
      <c r="H1817" s="2">
        <f t="shared" si="283"/>
        <v>6.7752101905600002</v>
      </c>
      <c r="I1817" s="2">
        <f>INDEX('Wood Density Lookup'!$B$2:$B$152,MATCH(B1817,'Wood Density Lookup'!$A$2:$A$152,0))</f>
        <v>0.5</v>
      </c>
      <c r="J1817" s="2">
        <f t="shared" si="284"/>
        <v>0.39149710734771143</v>
      </c>
      <c r="K1817" s="2">
        <f t="shared" si="288"/>
        <v>0.10961919005735921</v>
      </c>
      <c r="L1817" s="2">
        <f t="shared" si="289"/>
        <v>0.50111629740507069</v>
      </c>
      <c r="M1817" s="2">
        <f t="shared" si="285"/>
        <v>0.36330931561867624</v>
      </c>
      <c r="N1817" s="2">
        <f t="shared" si="286"/>
        <v>0.18165465780933812</v>
      </c>
      <c r="O1817" s="2">
        <f t="shared" si="287"/>
        <v>0.66667259416027091</v>
      </c>
      <c r="P1817" s="2">
        <v>72.552446000000003</v>
      </c>
      <c r="Q1817" s="2">
        <v>23.036128999999999</v>
      </c>
    </row>
    <row r="1818" spans="1:17" x14ac:dyDescent="0.25">
      <c r="A1818" s="2">
        <v>1996</v>
      </c>
      <c r="B1818" s="2" t="s">
        <v>46</v>
      </c>
      <c r="C1818" s="2">
        <v>2</v>
      </c>
      <c r="D1818" s="2">
        <f t="shared" si="280"/>
        <v>5.08</v>
      </c>
      <c r="E1818" s="2">
        <f t="shared" si="281"/>
        <v>1.6170142218136567</v>
      </c>
      <c r="F1818" s="2">
        <f t="shared" si="282"/>
        <v>0.63661977236758138</v>
      </c>
      <c r="G1818" s="2">
        <v>2.1943229999999998</v>
      </c>
      <c r="H1818" s="2">
        <f t="shared" si="283"/>
        <v>7.1992226713199994</v>
      </c>
      <c r="I1818" s="2">
        <f>INDEX('Wood Density Lookup'!$B$2:$B$152,MATCH(B1818,'Wood Density Lookup'!$A$2:$A$152,0))</f>
        <v>0.6</v>
      </c>
      <c r="J1818" s="2">
        <f t="shared" si="284"/>
        <v>0.22491034998919598</v>
      </c>
      <c r="K1818" s="2">
        <f t="shared" si="288"/>
        <v>6.297489799697488E-2</v>
      </c>
      <c r="L1818" s="2">
        <f t="shared" si="289"/>
        <v>0.28788524798617088</v>
      </c>
      <c r="M1818" s="2">
        <f t="shared" si="285"/>
        <v>0.20871680478997387</v>
      </c>
      <c r="N1818" s="2">
        <f t="shared" si="286"/>
        <v>0.10435840239498693</v>
      </c>
      <c r="O1818" s="2">
        <f t="shared" si="287"/>
        <v>0.38299533678960207</v>
      </c>
      <c r="P1818" s="2">
        <v>72.552447000000001</v>
      </c>
      <c r="Q1818" s="2">
        <v>23.035533999999998</v>
      </c>
    </row>
    <row r="1819" spans="1:17" x14ac:dyDescent="0.25">
      <c r="A1819" s="2">
        <v>1997</v>
      </c>
      <c r="B1819" s="2" t="s">
        <v>114</v>
      </c>
      <c r="C1819" s="2">
        <v>42</v>
      </c>
      <c r="D1819" s="2">
        <f t="shared" si="280"/>
        <v>106.68</v>
      </c>
      <c r="E1819" s="2">
        <f t="shared" si="281"/>
        <v>33.957298658086792</v>
      </c>
      <c r="F1819" s="2">
        <f t="shared" si="282"/>
        <v>13.369015219719209</v>
      </c>
      <c r="G1819" s="2">
        <v>15.891498</v>
      </c>
      <c r="H1819" s="2">
        <f t="shared" si="283"/>
        <v>52.137462298320003</v>
      </c>
      <c r="I1819" s="2">
        <f>INDEX('Wood Density Lookup'!$B$2:$B$152,MATCH(B1819,'Wood Density Lookup'!$A$2:$A$152,0))</f>
        <v>0.55000000000000004</v>
      </c>
      <c r="J1819" s="2">
        <f t="shared" si="284"/>
        <v>543.66003512202803</v>
      </c>
      <c r="K1819" s="2">
        <f t="shared" si="288"/>
        <v>152.22480983416787</v>
      </c>
      <c r="L1819" s="2">
        <f t="shared" si="289"/>
        <v>695.88484495619593</v>
      </c>
      <c r="M1819" s="2">
        <f t="shared" si="285"/>
        <v>504.51651259324206</v>
      </c>
      <c r="N1819" s="2">
        <f t="shared" si="286"/>
        <v>252.25825629662103</v>
      </c>
      <c r="O1819" s="2">
        <f t="shared" si="287"/>
        <v>925.78780060859913</v>
      </c>
      <c r="P1819" s="2">
        <v>72.552447999999998</v>
      </c>
      <c r="Q1819" s="2">
        <v>23.036762</v>
      </c>
    </row>
    <row r="1820" spans="1:17" x14ac:dyDescent="0.25">
      <c r="A1820" s="2">
        <v>1998</v>
      </c>
      <c r="B1820" s="2" t="s">
        <v>57</v>
      </c>
      <c r="C1820" s="2">
        <v>43</v>
      </c>
      <c r="D1820" s="2">
        <f t="shared" si="280"/>
        <v>109.22</v>
      </c>
      <c r="E1820" s="2">
        <f t="shared" si="281"/>
        <v>34.765805768993616</v>
      </c>
      <c r="F1820" s="2">
        <f t="shared" si="282"/>
        <v>13.687325105903</v>
      </c>
      <c r="G1820" s="2">
        <v>16.517216000000001</v>
      </c>
      <c r="H1820" s="2">
        <f t="shared" si="283"/>
        <v>54.190342941440001</v>
      </c>
      <c r="I1820" s="2">
        <f>INDEX('Wood Density Lookup'!$B$2:$B$152,MATCH(B1820,'Wood Density Lookup'!$A$2:$A$152,0))</f>
        <v>0.6</v>
      </c>
      <c r="J1820" s="2">
        <f t="shared" si="284"/>
        <v>643.46708582416977</v>
      </c>
      <c r="K1820" s="2">
        <f t="shared" si="288"/>
        <v>180.17078403076755</v>
      </c>
      <c r="L1820" s="2">
        <f t="shared" si="289"/>
        <v>823.63786985493732</v>
      </c>
      <c r="M1820" s="2">
        <f t="shared" si="285"/>
        <v>597.13745564482952</v>
      </c>
      <c r="N1820" s="2">
        <f t="shared" si="286"/>
        <v>298.56872782241476</v>
      </c>
      <c r="O1820" s="2">
        <f t="shared" si="287"/>
        <v>1095.7472311082622</v>
      </c>
      <c r="P1820" s="2">
        <v>72.552448999999996</v>
      </c>
      <c r="Q1820" s="2">
        <v>23.035159</v>
      </c>
    </row>
    <row r="1821" spans="1:17" x14ac:dyDescent="0.25">
      <c r="A1821" s="2">
        <v>1999</v>
      </c>
      <c r="B1821" s="2" t="s">
        <v>50</v>
      </c>
      <c r="C1821" s="2">
        <v>3</v>
      </c>
      <c r="D1821" s="2">
        <f t="shared" si="280"/>
        <v>7.62</v>
      </c>
      <c r="E1821" s="2">
        <f t="shared" si="281"/>
        <v>2.4255213327204852</v>
      </c>
      <c r="F1821" s="2">
        <f t="shared" si="282"/>
        <v>0.95492965855137202</v>
      </c>
      <c r="G1821" s="2">
        <v>10.037329</v>
      </c>
      <c r="H1821" s="2">
        <f t="shared" si="283"/>
        <v>32.930870476359999</v>
      </c>
      <c r="I1821" s="2">
        <f>INDEX('Wood Density Lookup'!$B$2:$B$152,MATCH(B1821,'Wood Density Lookup'!$A$2:$A$152,0))</f>
        <v>0.5</v>
      </c>
      <c r="J1821" s="2">
        <f t="shared" si="284"/>
        <v>1.832013479254361</v>
      </c>
      <c r="K1821" s="2">
        <f t="shared" si="288"/>
        <v>0.51296377419122108</v>
      </c>
      <c r="L1821" s="2">
        <f t="shared" si="289"/>
        <v>2.3449772534455819</v>
      </c>
      <c r="M1821" s="2">
        <f t="shared" si="285"/>
        <v>1.7001085087480468</v>
      </c>
      <c r="N1821" s="2">
        <f t="shared" si="286"/>
        <v>0.85005425437402338</v>
      </c>
      <c r="O1821" s="2">
        <f t="shared" si="287"/>
        <v>3.1196991135526657</v>
      </c>
      <c r="P1821" s="2">
        <v>72.552451000000005</v>
      </c>
      <c r="Q1821" s="2">
        <v>23.036653000000001</v>
      </c>
    </row>
    <row r="1822" spans="1:17" x14ac:dyDescent="0.25">
      <c r="A1822" s="2">
        <v>2000</v>
      </c>
      <c r="B1822" s="2" t="s">
        <v>15</v>
      </c>
      <c r="C1822" s="2">
        <v>3</v>
      </c>
      <c r="D1822" s="2">
        <f t="shared" si="280"/>
        <v>7.62</v>
      </c>
      <c r="E1822" s="2">
        <f t="shared" si="281"/>
        <v>2.4255213327204852</v>
      </c>
      <c r="F1822" s="2">
        <f t="shared" si="282"/>
        <v>0.95492965855137202</v>
      </c>
      <c r="G1822" s="2">
        <v>2.0479370000000001</v>
      </c>
      <c r="H1822" s="2">
        <f t="shared" si="283"/>
        <v>6.7189536270800003</v>
      </c>
      <c r="I1822" s="2">
        <f>INDEX('Wood Density Lookup'!$B$2:$B$152,MATCH(B1822,'Wood Density Lookup'!$A$2:$A$152,0))</f>
        <v>0.75</v>
      </c>
      <c r="J1822" s="2">
        <f t="shared" si="284"/>
        <v>0.5768453606123739</v>
      </c>
      <c r="K1822" s="2">
        <f t="shared" si="288"/>
        <v>0.1615167009714647</v>
      </c>
      <c r="L1822" s="2">
        <f t="shared" si="289"/>
        <v>0.73836206158383866</v>
      </c>
      <c r="M1822" s="2">
        <f t="shared" si="285"/>
        <v>0.53531249464828301</v>
      </c>
      <c r="N1822" s="2">
        <f t="shared" si="286"/>
        <v>0.26765624732414151</v>
      </c>
      <c r="O1822" s="2">
        <f t="shared" si="287"/>
        <v>0.9822984276795993</v>
      </c>
      <c r="P1822" s="2">
        <v>72.552453</v>
      </c>
      <c r="Q1822" s="2">
        <v>23.035679999999999</v>
      </c>
    </row>
    <row r="1823" spans="1:17" x14ac:dyDescent="0.25">
      <c r="A1823" s="2">
        <v>2001</v>
      </c>
      <c r="B1823" s="2" t="s">
        <v>50</v>
      </c>
      <c r="C1823" s="2">
        <v>2</v>
      </c>
      <c r="D1823" s="2">
        <f t="shared" si="280"/>
        <v>5.08</v>
      </c>
      <c r="E1823" s="2">
        <f t="shared" si="281"/>
        <v>1.6170142218136567</v>
      </c>
      <c r="F1823" s="2">
        <f t="shared" si="282"/>
        <v>0.63661977236758138</v>
      </c>
      <c r="G1823" s="2">
        <v>8.0549920000000004</v>
      </c>
      <c r="H1823" s="2">
        <f t="shared" si="283"/>
        <v>26.427139953280001</v>
      </c>
      <c r="I1823" s="2">
        <f>INDEX('Wood Density Lookup'!$B$2:$B$152,MATCH(B1823,'Wood Density Lookup'!$A$2:$A$152,0))</f>
        <v>0.5</v>
      </c>
      <c r="J1823" s="2">
        <f t="shared" si="284"/>
        <v>0.66979014624550193</v>
      </c>
      <c r="K1823" s="2">
        <f t="shared" si="288"/>
        <v>0.18754124094874056</v>
      </c>
      <c r="L1823" s="2">
        <f t="shared" si="289"/>
        <v>0.85733138719424251</v>
      </c>
      <c r="M1823" s="2">
        <f t="shared" si="285"/>
        <v>0.62156525571582577</v>
      </c>
      <c r="N1823" s="2">
        <f t="shared" si="286"/>
        <v>0.31078262785791289</v>
      </c>
      <c r="O1823" s="2">
        <f t="shared" si="287"/>
        <v>1.1405722442385402</v>
      </c>
      <c r="P1823" s="2">
        <v>72.552453</v>
      </c>
      <c r="Q1823" s="2">
        <v>23.036629000000001</v>
      </c>
    </row>
    <row r="1824" spans="1:17" x14ac:dyDescent="0.25">
      <c r="A1824" s="2">
        <v>2002</v>
      </c>
      <c r="B1824" s="2" t="s">
        <v>78</v>
      </c>
      <c r="C1824" s="2">
        <v>5</v>
      </c>
      <c r="D1824" s="2">
        <f t="shared" si="280"/>
        <v>12.7</v>
      </c>
      <c r="E1824" s="2">
        <f t="shared" si="281"/>
        <v>4.0425355545341413</v>
      </c>
      <c r="F1824" s="2">
        <f t="shared" si="282"/>
        <v>1.5915494309189535</v>
      </c>
      <c r="G1824" s="2">
        <v>3.7700830000000001</v>
      </c>
      <c r="H1824" s="2">
        <f t="shared" si="283"/>
        <v>12.369039109720001</v>
      </c>
      <c r="I1824" s="2">
        <f>INDEX('Wood Density Lookup'!$B$2:$B$152,MATCH(B1824,'Wood Density Lookup'!$A$2:$A$152,0))</f>
        <v>0.55000000000000004</v>
      </c>
      <c r="J1824" s="2">
        <f t="shared" si="284"/>
        <v>2.0956360009682515</v>
      </c>
      <c r="K1824" s="2">
        <f t="shared" si="288"/>
        <v>0.58677808027111045</v>
      </c>
      <c r="L1824" s="2">
        <f t="shared" si="289"/>
        <v>2.682414081239362</v>
      </c>
      <c r="M1824" s="2">
        <f t="shared" si="285"/>
        <v>1.9447502088985373</v>
      </c>
      <c r="N1824" s="2">
        <f t="shared" si="286"/>
        <v>0.97237510444926867</v>
      </c>
      <c r="O1824" s="2">
        <f t="shared" si="287"/>
        <v>3.5686166333288161</v>
      </c>
      <c r="P1824" s="2">
        <v>72.552453999999997</v>
      </c>
      <c r="Q1824" s="2">
        <v>23.038169</v>
      </c>
    </row>
    <row r="1825" spans="1:17" x14ac:dyDescent="0.25">
      <c r="A1825" s="2">
        <v>2003</v>
      </c>
      <c r="B1825" s="2" t="s">
        <v>50</v>
      </c>
      <c r="C1825" s="2">
        <v>2</v>
      </c>
      <c r="D1825" s="2">
        <f t="shared" si="280"/>
        <v>5.08</v>
      </c>
      <c r="E1825" s="2">
        <f t="shared" si="281"/>
        <v>1.6170142218136567</v>
      </c>
      <c r="F1825" s="2">
        <f t="shared" si="282"/>
        <v>0.63661977236758138</v>
      </c>
      <c r="G1825" s="2">
        <v>9.8718419999999991</v>
      </c>
      <c r="H1825" s="2">
        <f t="shared" si="283"/>
        <v>32.387934107279996</v>
      </c>
      <c r="I1825" s="2">
        <f>INDEX('Wood Density Lookup'!$B$2:$B$152,MATCH(B1825,'Wood Density Lookup'!$A$2:$A$152,0))</f>
        <v>0.5</v>
      </c>
      <c r="J1825" s="2">
        <f t="shared" si="284"/>
        <v>0.81686792309345746</v>
      </c>
      <c r="K1825" s="2">
        <f t="shared" si="288"/>
        <v>0.2287230184661681</v>
      </c>
      <c r="L1825" s="2">
        <f t="shared" si="289"/>
        <v>1.0455909415596256</v>
      </c>
      <c r="M1825" s="2">
        <f t="shared" si="285"/>
        <v>0.75805343263072855</v>
      </c>
      <c r="N1825" s="2">
        <f t="shared" si="286"/>
        <v>0.37902671631536428</v>
      </c>
      <c r="O1825" s="2">
        <f t="shared" si="287"/>
        <v>1.391028048877387</v>
      </c>
      <c r="P1825" s="2">
        <v>72.552453999999997</v>
      </c>
      <c r="Q1825" s="2">
        <v>23.036608000000001</v>
      </c>
    </row>
    <row r="1826" spans="1:17" x14ac:dyDescent="0.25">
      <c r="A1826" s="2">
        <v>2004</v>
      </c>
      <c r="B1826" s="2" t="s">
        <v>114</v>
      </c>
      <c r="C1826" s="2">
        <v>30</v>
      </c>
      <c r="D1826" s="2">
        <f t="shared" si="280"/>
        <v>76.2</v>
      </c>
      <c r="E1826" s="2">
        <f t="shared" si="281"/>
        <v>24.255213327204849</v>
      </c>
      <c r="F1826" s="2">
        <f t="shared" si="282"/>
        <v>9.5492965855137211</v>
      </c>
      <c r="G1826" s="2">
        <v>9.8126739999999995</v>
      </c>
      <c r="H1826" s="2">
        <f t="shared" si="283"/>
        <v>32.193813366160001</v>
      </c>
      <c r="I1826" s="2">
        <f>INDEX('Wood Density Lookup'!$B$2:$B$152,MATCH(B1826,'Wood Density Lookup'!$A$2:$A$152,0))</f>
        <v>0.55000000000000004</v>
      </c>
      <c r="J1826" s="2">
        <f t="shared" si="284"/>
        <v>176.08934403449311</v>
      </c>
      <c r="K1826" s="2">
        <f t="shared" si="288"/>
        <v>49.305016329658073</v>
      </c>
      <c r="L1826" s="2">
        <f t="shared" si="289"/>
        <v>225.39436036415117</v>
      </c>
      <c r="M1826" s="2">
        <f t="shared" si="285"/>
        <v>163.4109112640096</v>
      </c>
      <c r="N1826" s="2">
        <f t="shared" si="286"/>
        <v>81.705455632004799</v>
      </c>
      <c r="O1826" s="2">
        <f t="shared" si="287"/>
        <v>299.8590221694576</v>
      </c>
      <c r="P1826" s="2">
        <v>72.552454999999995</v>
      </c>
      <c r="Q1826" s="2">
        <v>23.034782</v>
      </c>
    </row>
    <row r="1827" spans="1:17" x14ac:dyDescent="0.25">
      <c r="A1827" s="2">
        <v>2005</v>
      </c>
      <c r="B1827" s="2" t="s">
        <v>50</v>
      </c>
      <c r="C1827" s="2">
        <v>3</v>
      </c>
      <c r="D1827" s="2">
        <f t="shared" si="280"/>
        <v>7.62</v>
      </c>
      <c r="E1827" s="2">
        <f t="shared" si="281"/>
        <v>2.4255213327204852</v>
      </c>
      <c r="F1827" s="2">
        <f t="shared" si="282"/>
        <v>0.95492965855137202</v>
      </c>
      <c r="G1827" s="2">
        <v>12.260885</v>
      </c>
      <c r="H1827" s="2">
        <f t="shared" si="283"/>
        <v>40.2260019434</v>
      </c>
      <c r="I1827" s="2">
        <f>INDEX('Wood Density Lookup'!$B$2:$B$152,MATCH(B1827,'Wood Density Lookup'!$A$2:$A$152,0))</f>
        <v>0.5</v>
      </c>
      <c r="J1827" s="2">
        <f t="shared" si="284"/>
        <v>2.2271354787236088</v>
      </c>
      <c r="K1827" s="2">
        <f t="shared" si="288"/>
        <v>0.62359793404261055</v>
      </c>
      <c r="L1827" s="2">
        <f t="shared" si="289"/>
        <v>2.8507334127662194</v>
      </c>
      <c r="M1827" s="2">
        <f t="shared" si="285"/>
        <v>2.0667817242555091</v>
      </c>
      <c r="N1827" s="2">
        <f t="shared" si="286"/>
        <v>1.0333908621277546</v>
      </c>
      <c r="O1827" s="2">
        <f t="shared" si="287"/>
        <v>3.7925444640088593</v>
      </c>
      <c r="P1827" s="2">
        <v>72.552454999999995</v>
      </c>
      <c r="Q1827" s="2">
        <v>23.036594999999998</v>
      </c>
    </row>
    <row r="1828" spans="1:17" x14ac:dyDescent="0.25">
      <c r="A1828" s="2">
        <v>2006</v>
      </c>
      <c r="B1828" s="2" t="s">
        <v>50</v>
      </c>
      <c r="C1828" s="2">
        <v>4</v>
      </c>
      <c r="D1828" s="2">
        <f t="shared" si="280"/>
        <v>10.16</v>
      </c>
      <c r="E1828" s="2">
        <f t="shared" si="281"/>
        <v>3.2340284436273135</v>
      </c>
      <c r="F1828" s="2">
        <f t="shared" si="282"/>
        <v>1.2732395447351628</v>
      </c>
      <c r="G1828" s="2">
        <v>13.250401999999999</v>
      </c>
      <c r="H1828" s="2">
        <f t="shared" si="283"/>
        <v>43.472448897679996</v>
      </c>
      <c r="I1828" s="2">
        <f>INDEX('Wood Density Lookup'!$B$2:$B$152,MATCH(B1828,'Wood Density Lookup'!$A$2:$A$152,0))</f>
        <v>0.5</v>
      </c>
      <c r="J1828" s="2">
        <f t="shared" si="284"/>
        <v>4.2123583691134883</v>
      </c>
      <c r="K1828" s="2">
        <f t="shared" si="288"/>
        <v>1.1794603433517767</v>
      </c>
      <c r="L1828" s="2">
        <f t="shared" si="289"/>
        <v>5.3918187124652652</v>
      </c>
      <c r="M1828" s="2">
        <f t="shared" si="285"/>
        <v>3.909068566537317</v>
      </c>
      <c r="N1828" s="2">
        <f t="shared" si="286"/>
        <v>1.9545342832686585</v>
      </c>
      <c r="O1828" s="2">
        <f t="shared" si="287"/>
        <v>7.1731408195959769</v>
      </c>
      <c r="P1828" s="2">
        <v>72.552454999999995</v>
      </c>
      <c r="Q1828" s="2">
        <v>23.036085</v>
      </c>
    </row>
    <row r="1829" spans="1:17" x14ac:dyDescent="0.25">
      <c r="A1829" s="2">
        <v>2007</v>
      </c>
      <c r="B1829" s="2" t="s">
        <v>50</v>
      </c>
      <c r="C1829" s="2">
        <v>2</v>
      </c>
      <c r="D1829" s="2">
        <f t="shared" si="280"/>
        <v>5.08</v>
      </c>
      <c r="E1829" s="2">
        <f t="shared" si="281"/>
        <v>1.6170142218136567</v>
      </c>
      <c r="F1829" s="2">
        <f t="shared" si="282"/>
        <v>0.63661977236758138</v>
      </c>
      <c r="G1829" s="2">
        <v>12.365444</v>
      </c>
      <c r="H1829" s="2">
        <f t="shared" si="283"/>
        <v>40.569043292960004</v>
      </c>
      <c r="I1829" s="2">
        <f>INDEX('Wood Density Lookup'!$B$2:$B$152,MATCH(B1829,'Wood Density Lookup'!$A$2:$A$152,0))</f>
        <v>0.5</v>
      </c>
      <c r="J1829" s="2">
        <f t="shared" si="284"/>
        <v>1.0176908859373839</v>
      </c>
      <c r="K1829" s="2">
        <f t="shared" si="288"/>
        <v>0.28495344806246753</v>
      </c>
      <c r="L1829" s="2">
        <f t="shared" si="289"/>
        <v>1.3026443339998515</v>
      </c>
      <c r="M1829" s="2">
        <f t="shared" si="285"/>
        <v>0.94441714214989225</v>
      </c>
      <c r="N1829" s="2">
        <f t="shared" si="286"/>
        <v>0.47220857107494613</v>
      </c>
      <c r="O1829" s="2">
        <f t="shared" si="287"/>
        <v>1.7330054558450523</v>
      </c>
      <c r="P1829" s="2">
        <v>72.552457000000004</v>
      </c>
      <c r="Q1829" s="2">
        <v>23.036543999999999</v>
      </c>
    </row>
    <row r="1830" spans="1:17" x14ac:dyDescent="0.25">
      <c r="A1830" s="2">
        <v>2008</v>
      </c>
      <c r="B1830" s="2" t="s">
        <v>50</v>
      </c>
      <c r="C1830" s="2">
        <v>3</v>
      </c>
      <c r="D1830" s="2">
        <f t="shared" si="280"/>
        <v>7.62</v>
      </c>
      <c r="E1830" s="2">
        <f t="shared" si="281"/>
        <v>2.4255213327204852</v>
      </c>
      <c r="F1830" s="2">
        <f t="shared" si="282"/>
        <v>0.95492965855137202</v>
      </c>
      <c r="G1830" s="2">
        <v>8.6118860000000002</v>
      </c>
      <c r="H1830" s="2">
        <f t="shared" si="283"/>
        <v>28.254220064240002</v>
      </c>
      <c r="I1830" s="2">
        <f>INDEX('Wood Density Lookup'!$B$2:$B$152,MATCH(B1830,'Wood Density Lookup'!$A$2:$A$152,0))</f>
        <v>0.5</v>
      </c>
      <c r="J1830" s="2">
        <f t="shared" si="284"/>
        <v>1.5776303579083291</v>
      </c>
      <c r="K1830" s="2">
        <f t="shared" si="288"/>
        <v>0.4417365002143322</v>
      </c>
      <c r="L1830" s="2">
        <f t="shared" si="289"/>
        <v>2.0193668581226611</v>
      </c>
      <c r="M1830" s="2">
        <f t="shared" si="285"/>
        <v>1.4640409721389294</v>
      </c>
      <c r="N1830" s="2">
        <f t="shared" si="286"/>
        <v>0.73202048606946468</v>
      </c>
      <c r="O1830" s="2">
        <f t="shared" si="287"/>
        <v>2.6865151838749353</v>
      </c>
      <c r="P1830" s="2">
        <v>72.552457000000004</v>
      </c>
      <c r="Q1830" s="2">
        <v>23.036569</v>
      </c>
    </row>
    <row r="1831" spans="1:17" x14ac:dyDescent="0.25">
      <c r="A1831" s="2">
        <v>2009</v>
      </c>
      <c r="B1831" s="2" t="s">
        <v>50</v>
      </c>
      <c r="C1831" s="2">
        <v>3</v>
      </c>
      <c r="D1831" s="2">
        <f t="shared" si="280"/>
        <v>7.62</v>
      </c>
      <c r="E1831" s="2">
        <f t="shared" si="281"/>
        <v>2.4255213327204852</v>
      </c>
      <c r="F1831" s="2">
        <f t="shared" si="282"/>
        <v>0.95492965855137202</v>
      </c>
      <c r="G1831" s="2">
        <v>2.1900390000000001</v>
      </c>
      <c r="H1831" s="2">
        <f t="shared" si="283"/>
        <v>7.1851675527600003</v>
      </c>
      <c r="I1831" s="2">
        <f>INDEX('Wood Density Lookup'!$B$2:$B$152,MATCH(B1831,'Wood Density Lookup'!$A$2:$A$152,0))</f>
        <v>0.5</v>
      </c>
      <c r="J1831" s="2">
        <f t="shared" si="284"/>
        <v>0.4146010001572597</v>
      </c>
      <c r="K1831" s="2">
        <f t="shared" si="288"/>
        <v>0.11608828004403272</v>
      </c>
      <c r="L1831" s="2">
        <f t="shared" si="289"/>
        <v>0.53068928020129247</v>
      </c>
      <c r="M1831" s="2">
        <f t="shared" si="285"/>
        <v>0.38474972814593705</v>
      </c>
      <c r="N1831" s="2">
        <f t="shared" si="286"/>
        <v>0.19237486407296853</v>
      </c>
      <c r="O1831" s="2">
        <f t="shared" si="287"/>
        <v>0.70601575114779447</v>
      </c>
      <c r="P1831" s="2">
        <v>72.552457000000004</v>
      </c>
      <c r="Q1831" s="2">
        <v>23.036065000000001</v>
      </c>
    </row>
    <row r="1832" spans="1:17" x14ac:dyDescent="0.25">
      <c r="A1832" s="2">
        <v>2010</v>
      </c>
      <c r="B1832" s="2" t="s">
        <v>31</v>
      </c>
      <c r="C1832" s="2">
        <v>24</v>
      </c>
      <c r="D1832" s="2">
        <f t="shared" si="280"/>
        <v>60.96</v>
      </c>
      <c r="E1832" s="2">
        <f t="shared" si="281"/>
        <v>19.404170661763882</v>
      </c>
      <c r="F1832" s="2">
        <f t="shared" si="282"/>
        <v>7.6394372684109761</v>
      </c>
      <c r="G1832" s="2">
        <v>10.223397</v>
      </c>
      <c r="H1832" s="2">
        <f t="shared" si="283"/>
        <v>33.541329813479997</v>
      </c>
      <c r="I1832" s="2">
        <f>INDEX('Wood Density Lookup'!$B$2:$B$152,MATCH(B1832,'Wood Density Lookup'!$A$2:$A$152,0))</f>
        <v>0.78</v>
      </c>
      <c r="J1832" s="2">
        <f t="shared" si="284"/>
        <v>166.7383670993996</v>
      </c>
      <c r="K1832" s="2">
        <f t="shared" si="288"/>
        <v>46.686742787831889</v>
      </c>
      <c r="L1832" s="2">
        <f t="shared" si="289"/>
        <v>213.42510988723149</v>
      </c>
      <c r="M1832" s="2">
        <f t="shared" si="285"/>
        <v>154.73320466824282</v>
      </c>
      <c r="N1832" s="2">
        <f t="shared" si="286"/>
        <v>77.36660233412141</v>
      </c>
      <c r="O1832" s="2">
        <f t="shared" si="287"/>
        <v>283.93543056622559</v>
      </c>
      <c r="P1832" s="2">
        <v>72.552458000000001</v>
      </c>
      <c r="Q1832" s="2">
        <v>23.035781</v>
      </c>
    </row>
    <row r="1833" spans="1:17" x14ac:dyDescent="0.25">
      <c r="A1833" s="2">
        <v>2011</v>
      </c>
      <c r="B1833" s="2" t="s">
        <v>50</v>
      </c>
      <c r="C1833" s="2">
        <v>4</v>
      </c>
      <c r="D1833" s="2">
        <f t="shared" si="280"/>
        <v>10.16</v>
      </c>
      <c r="E1833" s="2">
        <f t="shared" si="281"/>
        <v>3.2340284436273135</v>
      </c>
      <c r="F1833" s="2">
        <f t="shared" si="282"/>
        <v>1.2732395447351628</v>
      </c>
      <c r="G1833" s="2">
        <v>1.2984089999999999</v>
      </c>
      <c r="H1833" s="2">
        <f t="shared" si="283"/>
        <v>4.2598721835599997</v>
      </c>
      <c r="I1833" s="2">
        <f>INDEX('Wood Density Lookup'!$B$2:$B$152,MATCH(B1833,'Wood Density Lookup'!$A$2:$A$152,0))</f>
        <v>0.5</v>
      </c>
      <c r="J1833" s="2">
        <f t="shared" si="284"/>
        <v>0.43643482310503151</v>
      </c>
      <c r="K1833" s="2">
        <f t="shared" si="288"/>
        <v>0.12220175046940883</v>
      </c>
      <c r="L1833" s="2">
        <f t="shared" si="289"/>
        <v>0.5586365735744403</v>
      </c>
      <c r="M1833" s="2">
        <f t="shared" si="285"/>
        <v>0.40501151584146922</v>
      </c>
      <c r="N1833" s="2">
        <f t="shared" si="286"/>
        <v>0.20250575792073461</v>
      </c>
      <c r="O1833" s="2">
        <f t="shared" si="287"/>
        <v>0.74319613156909603</v>
      </c>
      <c r="P1833" s="2">
        <v>72.552458000000001</v>
      </c>
      <c r="Q1833" s="2">
        <v>23.036048999999998</v>
      </c>
    </row>
    <row r="1834" spans="1:17" x14ac:dyDescent="0.25">
      <c r="A1834" s="2">
        <v>2012</v>
      </c>
      <c r="B1834" s="2" t="s">
        <v>74</v>
      </c>
      <c r="C1834" s="2">
        <v>6</v>
      </c>
      <c r="D1834" s="2">
        <f t="shared" si="280"/>
        <v>15.24</v>
      </c>
      <c r="E1834" s="2">
        <f t="shared" si="281"/>
        <v>4.8510426654409704</v>
      </c>
      <c r="F1834" s="2">
        <f t="shared" si="282"/>
        <v>1.909859317102744</v>
      </c>
      <c r="G1834" s="2">
        <v>13.500952</v>
      </c>
      <c r="H1834" s="2">
        <f t="shared" si="283"/>
        <v>44.294463359680002</v>
      </c>
      <c r="I1834" s="2">
        <f>INDEX('Wood Density Lookup'!$B$2:$B$152,MATCH(B1834,'Wood Density Lookup'!$A$2:$A$152,0))</f>
        <v>0.5</v>
      </c>
      <c r="J1834" s="2">
        <f t="shared" si="284"/>
        <v>9.466632989161214</v>
      </c>
      <c r="K1834" s="2">
        <f t="shared" si="288"/>
        <v>2.6506572369651402</v>
      </c>
      <c r="L1834" s="2">
        <f t="shared" si="289"/>
        <v>12.117290226126354</v>
      </c>
      <c r="M1834" s="2">
        <f t="shared" si="285"/>
        <v>8.7850354139416069</v>
      </c>
      <c r="N1834" s="2">
        <f t="shared" si="286"/>
        <v>4.3925177069708035</v>
      </c>
      <c r="O1834" s="2">
        <f t="shared" si="287"/>
        <v>16.120539984582848</v>
      </c>
      <c r="P1834" s="2">
        <v>72.552458000000001</v>
      </c>
      <c r="Q1834" s="2">
        <v>23.035986999999999</v>
      </c>
    </row>
    <row r="1835" spans="1:17" x14ac:dyDescent="0.25">
      <c r="A1835" s="2">
        <v>2013</v>
      </c>
      <c r="B1835" s="2" t="s">
        <v>74</v>
      </c>
      <c r="C1835" s="2">
        <v>6</v>
      </c>
      <c r="D1835" s="2">
        <f t="shared" si="280"/>
        <v>15.24</v>
      </c>
      <c r="E1835" s="2">
        <f t="shared" si="281"/>
        <v>4.8510426654409704</v>
      </c>
      <c r="F1835" s="2">
        <f t="shared" si="282"/>
        <v>1.909859317102744</v>
      </c>
      <c r="G1835" s="2">
        <v>13.521561</v>
      </c>
      <c r="H1835" s="2">
        <f t="shared" si="283"/>
        <v>44.362078191240002</v>
      </c>
      <c r="I1835" s="2">
        <f>INDEX('Wood Density Lookup'!$B$2:$B$152,MATCH(B1835,'Wood Density Lookup'!$A$2:$A$152,0))</f>
        <v>0.5</v>
      </c>
      <c r="J1835" s="2">
        <f t="shared" si="284"/>
        <v>9.4807365875556364</v>
      </c>
      <c r="K1835" s="2">
        <f t="shared" si="288"/>
        <v>2.6546062445155783</v>
      </c>
      <c r="L1835" s="2">
        <f t="shared" si="289"/>
        <v>12.135342832071215</v>
      </c>
      <c r="M1835" s="2">
        <f t="shared" si="285"/>
        <v>8.7981235532516315</v>
      </c>
      <c r="N1835" s="2">
        <f t="shared" si="286"/>
        <v>4.3990617766258158</v>
      </c>
      <c r="O1835" s="2">
        <f t="shared" si="287"/>
        <v>16.144556720216745</v>
      </c>
      <c r="P1835" s="2">
        <v>72.552459999999996</v>
      </c>
      <c r="Q1835" s="2">
        <v>23.035961</v>
      </c>
    </row>
    <row r="1836" spans="1:17" x14ac:dyDescent="0.25">
      <c r="A1836" s="2">
        <v>2014</v>
      </c>
      <c r="B1836" s="2" t="s">
        <v>119</v>
      </c>
      <c r="C1836" s="2">
        <v>7</v>
      </c>
      <c r="D1836" s="2">
        <f t="shared" si="280"/>
        <v>17.78</v>
      </c>
      <c r="E1836" s="2">
        <f t="shared" si="281"/>
        <v>5.6595497763477987</v>
      </c>
      <c r="F1836" s="2">
        <f t="shared" si="282"/>
        <v>2.228169203286535</v>
      </c>
      <c r="G1836" s="2">
        <v>1.0285610000000001</v>
      </c>
      <c r="H1836" s="2">
        <f t="shared" si="283"/>
        <v>3.3745440712400003</v>
      </c>
      <c r="I1836" s="2">
        <f>INDEX('Wood Density Lookup'!$B$2:$B$152,MATCH(B1836,'Wood Density Lookup'!$A$2:$A$152,0))</f>
        <v>0.6</v>
      </c>
      <c r="J1836" s="2">
        <f t="shared" si="284"/>
        <v>1.2383900498461418</v>
      </c>
      <c r="K1836" s="2">
        <f t="shared" si="288"/>
        <v>0.34674921395691971</v>
      </c>
      <c r="L1836" s="2">
        <f t="shared" si="289"/>
        <v>1.5851392638030615</v>
      </c>
      <c r="M1836" s="2">
        <f t="shared" si="285"/>
        <v>1.1492259662572195</v>
      </c>
      <c r="N1836" s="2">
        <f t="shared" si="286"/>
        <v>0.57461298312860976</v>
      </c>
      <c r="O1836" s="2">
        <f t="shared" si="287"/>
        <v>2.1088296480819979</v>
      </c>
      <c r="P1836" s="2">
        <v>72.552460999999994</v>
      </c>
      <c r="Q1836" s="2">
        <v>23.037886</v>
      </c>
    </row>
    <row r="1837" spans="1:17" x14ac:dyDescent="0.25">
      <c r="A1837" s="2">
        <v>2015</v>
      </c>
      <c r="B1837" s="2" t="s">
        <v>74</v>
      </c>
      <c r="C1837" s="2">
        <v>4</v>
      </c>
      <c r="D1837" s="2">
        <f t="shared" si="280"/>
        <v>10.16</v>
      </c>
      <c r="E1837" s="2">
        <f t="shared" si="281"/>
        <v>3.2340284436273135</v>
      </c>
      <c r="F1837" s="2">
        <f t="shared" si="282"/>
        <v>1.2732395447351628</v>
      </c>
      <c r="G1837" s="2">
        <v>10.636903999999999</v>
      </c>
      <c r="H1837" s="2">
        <f t="shared" si="283"/>
        <v>34.89798011936</v>
      </c>
      <c r="I1837" s="2">
        <f>INDEX('Wood Density Lookup'!$B$2:$B$152,MATCH(B1837,'Wood Density Lookup'!$A$2:$A$152,0))</f>
        <v>0.5</v>
      </c>
      <c r="J1837" s="2">
        <f t="shared" si="284"/>
        <v>3.3993934149233396</v>
      </c>
      <c r="K1837" s="2">
        <f t="shared" si="288"/>
        <v>0.95183015617853517</v>
      </c>
      <c r="L1837" s="2">
        <f t="shared" si="289"/>
        <v>4.3512235711018743</v>
      </c>
      <c r="M1837" s="2">
        <f t="shared" si="285"/>
        <v>3.1546370890488586</v>
      </c>
      <c r="N1837" s="2">
        <f t="shared" si="286"/>
        <v>1.5773185445244293</v>
      </c>
      <c r="O1837" s="2">
        <f t="shared" si="287"/>
        <v>5.7887590584046551</v>
      </c>
      <c r="P1837" s="2">
        <v>72.552460999999994</v>
      </c>
      <c r="Q1837" s="2">
        <v>23.035996000000001</v>
      </c>
    </row>
    <row r="1838" spans="1:17" x14ac:dyDescent="0.25">
      <c r="A1838" s="2">
        <v>2016</v>
      </c>
      <c r="B1838" s="2" t="s">
        <v>95</v>
      </c>
      <c r="C1838" s="2">
        <v>3</v>
      </c>
      <c r="D1838" s="2">
        <f t="shared" si="280"/>
        <v>7.62</v>
      </c>
      <c r="E1838" s="2">
        <f t="shared" si="281"/>
        <v>2.4255213327204852</v>
      </c>
      <c r="F1838" s="2">
        <f t="shared" si="282"/>
        <v>0.95492965855137202</v>
      </c>
      <c r="G1838" s="2">
        <v>1.0230589999999999</v>
      </c>
      <c r="H1838" s="2">
        <f t="shared" si="283"/>
        <v>3.3564928895599997</v>
      </c>
      <c r="I1838" s="2">
        <f>INDEX('Wood Density Lookup'!$B$2:$B$152,MATCH(B1838,'Wood Density Lookup'!$A$2:$A$152,0))</f>
        <v>0.3</v>
      </c>
      <c r="J1838" s="2">
        <f t="shared" si="284"/>
        <v>0.1198086088288053</v>
      </c>
      <c r="K1838" s="2">
        <f t="shared" si="288"/>
        <v>3.354641047206549E-2</v>
      </c>
      <c r="L1838" s="2">
        <f t="shared" si="289"/>
        <v>0.15335501930087078</v>
      </c>
      <c r="M1838" s="2">
        <f t="shared" si="285"/>
        <v>0.11118238899313132</v>
      </c>
      <c r="N1838" s="2">
        <f t="shared" si="286"/>
        <v>5.559119449656566E-2</v>
      </c>
      <c r="O1838" s="2">
        <f t="shared" si="287"/>
        <v>0.20401968380239596</v>
      </c>
      <c r="P1838" s="2">
        <v>72.552460999999994</v>
      </c>
      <c r="Q1838" s="2">
        <v>23.037848</v>
      </c>
    </row>
    <row r="1839" spans="1:17" x14ac:dyDescent="0.25">
      <c r="A1839" s="2">
        <v>2017</v>
      </c>
      <c r="B1839" s="2" t="s">
        <v>105</v>
      </c>
      <c r="C1839" s="2">
        <v>49</v>
      </c>
      <c r="D1839" s="2">
        <f t="shared" si="280"/>
        <v>124.46000000000001</v>
      </c>
      <c r="E1839" s="2">
        <f t="shared" si="281"/>
        <v>39.616848434434594</v>
      </c>
      <c r="F1839" s="2">
        <f t="shared" si="282"/>
        <v>15.597184423005743</v>
      </c>
      <c r="G1839" s="2">
        <v>12.512188999999999</v>
      </c>
      <c r="H1839" s="2">
        <f t="shared" si="283"/>
        <v>41.050490158759999</v>
      </c>
      <c r="I1839" s="2">
        <f>INDEX('Wood Density Lookup'!$B$2:$B$152,MATCH(B1839,'Wood Density Lookup'!$A$2:$A$152,0))</f>
        <v>0.65</v>
      </c>
      <c r="J1839" s="2">
        <f t="shared" si="284"/>
        <v>684.66386699805298</v>
      </c>
      <c r="K1839" s="2">
        <f t="shared" si="288"/>
        <v>191.70588275945485</v>
      </c>
      <c r="L1839" s="2">
        <f t="shared" si="289"/>
        <v>876.36974975750786</v>
      </c>
      <c r="M1839" s="2">
        <f t="shared" si="285"/>
        <v>635.36806857419322</v>
      </c>
      <c r="N1839" s="2">
        <f t="shared" si="286"/>
        <v>317.68403428709661</v>
      </c>
      <c r="O1839" s="2">
        <f t="shared" si="287"/>
        <v>1165.9004058336445</v>
      </c>
      <c r="P1839" s="2">
        <v>72.552462000000006</v>
      </c>
      <c r="Q1839" s="2">
        <v>23.038041</v>
      </c>
    </row>
    <row r="1840" spans="1:17" x14ac:dyDescent="0.25">
      <c r="A1840" s="2">
        <v>2018</v>
      </c>
      <c r="B1840" s="2" t="s">
        <v>74</v>
      </c>
      <c r="C1840" s="2">
        <v>6</v>
      </c>
      <c r="D1840" s="2">
        <f t="shared" si="280"/>
        <v>15.24</v>
      </c>
      <c r="E1840" s="2">
        <f t="shared" si="281"/>
        <v>4.8510426654409704</v>
      </c>
      <c r="F1840" s="2">
        <f t="shared" si="282"/>
        <v>1.909859317102744</v>
      </c>
      <c r="G1840" s="2">
        <v>7.4141510000000004</v>
      </c>
      <c r="H1840" s="2">
        <f t="shared" si="283"/>
        <v>24.324643166840001</v>
      </c>
      <c r="I1840" s="2">
        <f>INDEX('Wood Density Lookup'!$B$2:$B$152,MATCH(B1840,'Wood Density Lookup'!$A$2:$A$152,0))</f>
        <v>0.5</v>
      </c>
      <c r="J1840" s="2">
        <f t="shared" si="284"/>
        <v>5.2739965957324975</v>
      </c>
      <c r="K1840" s="2">
        <f t="shared" si="288"/>
        <v>1.4767190468050995</v>
      </c>
      <c r="L1840" s="2">
        <f t="shared" si="289"/>
        <v>6.7507156425375969</v>
      </c>
      <c r="M1840" s="2">
        <f t="shared" si="285"/>
        <v>4.8942688408397572</v>
      </c>
      <c r="N1840" s="2">
        <f t="shared" si="286"/>
        <v>2.4471344204198786</v>
      </c>
      <c r="O1840" s="2">
        <f t="shared" si="287"/>
        <v>8.9809833229409541</v>
      </c>
      <c r="P1840" s="2">
        <v>72.552462000000006</v>
      </c>
      <c r="Q1840" s="2">
        <v>23.036031000000001</v>
      </c>
    </row>
    <row r="1841" spans="1:17" x14ac:dyDescent="0.25">
      <c r="A1841" s="2">
        <v>2019</v>
      </c>
      <c r="B1841" s="2" t="s">
        <v>74</v>
      </c>
      <c r="C1841" s="2">
        <v>5</v>
      </c>
      <c r="D1841" s="2">
        <f t="shared" si="280"/>
        <v>12.7</v>
      </c>
      <c r="E1841" s="2">
        <f t="shared" si="281"/>
        <v>4.0425355545341413</v>
      </c>
      <c r="F1841" s="2">
        <f t="shared" si="282"/>
        <v>1.5915494309189535</v>
      </c>
      <c r="G1841" s="2">
        <v>9.4119960000000003</v>
      </c>
      <c r="H1841" s="2">
        <f t="shared" si="283"/>
        <v>30.879252956640002</v>
      </c>
      <c r="I1841" s="2">
        <f>INDEX('Wood Density Lookup'!$B$2:$B$152,MATCH(B1841,'Wood Density Lookup'!$A$2:$A$152,0))</f>
        <v>0.5</v>
      </c>
      <c r="J1841" s="2">
        <f t="shared" si="284"/>
        <v>4.6634945394954483</v>
      </c>
      <c r="K1841" s="2">
        <f t="shared" si="288"/>
        <v>1.3057784710587257</v>
      </c>
      <c r="L1841" s="2">
        <f t="shared" si="289"/>
        <v>5.9692730105541738</v>
      </c>
      <c r="M1841" s="2">
        <f t="shared" si="285"/>
        <v>4.3277229326517759</v>
      </c>
      <c r="N1841" s="2">
        <f t="shared" si="286"/>
        <v>2.1638614663258879</v>
      </c>
      <c r="O1841" s="2">
        <f t="shared" si="287"/>
        <v>7.9413715814160089</v>
      </c>
      <c r="P1841" s="2">
        <v>72.552463000000003</v>
      </c>
      <c r="Q1841" s="2">
        <v>23.036014000000002</v>
      </c>
    </row>
    <row r="1842" spans="1:17" x14ac:dyDescent="0.25">
      <c r="A1842" s="2">
        <v>2020</v>
      </c>
      <c r="B1842" s="2" t="s">
        <v>78</v>
      </c>
      <c r="C1842" s="2">
        <v>11</v>
      </c>
      <c r="D1842" s="2">
        <f t="shared" si="280"/>
        <v>27.94</v>
      </c>
      <c r="E1842" s="2">
        <f t="shared" si="281"/>
        <v>8.8935782199751117</v>
      </c>
      <c r="F1842" s="2">
        <f t="shared" si="282"/>
        <v>3.5014087480216975</v>
      </c>
      <c r="G1842" s="2">
        <v>5.599208</v>
      </c>
      <c r="H1842" s="2">
        <f t="shared" si="283"/>
        <v>18.37010557472</v>
      </c>
      <c r="I1842" s="2">
        <f>INDEX('Wood Density Lookup'!$B$2:$B$152,MATCH(B1842,'Wood Density Lookup'!$A$2:$A$152,0))</f>
        <v>0.55000000000000004</v>
      </c>
      <c r="J1842" s="2">
        <f t="shared" si="284"/>
        <v>14.367393829952299</v>
      </c>
      <c r="K1842" s="2">
        <f t="shared" si="288"/>
        <v>4.0228702723866441</v>
      </c>
      <c r="L1842" s="2">
        <f t="shared" si="289"/>
        <v>18.390264102338943</v>
      </c>
      <c r="M1842" s="2">
        <f t="shared" si="285"/>
        <v>13.332941474195733</v>
      </c>
      <c r="N1842" s="2">
        <f t="shared" si="286"/>
        <v>6.6664707370978666</v>
      </c>
      <c r="O1842" s="2">
        <f t="shared" si="287"/>
        <v>24.465947605149172</v>
      </c>
      <c r="P1842" s="2">
        <v>72.552464999999998</v>
      </c>
      <c r="Q1842" s="2">
        <v>23.037965</v>
      </c>
    </row>
    <row r="1843" spans="1:17" x14ac:dyDescent="0.25">
      <c r="A1843" s="2">
        <v>2021</v>
      </c>
      <c r="B1843" s="2" t="s">
        <v>74</v>
      </c>
      <c r="C1843" s="2">
        <v>5</v>
      </c>
      <c r="D1843" s="2">
        <f t="shared" si="280"/>
        <v>12.7</v>
      </c>
      <c r="E1843" s="2">
        <f t="shared" si="281"/>
        <v>4.0425355545341413</v>
      </c>
      <c r="F1843" s="2">
        <f t="shared" si="282"/>
        <v>1.5915494309189535</v>
      </c>
      <c r="G1843" s="2">
        <v>12.327870000000001</v>
      </c>
      <c r="H1843" s="2">
        <f t="shared" si="283"/>
        <v>40.445769010799999</v>
      </c>
      <c r="I1843" s="2">
        <f>INDEX('Wood Density Lookup'!$B$2:$B$152,MATCH(B1843,'Wood Density Lookup'!$A$2:$A$152,0))</f>
        <v>0.5</v>
      </c>
      <c r="J1843" s="2">
        <f t="shared" si="284"/>
        <v>6.0688280570209248</v>
      </c>
      <c r="K1843" s="2">
        <f t="shared" si="288"/>
        <v>1.6992718559658591</v>
      </c>
      <c r="L1843" s="2">
        <f t="shared" si="289"/>
        <v>7.7680999129867843</v>
      </c>
      <c r="M1843" s="2">
        <f t="shared" si="285"/>
        <v>5.6318724369154181</v>
      </c>
      <c r="N1843" s="2">
        <f t="shared" si="286"/>
        <v>2.815936218457709</v>
      </c>
      <c r="O1843" s="2">
        <f t="shared" si="287"/>
        <v>10.334485921739791</v>
      </c>
      <c r="P1843" s="2">
        <v>72.552465999999995</v>
      </c>
      <c r="Q1843" s="2">
        <v>23.035978</v>
      </c>
    </row>
    <row r="1844" spans="1:17" x14ac:dyDescent="0.25">
      <c r="A1844" s="2">
        <v>2022</v>
      </c>
      <c r="B1844" s="2" t="s">
        <v>114</v>
      </c>
      <c r="C1844" s="2">
        <v>34</v>
      </c>
      <c r="D1844" s="2">
        <f t="shared" si="280"/>
        <v>86.36</v>
      </c>
      <c r="E1844" s="2">
        <f t="shared" si="281"/>
        <v>27.489241770832162</v>
      </c>
      <c r="F1844" s="2">
        <f t="shared" si="282"/>
        <v>10.822536130248883</v>
      </c>
      <c r="G1844" s="2">
        <v>12.832331</v>
      </c>
      <c r="H1844" s="2">
        <f t="shared" si="283"/>
        <v>42.100824838039998</v>
      </c>
      <c r="I1844" s="2">
        <f>INDEX('Wood Density Lookup'!$B$2:$B$152,MATCH(B1844,'Wood Density Lookup'!$A$2:$A$152,0))</f>
        <v>0.55000000000000004</v>
      </c>
      <c r="J1844" s="2">
        <f t="shared" si="284"/>
        <v>292.11978926653427</v>
      </c>
      <c r="K1844" s="2">
        <f t="shared" si="288"/>
        <v>81.793540994629609</v>
      </c>
      <c r="L1844" s="2">
        <f t="shared" si="289"/>
        <v>373.91333026116388</v>
      </c>
      <c r="M1844" s="2">
        <f t="shared" si="285"/>
        <v>271.08716443934378</v>
      </c>
      <c r="N1844" s="2">
        <f t="shared" si="286"/>
        <v>135.54358221967189</v>
      </c>
      <c r="O1844" s="2">
        <f t="shared" si="287"/>
        <v>497.44494674619585</v>
      </c>
      <c r="P1844" s="2">
        <v>72.552468000000005</v>
      </c>
      <c r="Q1844" s="2">
        <v>23.03473</v>
      </c>
    </row>
    <row r="1845" spans="1:17" x14ac:dyDescent="0.25">
      <c r="A1845" s="2">
        <v>2023</v>
      </c>
      <c r="B1845" s="2" t="s">
        <v>15</v>
      </c>
      <c r="C1845" s="2">
        <v>104</v>
      </c>
      <c r="D1845" s="2">
        <f t="shared" si="280"/>
        <v>264.16000000000003</v>
      </c>
      <c r="E1845" s="2">
        <f t="shared" si="281"/>
        <v>84.08473953431016</v>
      </c>
      <c r="F1845" s="2">
        <f t="shared" si="282"/>
        <v>33.104228163114229</v>
      </c>
      <c r="G1845" s="2">
        <v>14.125878</v>
      </c>
      <c r="H1845" s="2">
        <f t="shared" si="283"/>
        <v>46.344745577520001</v>
      </c>
      <c r="I1845" s="2">
        <f>INDEX('Wood Density Lookup'!$B$2:$B$152,MATCH(B1845,'Wood Density Lookup'!$A$2:$A$152,0))</f>
        <v>0.75</v>
      </c>
      <c r="J1845" s="2">
        <f t="shared" si="284"/>
        <v>3850.6839892214098</v>
      </c>
      <c r="K1845" s="2">
        <f t="shared" si="288"/>
        <v>1078.1915169819949</v>
      </c>
      <c r="L1845" s="2">
        <f t="shared" si="289"/>
        <v>4928.8755062034052</v>
      </c>
      <c r="M1845" s="2">
        <f t="shared" si="285"/>
        <v>3573.4347419974688</v>
      </c>
      <c r="N1845" s="2">
        <f t="shared" si="286"/>
        <v>1786.7173709987344</v>
      </c>
      <c r="O1845" s="2">
        <f t="shared" si="287"/>
        <v>6557.2527515653555</v>
      </c>
      <c r="P1845" s="2">
        <v>72.55247</v>
      </c>
      <c r="Q1845" s="2">
        <v>23.036501000000001</v>
      </c>
    </row>
    <row r="1846" spans="1:17" x14ac:dyDescent="0.25">
      <c r="A1846" s="2">
        <v>2024</v>
      </c>
      <c r="B1846" s="2" t="s">
        <v>74</v>
      </c>
      <c r="C1846" s="2">
        <v>18</v>
      </c>
      <c r="D1846" s="2">
        <f t="shared" si="280"/>
        <v>45.72</v>
      </c>
      <c r="E1846" s="2">
        <f t="shared" si="281"/>
        <v>14.55312799632291</v>
      </c>
      <c r="F1846" s="2">
        <f t="shared" si="282"/>
        <v>5.7295779513082321</v>
      </c>
      <c r="G1846" s="2">
        <v>14.190623</v>
      </c>
      <c r="H1846" s="2">
        <f t="shared" si="283"/>
        <v>46.557163563320003</v>
      </c>
      <c r="I1846" s="2">
        <f>INDEX('Wood Density Lookup'!$B$2:$B$152,MATCH(B1846,'Wood Density Lookup'!$A$2:$A$152,0))</f>
        <v>0.5</v>
      </c>
      <c r="J1846" s="2">
        <f t="shared" si="284"/>
        <v>84.850422475122713</v>
      </c>
      <c r="K1846" s="2">
        <f t="shared" si="288"/>
        <v>23.758118293034361</v>
      </c>
      <c r="L1846" s="2">
        <f t="shared" si="289"/>
        <v>108.60854076815707</v>
      </c>
      <c r="M1846" s="2">
        <f t="shared" si="285"/>
        <v>78.741192056913874</v>
      </c>
      <c r="N1846" s="2">
        <f t="shared" si="286"/>
        <v>39.370596028456937</v>
      </c>
      <c r="O1846" s="2">
        <f t="shared" si="287"/>
        <v>144.49008742443695</v>
      </c>
      <c r="P1846" s="2">
        <v>72.55247</v>
      </c>
      <c r="Q1846" s="2">
        <v>23.035948999999999</v>
      </c>
    </row>
    <row r="1847" spans="1:17" x14ac:dyDescent="0.25">
      <c r="A1847" s="2">
        <v>2025</v>
      </c>
      <c r="B1847" s="2" t="s">
        <v>59</v>
      </c>
      <c r="C1847" s="2">
        <v>47</v>
      </c>
      <c r="D1847" s="2">
        <f t="shared" si="280"/>
        <v>119.38</v>
      </c>
      <c r="E1847" s="2">
        <f t="shared" si="281"/>
        <v>37.999834212620932</v>
      </c>
      <c r="F1847" s="2">
        <f t="shared" si="282"/>
        <v>14.960564650638162</v>
      </c>
      <c r="G1847" s="2">
        <v>12.524114000000001</v>
      </c>
      <c r="H1847" s="2">
        <f t="shared" si="283"/>
        <v>41.089614175760005</v>
      </c>
      <c r="I1847" s="2">
        <f>INDEX('Wood Density Lookup'!$B$2:$B$152,MATCH(B1847,'Wood Density Lookup'!$A$2:$A$152,0))</f>
        <v>0.45</v>
      </c>
      <c r="J1847" s="2">
        <f t="shared" si="284"/>
        <v>441.25073673240348</v>
      </c>
      <c r="K1847" s="2">
        <f t="shared" si="288"/>
        <v>123.55020628507299</v>
      </c>
      <c r="L1847" s="2">
        <f t="shared" si="289"/>
        <v>564.80094301747647</v>
      </c>
      <c r="M1847" s="2">
        <f t="shared" si="285"/>
        <v>409.48068368767042</v>
      </c>
      <c r="N1847" s="2">
        <f t="shared" si="286"/>
        <v>204.74034184383521</v>
      </c>
      <c r="O1847" s="2">
        <f t="shared" si="287"/>
        <v>751.39705456687523</v>
      </c>
      <c r="P1847" s="2">
        <v>72.552470999999997</v>
      </c>
      <c r="Q1847" s="2">
        <v>23.035879000000001</v>
      </c>
    </row>
    <row r="1848" spans="1:17" x14ac:dyDescent="0.25">
      <c r="A1848" s="2">
        <v>2026</v>
      </c>
      <c r="B1848" s="2" t="s">
        <v>74</v>
      </c>
      <c r="C1848" s="2">
        <v>20</v>
      </c>
      <c r="D1848" s="2">
        <f t="shared" si="280"/>
        <v>50.8</v>
      </c>
      <c r="E1848" s="2">
        <f t="shared" si="281"/>
        <v>16.170142218136565</v>
      </c>
      <c r="F1848" s="2">
        <f t="shared" si="282"/>
        <v>6.366197723675814</v>
      </c>
      <c r="G1848" s="2">
        <v>12.362201000000001</v>
      </c>
      <c r="H1848" s="2">
        <f t="shared" si="283"/>
        <v>40.558403528840003</v>
      </c>
      <c r="I1848" s="2">
        <f>INDEX('Wood Density Lookup'!$B$2:$B$152,MATCH(B1848,'Wood Density Lookup'!$A$2:$A$152,0))</f>
        <v>0.5</v>
      </c>
      <c r="J1848" s="2">
        <f t="shared" si="284"/>
        <v>91.097132080685753</v>
      </c>
      <c r="K1848" s="2">
        <f t="shared" si="288"/>
        <v>25.507196982592014</v>
      </c>
      <c r="L1848" s="2">
        <f t="shared" si="289"/>
        <v>116.60432906327776</v>
      </c>
      <c r="M1848" s="2">
        <f t="shared" si="285"/>
        <v>84.53813857087637</v>
      </c>
      <c r="N1848" s="2">
        <f t="shared" si="286"/>
        <v>42.269069285438185</v>
      </c>
      <c r="O1848" s="2">
        <f t="shared" si="287"/>
        <v>155.12748427755812</v>
      </c>
      <c r="P1848" s="2">
        <v>72.552471999999995</v>
      </c>
      <c r="Q1848" s="2">
        <v>23.035927999999998</v>
      </c>
    </row>
    <row r="1849" spans="1:17" x14ac:dyDescent="0.25">
      <c r="A1849" s="2">
        <v>2027</v>
      </c>
      <c r="B1849" s="2" t="s">
        <v>31</v>
      </c>
      <c r="C1849" s="2">
        <v>27</v>
      </c>
      <c r="D1849" s="2">
        <f t="shared" si="280"/>
        <v>68.58</v>
      </c>
      <c r="E1849" s="2">
        <f t="shared" si="281"/>
        <v>21.829691994484364</v>
      </c>
      <c r="F1849" s="2">
        <f t="shared" si="282"/>
        <v>8.5943669269623477</v>
      </c>
      <c r="G1849" s="2">
        <v>8.9001509999999993</v>
      </c>
      <c r="H1849" s="2">
        <f t="shared" si="283"/>
        <v>29.199971406839996</v>
      </c>
      <c r="I1849" s="2">
        <f>INDEX('Wood Density Lookup'!$B$2:$B$152,MATCH(B1849,'Wood Density Lookup'!$A$2:$A$152,0))</f>
        <v>0.78</v>
      </c>
      <c r="J1849" s="2">
        <f t="shared" si="284"/>
        <v>183.28721208871926</v>
      </c>
      <c r="K1849" s="2">
        <f t="shared" si="288"/>
        <v>51.320419384841394</v>
      </c>
      <c r="L1849" s="2">
        <f t="shared" si="289"/>
        <v>234.60763147356064</v>
      </c>
      <c r="M1849" s="2">
        <f t="shared" si="285"/>
        <v>170.09053281833147</v>
      </c>
      <c r="N1849" s="2">
        <f t="shared" si="286"/>
        <v>85.045266409165734</v>
      </c>
      <c r="O1849" s="2">
        <f t="shared" si="287"/>
        <v>312.11612772163824</v>
      </c>
      <c r="P1849" s="2">
        <v>72.552473000000006</v>
      </c>
      <c r="Q1849" s="2">
        <v>23.038788</v>
      </c>
    </row>
    <row r="1850" spans="1:17" x14ac:dyDescent="0.25">
      <c r="A1850" s="2">
        <v>2028</v>
      </c>
      <c r="B1850" s="2" t="s">
        <v>15</v>
      </c>
      <c r="C1850" s="2">
        <v>9</v>
      </c>
      <c r="D1850" s="2">
        <f t="shared" si="280"/>
        <v>22.86</v>
      </c>
      <c r="E1850" s="2">
        <f t="shared" si="281"/>
        <v>7.2765639981614552</v>
      </c>
      <c r="F1850" s="2">
        <f t="shared" si="282"/>
        <v>2.8647889756541161</v>
      </c>
      <c r="G1850" s="2">
        <v>13.988585</v>
      </c>
      <c r="H1850" s="2">
        <f t="shared" si="283"/>
        <v>45.8943092114</v>
      </c>
      <c r="I1850" s="2">
        <f>INDEX('Wood Density Lookup'!$B$2:$B$152,MATCH(B1850,'Wood Density Lookup'!$A$2:$A$152,0))</f>
        <v>0.75</v>
      </c>
      <c r="J1850" s="2">
        <f t="shared" si="284"/>
        <v>32.124051562715508</v>
      </c>
      <c r="K1850" s="2">
        <f t="shared" si="288"/>
        <v>8.9947344375603429</v>
      </c>
      <c r="L1850" s="2">
        <f t="shared" si="289"/>
        <v>41.118786000275847</v>
      </c>
      <c r="M1850" s="2">
        <f t="shared" si="285"/>
        <v>29.811119850199987</v>
      </c>
      <c r="N1850" s="2">
        <f t="shared" si="286"/>
        <v>14.905559925099993</v>
      </c>
      <c r="O1850" s="2">
        <f t="shared" si="287"/>
        <v>54.703404925116978</v>
      </c>
      <c r="P1850" s="2">
        <v>72.552481</v>
      </c>
      <c r="Q1850" s="2">
        <v>23.035443000000001</v>
      </c>
    </row>
    <row r="1851" spans="1:17" x14ac:dyDescent="0.25">
      <c r="A1851" s="2">
        <v>2029</v>
      </c>
      <c r="B1851" s="2" t="s">
        <v>78</v>
      </c>
      <c r="C1851" s="2">
        <v>122</v>
      </c>
      <c r="D1851" s="2">
        <f t="shared" si="280"/>
        <v>309.88</v>
      </c>
      <c r="E1851" s="2">
        <f t="shared" si="281"/>
        <v>98.637867530633059</v>
      </c>
      <c r="F1851" s="2">
        <f t="shared" si="282"/>
        <v>38.833806114422465</v>
      </c>
      <c r="G1851" s="2">
        <v>8.161346</v>
      </c>
      <c r="H1851" s="2">
        <f t="shared" si="283"/>
        <v>26.776070410639999</v>
      </c>
      <c r="I1851" s="2">
        <f>INDEX('Wood Density Lookup'!$B$2:$B$152,MATCH(B1851,'Wood Density Lookup'!$A$2:$A$152,0))</f>
        <v>0.55000000000000004</v>
      </c>
      <c r="J1851" s="2">
        <f t="shared" si="284"/>
        <v>2274.3736187232589</v>
      </c>
      <c r="K1851" s="2">
        <f t="shared" si="288"/>
        <v>636.82461324251256</v>
      </c>
      <c r="L1851" s="2">
        <f t="shared" si="289"/>
        <v>2911.1982319657714</v>
      </c>
      <c r="M1851" s="2">
        <f t="shared" si="285"/>
        <v>2110.6187181751843</v>
      </c>
      <c r="N1851" s="2">
        <f t="shared" si="286"/>
        <v>1055.3093590875922</v>
      </c>
      <c r="O1851" s="2">
        <f t="shared" si="287"/>
        <v>3872.9853478514633</v>
      </c>
      <c r="P1851" s="2">
        <v>72.552486999999999</v>
      </c>
      <c r="Q1851" s="2">
        <v>23.036629999999999</v>
      </c>
    </row>
    <row r="1852" spans="1:17" x14ac:dyDescent="0.25">
      <c r="A1852" s="2">
        <v>2030</v>
      </c>
      <c r="B1852" s="2" t="s">
        <v>15</v>
      </c>
      <c r="C1852" s="2">
        <v>78</v>
      </c>
      <c r="D1852" s="2">
        <f t="shared" si="280"/>
        <v>198.12</v>
      </c>
      <c r="E1852" s="2">
        <f t="shared" si="281"/>
        <v>63.063554650732613</v>
      </c>
      <c r="F1852" s="2">
        <f t="shared" si="282"/>
        <v>24.828171122335672</v>
      </c>
      <c r="G1852" s="2">
        <v>17.040813</v>
      </c>
      <c r="H1852" s="2">
        <f t="shared" si="283"/>
        <v>55.908180922919996</v>
      </c>
      <c r="I1852" s="2">
        <f>INDEX('Wood Density Lookup'!$B$2:$B$152,MATCH(B1852,'Wood Density Lookup'!$A$2:$A$152,0))</f>
        <v>0.75</v>
      </c>
      <c r="J1852" s="2">
        <f t="shared" si="284"/>
        <v>2637.4056262326503</v>
      </c>
      <c r="K1852" s="2">
        <f t="shared" si="288"/>
        <v>738.47357534514219</v>
      </c>
      <c r="L1852" s="2">
        <f t="shared" si="289"/>
        <v>3375.8792015777926</v>
      </c>
      <c r="M1852" s="2">
        <f t="shared" si="285"/>
        <v>2447.5124211438997</v>
      </c>
      <c r="N1852" s="2">
        <f t="shared" si="286"/>
        <v>1223.7562105719499</v>
      </c>
      <c r="O1852" s="2">
        <f t="shared" si="287"/>
        <v>4491.1852927990558</v>
      </c>
      <c r="P1852" s="2">
        <v>72.552488999999994</v>
      </c>
      <c r="Q1852" s="2">
        <v>23.035357999999999</v>
      </c>
    </row>
    <row r="1853" spans="1:17" x14ac:dyDescent="0.25">
      <c r="A1853" s="2">
        <v>2031</v>
      </c>
      <c r="B1853" s="2" t="s">
        <v>115</v>
      </c>
      <c r="C1853" s="2">
        <v>2</v>
      </c>
      <c r="D1853" s="2">
        <f t="shared" si="280"/>
        <v>5.08</v>
      </c>
      <c r="E1853" s="2">
        <f t="shared" si="281"/>
        <v>1.6170142218136567</v>
      </c>
      <c r="F1853" s="2">
        <f t="shared" si="282"/>
        <v>0.63661977236758138</v>
      </c>
      <c r="G1853" s="2">
        <v>1.0242389999999999</v>
      </c>
      <c r="H1853" s="2">
        <f t="shared" si="283"/>
        <v>3.3603642807599998</v>
      </c>
      <c r="I1853" s="2">
        <f>INDEX('Wood Density Lookup'!$B$2:$B$152,MATCH(B1853,'Wood Density Lookup'!$A$2:$A$152,0))</f>
        <v>0.65</v>
      </c>
      <c r="J1853" s="2">
        <f t="shared" si="284"/>
        <v>0.11560579170814475</v>
      </c>
      <c r="K1853" s="2">
        <f t="shared" si="288"/>
        <v>3.236962167828053E-2</v>
      </c>
      <c r="L1853" s="2">
        <f t="shared" si="289"/>
        <v>0.14797541338642528</v>
      </c>
      <c r="M1853" s="2">
        <f t="shared" si="285"/>
        <v>0.10728217470515833</v>
      </c>
      <c r="N1853" s="2">
        <f t="shared" si="286"/>
        <v>5.3641087352579164E-2</v>
      </c>
      <c r="O1853" s="2">
        <f t="shared" si="287"/>
        <v>0.19686279058396552</v>
      </c>
      <c r="P1853" s="2">
        <v>72.552488999999994</v>
      </c>
      <c r="Q1853" s="2">
        <v>23.038205000000001</v>
      </c>
    </row>
    <row r="1854" spans="1:17" x14ac:dyDescent="0.25">
      <c r="A1854" s="2">
        <v>2032</v>
      </c>
      <c r="B1854" s="2" t="s">
        <v>128</v>
      </c>
      <c r="C1854" s="2">
        <v>56</v>
      </c>
      <c r="D1854" s="2">
        <f t="shared" si="280"/>
        <v>142.24</v>
      </c>
      <c r="E1854" s="2">
        <f t="shared" si="281"/>
        <v>45.276398210782389</v>
      </c>
      <c r="F1854" s="2">
        <f t="shared" si="282"/>
        <v>17.82535362629228</v>
      </c>
      <c r="G1854" s="2">
        <v>9.2362839999999995</v>
      </c>
      <c r="H1854" s="2">
        <f t="shared" si="283"/>
        <v>30.302769998559999</v>
      </c>
      <c r="I1854" s="2">
        <f>INDEX('Wood Density Lookup'!$B$2:$B$152,MATCH(B1854,'Wood Density Lookup'!$A$2:$A$152,0))</f>
        <v>0.75</v>
      </c>
      <c r="J1854" s="2">
        <f t="shared" si="284"/>
        <v>759.73492774461715</v>
      </c>
      <c r="K1854" s="2">
        <f t="shared" si="288"/>
        <v>212.72577976849283</v>
      </c>
      <c r="L1854" s="2">
        <f t="shared" si="289"/>
        <v>972.46070751311004</v>
      </c>
      <c r="M1854" s="2">
        <f t="shared" si="285"/>
        <v>705.03401294700473</v>
      </c>
      <c r="N1854" s="2">
        <f t="shared" si="286"/>
        <v>352.51700647350236</v>
      </c>
      <c r="O1854" s="2">
        <f t="shared" si="287"/>
        <v>1293.7374137577538</v>
      </c>
      <c r="P1854" s="2">
        <v>72.552494999999993</v>
      </c>
      <c r="Q1854" s="2">
        <v>23.038720999999999</v>
      </c>
    </row>
    <row r="1855" spans="1:17" x14ac:dyDescent="0.25">
      <c r="A1855" s="2">
        <v>2033</v>
      </c>
      <c r="B1855" s="2" t="s">
        <v>57</v>
      </c>
      <c r="C1855" s="2">
        <v>33</v>
      </c>
      <c r="D1855" s="2">
        <f t="shared" si="280"/>
        <v>83.820000000000007</v>
      </c>
      <c r="E1855" s="2">
        <f t="shared" si="281"/>
        <v>26.680734659925339</v>
      </c>
      <c r="F1855" s="2">
        <f t="shared" si="282"/>
        <v>10.504226244065093</v>
      </c>
      <c r="G1855" s="2">
        <v>14.53632</v>
      </c>
      <c r="H1855" s="2">
        <f t="shared" si="283"/>
        <v>47.691340108799999</v>
      </c>
      <c r="I1855" s="2">
        <f>INDEX('Wood Density Lookup'!$B$2:$B$152,MATCH(B1855,'Wood Density Lookup'!$A$2:$A$152,0))</f>
        <v>0.6</v>
      </c>
      <c r="J1855" s="2">
        <f t="shared" si="284"/>
        <v>338.83192728824599</v>
      </c>
      <c r="K1855" s="2">
        <f t="shared" si="288"/>
        <v>94.872939640708893</v>
      </c>
      <c r="L1855" s="2">
        <f t="shared" si="289"/>
        <v>433.70486692895486</v>
      </c>
      <c r="M1855" s="2">
        <f t="shared" si="285"/>
        <v>314.43602852349227</v>
      </c>
      <c r="N1855" s="2">
        <f t="shared" si="286"/>
        <v>157.21801426174613</v>
      </c>
      <c r="O1855" s="2">
        <f t="shared" si="287"/>
        <v>576.99011234060833</v>
      </c>
      <c r="P1855" s="2">
        <v>72.552494999999993</v>
      </c>
      <c r="Q1855" s="2">
        <v>23.035095999999999</v>
      </c>
    </row>
    <row r="1856" spans="1:17" x14ac:dyDescent="0.25">
      <c r="A1856" s="2">
        <v>2034</v>
      </c>
      <c r="B1856" s="2" t="s">
        <v>136</v>
      </c>
      <c r="C1856" s="2">
        <v>6</v>
      </c>
      <c r="D1856" s="2">
        <f t="shared" si="280"/>
        <v>15.24</v>
      </c>
      <c r="E1856" s="2">
        <f t="shared" si="281"/>
        <v>4.8510426654409704</v>
      </c>
      <c r="F1856" s="2">
        <f t="shared" si="282"/>
        <v>1.909859317102744</v>
      </c>
      <c r="G1856" s="2">
        <v>1.0224740000000001</v>
      </c>
      <c r="H1856" s="2">
        <f t="shared" si="283"/>
        <v>3.3545735981600004</v>
      </c>
      <c r="I1856" s="2">
        <f>INDEX('Wood Density Lookup'!$B$2:$B$152,MATCH(B1856,'Wood Density Lookup'!$A$2:$A$152,0))</f>
        <v>0.7</v>
      </c>
      <c r="J1856" s="2">
        <f t="shared" si="284"/>
        <v>1.0592573207004568</v>
      </c>
      <c r="K1856" s="2">
        <f t="shared" si="288"/>
        <v>0.29659204979612791</v>
      </c>
      <c r="L1856" s="2">
        <f t="shared" si="289"/>
        <v>1.3558493704965846</v>
      </c>
      <c r="M1856" s="2">
        <f t="shared" si="285"/>
        <v>0.98299079361002384</v>
      </c>
      <c r="N1856" s="2">
        <f t="shared" si="286"/>
        <v>0.49149539680501192</v>
      </c>
      <c r="O1856" s="2">
        <f t="shared" si="287"/>
        <v>1.8037881062743937</v>
      </c>
      <c r="P1856" s="2">
        <v>72.552496000000005</v>
      </c>
      <c r="Q1856" s="2">
        <v>23.037886</v>
      </c>
    </row>
    <row r="1857" spans="1:17" x14ac:dyDescent="0.25">
      <c r="A1857" s="2">
        <v>2035</v>
      </c>
      <c r="B1857" s="2" t="s">
        <v>46</v>
      </c>
      <c r="C1857" s="2">
        <v>10</v>
      </c>
      <c r="D1857" s="2">
        <f t="shared" ref="D1857:D1920" si="290">C1857*2.54</f>
        <v>25.4</v>
      </c>
      <c r="E1857" s="2">
        <f t="shared" ref="E1857:E1920" si="291">D1857/PI()</f>
        <v>8.0850711090682825</v>
      </c>
      <c r="F1857" s="2">
        <f t="shared" ref="F1857:F1920" si="292">C1857/PI()</f>
        <v>3.183098861837907</v>
      </c>
      <c r="G1857" s="2">
        <v>6.798362</v>
      </c>
      <c r="H1857" s="2">
        <f t="shared" ref="H1857:H1920" si="293">G1857*3.28084</f>
        <v>22.30433798408</v>
      </c>
      <c r="I1857" s="2">
        <f>INDEX('Wood Density Lookup'!$B$2:$B$152,MATCH(B1857,'Wood Density Lookup'!$A$2:$A$152,0))</f>
        <v>0.6</v>
      </c>
      <c r="J1857" s="2">
        <f t="shared" ref="J1857:J1920" si="294">0.0673*POWER(I1857*E1857^2*G1857,0.976)</f>
        <v>15.693367005920143</v>
      </c>
      <c r="K1857" s="2">
        <f t="shared" si="288"/>
        <v>4.3941427616576405</v>
      </c>
      <c r="L1857" s="2">
        <f t="shared" si="289"/>
        <v>20.087509767577785</v>
      </c>
      <c r="M1857" s="2">
        <f t="shared" ref="M1857:M1920" si="295">0.725*L1857</f>
        <v>14.563444581493894</v>
      </c>
      <c r="N1857" s="2">
        <f t="shared" ref="N1857:N1920" si="296">0.5*M1857</f>
        <v>7.2817222907469468</v>
      </c>
      <c r="O1857" s="2">
        <f t="shared" ref="O1857:O1920" si="297">3.67*N1857</f>
        <v>26.723920807041296</v>
      </c>
      <c r="P1857" s="2">
        <v>72.552497000000002</v>
      </c>
      <c r="Q1857" s="2">
        <v>23.037966999999998</v>
      </c>
    </row>
    <row r="1858" spans="1:17" x14ac:dyDescent="0.25">
      <c r="A1858" s="2">
        <v>2036</v>
      </c>
      <c r="B1858" s="2" t="s">
        <v>46</v>
      </c>
      <c r="C1858" s="2">
        <v>13</v>
      </c>
      <c r="D1858" s="2">
        <f t="shared" si="290"/>
        <v>33.020000000000003</v>
      </c>
      <c r="E1858" s="2">
        <f t="shared" si="291"/>
        <v>10.51059244178877</v>
      </c>
      <c r="F1858" s="2">
        <f t="shared" si="292"/>
        <v>4.1380285203892786</v>
      </c>
      <c r="G1858" s="2">
        <v>6.798362</v>
      </c>
      <c r="H1858" s="2">
        <f t="shared" si="293"/>
        <v>22.30433798408</v>
      </c>
      <c r="I1858" s="2">
        <f>INDEX('Wood Density Lookup'!$B$2:$B$152,MATCH(B1858,'Wood Density Lookup'!$A$2:$A$152,0))</f>
        <v>0.6</v>
      </c>
      <c r="J1858" s="2">
        <f t="shared" si="294"/>
        <v>26.189882802747707</v>
      </c>
      <c r="K1858" s="2">
        <f t="shared" si="288"/>
        <v>7.3331671847693585</v>
      </c>
      <c r="L1858" s="2">
        <f t="shared" si="289"/>
        <v>33.523049987517069</v>
      </c>
      <c r="M1858" s="2">
        <f t="shared" si="295"/>
        <v>24.304211240949876</v>
      </c>
      <c r="N1858" s="2">
        <f t="shared" si="296"/>
        <v>12.152105620474938</v>
      </c>
      <c r="O1858" s="2">
        <f t="shared" si="297"/>
        <v>44.598227627143018</v>
      </c>
      <c r="P1858" s="2">
        <v>72.552497000000002</v>
      </c>
      <c r="Q1858" s="2">
        <v>23.037966999999998</v>
      </c>
    </row>
    <row r="1859" spans="1:17" x14ac:dyDescent="0.25">
      <c r="A1859" s="2">
        <v>2037</v>
      </c>
      <c r="B1859" s="2" t="s">
        <v>78</v>
      </c>
      <c r="C1859" s="2">
        <v>7</v>
      </c>
      <c r="D1859" s="2">
        <f t="shared" si="290"/>
        <v>17.78</v>
      </c>
      <c r="E1859" s="2">
        <f t="shared" si="291"/>
        <v>5.6595497763477987</v>
      </c>
      <c r="F1859" s="2">
        <f t="shared" si="292"/>
        <v>2.228169203286535</v>
      </c>
      <c r="G1859" s="2">
        <v>1.023177</v>
      </c>
      <c r="H1859" s="2">
        <f t="shared" si="293"/>
        <v>3.35688002868</v>
      </c>
      <c r="I1859" s="2">
        <f>INDEX('Wood Density Lookup'!$B$2:$B$152,MATCH(B1859,'Wood Density Lookup'!$A$2:$A$152,0))</f>
        <v>0.55000000000000004</v>
      </c>
      <c r="J1859" s="2">
        <f t="shared" si="294"/>
        <v>1.1317519129497264</v>
      </c>
      <c r="K1859" s="2">
        <f t="shared" ref="K1859:K1922" si="298">0.28*J1859</f>
        <v>0.31689053562592345</v>
      </c>
      <c r="L1859" s="2">
        <f t="shared" ref="L1859:L1922" si="299">J1859+K1859</f>
        <v>1.4486424485756499</v>
      </c>
      <c r="M1859" s="2">
        <f t="shared" si="295"/>
        <v>1.0502657752173461</v>
      </c>
      <c r="N1859" s="2">
        <f t="shared" si="296"/>
        <v>0.52513288760867305</v>
      </c>
      <c r="O1859" s="2">
        <f t="shared" si="297"/>
        <v>1.9272376975238301</v>
      </c>
      <c r="P1859" s="2">
        <v>72.552498</v>
      </c>
      <c r="Q1859" s="2">
        <v>23.038163999999998</v>
      </c>
    </row>
    <row r="1860" spans="1:17" x14ac:dyDescent="0.25">
      <c r="A1860" s="2">
        <v>2038</v>
      </c>
      <c r="B1860" s="2" t="s">
        <v>107</v>
      </c>
      <c r="C1860" s="2">
        <v>24</v>
      </c>
      <c r="D1860" s="2">
        <f t="shared" si="290"/>
        <v>60.96</v>
      </c>
      <c r="E1860" s="2">
        <f t="shared" si="291"/>
        <v>19.404170661763882</v>
      </c>
      <c r="F1860" s="2">
        <f t="shared" si="292"/>
        <v>7.6394372684109761</v>
      </c>
      <c r="G1860" s="2">
        <v>12.52459</v>
      </c>
      <c r="H1860" s="2">
        <f t="shared" si="293"/>
        <v>41.0911758556</v>
      </c>
      <c r="I1860" s="2">
        <f>INDEX('Wood Density Lookup'!$B$2:$B$152,MATCH(B1860,'Wood Density Lookup'!$A$2:$A$152,0))</f>
        <v>0.65</v>
      </c>
      <c r="J1860" s="2">
        <f t="shared" si="294"/>
        <v>170.14018508956474</v>
      </c>
      <c r="K1860" s="2">
        <f t="shared" si="298"/>
        <v>47.639251825078134</v>
      </c>
      <c r="L1860" s="2">
        <f t="shared" si="299"/>
        <v>217.77943691464287</v>
      </c>
      <c r="M1860" s="2">
        <f t="shared" si="295"/>
        <v>157.89009176311609</v>
      </c>
      <c r="N1860" s="2">
        <f t="shared" si="296"/>
        <v>78.945045881558045</v>
      </c>
      <c r="O1860" s="2">
        <f t="shared" si="297"/>
        <v>289.728318385318</v>
      </c>
      <c r="P1860" s="2">
        <v>72.552498</v>
      </c>
      <c r="Q1860" s="2">
        <v>23.035128</v>
      </c>
    </row>
    <row r="1861" spans="1:17" x14ac:dyDescent="0.25">
      <c r="A1861" s="2">
        <v>2039</v>
      </c>
      <c r="B1861" s="2" t="s">
        <v>72</v>
      </c>
      <c r="C1861" s="2">
        <v>2</v>
      </c>
      <c r="D1861" s="2">
        <f t="shared" si="290"/>
        <v>5.08</v>
      </c>
      <c r="E1861" s="2">
        <f t="shared" si="291"/>
        <v>1.6170142218136567</v>
      </c>
      <c r="F1861" s="2">
        <f t="shared" si="292"/>
        <v>0.63661977236758138</v>
      </c>
      <c r="G1861" s="2">
        <v>7.7355330000000002</v>
      </c>
      <c r="H1861" s="2">
        <f t="shared" si="293"/>
        <v>25.379046087719999</v>
      </c>
      <c r="I1861" s="2">
        <f>INDEX('Wood Density Lookup'!$B$2:$B$152,MATCH(B1861,'Wood Density Lookup'!$A$2:$A$152,0))</f>
        <v>0.65</v>
      </c>
      <c r="J1861" s="2">
        <f t="shared" si="294"/>
        <v>0.83175303170530934</v>
      </c>
      <c r="K1861" s="2">
        <f t="shared" si="298"/>
        <v>0.23289084887748665</v>
      </c>
      <c r="L1861" s="2">
        <f t="shared" si="299"/>
        <v>1.064643880582796</v>
      </c>
      <c r="M1861" s="2">
        <f t="shared" si="295"/>
        <v>0.77186681342252705</v>
      </c>
      <c r="N1861" s="2">
        <f t="shared" si="296"/>
        <v>0.38593340671126353</v>
      </c>
      <c r="O1861" s="2">
        <f t="shared" si="297"/>
        <v>1.4163756026303371</v>
      </c>
      <c r="P1861" s="2">
        <v>72.552498999999997</v>
      </c>
      <c r="Q1861" s="2">
        <v>23.037804999999999</v>
      </c>
    </row>
    <row r="1862" spans="1:17" x14ac:dyDescent="0.25">
      <c r="A1862" s="2">
        <v>2040</v>
      </c>
      <c r="B1862" s="2" t="s">
        <v>72</v>
      </c>
      <c r="C1862" s="2">
        <v>28</v>
      </c>
      <c r="D1862" s="2">
        <f t="shared" si="290"/>
        <v>71.12</v>
      </c>
      <c r="E1862" s="2">
        <f t="shared" si="291"/>
        <v>22.638199105391195</v>
      </c>
      <c r="F1862" s="2">
        <f t="shared" si="292"/>
        <v>8.91267681314614</v>
      </c>
      <c r="G1862" s="2">
        <v>7.7355330000000002</v>
      </c>
      <c r="H1862" s="2">
        <f t="shared" si="293"/>
        <v>25.379046087719999</v>
      </c>
      <c r="I1862" s="2">
        <f>INDEX('Wood Density Lookup'!$B$2:$B$152,MATCH(B1862,'Wood Density Lookup'!$A$2:$A$152,0))</f>
        <v>0.65</v>
      </c>
      <c r="J1862" s="2">
        <f t="shared" si="294"/>
        <v>143.62707570097658</v>
      </c>
      <c r="K1862" s="2">
        <f t="shared" si="298"/>
        <v>40.215581196273448</v>
      </c>
      <c r="L1862" s="2">
        <f t="shared" si="299"/>
        <v>183.84265689725004</v>
      </c>
      <c r="M1862" s="2">
        <f t="shared" si="295"/>
        <v>133.28592625050626</v>
      </c>
      <c r="N1862" s="2">
        <f t="shared" si="296"/>
        <v>66.642963125253132</v>
      </c>
      <c r="O1862" s="2">
        <f t="shared" si="297"/>
        <v>244.57967466967898</v>
      </c>
      <c r="P1862" s="2">
        <v>72.552498999999997</v>
      </c>
      <c r="Q1862" s="2">
        <v>23.037804999999999</v>
      </c>
    </row>
    <row r="1863" spans="1:17" x14ac:dyDescent="0.25">
      <c r="A1863" s="2">
        <v>2041</v>
      </c>
      <c r="B1863" s="2" t="s">
        <v>78</v>
      </c>
      <c r="C1863" s="2">
        <v>143</v>
      </c>
      <c r="D1863" s="2">
        <f t="shared" si="290"/>
        <v>363.22</v>
      </c>
      <c r="E1863" s="2">
        <f t="shared" si="291"/>
        <v>115.61651685967647</v>
      </c>
      <c r="F1863" s="2">
        <f t="shared" si="292"/>
        <v>45.518313724282066</v>
      </c>
      <c r="G1863" s="2">
        <v>11.765139</v>
      </c>
      <c r="H1863" s="2">
        <f t="shared" si="293"/>
        <v>38.599538636759995</v>
      </c>
      <c r="I1863" s="2">
        <f>INDEX('Wood Density Lookup'!$B$2:$B$152,MATCH(B1863,'Wood Density Lookup'!$A$2:$A$152,0))</f>
        <v>0.55000000000000004</v>
      </c>
      <c r="J1863" s="2">
        <f t="shared" si="294"/>
        <v>4431.2534503586494</v>
      </c>
      <c r="K1863" s="2">
        <f t="shared" si="298"/>
        <v>1240.7509661004219</v>
      </c>
      <c r="L1863" s="2">
        <f t="shared" si="299"/>
        <v>5672.0044164590709</v>
      </c>
      <c r="M1863" s="2">
        <f t="shared" si="295"/>
        <v>4112.2032019328262</v>
      </c>
      <c r="N1863" s="2">
        <f t="shared" si="296"/>
        <v>2056.1016009664131</v>
      </c>
      <c r="O1863" s="2">
        <f t="shared" si="297"/>
        <v>7545.8928755467359</v>
      </c>
      <c r="P1863" s="2">
        <v>72.552498999999997</v>
      </c>
      <c r="Q1863" s="2">
        <v>23.036390999999998</v>
      </c>
    </row>
    <row r="1864" spans="1:17" x14ac:dyDescent="0.25">
      <c r="A1864" s="2">
        <v>2042</v>
      </c>
      <c r="B1864" s="2" t="s">
        <v>136</v>
      </c>
      <c r="C1864" s="2">
        <v>3</v>
      </c>
      <c r="D1864" s="2">
        <f t="shared" si="290"/>
        <v>7.62</v>
      </c>
      <c r="E1864" s="2">
        <f t="shared" si="291"/>
        <v>2.4255213327204852</v>
      </c>
      <c r="F1864" s="2">
        <f t="shared" si="292"/>
        <v>0.95492965855137202</v>
      </c>
      <c r="G1864" s="2">
        <v>1.018939</v>
      </c>
      <c r="H1864" s="2">
        <f t="shared" si="293"/>
        <v>3.3429758287600002</v>
      </c>
      <c r="I1864" s="2">
        <f>INDEX('Wood Density Lookup'!$B$2:$B$152,MATCH(B1864,'Wood Density Lookup'!$A$2:$A$152,0))</f>
        <v>0.7</v>
      </c>
      <c r="J1864" s="2">
        <f t="shared" si="294"/>
        <v>0.2728493557173316</v>
      </c>
      <c r="K1864" s="2">
        <f t="shared" si="298"/>
        <v>7.6397819600852859E-2</v>
      </c>
      <c r="L1864" s="2">
        <f t="shared" si="299"/>
        <v>0.34924717531818444</v>
      </c>
      <c r="M1864" s="2">
        <f t="shared" si="295"/>
        <v>0.25320420210568373</v>
      </c>
      <c r="N1864" s="2">
        <f t="shared" si="296"/>
        <v>0.12660210105284186</v>
      </c>
      <c r="O1864" s="2">
        <f t="shared" si="297"/>
        <v>0.46462971086392962</v>
      </c>
      <c r="P1864" s="2">
        <v>72.552498999999997</v>
      </c>
      <c r="Q1864" s="2">
        <v>23.037928000000001</v>
      </c>
    </row>
    <row r="1865" spans="1:17" x14ac:dyDescent="0.25">
      <c r="A1865" s="2">
        <v>2043</v>
      </c>
      <c r="B1865" s="2" t="s">
        <v>25</v>
      </c>
      <c r="C1865" s="2">
        <v>5</v>
      </c>
      <c r="D1865" s="2">
        <f t="shared" si="290"/>
        <v>12.7</v>
      </c>
      <c r="E1865" s="2">
        <f t="shared" si="291"/>
        <v>4.0425355545341413</v>
      </c>
      <c r="F1865" s="2">
        <f t="shared" si="292"/>
        <v>1.5915494309189535</v>
      </c>
      <c r="G1865" s="2">
        <v>1.373391</v>
      </c>
      <c r="H1865" s="2">
        <f t="shared" si="293"/>
        <v>4.5058761284399997</v>
      </c>
      <c r="I1865" s="2">
        <f>INDEX('Wood Density Lookup'!$B$2:$B$152,MATCH(B1865,'Wood Density Lookup'!$A$2:$A$152,0))</f>
        <v>0.65</v>
      </c>
      <c r="J1865" s="2">
        <f t="shared" si="294"/>
        <v>0.92064870893707107</v>
      </c>
      <c r="K1865" s="2">
        <f t="shared" si="298"/>
        <v>0.25778163850237995</v>
      </c>
      <c r="L1865" s="2">
        <f t="shared" si="299"/>
        <v>1.1784303474394511</v>
      </c>
      <c r="M1865" s="2">
        <f t="shared" si="295"/>
        <v>0.85436200189360201</v>
      </c>
      <c r="N1865" s="2">
        <f t="shared" si="296"/>
        <v>0.427181000946801</v>
      </c>
      <c r="O1865" s="2">
        <f t="shared" si="297"/>
        <v>1.5677542734747596</v>
      </c>
      <c r="P1865" s="2">
        <v>72.552499999999995</v>
      </c>
      <c r="Q1865" s="2">
        <v>23.037845000000001</v>
      </c>
    </row>
    <row r="1866" spans="1:17" x14ac:dyDescent="0.25">
      <c r="A1866" s="2">
        <v>2044</v>
      </c>
      <c r="B1866" s="2" t="s">
        <v>115</v>
      </c>
      <c r="C1866" s="2">
        <v>29</v>
      </c>
      <c r="D1866" s="2">
        <f t="shared" si="290"/>
        <v>73.66</v>
      </c>
      <c r="E1866" s="2">
        <f t="shared" si="291"/>
        <v>23.446706216298022</v>
      </c>
      <c r="F1866" s="2">
        <f t="shared" si="292"/>
        <v>9.2309866993299305</v>
      </c>
      <c r="G1866" s="2">
        <v>10.096415</v>
      </c>
      <c r="H1866" s="2">
        <f t="shared" si="293"/>
        <v>33.124722188600003</v>
      </c>
      <c r="I1866" s="2">
        <f>INDEX('Wood Density Lookup'!$B$2:$B$152,MATCH(B1866,'Wood Density Lookup'!$A$2:$A$152,0))</f>
        <v>0.65</v>
      </c>
      <c r="J1866" s="2">
        <f t="shared" si="294"/>
        <v>199.4736048745489</v>
      </c>
      <c r="K1866" s="2">
        <f t="shared" si="298"/>
        <v>55.852609364873693</v>
      </c>
      <c r="L1866" s="2">
        <f t="shared" si="299"/>
        <v>255.3262142394226</v>
      </c>
      <c r="M1866" s="2">
        <f t="shared" si="295"/>
        <v>185.11150532358138</v>
      </c>
      <c r="N1866" s="2">
        <f t="shared" si="296"/>
        <v>92.555752661790692</v>
      </c>
      <c r="O1866" s="2">
        <f t="shared" si="297"/>
        <v>339.67961226877185</v>
      </c>
      <c r="P1866" s="2">
        <v>72.552504999999996</v>
      </c>
      <c r="Q1866" s="2">
        <v>23.038788</v>
      </c>
    </row>
    <row r="1867" spans="1:17" x14ac:dyDescent="0.25">
      <c r="A1867" s="2">
        <v>2045</v>
      </c>
      <c r="B1867" s="2" t="s">
        <v>15</v>
      </c>
      <c r="C1867" s="2">
        <v>13</v>
      </c>
      <c r="D1867" s="2">
        <f t="shared" si="290"/>
        <v>33.020000000000003</v>
      </c>
      <c r="E1867" s="2">
        <f t="shared" si="291"/>
        <v>10.51059244178877</v>
      </c>
      <c r="F1867" s="2">
        <f t="shared" si="292"/>
        <v>4.1380285203892786</v>
      </c>
      <c r="G1867" s="2">
        <v>5.8076449999999999</v>
      </c>
      <c r="H1867" s="2">
        <f t="shared" si="293"/>
        <v>19.053954021799999</v>
      </c>
      <c r="I1867" s="2">
        <f>INDEX('Wood Density Lookup'!$B$2:$B$152,MATCH(B1867,'Wood Density Lookup'!$A$2:$A$152,0))</f>
        <v>0.75</v>
      </c>
      <c r="J1867" s="2">
        <f t="shared" si="294"/>
        <v>27.922558181403918</v>
      </c>
      <c r="K1867" s="2">
        <f t="shared" si="298"/>
        <v>7.8183162907930974</v>
      </c>
      <c r="L1867" s="2">
        <f t="shared" si="299"/>
        <v>35.740874472197014</v>
      </c>
      <c r="M1867" s="2">
        <f t="shared" si="295"/>
        <v>25.912133992342834</v>
      </c>
      <c r="N1867" s="2">
        <f t="shared" si="296"/>
        <v>12.956066996171417</v>
      </c>
      <c r="O1867" s="2">
        <f t="shared" si="297"/>
        <v>47.548765875949101</v>
      </c>
      <c r="P1867" s="2">
        <v>72.552505999999994</v>
      </c>
      <c r="Q1867" s="2">
        <v>23.035208999999998</v>
      </c>
    </row>
    <row r="1868" spans="1:17" x14ac:dyDescent="0.25">
      <c r="A1868" s="2">
        <v>2046</v>
      </c>
      <c r="B1868" s="2" t="s">
        <v>107</v>
      </c>
      <c r="C1868" s="2">
        <v>8</v>
      </c>
      <c r="D1868" s="2">
        <f t="shared" si="290"/>
        <v>20.32</v>
      </c>
      <c r="E1868" s="2">
        <f t="shared" si="291"/>
        <v>6.4680568872546269</v>
      </c>
      <c r="F1868" s="2">
        <f t="shared" si="292"/>
        <v>2.5464790894703255</v>
      </c>
      <c r="G1868" s="2">
        <v>8.219697</v>
      </c>
      <c r="H1868" s="2">
        <f t="shared" si="293"/>
        <v>26.967510705479999</v>
      </c>
      <c r="I1868" s="2">
        <f>INDEX('Wood Density Lookup'!$B$2:$B$152,MATCH(B1868,'Wood Density Lookup'!$A$2:$A$152,0))</f>
        <v>0.65</v>
      </c>
      <c r="J1868" s="2">
        <f t="shared" si="294"/>
        <v>13.211383134642984</v>
      </c>
      <c r="K1868" s="2">
        <f t="shared" si="298"/>
        <v>3.6991872777000361</v>
      </c>
      <c r="L1868" s="2">
        <f t="shared" si="299"/>
        <v>16.91057041234302</v>
      </c>
      <c r="M1868" s="2">
        <f t="shared" si="295"/>
        <v>12.26016354894869</v>
      </c>
      <c r="N1868" s="2">
        <f t="shared" si="296"/>
        <v>6.1300817744743448</v>
      </c>
      <c r="O1868" s="2">
        <f t="shared" si="297"/>
        <v>22.497400112320843</v>
      </c>
      <c r="P1868" s="2">
        <v>72.552505999999994</v>
      </c>
      <c r="Q1868" s="2">
        <v>23.036565</v>
      </c>
    </row>
    <row r="1869" spans="1:17" x14ac:dyDescent="0.25">
      <c r="A1869" s="2">
        <v>2047</v>
      </c>
      <c r="B1869" s="2" t="s">
        <v>15</v>
      </c>
      <c r="C1869" s="2">
        <v>7</v>
      </c>
      <c r="D1869" s="2">
        <f t="shared" si="290"/>
        <v>17.78</v>
      </c>
      <c r="E1869" s="2">
        <f t="shared" si="291"/>
        <v>5.6595497763477987</v>
      </c>
      <c r="F1869" s="2">
        <f t="shared" si="292"/>
        <v>2.228169203286535</v>
      </c>
      <c r="G1869" s="2">
        <v>7.5757700000000003</v>
      </c>
      <c r="H1869" s="2">
        <f t="shared" si="293"/>
        <v>24.854889246800003</v>
      </c>
      <c r="I1869" s="2">
        <f>INDEX('Wood Density Lookup'!$B$2:$B$152,MATCH(B1869,'Wood Density Lookup'!$A$2:$A$152,0))</f>
        <v>0.75</v>
      </c>
      <c r="J1869" s="2">
        <f t="shared" si="294"/>
        <v>10.809998483733477</v>
      </c>
      <c r="K1869" s="2">
        <f t="shared" si="298"/>
        <v>3.0267995754453736</v>
      </c>
      <c r="L1869" s="2">
        <f t="shared" si="299"/>
        <v>13.83679805917885</v>
      </c>
      <c r="M1869" s="2">
        <f t="shared" si="295"/>
        <v>10.031678592904665</v>
      </c>
      <c r="N1869" s="2">
        <f t="shared" si="296"/>
        <v>5.0158392964523326</v>
      </c>
      <c r="O1869" s="2">
        <f t="shared" si="297"/>
        <v>18.408130217980059</v>
      </c>
      <c r="P1869" s="2">
        <v>72.552508000000003</v>
      </c>
      <c r="Q1869" s="2">
        <v>23.038139999999999</v>
      </c>
    </row>
    <row r="1870" spans="1:17" x14ac:dyDescent="0.25">
      <c r="A1870" s="2">
        <v>2048</v>
      </c>
      <c r="B1870" s="2" t="s">
        <v>9</v>
      </c>
      <c r="C1870" s="2">
        <v>34</v>
      </c>
      <c r="D1870" s="2">
        <f t="shared" si="290"/>
        <v>86.36</v>
      </c>
      <c r="E1870" s="2">
        <f t="shared" si="291"/>
        <v>27.489241770832162</v>
      </c>
      <c r="F1870" s="2">
        <f t="shared" si="292"/>
        <v>10.822536130248883</v>
      </c>
      <c r="G1870" s="2">
        <v>12.030637</v>
      </c>
      <c r="H1870" s="2">
        <f t="shared" si="293"/>
        <v>39.47059509508</v>
      </c>
      <c r="I1870" s="2">
        <f>INDEX('Wood Density Lookup'!$B$2:$B$152,MATCH(B1870,'Wood Density Lookup'!$A$2:$A$152,0))</f>
        <v>0.42</v>
      </c>
      <c r="J1870" s="2">
        <f t="shared" si="294"/>
        <v>210.82095540415537</v>
      </c>
      <c r="K1870" s="2">
        <f t="shared" si="298"/>
        <v>59.029867513163509</v>
      </c>
      <c r="L1870" s="2">
        <f t="shared" si="299"/>
        <v>269.85082291731885</v>
      </c>
      <c r="M1870" s="2">
        <f t="shared" si="295"/>
        <v>195.64184661505615</v>
      </c>
      <c r="N1870" s="2">
        <f t="shared" si="296"/>
        <v>97.820923307528076</v>
      </c>
      <c r="O1870" s="2">
        <f t="shared" si="297"/>
        <v>359.00278853862801</v>
      </c>
      <c r="P1870" s="2">
        <v>72.552508000000003</v>
      </c>
      <c r="Q1870" s="2">
        <v>23.036815000000001</v>
      </c>
    </row>
    <row r="1871" spans="1:17" x14ac:dyDescent="0.25">
      <c r="A1871" s="2">
        <v>2049</v>
      </c>
      <c r="B1871" s="2" t="s">
        <v>55</v>
      </c>
      <c r="C1871" s="2">
        <v>43</v>
      </c>
      <c r="D1871" s="2">
        <f t="shared" si="290"/>
        <v>109.22</v>
      </c>
      <c r="E1871" s="2">
        <f t="shared" si="291"/>
        <v>34.765805768993616</v>
      </c>
      <c r="F1871" s="2">
        <f t="shared" si="292"/>
        <v>13.687325105903</v>
      </c>
      <c r="G1871" s="2">
        <v>16.686025999999998</v>
      </c>
      <c r="H1871" s="2">
        <f t="shared" si="293"/>
        <v>54.744181541839993</v>
      </c>
      <c r="I1871" s="2">
        <f>INDEX('Wood Density Lookup'!$B$2:$B$152,MATCH(B1871,'Wood Density Lookup'!$A$2:$A$152,0))</f>
        <v>0.75</v>
      </c>
      <c r="J1871" s="2">
        <f t="shared" si="294"/>
        <v>808.01717460131806</v>
      </c>
      <c r="K1871" s="2">
        <f t="shared" si="298"/>
        <v>226.24480888836908</v>
      </c>
      <c r="L1871" s="2">
        <f t="shared" si="299"/>
        <v>1034.2619834896871</v>
      </c>
      <c r="M1871" s="2">
        <f t="shared" si="295"/>
        <v>749.83993803002306</v>
      </c>
      <c r="N1871" s="2">
        <f t="shared" si="296"/>
        <v>374.91996901501153</v>
      </c>
      <c r="O1871" s="2">
        <f t="shared" si="297"/>
        <v>1375.9562862850923</v>
      </c>
      <c r="P1871" s="2">
        <v>72.552509999999998</v>
      </c>
      <c r="Q1871" s="2">
        <v>23.034977000000001</v>
      </c>
    </row>
    <row r="1872" spans="1:17" x14ac:dyDescent="0.25">
      <c r="A1872" s="2">
        <v>2050</v>
      </c>
      <c r="B1872" s="2" t="s">
        <v>17</v>
      </c>
      <c r="C1872" s="2">
        <v>7</v>
      </c>
      <c r="D1872" s="2">
        <f t="shared" si="290"/>
        <v>17.78</v>
      </c>
      <c r="E1872" s="2">
        <f t="shared" si="291"/>
        <v>5.6595497763477987</v>
      </c>
      <c r="F1872" s="2">
        <f t="shared" si="292"/>
        <v>2.228169203286535</v>
      </c>
      <c r="G1872" s="2">
        <v>11.097924000000001</v>
      </c>
      <c r="H1872" s="2">
        <f t="shared" si="293"/>
        <v>36.41051297616</v>
      </c>
      <c r="I1872" s="2">
        <f>INDEX('Wood Density Lookup'!$B$2:$B$152,MATCH(B1872,'Wood Density Lookup'!$A$2:$A$152,0))</f>
        <v>0.75</v>
      </c>
      <c r="J1872" s="2">
        <f t="shared" si="294"/>
        <v>15.691376362506503</v>
      </c>
      <c r="K1872" s="2">
        <f t="shared" si="298"/>
        <v>4.3935853815018211</v>
      </c>
      <c r="L1872" s="2">
        <f t="shared" si="299"/>
        <v>20.084961744008325</v>
      </c>
      <c r="M1872" s="2">
        <f t="shared" si="295"/>
        <v>14.561597264406036</v>
      </c>
      <c r="N1872" s="2">
        <f t="shared" si="296"/>
        <v>7.2807986322030178</v>
      </c>
      <c r="O1872" s="2">
        <f t="shared" si="297"/>
        <v>26.720530980185075</v>
      </c>
      <c r="P1872" s="2">
        <v>72.552509999999998</v>
      </c>
      <c r="Q1872" s="2">
        <v>23.035907999999999</v>
      </c>
    </row>
    <row r="1873" spans="1:17" x14ac:dyDescent="0.25">
      <c r="A1873" s="2">
        <v>2051</v>
      </c>
      <c r="B1873" s="2" t="s">
        <v>31</v>
      </c>
      <c r="C1873" s="2">
        <v>12</v>
      </c>
      <c r="D1873" s="2">
        <f t="shared" si="290"/>
        <v>30.48</v>
      </c>
      <c r="E1873" s="2">
        <f t="shared" si="291"/>
        <v>9.7020853308819408</v>
      </c>
      <c r="F1873" s="2">
        <f t="shared" si="292"/>
        <v>3.8197186342054881</v>
      </c>
      <c r="G1873" s="2">
        <v>13.500254999999999</v>
      </c>
      <c r="H1873" s="2">
        <f t="shared" si="293"/>
        <v>44.292176614199995</v>
      </c>
      <c r="I1873" s="2">
        <f>INDEX('Wood Density Lookup'!$B$2:$B$152,MATCH(B1873,'Wood Density Lookup'!$A$2:$A$152,0))</f>
        <v>0.78</v>
      </c>
      <c r="J1873" s="2">
        <f t="shared" si="294"/>
        <v>56.529327187378037</v>
      </c>
      <c r="K1873" s="2">
        <f t="shared" si="298"/>
        <v>15.828211612465852</v>
      </c>
      <c r="L1873" s="2">
        <f t="shared" si="299"/>
        <v>72.357538799843894</v>
      </c>
      <c r="M1873" s="2">
        <f t="shared" si="295"/>
        <v>52.45921562988682</v>
      </c>
      <c r="N1873" s="2">
        <f t="shared" si="296"/>
        <v>26.22960781494341</v>
      </c>
      <c r="O1873" s="2">
        <f t="shared" si="297"/>
        <v>96.262660680842316</v>
      </c>
      <c r="P1873" s="2">
        <v>72.552510999999996</v>
      </c>
      <c r="Q1873" s="2">
        <v>23.036391999999999</v>
      </c>
    </row>
    <row r="1874" spans="1:17" x14ac:dyDescent="0.25">
      <c r="A1874" s="2">
        <v>2052</v>
      </c>
      <c r="B1874" s="2" t="s">
        <v>74</v>
      </c>
      <c r="C1874" s="2">
        <v>7</v>
      </c>
      <c r="D1874" s="2">
        <f t="shared" si="290"/>
        <v>17.78</v>
      </c>
      <c r="E1874" s="2">
        <f t="shared" si="291"/>
        <v>5.6595497763477987</v>
      </c>
      <c r="F1874" s="2">
        <f t="shared" si="292"/>
        <v>2.228169203286535</v>
      </c>
      <c r="G1874" s="2">
        <v>13.013216999999999</v>
      </c>
      <c r="H1874" s="2">
        <f t="shared" si="293"/>
        <v>42.694282862279998</v>
      </c>
      <c r="I1874" s="2">
        <f>INDEX('Wood Density Lookup'!$B$2:$B$152,MATCH(B1874,'Wood Density Lookup'!$A$2:$A$152,0))</f>
        <v>0.5</v>
      </c>
      <c r="J1874" s="2">
        <f t="shared" si="294"/>
        <v>12.338985834388883</v>
      </c>
      <c r="K1874" s="2">
        <f t="shared" si="298"/>
        <v>3.4549160336288876</v>
      </c>
      <c r="L1874" s="2">
        <f t="shared" si="299"/>
        <v>15.79390186801777</v>
      </c>
      <c r="M1874" s="2">
        <f t="shared" si="295"/>
        <v>11.450578854312882</v>
      </c>
      <c r="N1874" s="2">
        <f t="shared" si="296"/>
        <v>5.725289427156441</v>
      </c>
      <c r="O1874" s="2">
        <f t="shared" si="297"/>
        <v>21.011812197664138</v>
      </c>
      <c r="P1874" s="2">
        <v>72.552510999999996</v>
      </c>
      <c r="Q1874" s="2">
        <v>23.036017999999999</v>
      </c>
    </row>
    <row r="1875" spans="1:17" x14ac:dyDescent="0.25">
      <c r="A1875" s="2">
        <v>2053</v>
      </c>
      <c r="B1875" s="2" t="s">
        <v>111</v>
      </c>
      <c r="C1875" s="2">
        <v>3</v>
      </c>
      <c r="D1875" s="2">
        <f t="shared" si="290"/>
        <v>7.62</v>
      </c>
      <c r="E1875" s="2">
        <f t="shared" si="291"/>
        <v>2.4255213327204852</v>
      </c>
      <c r="F1875" s="2">
        <f t="shared" si="292"/>
        <v>0.95492965855137202</v>
      </c>
      <c r="G1875" s="2">
        <v>4.2642639999999998</v>
      </c>
      <c r="H1875" s="2">
        <f t="shared" si="293"/>
        <v>13.990367901759999</v>
      </c>
      <c r="I1875" s="2">
        <f>INDEX('Wood Density Lookup'!$B$2:$B$152,MATCH(B1875,'Wood Density Lookup'!$A$2:$A$152,0))</f>
        <v>0.4</v>
      </c>
      <c r="J1875" s="2">
        <f t="shared" si="294"/>
        <v>0.63898842954843826</v>
      </c>
      <c r="K1875" s="2">
        <f t="shared" si="298"/>
        <v>0.17891676027356274</v>
      </c>
      <c r="L1875" s="2">
        <f t="shared" si="299"/>
        <v>0.817905189822001</v>
      </c>
      <c r="M1875" s="2">
        <f t="shared" si="295"/>
        <v>0.59298126262095074</v>
      </c>
      <c r="N1875" s="2">
        <f t="shared" si="296"/>
        <v>0.29649063131047537</v>
      </c>
      <c r="O1875" s="2">
        <f t="shared" si="297"/>
        <v>1.0881206169094446</v>
      </c>
      <c r="P1875" s="2">
        <v>72.552510999999996</v>
      </c>
      <c r="Q1875" s="2">
        <v>23.037628000000002</v>
      </c>
    </row>
    <row r="1876" spans="1:17" x14ac:dyDescent="0.25">
      <c r="A1876" s="2">
        <v>2054</v>
      </c>
      <c r="B1876" s="2" t="s">
        <v>78</v>
      </c>
      <c r="C1876" s="2">
        <v>151</v>
      </c>
      <c r="D1876" s="2">
        <f t="shared" si="290"/>
        <v>383.54</v>
      </c>
      <c r="E1876" s="2">
        <f t="shared" si="291"/>
        <v>122.08457374693108</v>
      </c>
      <c r="F1876" s="2">
        <f t="shared" si="292"/>
        <v>48.064792813752391</v>
      </c>
      <c r="G1876" s="2">
        <v>14.674904</v>
      </c>
      <c r="H1876" s="2">
        <f t="shared" si="293"/>
        <v>48.146012039360002</v>
      </c>
      <c r="I1876" s="2">
        <f>INDEX('Wood Density Lookup'!$B$2:$B$152,MATCH(B1876,'Wood Density Lookup'!$A$2:$A$152,0))</f>
        <v>0.55000000000000004</v>
      </c>
      <c r="J1876" s="2">
        <f t="shared" si="294"/>
        <v>6114.3229812935997</v>
      </c>
      <c r="K1876" s="2">
        <f t="shared" si="298"/>
        <v>1712.010434762208</v>
      </c>
      <c r="L1876" s="2">
        <f t="shared" si="299"/>
        <v>7826.3334160558079</v>
      </c>
      <c r="M1876" s="2">
        <f t="shared" si="295"/>
        <v>5674.0917266404604</v>
      </c>
      <c r="N1876" s="2">
        <f t="shared" si="296"/>
        <v>2837.0458633202302</v>
      </c>
      <c r="O1876" s="2">
        <f t="shared" si="297"/>
        <v>10411.958318385245</v>
      </c>
      <c r="P1876" s="2">
        <v>72.552511999999993</v>
      </c>
      <c r="Q1876" s="2">
        <v>23.036252999999999</v>
      </c>
    </row>
    <row r="1877" spans="1:17" x14ac:dyDescent="0.25">
      <c r="A1877" s="2">
        <v>2055</v>
      </c>
      <c r="B1877" s="2" t="s">
        <v>111</v>
      </c>
      <c r="C1877" s="2">
        <v>4</v>
      </c>
      <c r="D1877" s="2">
        <f t="shared" si="290"/>
        <v>10.16</v>
      </c>
      <c r="E1877" s="2">
        <f t="shared" si="291"/>
        <v>3.2340284436273135</v>
      </c>
      <c r="F1877" s="2">
        <f t="shared" si="292"/>
        <v>1.2732395447351628</v>
      </c>
      <c r="G1877" s="2">
        <v>4.3469790000000001</v>
      </c>
      <c r="H1877" s="2">
        <f t="shared" si="293"/>
        <v>14.26174258236</v>
      </c>
      <c r="I1877" s="2">
        <f>INDEX('Wood Density Lookup'!$B$2:$B$152,MATCH(B1877,'Wood Density Lookup'!$A$2:$A$152,0))</f>
        <v>0.4</v>
      </c>
      <c r="J1877" s="2">
        <f t="shared" si="294"/>
        <v>1.1416070005975709</v>
      </c>
      <c r="K1877" s="2">
        <f t="shared" si="298"/>
        <v>0.31964996016731989</v>
      </c>
      <c r="L1877" s="2">
        <f t="shared" si="299"/>
        <v>1.4612569607648909</v>
      </c>
      <c r="M1877" s="2">
        <f t="shared" si="295"/>
        <v>1.0594112965545459</v>
      </c>
      <c r="N1877" s="2">
        <f t="shared" si="296"/>
        <v>0.52970564827727296</v>
      </c>
      <c r="O1877" s="2">
        <f t="shared" si="297"/>
        <v>1.9440197291775918</v>
      </c>
      <c r="P1877" s="2">
        <v>72.552514000000002</v>
      </c>
      <c r="Q1877" s="2">
        <v>23.037618999999999</v>
      </c>
    </row>
    <row r="1878" spans="1:17" x14ac:dyDescent="0.25">
      <c r="A1878" s="2">
        <v>2056</v>
      </c>
      <c r="B1878" s="2" t="s">
        <v>31</v>
      </c>
      <c r="C1878" s="2">
        <v>41</v>
      </c>
      <c r="D1878" s="2">
        <f t="shared" si="290"/>
        <v>104.14</v>
      </c>
      <c r="E1878" s="2">
        <f t="shared" si="291"/>
        <v>33.148791547179961</v>
      </c>
      <c r="F1878" s="2">
        <f t="shared" si="292"/>
        <v>13.050705333535419</v>
      </c>
      <c r="G1878" s="2">
        <v>9.9443509999999993</v>
      </c>
      <c r="H1878" s="2">
        <f t="shared" si="293"/>
        <v>32.62582453484</v>
      </c>
      <c r="I1878" s="2">
        <f>INDEX('Wood Density Lookup'!$B$2:$B$152,MATCH(B1878,'Wood Density Lookup'!$A$2:$A$152,0))</f>
        <v>0.78</v>
      </c>
      <c r="J1878" s="2">
        <f t="shared" si="294"/>
        <v>461.62248906366773</v>
      </c>
      <c r="K1878" s="2">
        <f t="shared" si="298"/>
        <v>129.25429693782698</v>
      </c>
      <c r="L1878" s="2">
        <f t="shared" si="299"/>
        <v>590.87678600149468</v>
      </c>
      <c r="M1878" s="2">
        <f t="shared" si="295"/>
        <v>428.38566985108361</v>
      </c>
      <c r="N1878" s="2">
        <f t="shared" si="296"/>
        <v>214.1928349255418</v>
      </c>
      <c r="O1878" s="2">
        <f t="shared" si="297"/>
        <v>786.08770417673838</v>
      </c>
      <c r="P1878" s="2">
        <v>72.552515999999997</v>
      </c>
      <c r="Q1878" s="2">
        <v>23.038762999999999</v>
      </c>
    </row>
    <row r="1879" spans="1:17" x14ac:dyDescent="0.25">
      <c r="A1879" s="2">
        <v>2057</v>
      </c>
      <c r="B1879" s="2" t="s">
        <v>74</v>
      </c>
      <c r="C1879" s="2">
        <v>2</v>
      </c>
      <c r="D1879" s="2">
        <f t="shared" si="290"/>
        <v>5.08</v>
      </c>
      <c r="E1879" s="2">
        <f t="shared" si="291"/>
        <v>1.6170142218136567</v>
      </c>
      <c r="F1879" s="2">
        <f t="shared" si="292"/>
        <v>0.63661977236758138</v>
      </c>
      <c r="G1879" s="2">
        <v>2.13855</v>
      </c>
      <c r="H1879" s="2">
        <f t="shared" si="293"/>
        <v>7.0162403819999994</v>
      </c>
      <c r="I1879" s="2">
        <f>INDEX('Wood Density Lookup'!$B$2:$B$152,MATCH(B1879,'Wood Density Lookup'!$A$2:$A$152,0))</f>
        <v>0.5</v>
      </c>
      <c r="J1879" s="2">
        <f t="shared" si="294"/>
        <v>0.18357593386969404</v>
      </c>
      <c r="K1879" s="2">
        <f t="shared" si="298"/>
        <v>5.1401261483514336E-2</v>
      </c>
      <c r="L1879" s="2">
        <f t="shared" si="299"/>
        <v>0.23497719535320838</v>
      </c>
      <c r="M1879" s="2">
        <f t="shared" si="295"/>
        <v>0.17035846663107607</v>
      </c>
      <c r="N1879" s="2">
        <f t="shared" si="296"/>
        <v>8.5179233315538033E-2</v>
      </c>
      <c r="O1879" s="2">
        <f t="shared" si="297"/>
        <v>0.3126077862680246</v>
      </c>
      <c r="P1879" s="2">
        <v>72.552515999999997</v>
      </c>
      <c r="Q1879" s="2">
        <v>23.035983999999999</v>
      </c>
    </row>
    <row r="1880" spans="1:17" x14ac:dyDescent="0.25">
      <c r="A1880" s="2">
        <v>2058</v>
      </c>
      <c r="B1880" s="2" t="s">
        <v>111</v>
      </c>
      <c r="C1880" s="2">
        <v>2</v>
      </c>
      <c r="D1880" s="2">
        <f t="shared" si="290"/>
        <v>5.08</v>
      </c>
      <c r="E1880" s="2">
        <f t="shared" si="291"/>
        <v>1.6170142218136567</v>
      </c>
      <c r="F1880" s="2">
        <f t="shared" si="292"/>
        <v>0.63661977236758138</v>
      </c>
      <c r="G1880" s="2">
        <v>4.1595950000000004</v>
      </c>
      <c r="H1880" s="2">
        <f t="shared" si="293"/>
        <v>13.646965659800001</v>
      </c>
      <c r="I1880" s="2">
        <f>INDEX('Wood Density Lookup'!$B$2:$B$152,MATCH(B1880,'Wood Density Lookup'!$A$2:$A$152,0))</f>
        <v>0.4</v>
      </c>
      <c r="J1880" s="2">
        <f t="shared" si="294"/>
        <v>0.28263689475630588</v>
      </c>
      <c r="K1880" s="2">
        <f t="shared" si="298"/>
        <v>7.9138330531765652E-2</v>
      </c>
      <c r="L1880" s="2">
        <f t="shared" si="299"/>
        <v>0.36177522528807154</v>
      </c>
      <c r="M1880" s="2">
        <f t="shared" si="295"/>
        <v>0.26228703833385186</v>
      </c>
      <c r="N1880" s="2">
        <f t="shared" si="296"/>
        <v>0.13114351916692593</v>
      </c>
      <c r="O1880" s="2">
        <f t="shared" si="297"/>
        <v>0.48129671534261814</v>
      </c>
      <c r="P1880" s="2">
        <v>72.552515999999997</v>
      </c>
      <c r="Q1880" s="2">
        <v>23.03763</v>
      </c>
    </row>
    <row r="1881" spans="1:17" x14ac:dyDescent="0.25">
      <c r="A1881" s="2">
        <v>2059</v>
      </c>
      <c r="B1881" s="2" t="s">
        <v>111</v>
      </c>
      <c r="C1881" s="2">
        <v>3</v>
      </c>
      <c r="D1881" s="2">
        <f t="shared" si="290"/>
        <v>7.62</v>
      </c>
      <c r="E1881" s="2">
        <f t="shared" si="291"/>
        <v>2.4255213327204852</v>
      </c>
      <c r="F1881" s="2">
        <f t="shared" si="292"/>
        <v>0.95492965855137202</v>
      </c>
      <c r="G1881" s="2">
        <v>4.2511380000000001</v>
      </c>
      <c r="H1881" s="2">
        <f t="shared" si="293"/>
        <v>13.947303595919999</v>
      </c>
      <c r="I1881" s="2">
        <f>INDEX('Wood Density Lookup'!$B$2:$B$152,MATCH(B1881,'Wood Density Lookup'!$A$2:$A$152,0))</f>
        <v>0.4</v>
      </c>
      <c r="J1881" s="2">
        <f t="shared" si="294"/>
        <v>0.63706866845305488</v>
      </c>
      <c r="K1881" s="2">
        <f t="shared" si="298"/>
        <v>0.17837922716685539</v>
      </c>
      <c r="L1881" s="2">
        <f t="shared" si="299"/>
        <v>0.81544789561991027</v>
      </c>
      <c r="M1881" s="2">
        <f t="shared" si="295"/>
        <v>0.59119972432443491</v>
      </c>
      <c r="N1881" s="2">
        <f t="shared" si="296"/>
        <v>0.29559986216221745</v>
      </c>
      <c r="O1881" s="2">
        <f t="shared" si="297"/>
        <v>1.084851494135338</v>
      </c>
      <c r="P1881" s="2">
        <v>72.552515999999997</v>
      </c>
      <c r="Q1881" s="2">
        <v>23.037610999999998</v>
      </c>
    </row>
    <row r="1882" spans="1:17" x14ac:dyDescent="0.25">
      <c r="A1882" s="2">
        <v>2060</v>
      </c>
      <c r="B1882" s="2" t="s">
        <v>135</v>
      </c>
      <c r="C1882" s="2">
        <v>3</v>
      </c>
      <c r="D1882" s="2">
        <f t="shared" si="290"/>
        <v>7.62</v>
      </c>
      <c r="E1882" s="2">
        <f t="shared" si="291"/>
        <v>2.4255213327204852</v>
      </c>
      <c r="F1882" s="2">
        <f t="shared" si="292"/>
        <v>0.95492965855137202</v>
      </c>
      <c r="G1882" s="2">
        <v>9.910304</v>
      </c>
      <c r="H1882" s="2">
        <f t="shared" si="293"/>
        <v>32.514121775360003</v>
      </c>
      <c r="I1882" s="2">
        <f>INDEX('Wood Density Lookup'!$B$2:$B$152,MATCH(B1882,'Wood Density Lookup'!$A$2:$A$152,0))</f>
        <v>0.8</v>
      </c>
      <c r="J1882" s="2">
        <f t="shared" si="294"/>
        <v>2.86253847958743</v>
      </c>
      <c r="K1882" s="2">
        <f t="shared" si="298"/>
        <v>0.80151077428448048</v>
      </c>
      <c r="L1882" s="2">
        <f t="shared" si="299"/>
        <v>3.6640492538719105</v>
      </c>
      <c r="M1882" s="2">
        <f t="shared" si="295"/>
        <v>2.6564357090571349</v>
      </c>
      <c r="N1882" s="2">
        <f t="shared" si="296"/>
        <v>1.3282178545285674</v>
      </c>
      <c r="O1882" s="2">
        <f t="shared" si="297"/>
        <v>4.8745595261198424</v>
      </c>
      <c r="P1882" s="2">
        <v>72.552519000000004</v>
      </c>
      <c r="Q1882" s="2">
        <v>23.035278999999999</v>
      </c>
    </row>
    <row r="1883" spans="1:17" x14ac:dyDescent="0.25">
      <c r="A1883" s="2">
        <v>2061</v>
      </c>
      <c r="B1883" s="2" t="s">
        <v>111</v>
      </c>
      <c r="C1883" s="2">
        <v>5</v>
      </c>
      <c r="D1883" s="2">
        <f t="shared" si="290"/>
        <v>12.7</v>
      </c>
      <c r="E1883" s="2">
        <f t="shared" si="291"/>
        <v>4.0425355545341413</v>
      </c>
      <c r="F1883" s="2">
        <f t="shared" si="292"/>
        <v>1.5915494309189535</v>
      </c>
      <c r="G1883" s="2">
        <v>4.2434969999999996</v>
      </c>
      <c r="H1883" s="2">
        <f t="shared" si="293"/>
        <v>13.922234697479999</v>
      </c>
      <c r="I1883" s="2">
        <f>INDEX('Wood Density Lookup'!$B$2:$B$152,MATCH(B1883,'Wood Density Lookup'!$A$2:$A$152,0))</f>
        <v>0.4</v>
      </c>
      <c r="J1883" s="2">
        <f t="shared" si="294"/>
        <v>1.7237427535760161</v>
      </c>
      <c r="K1883" s="2">
        <f t="shared" si="298"/>
        <v>0.48264797100128459</v>
      </c>
      <c r="L1883" s="2">
        <f t="shared" si="299"/>
        <v>2.2063907245773007</v>
      </c>
      <c r="M1883" s="2">
        <f t="shared" si="295"/>
        <v>1.5996332753185429</v>
      </c>
      <c r="N1883" s="2">
        <f t="shared" si="296"/>
        <v>0.79981663765927147</v>
      </c>
      <c r="O1883" s="2">
        <f t="shared" si="297"/>
        <v>2.9353270602095263</v>
      </c>
      <c r="P1883" s="2">
        <v>72.552519000000004</v>
      </c>
      <c r="Q1883" s="2">
        <v>23.037600999999999</v>
      </c>
    </row>
    <row r="1884" spans="1:17" x14ac:dyDescent="0.25">
      <c r="A1884" s="2">
        <v>2062</v>
      </c>
      <c r="B1884" s="2" t="s">
        <v>111</v>
      </c>
      <c r="C1884" s="2">
        <v>6</v>
      </c>
      <c r="D1884" s="2">
        <f t="shared" si="290"/>
        <v>15.24</v>
      </c>
      <c r="E1884" s="2">
        <f t="shared" si="291"/>
        <v>4.8510426654409704</v>
      </c>
      <c r="F1884" s="2">
        <f t="shared" si="292"/>
        <v>1.909859317102744</v>
      </c>
      <c r="G1884" s="2">
        <v>4.1378529999999998</v>
      </c>
      <c r="H1884" s="2">
        <f t="shared" si="293"/>
        <v>13.575633636519999</v>
      </c>
      <c r="I1884" s="2">
        <f>INDEX('Wood Density Lookup'!$B$2:$B$152,MATCH(B1884,'Wood Density Lookup'!$A$2:$A$152,0))</f>
        <v>0.4</v>
      </c>
      <c r="J1884" s="2">
        <f t="shared" si="294"/>
        <v>2.4007568487051096</v>
      </c>
      <c r="K1884" s="2">
        <f t="shared" si="298"/>
        <v>0.67221191763743071</v>
      </c>
      <c r="L1884" s="2">
        <f t="shared" si="299"/>
        <v>3.0729687663425405</v>
      </c>
      <c r="M1884" s="2">
        <f t="shared" si="295"/>
        <v>2.2279023555983417</v>
      </c>
      <c r="N1884" s="2">
        <f t="shared" si="296"/>
        <v>1.1139511777991709</v>
      </c>
      <c r="O1884" s="2">
        <f t="shared" si="297"/>
        <v>4.0882008225229569</v>
      </c>
      <c r="P1884" s="2">
        <v>72.552520000000001</v>
      </c>
      <c r="Q1884" s="2">
        <v>23.037623</v>
      </c>
    </row>
    <row r="1885" spans="1:17" x14ac:dyDescent="0.25">
      <c r="A1885" s="2">
        <v>2063</v>
      </c>
      <c r="B1885" s="2" t="s">
        <v>111</v>
      </c>
      <c r="C1885" s="2">
        <v>9</v>
      </c>
      <c r="D1885" s="2">
        <f t="shared" si="290"/>
        <v>22.86</v>
      </c>
      <c r="E1885" s="2">
        <f t="shared" si="291"/>
        <v>7.2765639981614552</v>
      </c>
      <c r="F1885" s="2">
        <f t="shared" si="292"/>
        <v>2.8647889756541161</v>
      </c>
      <c r="G1885" s="2">
        <v>4.2835279999999996</v>
      </c>
      <c r="H1885" s="2">
        <f t="shared" si="293"/>
        <v>14.053570003519999</v>
      </c>
      <c r="I1885" s="2">
        <f>INDEX('Wood Density Lookup'!$B$2:$B$152,MATCH(B1885,'Wood Density Lookup'!$A$2:$A$152,0))</f>
        <v>0.4</v>
      </c>
      <c r="J1885" s="2">
        <f t="shared" si="294"/>
        <v>5.4795416073402281</v>
      </c>
      <c r="K1885" s="2">
        <f t="shared" si="298"/>
        <v>1.534271650055264</v>
      </c>
      <c r="L1885" s="2">
        <f t="shared" si="299"/>
        <v>7.0138132573954923</v>
      </c>
      <c r="M1885" s="2">
        <f t="shared" si="295"/>
        <v>5.0850146116117321</v>
      </c>
      <c r="N1885" s="2">
        <f t="shared" si="296"/>
        <v>2.542507305805866</v>
      </c>
      <c r="O1885" s="2">
        <f t="shared" si="297"/>
        <v>9.3310018123075285</v>
      </c>
      <c r="P1885" s="2">
        <v>72.552520999999999</v>
      </c>
      <c r="Q1885" s="2">
        <v>23.037614999999999</v>
      </c>
    </row>
    <row r="1886" spans="1:17" x14ac:dyDescent="0.25">
      <c r="A1886" s="2">
        <v>2064</v>
      </c>
      <c r="B1886" s="2" t="s">
        <v>111</v>
      </c>
      <c r="C1886" s="2">
        <v>13</v>
      </c>
      <c r="D1886" s="2">
        <f t="shared" si="290"/>
        <v>33.020000000000003</v>
      </c>
      <c r="E1886" s="2">
        <f t="shared" si="291"/>
        <v>10.51059244178877</v>
      </c>
      <c r="F1886" s="2">
        <f t="shared" si="292"/>
        <v>4.1380285203892786</v>
      </c>
      <c r="G1886" s="2">
        <v>4.2835279999999996</v>
      </c>
      <c r="H1886" s="2">
        <f t="shared" si="293"/>
        <v>14.053570003519999</v>
      </c>
      <c r="I1886" s="2">
        <f>INDEX('Wood Density Lookup'!$B$2:$B$152,MATCH(B1886,'Wood Density Lookup'!$A$2:$A$152,0))</f>
        <v>0.4</v>
      </c>
      <c r="J1886" s="2">
        <f t="shared" si="294"/>
        <v>11.232599498016357</v>
      </c>
      <c r="K1886" s="2">
        <f t="shared" si="298"/>
        <v>3.1451278594445804</v>
      </c>
      <c r="L1886" s="2">
        <f t="shared" si="299"/>
        <v>14.377727357460937</v>
      </c>
      <c r="M1886" s="2">
        <f t="shared" si="295"/>
        <v>10.423852334159179</v>
      </c>
      <c r="N1886" s="2">
        <f t="shared" si="296"/>
        <v>5.2119261670795893</v>
      </c>
      <c r="O1886" s="2">
        <f t="shared" si="297"/>
        <v>19.127769033182094</v>
      </c>
      <c r="P1886" s="2">
        <v>72.552520999999999</v>
      </c>
      <c r="Q1886" s="2">
        <v>23.037614999999999</v>
      </c>
    </row>
    <row r="1887" spans="1:17" x14ac:dyDescent="0.25">
      <c r="A1887" s="2">
        <v>2065</v>
      </c>
      <c r="B1887" s="2" t="s">
        <v>111</v>
      </c>
      <c r="C1887" s="2">
        <v>5</v>
      </c>
      <c r="D1887" s="2">
        <f t="shared" si="290"/>
        <v>12.7</v>
      </c>
      <c r="E1887" s="2">
        <f t="shared" si="291"/>
        <v>4.0425355545341413</v>
      </c>
      <c r="F1887" s="2">
        <f t="shared" si="292"/>
        <v>1.5915494309189535</v>
      </c>
      <c r="G1887" s="2">
        <v>4.5879890000000003</v>
      </c>
      <c r="H1887" s="2">
        <f t="shared" si="293"/>
        <v>15.052457830760002</v>
      </c>
      <c r="I1887" s="2">
        <f>INDEX('Wood Density Lookup'!$B$2:$B$152,MATCH(B1887,'Wood Density Lookup'!$A$2:$A$152,0))</f>
        <v>0.4</v>
      </c>
      <c r="J1887" s="2">
        <f t="shared" si="294"/>
        <v>1.8601902285110949</v>
      </c>
      <c r="K1887" s="2">
        <f t="shared" si="298"/>
        <v>0.52085326398310661</v>
      </c>
      <c r="L1887" s="2">
        <f t="shared" si="299"/>
        <v>2.3810434924942014</v>
      </c>
      <c r="M1887" s="2">
        <f t="shared" si="295"/>
        <v>1.7262565320582961</v>
      </c>
      <c r="N1887" s="2">
        <f t="shared" si="296"/>
        <v>0.86312826602914805</v>
      </c>
      <c r="O1887" s="2">
        <f t="shared" si="297"/>
        <v>3.1676807363269734</v>
      </c>
      <c r="P1887" s="2">
        <v>72.552521999999996</v>
      </c>
      <c r="Q1887" s="2">
        <v>23.037592</v>
      </c>
    </row>
    <row r="1888" spans="1:17" x14ac:dyDescent="0.25">
      <c r="A1888" s="2">
        <v>2066</v>
      </c>
      <c r="B1888" s="2" t="s">
        <v>111</v>
      </c>
      <c r="C1888" s="2">
        <v>5</v>
      </c>
      <c r="D1888" s="2">
        <f t="shared" si="290"/>
        <v>12.7</v>
      </c>
      <c r="E1888" s="2">
        <f t="shared" si="291"/>
        <v>4.0425355545341413</v>
      </c>
      <c r="F1888" s="2">
        <f t="shared" si="292"/>
        <v>1.5915494309189535</v>
      </c>
      <c r="G1888" s="2">
        <v>3.9479860000000002</v>
      </c>
      <c r="H1888" s="2">
        <f t="shared" si="293"/>
        <v>12.95271038824</v>
      </c>
      <c r="I1888" s="2">
        <f>INDEX('Wood Density Lookup'!$B$2:$B$152,MATCH(B1888,'Wood Density Lookup'!$A$2:$A$152,0))</f>
        <v>0.4</v>
      </c>
      <c r="J1888" s="2">
        <f t="shared" si="294"/>
        <v>1.6064844162301093</v>
      </c>
      <c r="K1888" s="2">
        <f t="shared" si="298"/>
        <v>0.44981563654443063</v>
      </c>
      <c r="L1888" s="2">
        <f t="shared" si="299"/>
        <v>2.0563000527745401</v>
      </c>
      <c r="M1888" s="2">
        <f t="shared" si="295"/>
        <v>1.4908175382615416</v>
      </c>
      <c r="N1888" s="2">
        <f t="shared" si="296"/>
        <v>0.74540876913077081</v>
      </c>
      <c r="O1888" s="2">
        <f t="shared" si="297"/>
        <v>2.7356501827099287</v>
      </c>
      <c r="P1888" s="2">
        <v>72.552522999999994</v>
      </c>
      <c r="Q1888" s="2">
        <v>23.037631000000001</v>
      </c>
    </row>
    <row r="1889" spans="1:17" x14ac:dyDescent="0.25">
      <c r="A1889" s="2">
        <v>2067</v>
      </c>
      <c r="B1889" s="2" t="s">
        <v>78</v>
      </c>
      <c r="C1889" s="2">
        <v>162</v>
      </c>
      <c r="D1889" s="2">
        <f t="shared" si="290"/>
        <v>411.48</v>
      </c>
      <c r="E1889" s="2">
        <f t="shared" si="291"/>
        <v>130.97815196690618</v>
      </c>
      <c r="F1889" s="2">
        <f t="shared" si="292"/>
        <v>51.566201561774093</v>
      </c>
      <c r="G1889" s="2">
        <v>12.545814999999999</v>
      </c>
      <c r="H1889" s="2">
        <f t="shared" si="293"/>
        <v>41.160811684599999</v>
      </c>
      <c r="I1889" s="2">
        <f>INDEX('Wood Density Lookup'!$B$2:$B$152,MATCH(B1889,'Wood Density Lookup'!$A$2:$A$152,0))</f>
        <v>0.55000000000000004</v>
      </c>
      <c r="J1889" s="2">
        <f t="shared" si="294"/>
        <v>6018.8861283897168</v>
      </c>
      <c r="K1889" s="2">
        <f t="shared" si="298"/>
        <v>1685.2881159491208</v>
      </c>
      <c r="L1889" s="2">
        <f t="shared" si="299"/>
        <v>7704.1742443388375</v>
      </c>
      <c r="M1889" s="2">
        <f t="shared" si="295"/>
        <v>5585.526327145657</v>
      </c>
      <c r="N1889" s="2">
        <f t="shared" si="296"/>
        <v>2792.7631635728285</v>
      </c>
      <c r="O1889" s="2">
        <f t="shared" si="297"/>
        <v>10249.440810312281</v>
      </c>
      <c r="P1889" s="2">
        <v>72.552524000000005</v>
      </c>
      <c r="Q1889" s="2">
        <v>23.036166000000001</v>
      </c>
    </row>
    <row r="1890" spans="1:17" x14ac:dyDescent="0.25">
      <c r="A1890" s="2">
        <v>2068</v>
      </c>
      <c r="B1890" s="2" t="s">
        <v>15</v>
      </c>
      <c r="C1890" s="2">
        <v>17</v>
      </c>
      <c r="D1890" s="2">
        <f t="shared" si="290"/>
        <v>43.18</v>
      </c>
      <c r="E1890" s="2">
        <f t="shared" si="291"/>
        <v>13.744620885416081</v>
      </c>
      <c r="F1890" s="2">
        <f t="shared" si="292"/>
        <v>5.4112680651244416</v>
      </c>
      <c r="G1890" s="2">
        <v>10.295607</v>
      </c>
      <c r="H1890" s="2">
        <f t="shared" si="293"/>
        <v>33.778239269880004</v>
      </c>
      <c r="I1890" s="2">
        <f>INDEX('Wood Density Lookup'!$B$2:$B$152,MATCH(B1890,'Wood Density Lookup'!$A$2:$A$152,0))</f>
        <v>0.75</v>
      </c>
      <c r="J1890" s="2">
        <f t="shared" si="294"/>
        <v>82.424880220526319</v>
      </c>
      <c r="K1890" s="2">
        <f t="shared" si="298"/>
        <v>23.07896646174737</v>
      </c>
      <c r="L1890" s="2">
        <f t="shared" si="299"/>
        <v>105.50384668227369</v>
      </c>
      <c r="M1890" s="2">
        <f t="shared" si="295"/>
        <v>76.490288844648418</v>
      </c>
      <c r="N1890" s="2">
        <f t="shared" si="296"/>
        <v>38.245144422324209</v>
      </c>
      <c r="O1890" s="2">
        <f t="shared" si="297"/>
        <v>140.35968002992985</v>
      </c>
      <c r="P1890" s="2">
        <v>72.552526</v>
      </c>
      <c r="Q1890" s="2">
        <v>23.035736</v>
      </c>
    </row>
    <row r="1891" spans="1:17" x14ac:dyDescent="0.25">
      <c r="A1891" s="2">
        <v>2069</v>
      </c>
      <c r="B1891" s="2" t="s">
        <v>111</v>
      </c>
      <c r="C1891" s="2">
        <v>6</v>
      </c>
      <c r="D1891" s="2">
        <f t="shared" si="290"/>
        <v>15.24</v>
      </c>
      <c r="E1891" s="2">
        <f t="shared" si="291"/>
        <v>4.8510426654409704</v>
      </c>
      <c r="F1891" s="2">
        <f t="shared" si="292"/>
        <v>1.909859317102744</v>
      </c>
      <c r="G1891" s="2">
        <v>4.3099990000000004</v>
      </c>
      <c r="H1891" s="2">
        <f t="shared" si="293"/>
        <v>14.14041711916</v>
      </c>
      <c r="I1891" s="2">
        <f>INDEX('Wood Density Lookup'!$B$2:$B$152,MATCH(B1891,'Wood Density Lookup'!$A$2:$A$152,0))</f>
        <v>0.4</v>
      </c>
      <c r="J1891" s="2">
        <f t="shared" si="294"/>
        <v>2.4981898366011084</v>
      </c>
      <c r="K1891" s="2">
        <f t="shared" si="298"/>
        <v>0.69949315424831038</v>
      </c>
      <c r="L1891" s="2">
        <f t="shared" si="299"/>
        <v>3.1976829908494189</v>
      </c>
      <c r="M1891" s="2">
        <f t="shared" si="295"/>
        <v>2.3183201683658288</v>
      </c>
      <c r="N1891" s="2">
        <f t="shared" si="296"/>
        <v>1.1591600841829144</v>
      </c>
      <c r="O1891" s="2">
        <f t="shared" si="297"/>
        <v>4.2541175089512961</v>
      </c>
      <c r="P1891" s="2">
        <v>72.552526</v>
      </c>
      <c r="Q1891" s="2">
        <v>23.037583999999999</v>
      </c>
    </row>
    <row r="1892" spans="1:17" x14ac:dyDescent="0.25">
      <c r="A1892" s="2">
        <v>2070</v>
      </c>
      <c r="B1892" s="2" t="s">
        <v>111</v>
      </c>
      <c r="C1892" s="2">
        <v>4</v>
      </c>
      <c r="D1892" s="2">
        <f t="shared" si="290"/>
        <v>10.16</v>
      </c>
      <c r="E1892" s="2">
        <f t="shared" si="291"/>
        <v>3.2340284436273135</v>
      </c>
      <c r="F1892" s="2">
        <f t="shared" si="292"/>
        <v>1.2732395447351628</v>
      </c>
      <c r="G1892" s="2">
        <v>4.1947010000000002</v>
      </c>
      <c r="H1892" s="2">
        <f t="shared" si="293"/>
        <v>13.76214282884</v>
      </c>
      <c r="I1892" s="2">
        <f>INDEX('Wood Density Lookup'!$B$2:$B$152,MATCH(B1892,'Wood Density Lookup'!$A$2:$A$152,0))</f>
        <v>0.4</v>
      </c>
      <c r="J1892" s="2">
        <f t="shared" si="294"/>
        <v>1.1025588193727667</v>
      </c>
      <c r="K1892" s="2">
        <f t="shared" si="298"/>
        <v>0.3087164694243747</v>
      </c>
      <c r="L1892" s="2">
        <f t="shared" si="299"/>
        <v>1.4112752887971414</v>
      </c>
      <c r="M1892" s="2">
        <f t="shared" si="295"/>
        <v>1.0231745843779274</v>
      </c>
      <c r="N1892" s="2">
        <f t="shared" si="296"/>
        <v>0.5115872921889637</v>
      </c>
      <c r="O1892" s="2">
        <f t="shared" si="297"/>
        <v>1.8775253623334967</v>
      </c>
      <c r="P1892" s="2">
        <v>72.552526999999998</v>
      </c>
      <c r="Q1892" s="2">
        <v>23.037624999999998</v>
      </c>
    </row>
    <row r="1893" spans="1:17" x14ac:dyDescent="0.25">
      <c r="A1893" s="2">
        <v>2071</v>
      </c>
      <c r="B1893" s="2" t="s">
        <v>111</v>
      </c>
      <c r="C1893" s="2">
        <v>6</v>
      </c>
      <c r="D1893" s="2">
        <f t="shared" si="290"/>
        <v>15.24</v>
      </c>
      <c r="E1893" s="2">
        <f t="shared" si="291"/>
        <v>4.8510426654409704</v>
      </c>
      <c r="F1893" s="2">
        <f t="shared" si="292"/>
        <v>1.909859317102744</v>
      </c>
      <c r="G1893" s="2">
        <v>4.2257470000000001</v>
      </c>
      <c r="H1893" s="2">
        <f t="shared" si="293"/>
        <v>13.863999787480001</v>
      </c>
      <c r="I1893" s="2">
        <f>INDEX('Wood Density Lookup'!$B$2:$B$152,MATCH(B1893,'Wood Density Lookup'!$A$2:$A$152,0))</f>
        <v>0.4</v>
      </c>
      <c r="J1893" s="2">
        <f t="shared" si="294"/>
        <v>2.4505159176059133</v>
      </c>
      <c r="K1893" s="2">
        <f t="shared" si="298"/>
        <v>0.68614445692965575</v>
      </c>
      <c r="L1893" s="2">
        <f t="shared" si="299"/>
        <v>3.1366603745355688</v>
      </c>
      <c r="M1893" s="2">
        <f t="shared" si="295"/>
        <v>2.2740787715382873</v>
      </c>
      <c r="N1893" s="2">
        <f t="shared" si="296"/>
        <v>1.1370393857691437</v>
      </c>
      <c r="O1893" s="2">
        <f t="shared" si="297"/>
        <v>4.1729345457727574</v>
      </c>
      <c r="P1893" s="2">
        <v>72.552527999999995</v>
      </c>
      <c r="Q1893" s="2">
        <v>23.037617999999998</v>
      </c>
    </row>
    <row r="1894" spans="1:17" x14ac:dyDescent="0.25">
      <c r="A1894" s="2">
        <v>2072</v>
      </c>
      <c r="B1894" s="2" t="s">
        <v>111</v>
      </c>
      <c r="C1894" s="2">
        <v>3</v>
      </c>
      <c r="D1894" s="2">
        <f t="shared" si="290"/>
        <v>7.62</v>
      </c>
      <c r="E1894" s="2">
        <f t="shared" si="291"/>
        <v>2.4255213327204852</v>
      </c>
      <c r="F1894" s="2">
        <f t="shared" si="292"/>
        <v>0.95492965855137202</v>
      </c>
      <c r="G1894" s="2">
        <v>4.1656779999999998</v>
      </c>
      <c r="H1894" s="2">
        <f t="shared" si="293"/>
        <v>13.66692300952</v>
      </c>
      <c r="I1894" s="2">
        <f>INDEX('Wood Density Lookup'!$B$2:$B$152,MATCH(B1894,'Wood Density Lookup'!$A$2:$A$152,0))</f>
        <v>0.4</v>
      </c>
      <c r="J1894" s="2">
        <f t="shared" si="294"/>
        <v>0.62456610032477067</v>
      </c>
      <c r="K1894" s="2">
        <f t="shared" si="298"/>
        <v>0.1748785080909358</v>
      </c>
      <c r="L1894" s="2">
        <f t="shared" si="299"/>
        <v>0.79944460841570653</v>
      </c>
      <c r="M1894" s="2">
        <f t="shared" si="295"/>
        <v>0.57959734110138716</v>
      </c>
      <c r="N1894" s="2">
        <f t="shared" si="296"/>
        <v>0.28979867055069358</v>
      </c>
      <c r="O1894" s="2">
        <f t="shared" si="297"/>
        <v>1.0635611209210454</v>
      </c>
      <c r="P1894" s="2">
        <v>72.552527999999995</v>
      </c>
      <c r="Q1894" s="2">
        <v>23.037576000000001</v>
      </c>
    </row>
    <row r="1895" spans="1:17" x14ac:dyDescent="0.25">
      <c r="A1895" s="2">
        <v>2073</v>
      </c>
      <c r="B1895" s="2" t="s">
        <v>31</v>
      </c>
      <c r="C1895" s="2">
        <v>6</v>
      </c>
      <c r="D1895" s="2">
        <f t="shared" si="290"/>
        <v>15.24</v>
      </c>
      <c r="E1895" s="2">
        <f t="shared" si="291"/>
        <v>4.8510426654409704</v>
      </c>
      <c r="F1895" s="2">
        <f t="shared" si="292"/>
        <v>1.909859317102744</v>
      </c>
      <c r="G1895" s="2">
        <v>1.0027790000000001</v>
      </c>
      <c r="H1895" s="2">
        <f t="shared" si="293"/>
        <v>3.2899574543600001</v>
      </c>
      <c r="I1895" s="2">
        <f>INDEX('Wood Density Lookup'!$B$2:$B$152,MATCH(B1895,'Wood Density Lookup'!$A$2:$A$152,0))</f>
        <v>0.78</v>
      </c>
      <c r="J1895" s="2">
        <f t="shared" si="294"/>
        <v>1.1551165478831213</v>
      </c>
      <c r="K1895" s="2">
        <f t="shared" si="298"/>
        <v>0.32343263340727402</v>
      </c>
      <c r="L1895" s="2">
        <f t="shared" si="299"/>
        <v>1.4785491812903953</v>
      </c>
      <c r="M1895" s="2">
        <f t="shared" si="295"/>
        <v>1.0719481564355364</v>
      </c>
      <c r="N1895" s="2">
        <f t="shared" si="296"/>
        <v>0.53597407821776821</v>
      </c>
      <c r="O1895" s="2">
        <f t="shared" si="297"/>
        <v>1.9670248670592092</v>
      </c>
      <c r="P1895" s="2">
        <v>72.552531000000002</v>
      </c>
      <c r="Q1895" s="2">
        <v>23.038205999999999</v>
      </c>
    </row>
    <row r="1896" spans="1:17" x14ac:dyDescent="0.25">
      <c r="A1896" s="2">
        <v>2074</v>
      </c>
      <c r="B1896" s="2" t="s">
        <v>111</v>
      </c>
      <c r="C1896" s="2">
        <v>5</v>
      </c>
      <c r="D1896" s="2">
        <f t="shared" si="290"/>
        <v>12.7</v>
      </c>
      <c r="E1896" s="2">
        <f t="shared" si="291"/>
        <v>4.0425355545341413</v>
      </c>
      <c r="F1896" s="2">
        <f t="shared" si="292"/>
        <v>1.5915494309189535</v>
      </c>
      <c r="G1896" s="2">
        <v>4.2737049999999996</v>
      </c>
      <c r="H1896" s="2">
        <f t="shared" si="293"/>
        <v>14.021342312199998</v>
      </c>
      <c r="I1896" s="2">
        <f>INDEX('Wood Density Lookup'!$B$2:$B$152,MATCH(B1896,'Wood Density Lookup'!$A$2:$A$152,0))</f>
        <v>0.4</v>
      </c>
      <c r="J1896" s="2">
        <f t="shared" si="294"/>
        <v>1.7357179689624986</v>
      </c>
      <c r="K1896" s="2">
        <f t="shared" si="298"/>
        <v>0.48600103130949968</v>
      </c>
      <c r="L1896" s="2">
        <f t="shared" si="299"/>
        <v>2.2217190002719982</v>
      </c>
      <c r="M1896" s="2">
        <f t="shared" si="295"/>
        <v>1.6107462751971986</v>
      </c>
      <c r="N1896" s="2">
        <f t="shared" si="296"/>
        <v>0.8053731375985993</v>
      </c>
      <c r="O1896" s="2">
        <f t="shared" si="297"/>
        <v>2.9557194149868593</v>
      </c>
      <c r="P1896" s="2">
        <v>72.552531000000002</v>
      </c>
      <c r="Q1896" s="2">
        <v>23.037610999999998</v>
      </c>
    </row>
    <row r="1897" spans="1:17" x14ac:dyDescent="0.25">
      <c r="A1897" s="2">
        <v>2075</v>
      </c>
      <c r="B1897" s="2" t="s">
        <v>57</v>
      </c>
      <c r="C1897" s="2">
        <v>76</v>
      </c>
      <c r="D1897" s="2">
        <f t="shared" si="290"/>
        <v>193.04</v>
      </c>
      <c r="E1897" s="2">
        <f t="shared" si="291"/>
        <v>61.446540428918951</v>
      </c>
      <c r="F1897" s="2">
        <f t="shared" si="292"/>
        <v>24.191551349968091</v>
      </c>
      <c r="G1897" s="2">
        <v>13.706702</v>
      </c>
      <c r="H1897" s="2">
        <f t="shared" si="293"/>
        <v>44.969496189680001</v>
      </c>
      <c r="I1897" s="2">
        <f>INDEX('Wood Density Lookup'!$B$2:$B$152,MATCH(B1897,'Wood Density Lookup'!$A$2:$A$152,0))</f>
        <v>0.6</v>
      </c>
      <c r="J1897" s="2">
        <f t="shared" si="294"/>
        <v>1630.3628078799024</v>
      </c>
      <c r="K1897" s="2">
        <f t="shared" si="298"/>
        <v>456.50158620637274</v>
      </c>
      <c r="L1897" s="2">
        <f t="shared" si="299"/>
        <v>2086.8643940862753</v>
      </c>
      <c r="M1897" s="2">
        <f t="shared" si="295"/>
        <v>1512.9766857125496</v>
      </c>
      <c r="N1897" s="2">
        <f t="shared" si="296"/>
        <v>756.48834285627481</v>
      </c>
      <c r="O1897" s="2">
        <f t="shared" si="297"/>
        <v>2776.3122182825286</v>
      </c>
      <c r="P1897" s="2">
        <v>72.552531999999999</v>
      </c>
      <c r="Q1897" s="2">
        <v>23.035157999999999</v>
      </c>
    </row>
    <row r="1898" spans="1:17" x14ac:dyDescent="0.25">
      <c r="A1898" s="2">
        <v>2076</v>
      </c>
      <c r="B1898" s="2" t="s">
        <v>15</v>
      </c>
      <c r="C1898" s="2">
        <v>34</v>
      </c>
      <c r="D1898" s="2">
        <f t="shared" si="290"/>
        <v>86.36</v>
      </c>
      <c r="E1898" s="2">
        <f t="shared" si="291"/>
        <v>27.489241770832162</v>
      </c>
      <c r="F1898" s="2">
        <f t="shared" si="292"/>
        <v>10.822536130248883</v>
      </c>
      <c r="G1898" s="2">
        <v>9.9389020000000006</v>
      </c>
      <c r="H1898" s="2">
        <f t="shared" si="293"/>
        <v>32.607947237680001</v>
      </c>
      <c r="I1898" s="2">
        <f>INDEX('Wood Density Lookup'!$B$2:$B$152,MATCH(B1898,'Wood Density Lookup'!$A$2:$A$152,0))</f>
        <v>0.75</v>
      </c>
      <c r="J1898" s="2">
        <f t="shared" si="294"/>
        <v>308.12210294539722</v>
      </c>
      <c r="K1898" s="2">
        <f t="shared" si="298"/>
        <v>86.274188824711231</v>
      </c>
      <c r="L1898" s="2">
        <f t="shared" si="299"/>
        <v>394.39629177010846</v>
      </c>
      <c r="M1898" s="2">
        <f t="shared" si="295"/>
        <v>285.93731153332863</v>
      </c>
      <c r="N1898" s="2">
        <f t="shared" si="296"/>
        <v>142.96865576666431</v>
      </c>
      <c r="O1898" s="2">
        <f t="shared" si="297"/>
        <v>524.69496666365797</v>
      </c>
      <c r="P1898" s="2">
        <v>72.552531999999999</v>
      </c>
      <c r="Q1898" s="2">
        <v>23.034763000000002</v>
      </c>
    </row>
    <row r="1899" spans="1:17" x14ac:dyDescent="0.25">
      <c r="A1899" s="2">
        <v>2077</v>
      </c>
      <c r="B1899" s="2" t="s">
        <v>111</v>
      </c>
      <c r="C1899" s="2">
        <v>14</v>
      </c>
      <c r="D1899" s="2">
        <f t="shared" si="290"/>
        <v>35.56</v>
      </c>
      <c r="E1899" s="2">
        <f t="shared" si="291"/>
        <v>11.319099552695597</v>
      </c>
      <c r="F1899" s="2">
        <f t="shared" si="292"/>
        <v>4.45633840657307</v>
      </c>
      <c r="G1899" s="2">
        <v>3.375521</v>
      </c>
      <c r="H1899" s="2">
        <f t="shared" si="293"/>
        <v>11.074544317639999</v>
      </c>
      <c r="I1899" s="2">
        <f>INDEX('Wood Density Lookup'!$B$2:$B$152,MATCH(B1899,'Wood Density Lookup'!$A$2:$A$152,0))</f>
        <v>0.4</v>
      </c>
      <c r="J1899" s="2">
        <f t="shared" si="294"/>
        <v>10.287907230031871</v>
      </c>
      <c r="K1899" s="2">
        <f t="shared" si="298"/>
        <v>2.8806140244089242</v>
      </c>
      <c r="L1899" s="2">
        <f t="shared" si="299"/>
        <v>13.168521254440796</v>
      </c>
      <c r="M1899" s="2">
        <f t="shared" si="295"/>
        <v>9.5471779094695766</v>
      </c>
      <c r="N1899" s="2">
        <f t="shared" si="296"/>
        <v>4.7735889547347883</v>
      </c>
      <c r="O1899" s="2">
        <f t="shared" si="297"/>
        <v>17.519071463876674</v>
      </c>
      <c r="P1899" s="2">
        <v>72.552532999999997</v>
      </c>
      <c r="Q1899" s="2">
        <v>23.037569000000001</v>
      </c>
    </row>
    <row r="1900" spans="1:17" x14ac:dyDescent="0.25">
      <c r="A1900" s="2">
        <v>2078</v>
      </c>
      <c r="B1900" s="2" t="s">
        <v>111</v>
      </c>
      <c r="C1900" s="2">
        <v>3</v>
      </c>
      <c r="D1900" s="2">
        <f t="shared" si="290"/>
        <v>7.62</v>
      </c>
      <c r="E1900" s="2">
        <f t="shared" si="291"/>
        <v>2.4255213327204852</v>
      </c>
      <c r="F1900" s="2">
        <f t="shared" si="292"/>
        <v>0.95492965855137202</v>
      </c>
      <c r="G1900" s="2">
        <v>3.0843289999999999</v>
      </c>
      <c r="H1900" s="2">
        <f t="shared" si="293"/>
        <v>10.11918995636</v>
      </c>
      <c r="I1900" s="2">
        <f>INDEX('Wood Density Lookup'!$B$2:$B$152,MATCH(B1900,'Wood Density Lookup'!$A$2:$A$152,0))</f>
        <v>0.4</v>
      </c>
      <c r="J1900" s="2">
        <f t="shared" si="294"/>
        <v>0.46578554733585248</v>
      </c>
      <c r="K1900" s="2">
        <f t="shared" si="298"/>
        <v>0.13041995325403871</v>
      </c>
      <c r="L1900" s="2">
        <f t="shared" si="299"/>
        <v>0.59620550058989119</v>
      </c>
      <c r="M1900" s="2">
        <f t="shared" si="295"/>
        <v>0.43224898792767108</v>
      </c>
      <c r="N1900" s="2">
        <f t="shared" si="296"/>
        <v>0.21612449396383554</v>
      </c>
      <c r="O1900" s="2">
        <f t="shared" si="297"/>
        <v>0.79317689284727644</v>
      </c>
      <c r="P1900" s="2">
        <v>72.552532999999997</v>
      </c>
      <c r="Q1900" s="2">
        <v>23.037554</v>
      </c>
    </row>
    <row r="1901" spans="1:17" x14ac:dyDescent="0.25">
      <c r="A1901" s="2">
        <v>2079</v>
      </c>
      <c r="B1901" s="2" t="s">
        <v>111</v>
      </c>
      <c r="C1901" s="2">
        <v>4</v>
      </c>
      <c r="D1901" s="2">
        <f t="shared" si="290"/>
        <v>10.16</v>
      </c>
      <c r="E1901" s="2">
        <f t="shared" si="291"/>
        <v>3.2340284436273135</v>
      </c>
      <c r="F1901" s="2">
        <f t="shared" si="292"/>
        <v>1.2732395447351628</v>
      </c>
      <c r="G1901" s="2">
        <v>4.1337419999999998</v>
      </c>
      <c r="H1901" s="2">
        <f t="shared" si="293"/>
        <v>13.56214610328</v>
      </c>
      <c r="I1901" s="2">
        <f>INDEX('Wood Density Lookup'!$B$2:$B$152,MATCH(B1901,'Wood Density Lookup'!$A$2:$A$152,0))</f>
        <v>0.4</v>
      </c>
      <c r="J1901" s="2">
        <f t="shared" si="294"/>
        <v>1.0869178193220828</v>
      </c>
      <c r="K1901" s="2">
        <f t="shared" si="298"/>
        <v>0.30433698941018322</v>
      </c>
      <c r="L1901" s="2">
        <f t="shared" si="299"/>
        <v>1.391254808732266</v>
      </c>
      <c r="M1901" s="2">
        <f t="shared" si="295"/>
        <v>1.0086597363308929</v>
      </c>
      <c r="N1901" s="2">
        <f t="shared" si="296"/>
        <v>0.50432986816544645</v>
      </c>
      <c r="O1901" s="2">
        <f t="shared" si="297"/>
        <v>1.8508906161671885</v>
      </c>
      <c r="P1901" s="2">
        <v>72.552533999999994</v>
      </c>
      <c r="Q1901" s="2">
        <v>23.037602</v>
      </c>
    </row>
    <row r="1902" spans="1:17" x14ac:dyDescent="0.25">
      <c r="A1902" s="2">
        <v>2080</v>
      </c>
      <c r="B1902" s="2" t="s">
        <v>115</v>
      </c>
      <c r="C1902" s="2">
        <v>9</v>
      </c>
      <c r="D1902" s="2">
        <f t="shared" si="290"/>
        <v>22.86</v>
      </c>
      <c r="E1902" s="2">
        <f t="shared" si="291"/>
        <v>7.2765639981614552</v>
      </c>
      <c r="F1902" s="2">
        <f t="shared" si="292"/>
        <v>2.8647889756541161</v>
      </c>
      <c r="G1902" s="2">
        <v>7.1151220000000004</v>
      </c>
      <c r="H1902" s="2">
        <f t="shared" si="293"/>
        <v>23.343576862480003</v>
      </c>
      <c r="I1902" s="2">
        <f>INDEX('Wood Density Lookup'!$B$2:$B$152,MATCH(B1902,'Wood Density Lookup'!$A$2:$A$152,0))</f>
        <v>0.65</v>
      </c>
      <c r="J1902" s="2">
        <f t="shared" si="294"/>
        <v>14.44204576209434</v>
      </c>
      <c r="K1902" s="2">
        <f t="shared" si="298"/>
        <v>4.0437728133864157</v>
      </c>
      <c r="L1902" s="2">
        <f t="shared" si="299"/>
        <v>18.485818575480756</v>
      </c>
      <c r="M1902" s="2">
        <f t="shared" si="295"/>
        <v>13.402218467223548</v>
      </c>
      <c r="N1902" s="2">
        <f t="shared" si="296"/>
        <v>6.7011092336117741</v>
      </c>
      <c r="O1902" s="2">
        <f t="shared" si="297"/>
        <v>24.593070887355211</v>
      </c>
      <c r="P1902" s="2">
        <v>72.552535000000006</v>
      </c>
      <c r="Q1902" s="2">
        <v>23.038093</v>
      </c>
    </row>
    <row r="1903" spans="1:17" x14ac:dyDescent="0.25">
      <c r="A1903" s="2">
        <v>2081</v>
      </c>
      <c r="B1903" s="2" t="s">
        <v>78</v>
      </c>
      <c r="C1903" s="2">
        <v>5</v>
      </c>
      <c r="D1903" s="2">
        <f t="shared" si="290"/>
        <v>12.7</v>
      </c>
      <c r="E1903" s="2">
        <f t="shared" si="291"/>
        <v>4.0425355545341413</v>
      </c>
      <c r="F1903" s="2">
        <f t="shared" si="292"/>
        <v>1.5915494309189535</v>
      </c>
      <c r="G1903" s="2">
        <v>3.2688000000000001</v>
      </c>
      <c r="H1903" s="2">
        <f t="shared" si="293"/>
        <v>10.724409792000001</v>
      </c>
      <c r="I1903" s="2">
        <f>INDEX('Wood Density Lookup'!$B$2:$B$152,MATCH(B1903,'Wood Density Lookup'!$A$2:$A$152,0))</f>
        <v>0.55000000000000004</v>
      </c>
      <c r="J1903" s="2">
        <f t="shared" si="294"/>
        <v>1.8232255148520371</v>
      </c>
      <c r="K1903" s="2">
        <f t="shared" si="298"/>
        <v>0.51050314415857045</v>
      </c>
      <c r="L1903" s="2">
        <f t="shared" si="299"/>
        <v>2.3337286590106077</v>
      </c>
      <c r="M1903" s="2">
        <f t="shared" si="295"/>
        <v>1.6919532777826904</v>
      </c>
      <c r="N1903" s="2">
        <f t="shared" si="296"/>
        <v>0.84597663889134522</v>
      </c>
      <c r="O1903" s="2">
        <f t="shared" si="297"/>
        <v>3.104734264731237</v>
      </c>
      <c r="P1903" s="2">
        <v>72.552535000000006</v>
      </c>
      <c r="Q1903" s="2">
        <v>23.038174000000001</v>
      </c>
    </row>
    <row r="1904" spans="1:17" x14ac:dyDescent="0.25">
      <c r="A1904" s="2">
        <v>2082</v>
      </c>
      <c r="B1904" s="2" t="s">
        <v>111</v>
      </c>
      <c r="C1904" s="2">
        <v>3</v>
      </c>
      <c r="D1904" s="2">
        <f t="shared" si="290"/>
        <v>7.62</v>
      </c>
      <c r="E1904" s="2">
        <f t="shared" si="291"/>
        <v>2.4255213327204852</v>
      </c>
      <c r="F1904" s="2">
        <f t="shared" si="292"/>
        <v>0.95492965855137202</v>
      </c>
      <c r="G1904" s="2">
        <v>3.4706600000000001</v>
      </c>
      <c r="H1904" s="2">
        <f t="shared" si="293"/>
        <v>11.3866801544</v>
      </c>
      <c r="I1904" s="2">
        <f>INDEX('Wood Density Lookup'!$B$2:$B$152,MATCH(B1904,'Wood Density Lookup'!$A$2:$A$152,0))</f>
        <v>0.4</v>
      </c>
      <c r="J1904" s="2">
        <f t="shared" si="294"/>
        <v>0.52264566086049014</v>
      </c>
      <c r="K1904" s="2">
        <f t="shared" si="298"/>
        <v>0.14634078504093725</v>
      </c>
      <c r="L1904" s="2">
        <f t="shared" si="299"/>
        <v>0.66898644590142742</v>
      </c>
      <c r="M1904" s="2">
        <f t="shared" si="295"/>
        <v>0.48501517327853488</v>
      </c>
      <c r="N1904" s="2">
        <f t="shared" si="296"/>
        <v>0.24250758663926744</v>
      </c>
      <c r="O1904" s="2">
        <f t="shared" si="297"/>
        <v>0.89000284296611154</v>
      </c>
      <c r="P1904" s="2">
        <v>72.552535000000006</v>
      </c>
      <c r="Q1904" s="2">
        <v>23.037545999999999</v>
      </c>
    </row>
    <row r="1905" spans="1:17" x14ac:dyDescent="0.25">
      <c r="A1905" s="2">
        <v>2083</v>
      </c>
      <c r="B1905" s="2" t="s">
        <v>111</v>
      </c>
      <c r="C1905" s="2">
        <v>5</v>
      </c>
      <c r="D1905" s="2">
        <f t="shared" si="290"/>
        <v>12.7</v>
      </c>
      <c r="E1905" s="2">
        <f t="shared" si="291"/>
        <v>4.0425355545341413</v>
      </c>
      <c r="F1905" s="2">
        <f t="shared" si="292"/>
        <v>1.5915494309189535</v>
      </c>
      <c r="G1905" s="2">
        <v>3.6723309999999998</v>
      </c>
      <c r="H1905" s="2">
        <f t="shared" si="293"/>
        <v>12.048330438039999</v>
      </c>
      <c r="I1905" s="2">
        <f>INDEX('Wood Density Lookup'!$B$2:$B$152,MATCH(B1905,'Wood Density Lookup'!$A$2:$A$152,0))</f>
        <v>0.4</v>
      </c>
      <c r="J1905" s="2">
        <f t="shared" si="294"/>
        <v>1.4969150082126204</v>
      </c>
      <c r="K1905" s="2">
        <f t="shared" si="298"/>
        <v>0.41913620229953374</v>
      </c>
      <c r="L1905" s="2">
        <f t="shared" si="299"/>
        <v>1.9160512105121541</v>
      </c>
      <c r="M1905" s="2">
        <f t="shared" si="295"/>
        <v>1.3891371276213116</v>
      </c>
      <c r="N1905" s="2">
        <f t="shared" si="296"/>
        <v>0.69456856381065579</v>
      </c>
      <c r="O1905" s="2">
        <f t="shared" si="297"/>
        <v>2.5490666291851065</v>
      </c>
      <c r="P1905" s="2">
        <v>72.552537000000001</v>
      </c>
      <c r="Q1905" s="2">
        <v>23.037538000000001</v>
      </c>
    </row>
    <row r="1906" spans="1:17" x14ac:dyDescent="0.25">
      <c r="A1906" s="2">
        <v>2084</v>
      </c>
      <c r="B1906" s="2" t="s">
        <v>111</v>
      </c>
      <c r="C1906" s="2">
        <v>4</v>
      </c>
      <c r="D1906" s="2">
        <f t="shared" si="290"/>
        <v>10.16</v>
      </c>
      <c r="E1906" s="2">
        <f t="shared" si="291"/>
        <v>3.2340284436273135</v>
      </c>
      <c r="F1906" s="2">
        <f t="shared" si="292"/>
        <v>1.2732395447351628</v>
      </c>
      <c r="G1906" s="2">
        <v>4.0113750000000001</v>
      </c>
      <c r="H1906" s="2">
        <f t="shared" si="293"/>
        <v>13.160679555</v>
      </c>
      <c r="I1906" s="2">
        <f>INDEX('Wood Density Lookup'!$B$2:$B$152,MATCH(B1906,'Wood Density Lookup'!$A$2:$A$152,0))</f>
        <v>0.4</v>
      </c>
      <c r="J1906" s="2">
        <f t="shared" si="294"/>
        <v>1.0555038150666078</v>
      </c>
      <c r="K1906" s="2">
        <f t="shared" si="298"/>
        <v>0.29554106821865023</v>
      </c>
      <c r="L1906" s="2">
        <f t="shared" si="299"/>
        <v>1.3510448832852582</v>
      </c>
      <c r="M1906" s="2">
        <f t="shared" si="295"/>
        <v>0.9795075403818122</v>
      </c>
      <c r="N1906" s="2">
        <f t="shared" si="296"/>
        <v>0.4897537701909061</v>
      </c>
      <c r="O1906" s="2">
        <f t="shared" si="297"/>
        <v>1.7973963366006254</v>
      </c>
      <c r="P1906" s="2">
        <v>72.552537999999998</v>
      </c>
      <c r="Q1906" s="2">
        <v>23.037590999999999</v>
      </c>
    </row>
    <row r="1907" spans="1:17" x14ac:dyDescent="0.25">
      <c r="A1907" s="2">
        <v>2085</v>
      </c>
      <c r="B1907" s="2" t="s">
        <v>143</v>
      </c>
      <c r="C1907" s="2">
        <v>16</v>
      </c>
      <c r="D1907" s="2">
        <f t="shared" si="290"/>
        <v>40.64</v>
      </c>
      <c r="E1907" s="2">
        <f t="shared" si="291"/>
        <v>12.936113774509254</v>
      </c>
      <c r="F1907" s="2">
        <f t="shared" si="292"/>
        <v>5.0929581789406511</v>
      </c>
      <c r="G1907" s="2">
        <v>10.873791000000001</v>
      </c>
      <c r="H1907" s="2">
        <f t="shared" si="293"/>
        <v>35.675168464439999</v>
      </c>
      <c r="I1907" s="2">
        <f>INDEX('Wood Density Lookup'!$B$2:$B$152,MATCH(B1907,'Wood Density Lookup'!$A$2:$A$152,0))</f>
        <v>0.75</v>
      </c>
      <c r="J1907" s="2">
        <f t="shared" si="294"/>
        <v>77.236709724901218</v>
      </c>
      <c r="K1907" s="2">
        <f t="shared" si="298"/>
        <v>21.626278722972344</v>
      </c>
      <c r="L1907" s="2">
        <f t="shared" si="299"/>
        <v>98.862988447873562</v>
      </c>
      <c r="M1907" s="2">
        <f t="shared" si="295"/>
        <v>71.675666624708327</v>
      </c>
      <c r="N1907" s="2">
        <f t="shared" si="296"/>
        <v>35.837833312354164</v>
      </c>
      <c r="O1907" s="2">
        <f t="shared" si="297"/>
        <v>131.52484825633977</v>
      </c>
      <c r="P1907" s="2">
        <v>72.552539999999993</v>
      </c>
      <c r="Q1907" s="2">
        <v>23.038004999999998</v>
      </c>
    </row>
    <row r="1908" spans="1:17" x14ac:dyDescent="0.25">
      <c r="A1908" s="2">
        <v>2086</v>
      </c>
      <c r="B1908" s="2" t="s">
        <v>111</v>
      </c>
      <c r="C1908" s="2">
        <v>5</v>
      </c>
      <c r="D1908" s="2">
        <f t="shared" si="290"/>
        <v>12.7</v>
      </c>
      <c r="E1908" s="2">
        <f t="shared" si="291"/>
        <v>4.0425355545341413</v>
      </c>
      <c r="F1908" s="2">
        <f t="shared" si="292"/>
        <v>1.5915494309189535</v>
      </c>
      <c r="G1908" s="2">
        <v>4.4274659999999999</v>
      </c>
      <c r="H1908" s="2">
        <f t="shared" si="293"/>
        <v>14.52580755144</v>
      </c>
      <c r="I1908" s="2">
        <f>INDEX('Wood Density Lookup'!$B$2:$B$152,MATCH(B1908,'Wood Density Lookup'!$A$2:$A$152,0))</f>
        <v>0.4</v>
      </c>
      <c r="J1908" s="2">
        <f t="shared" si="294"/>
        <v>1.7966415398600704</v>
      </c>
      <c r="K1908" s="2">
        <f t="shared" si="298"/>
        <v>0.50305963116081975</v>
      </c>
      <c r="L1908" s="2">
        <f t="shared" si="299"/>
        <v>2.2997011710208901</v>
      </c>
      <c r="M1908" s="2">
        <f t="shared" si="295"/>
        <v>1.6672833489901453</v>
      </c>
      <c r="N1908" s="2">
        <f t="shared" si="296"/>
        <v>0.83364167449507265</v>
      </c>
      <c r="O1908" s="2">
        <f t="shared" si="297"/>
        <v>3.0594649453969165</v>
      </c>
      <c r="P1908" s="2">
        <v>72.552539999999993</v>
      </c>
      <c r="Q1908" s="2">
        <v>23.037582</v>
      </c>
    </row>
    <row r="1909" spans="1:17" x14ac:dyDescent="0.25">
      <c r="A1909" s="2">
        <v>2087</v>
      </c>
      <c r="B1909" s="2" t="s">
        <v>111</v>
      </c>
      <c r="C1909" s="2">
        <v>6</v>
      </c>
      <c r="D1909" s="2">
        <f t="shared" si="290"/>
        <v>15.24</v>
      </c>
      <c r="E1909" s="2">
        <f t="shared" si="291"/>
        <v>4.8510426654409704</v>
      </c>
      <c r="F1909" s="2">
        <f t="shared" si="292"/>
        <v>1.909859317102744</v>
      </c>
      <c r="G1909" s="2">
        <v>3.6940279999999999</v>
      </c>
      <c r="H1909" s="2">
        <f t="shared" si="293"/>
        <v>12.119514823519999</v>
      </c>
      <c r="I1909" s="2">
        <f>INDEX('Wood Density Lookup'!$B$2:$B$152,MATCH(B1909,'Wood Density Lookup'!$A$2:$A$152,0))</f>
        <v>0.4</v>
      </c>
      <c r="J1909" s="2">
        <f t="shared" si="294"/>
        <v>2.149096408783576</v>
      </c>
      <c r="K1909" s="2">
        <f t="shared" si="298"/>
        <v>0.60174699445940139</v>
      </c>
      <c r="L1909" s="2">
        <f t="shared" si="299"/>
        <v>2.7508434032429774</v>
      </c>
      <c r="M1909" s="2">
        <f t="shared" si="295"/>
        <v>1.9943614673511585</v>
      </c>
      <c r="N1909" s="2">
        <f t="shared" si="296"/>
        <v>0.99718073367557925</v>
      </c>
      <c r="O1909" s="2">
        <f t="shared" si="297"/>
        <v>3.6596532925893759</v>
      </c>
      <c r="P1909" s="2">
        <v>72.552539999999993</v>
      </c>
      <c r="Q1909" s="2">
        <v>23.037533</v>
      </c>
    </row>
    <row r="1910" spans="1:17" x14ac:dyDescent="0.25">
      <c r="A1910" s="2">
        <v>2088</v>
      </c>
      <c r="B1910" s="2" t="s">
        <v>139</v>
      </c>
      <c r="C1910" s="2">
        <v>5</v>
      </c>
      <c r="D1910" s="2">
        <f t="shared" si="290"/>
        <v>12.7</v>
      </c>
      <c r="E1910" s="2">
        <f t="shared" si="291"/>
        <v>4.0425355545341413</v>
      </c>
      <c r="F1910" s="2">
        <f t="shared" si="292"/>
        <v>1.5915494309189535</v>
      </c>
      <c r="G1910" s="2">
        <v>2.553566</v>
      </c>
      <c r="H1910" s="2">
        <f t="shared" si="293"/>
        <v>8.3778414754400004</v>
      </c>
      <c r="I1910" s="2">
        <f>INDEX('Wood Density Lookup'!$B$2:$B$152,MATCH(B1910,'Wood Density Lookup'!$A$2:$A$152,0))</f>
        <v>0.9</v>
      </c>
      <c r="J1910" s="2">
        <f t="shared" si="294"/>
        <v>2.3169657946637945</v>
      </c>
      <c r="K1910" s="2">
        <f t="shared" si="298"/>
        <v>0.64875042250586257</v>
      </c>
      <c r="L1910" s="2">
        <f t="shared" si="299"/>
        <v>2.9657162171696569</v>
      </c>
      <c r="M1910" s="2">
        <f t="shared" si="295"/>
        <v>2.1501442574480012</v>
      </c>
      <c r="N1910" s="2">
        <f t="shared" si="296"/>
        <v>1.0750721287240006</v>
      </c>
      <c r="O1910" s="2">
        <f t="shared" si="297"/>
        <v>3.945514712417082</v>
      </c>
      <c r="P1910" s="2">
        <v>72.552539999999993</v>
      </c>
      <c r="Q1910" s="2">
        <v>23.038139999999999</v>
      </c>
    </row>
    <row r="1911" spans="1:17" x14ac:dyDescent="0.25">
      <c r="A1911" s="2">
        <v>2089</v>
      </c>
      <c r="B1911" s="2" t="s">
        <v>31</v>
      </c>
      <c r="C1911" s="2">
        <v>12</v>
      </c>
      <c r="D1911" s="2">
        <f t="shared" si="290"/>
        <v>30.48</v>
      </c>
      <c r="E1911" s="2">
        <f t="shared" si="291"/>
        <v>9.7020853308819408</v>
      </c>
      <c r="F1911" s="2">
        <f t="shared" si="292"/>
        <v>3.8197186342054881</v>
      </c>
      <c r="G1911" s="2">
        <v>7.0392390000000002</v>
      </c>
      <c r="H1911" s="2">
        <f t="shared" si="293"/>
        <v>23.09461688076</v>
      </c>
      <c r="I1911" s="2">
        <f>INDEX('Wood Density Lookup'!$B$2:$B$152,MATCH(B1911,'Wood Density Lookup'!$A$2:$A$152,0))</f>
        <v>0.78</v>
      </c>
      <c r="J1911" s="2">
        <f t="shared" si="294"/>
        <v>29.939541547015143</v>
      </c>
      <c r="K1911" s="2">
        <f t="shared" si="298"/>
        <v>8.3830716331642403</v>
      </c>
      <c r="L1911" s="2">
        <f t="shared" si="299"/>
        <v>38.322613180179381</v>
      </c>
      <c r="M1911" s="2">
        <f t="shared" si="295"/>
        <v>27.783894555630052</v>
      </c>
      <c r="N1911" s="2">
        <f t="shared" si="296"/>
        <v>13.891947277815026</v>
      </c>
      <c r="O1911" s="2">
        <f t="shared" si="297"/>
        <v>50.983446509581142</v>
      </c>
      <c r="P1911" s="2">
        <v>72.552542000000003</v>
      </c>
      <c r="Q1911" s="2">
        <v>23.038777</v>
      </c>
    </row>
    <row r="1912" spans="1:17" x14ac:dyDescent="0.25">
      <c r="A1912" s="2">
        <v>2090</v>
      </c>
      <c r="B1912" s="2" t="s">
        <v>111</v>
      </c>
      <c r="C1912" s="2">
        <v>4</v>
      </c>
      <c r="D1912" s="2">
        <f t="shared" si="290"/>
        <v>10.16</v>
      </c>
      <c r="E1912" s="2">
        <f t="shared" si="291"/>
        <v>3.2340284436273135</v>
      </c>
      <c r="F1912" s="2">
        <f t="shared" si="292"/>
        <v>1.2732395447351628</v>
      </c>
      <c r="G1912" s="2">
        <v>3.7300650000000002</v>
      </c>
      <c r="H1912" s="2">
        <f t="shared" si="293"/>
        <v>12.2377464546</v>
      </c>
      <c r="I1912" s="2">
        <f>INDEX('Wood Density Lookup'!$B$2:$B$152,MATCH(B1912,'Wood Density Lookup'!$A$2:$A$152,0))</f>
        <v>0.4</v>
      </c>
      <c r="J1912" s="2">
        <f t="shared" si="294"/>
        <v>0.98319755176799273</v>
      </c>
      <c r="K1912" s="2">
        <f t="shared" si="298"/>
        <v>0.27529531449503797</v>
      </c>
      <c r="L1912" s="2">
        <f t="shared" si="299"/>
        <v>1.2584928662630306</v>
      </c>
      <c r="M1912" s="2">
        <f t="shared" si="295"/>
        <v>0.91240732804069713</v>
      </c>
      <c r="N1912" s="2">
        <f t="shared" si="296"/>
        <v>0.45620366402034856</v>
      </c>
      <c r="O1912" s="2">
        <f t="shared" si="297"/>
        <v>1.6742674469546792</v>
      </c>
      <c r="P1912" s="2">
        <v>72.552543</v>
      </c>
      <c r="Q1912" s="2">
        <v>23.037573999999999</v>
      </c>
    </row>
    <row r="1913" spans="1:17" x14ac:dyDescent="0.25">
      <c r="A1913" s="2">
        <v>2091</v>
      </c>
      <c r="B1913" s="2" t="s">
        <v>15</v>
      </c>
      <c r="C1913" s="2">
        <v>177</v>
      </c>
      <c r="D1913" s="2">
        <f t="shared" si="290"/>
        <v>449.58</v>
      </c>
      <c r="E1913" s="2">
        <f t="shared" si="291"/>
        <v>143.1057586305086</v>
      </c>
      <c r="F1913" s="2">
        <f t="shared" si="292"/>
        <v>56.340849854530951</v>
      </c>
      <c r="G1913" s="2">
        <v>16.354303999999999</v>
      </c>
      <c r="H1913" s="2">
        <f t="shared" si="293"/>
        <v>53.655854735359995</v>
      </c>
      <c r="I1913" s="2">
        <f>INDEX('Wood Density Lookup'!$B$2:$B$152,MATCH(B1913,'Wood Density Lookup'!$A$2:$A$152,0))</f>
        <v>0.75</v>
      </c>
      <c r="J1913" s="2">
        <f t="shared" si="294"/>
        <v>12543.606841217988</v>
      </c>
      <c r="K1913" s="2">
        <f t="shared" si="298"/>
        <v>3512.2099155410369</v>
      </c>
      <c r="L1913" s="2">
        <f t="shared" si="299"/>
        <v>16055.816756759024</v>
      </c>
      <c r="M1913" s="2">
        <f t="shared" si="295"/>
        <v>11640.467148650292</v>
      </c>
      <c r="N1913" s="2">
        <f t="shared" si="296"/>
        <v>5820.233574325146</v>
      </c>
      <c r="O1913" s="2">
        <f t="shared" si="297"/>
        <v>21360.257217773287</v>
      </c>
      <c r="P1913" s="2">
        <v>72.552543999999997</v>
      </c>
      <c r="Q1913" s="2">
        <v>23.036048000000001</v>
      </c>
    </row>
    <row r="1914" spans="1:17" x14ac:dyDescent="0.25">
      <c r="A1914" s="2">
        <v>2092</v>
      </c>
      <c r="B1914" s="2" t="s">
        <v>111</v>
      </c>
      <c r="C1914" s="2">
        <v>4</v>
      </c>
      <c r="D1914" s="2">
        <f t="shared" si="290"/>
        <v>10.16</v>
      </c>
      <c r="E1914" s="2">
        <f t="shared" si="291"/>
        <v>3.2340284436273135</v>
      </c>
      <c r="F1914" s="2">
        <f t="shared" si="292"/>
        <v>1.2732395447351628</v>
      </c>
      <c r="G1914" s="2">
        <v>5.559069</v>
      </c>
      <c r="H1914" s="2">
        <f t="shared" si="293"/>
        <v>18.238415937959999</v>
      </c>
      <c r="I1914" s="2">
        <f>INDEX('Wood Density Lookup'!$B$2:$B$152,MATCH(B1914,'Wood Density Lookup'!$A$2:$A$152,0))</f>
        <v>0.4</v>
      </c>
      <c r="J1914" s="2">
        <f t="shared" si="294"/>
        <v>1.4513347610925693</v>
      </c>
      <c r="K1914" s="2">
        <f t="shared" si="298"/>
        <v>0.40637373310591945</v>
      </c>
      <c r="L1914" s="2">
        <f t="shared" si="299"/>
        <v>1.8577084941984887</v>
      </c>
      <c r="M1914" s="2">
        <f t="shared" si="295"/>
        <v>1.3468386582939043</v>
      </c>
      <c r="N1914" s="2">
        <f t="shared" si="296"/>
        <v>0.67341932914695213</v>
      </c>
      <c r="O1914" s="2">
        <f t="shared" si="297"/>
        <v>2.4714489379693143</v>
      </c>
      <c r="P1914" s="2">
        <v>72.552543999999997</v>
      </c>
      <c r="Q1914" s="2">
        <v>23.037502</v>
      </c>
    </row>
    <row r="1915" spans="1:17" x14ac:dyDescent="0.25">
      <c r="A1915" s="2">
        <v>2093</v>
      </c>
      <c r="B1915" s="2" t="s">
        <v>111</v>
      </c>
      <c r="C1915" s="2">
        <v>4</v>
      </c>
      <c r="D1915" s="2">
        <f t="shared" si="290"/>
        <v>10.16</v>
      </c>
      <c r="E1915" s="2">
        <f t="shared" si="291"/>
        <v>3.2340284436273135</v>
      </c>
      <c r="F1915" s="2">
        <f t="shared" si="292"/>
        <v>1.2732395447351628</v>
      </c>
      <c r="G1915" s="2">
        <v>8.2006139999999998</v>
      </c>
      <c r="H1915" s="2">
        <f t="shared" si="293"/>
        <v>26.90490243576</v>
      </c>
      <c r="I1915" s="2">
        <f>INDEX('Wood Density Lookup'!$B$2:$B$152,MATCH(B1915,'Wood Density Lookup'!$A$2:$A$152,0))</f>
        <v>0.4</v>
      </c>
      <c r="J1915" s="2">
        <f t="shared" si="294"/>
        <v>2.1210926525714311</v>
      </c>
      <c r="K1915" s="2">
        <f t="shared" si="298"/>
        <v>0.59390594272000075</v>
      </c>
      <c r="L1915" s="2">
        <f t="shared" si="299"/>
        <v>2.7149985952914317</v>
      </c>
      <c r="M1915" s="2">
        <f t="shared" si="295"/>
        <v>1.968373981586288</v>
      </c>
      <c r="N1915" s="2">
        <f t="shared" si="296"/>
        <v>0.98418699079314398</v>
      </c>
      <c r="O1915" s="2">
        <f t="shared" si="297"/>
        <v>3.6119662562108381</v>
      </c>
      <c r="P1915" s="2">
        <v>72.552543999999997</v>
      </c>
      <c r="Q1915" s="2">
        <v>23.037514000000002</v>
      </c>
    </row>
    <row r="1916" spans="1:17" x14ac:dyDescent="0.25">
      <c r="A1916" s="2">
        <v>2094</v>
      </c>
      <c r="B1916" s="2" t="s">
        <v>111</v>
      </c>
      <c r="C1916" s="2">
        <v>5</v>
      </c>
      <c r="D1916" s="2">
        <f t="shared" si="290"/>
        <v>12.7</v>
      </c>
      <c r="E1916" s="2">
        <f t="shared" si="291"/>
        <v>4.0425355545341413</v>
      </c>
      <c r="F1916" s="2">
        <f t="shared" si="292"/>
        <v>1.5915494309189535</v>
      </c>
      <c r="G1916" s="2">
        <v>7.6693709999999999</v>
      </c>
      <c r="H1916" s="2">
        <f t="shared" si="293"/>
        <v>25.161979151640001</v>
      </c>
      <c r="I1916" s="2">
        <f>INDEX('Wood Density Lookup'!$B$2:$B$152,MATCH(B1916,'Wood Density Lookup'!$A$2:$A$152,0))</f>
        <v>0.4</v>
      </c>
      <c r="J1916" s="2">
        <f t="shared" si="294"/>
        <v>3.0714216454842314</v>
      </c>
      <c r="K1916" s="2">
        <f t="shared" si="298"/>
        <v>0.85999806073558482</v>
      </c>
      <c r="L1916" s="2">
        <f t="shared" si="299"/>
        <v>3.931419706219816</v>
      </c>
      <c r="M1916" s="2">
        <f t="shared" si="295"/>
        <v>2.8502792870093665</v>
      </c>
      <c r="N1916" s="2">
        <f t="shared" si="296"/>
        <v>1.4251396435046833</v>
      </c>
      <c r="O1916" s="2">
        <f t="shared" si="297"/>
        <v>5.2302624916621872</v>
      </c>
      <c r="P1916" s="2">
        <v>72.552543999999997</v>
      </c>
      <c r="Q1916" s="2">
        <v>23.037520000000001</v>
      </c>
    </row>
    <row r="1917" spans="1:17" x14ac:dyDescent="0.25">
      <c r="A1917" s="2">
        <v>2095</v>
      </c>
      <c r="B1917" s="2" t="s">
        <v>136</v>
      </c>
      <c r="C1917" s="2">
        <v>5</v>
      </c>
      <c r="D1917" s="2">
        <f t="shared" si="290"/>
        <v>12.7</v>
      </c>
      <c r="E1917" s="2">
        <f t="shared" si="291"/>
        <v>4.0425355545341413</v>
      </c>
      <c r="F1917" s="2">
        <f t="shared" si="292"/>
        <v>1.5915494309189535</v>
      </c>
      <c r="G1917" s="2">
        <v>1.1008309999999999</v>
      </c>
      <c r="H1917" s="2">
        <f t="shared" si="293"/>
        <v>3.6116503780399998</v>
      </c>
      <c r="I1917" s="2">
        <f>INDEX('Wood Density Lookup'!$B$2:$B$152,MATCH(B1917,'Wood Density Lookup'!$A$2:$A$152,0))</f>
        <v>0.7</v>
      </c>
      <c r="J1917" s="2">
        <f t="shared" si="294"/>
        <v>0.79751418887184911</v>
      </c>
      <c r="K1917" s="2">
        <f t="shared" si="298"/>
        <v>0.22330397288411777</v>
      </c>
      <c r="L1917" s="2">
        <f t="shared" si="299"/>
        <v>1.0208181617559668</v>
      </c>
      <c r="M1917" s="2">
        <f t="shared" si="295"/>
        <v>0.74009316727307595</v>
      </c>
      <c r="N1917" s="2">
        <f t="shared" si="296"/>
        <v>0.37004658363653797</v>
      </c>
      <c r="O1917" s="2">
        <f t="shared" si="297"/>
        <v>1.3580709619460944</v>
      </c>
      <c r="P1917" s="2">
        <v>72.552543999999997</v>
      </c>
      <c r="Q1917" s="2">
        <v>23.038049999999998</v>
      </c>
    </row>
    <row r="1918" spans="1:17" x14ac:dyDescent="0.25">
      <c r="A1918" s="2">
        <v>2096</v>
      </c>
      <c r="B1918" s="2" t="s">
        <v>91</v>
      </c>
      <c r="C1918" s="2">
        <v>15</v>
      </c>
      <c r="D1918" s="2">
        <f t="shared" si="290"/>
        <v>38.1</v>
      </c>
      <c r="E1918" s="2">
        <f t="shared" si="291"/>
        <v>12.127606663602425</v>
      </c>
      <c r="F1918" s="2">
        <f t="shared" si="292"/>
        <v>4.7746482927568605</v>
      </c>
      <c r="G1918" s="2">
        <v>1.0405549999999999</v>
      </c>
      <c r="H1918" s="2">
        <f t="shared" si="293"/>
        <v>3.4138944661999995</v>
      </c>
      <c r="I1918" s="2">
        <f>INDEX('Wood Density Lookup'!$B$2:$B$152,MATCH(B1918,'Wood Density Lookup'!$A$2:$A$152,0))</f>
        <v>0.5</v>
      </c>
      <c r="J1918" s="2">
        <f t="shared" si="294"/>
        <v>4.6407638440501229</v>
      </c>
      <c r="K1918" s="2">
        <f t="shared" si="298"/>
        <v>1.2994138763340346</v>
      </c>
      <c r="L1918" s="2">
        <f t="shared" si="299"/>
        <v>5.9401777203841579</v>
      </c>
      <c r="M1918" s="2">
        <f t="shared" si="295"/>
        <v>4.3066288472785148</v>
      </c>
      <c r="N1918" s="2">
        <f t="shared" si="296"/>
        <v>2.1533144236392574</v>
      </c>
      <c r="O1918" s="2">
        <f t="shared" si="297"/>
        <v>7.9026639347560748</v>
      </c>
      <c r="P1918" s="2">
        <v>72.552544999999995</v>
      </c>
      <c r="Q1918" s="2">
        <v>23.037846999999999</v>
      </c>
    </row>
    <row r="1919" spans="1:17" x14ac:dyDescent="0.25">
      <c r="A1919" s="2">
        <v>2097</v>
      </c>
      <c r="B1919" s="2" t="s">
        <v>91</v>
      </c>
      <c r="C1919" s="2">
        <v>16</v>
      </c>
      <c r="D1919" s="2">
        <f t="shared" si="290"/>
        <v>40.64</v>
      </c>
      <c r="E1919" s="2">
        <f t="shared" si="291"/>
        <v>12.936113774509254</v>
      </c>
      <c r="F1919" s="2">
        <f t="shared" si="292"/>
        <v>5.0929581789406511</v>
      </c>
      <c r="G1919" s="2">
        <v>3.0405549999999999</v>
      </c>
      <c r="H1919" s="2">
        <f t="shared" si="293"/>
        <v>9.9755744661999994</v>
      </c>
      <c r="I1919" s="2">
        <f>INDEX('Wood Density Lookup'!$B$2:$B$152,MATCH(B1919,'Wood Density Lookup'!$A$2:$A$152,0))</f>
        <v>0.5</v>
      </c>
      <c r="J1919" s="2">
        <f t="shared" si="294"/>
        <v>14.990387273577559</v>
      </c>
      <c r="K1919" s="2">
        <f t="shared" si="298"/>
        <v>4.197308436601717</v>
      </c>
      <c r="L1919" s="2">
        <f t="shared" si="299"/>
        <v>19.187695710179277</v>
      </c>
      <c r="M1919" s="2">
        <f t="shared" si="295"/>
        <v>13.911079389879974</v>
      </c>
      <c r="N1919" s="2">
        <f t="shared" si="296"/>
        <v>6.9555396949399872</v>
      </c>
      <c r="O1919" s="2">
        <f t="shared" si="297"/>
        <v>25.526830680429754</v>
      </c>
      <c r="P1919" s="2">
        <v>72.552544999999995</v>
      </c>
      <c r="Q1919" s="2">
        <v>23.037846999999999</v>
      </c>
    </row>
    <row r="1920" spans="1:17" x14ac:dyDescent="0.25">
      <c r="A1920" s="2">
        <v>2098</v>
      </c>
      <c r="B1920" s="2" t="s">
        <v>111</v>
      </c>
      <c r="C1920" s="2">
        <v>4</v>
      </c>
      <c r="D1920" s="2">
        <f t="shared" si="290"/>
        <v>10.16</v>
      </c>
      <c r="E1920" s="2">
        <f t="shared" si="291"/>
        <v>3.2340284436273135</v>
      </c>
      <c r="F1920" s="2">
        <f t="shared" si="292"/>
        <v>1.2732395447351628</v>
      </c>
      <c r="G1920" s="2">
        <v>3.0076719999999999</v>
      </c>
      <c r="H1920" s="2">
        <f t="shared" si="293"/>
        <v>9.8676906044799999</v>
      </c>
      <c r="I1920" s="2">
        <f>INDEX('Wood Density Lookup'!$B$2:$B$152,MATCH(B1920,'Wood Density Lookup'!$A$2:$A$152,0))</f>
        <v>0.4</v>
      </c>
      <c r="J1920" s="2">
        <f t="shared" si="294"/>
        <v>0.79689026898914095</v>
      </c>
      <c r="K1920" s="2">
        <f t="shared" si="298"/>
        <v>0.22312927531695947</v>
      </c>
      <c r="L1920" s="2">
        <f t="shared" si="299"/>
        <v>1.0200195443061004</v>
      </c>
      <c r="M1920" s="2">
        <f t="shared" si="295"/>
        <v>0.73951416962192273</v>
      </c>
      <c r="N1920" s="2">
        <f t="shared" si="296"/>
        <v>0.36975708481096137</v>
      </c>
      <c r="O1920" s="2">
        <f t="shared" si="297"/>
        <v>1.3570085012562283</v>
      </c>
      <c r="P1920" s="2">
        <v>72.552546000000007</v>
      </c>
      <c r="Q1920" s="2">
        <v>23.037561</v>
      </c>
    </row>
    <row r="1921" spans="1:17" x14ac:dyDescent="0.25">
      <c r="A1921" s="2">
        <v>2099</v>
      </c>
      <c r="B1921" s="2" t="s">
        <v>111</v>
      </c>
      <c r="C1921" s="2">
        <v>11</v>
      </c>
      <c r="D1921" s="2">
        <f t="shared" ref="D1921:D1984" si="300">C1921*2.54</f>
        <v>27.94</v>
      </c>
      <c r="E1921" s="2">
        <f t="shared" ref="E1921:E1984" si="301">D1921/PI()</f>
        <v>8.8935782199751117</v>
      </c>
      <c r="F1921" s="2">
        <f t="shared" ref="F1921:F1984" si="302">C1921/PI()</f>
        <v>3.5014087480216975</v>
      </c>
      <c r="G1921" s="2">
        <v>7.8250299999999999</v>
      </c>
      <c r="H1921" s="2">
        <f t="shared" ref="H1921:H1984" si="303">G1921*3.28084</f>
        <v>25.672671425200001</v>
      </c>
      <c r="I1921" s="2">
        <f>INDEX('Wood Density Lookup'!$B$2:$B$152,MATCH(B1921,'Wood Density Lookup'!$A$2:$A$152,0))</f>
        <v>0.4</v>
      </c>
      <c r="J1921" s="2">
        <f t="shared" ref="J1921:J1984" si="304">0.0673*POWER(I1921*E1921^2*G1921,0.976)</f>
        <v>14.597058465548304</v>
      </c>
      <c r="K1921" s="2">
        <f t="shared" si="298"/>
        <v>4.087176370353526</v>
      </c>
      <c r="L1921" s="2">
        <f t="shared" si="299"/>
        <v>18.68423483590183</v>
      </c>
      <c r="M1921" s="2">
        <f t="shared" ref="M1921:M1984" si="305">0.725*L1921</f>
        <v>13.546070256028827</v>
      </c>
      <c r="N1921" s="2">
        <f t="shared" ref="N1921:N1984" si="306">0.5*M1921</f>
        <v>6.7730351280144134</v>
      </c>
      <c r="O1921" s="2">
        <f t="shared" ref="O1921:O1984" si="307">3.67*N1921</f>
        <v>24.857038919812897</v>
      </c>
      <c r="P1921" s="2">
        <v>72.552547000000004</v>
      </c>
      <c r="Q1921" s="2">
        <v>23.037509</v>
      </c>
    </row>
    <row r="1922" spans="1:17" x14ac:dyDescent="0.25">
      <c r="A1922" s="2">
        <v>2100</v>
      </c>
      <c r="B1922" s="2" t="s">
        <v>17</v>
      </c>
      <c r="C1922" s="2">
        <v>26</v>
      </c>
      <c r="D1922" s="2">
        <f t="shared" si="300"/>
        <v>66.040000000000006</v>
      </c>
      <c r="E1922" s="2">
        <f t="shared" si="301"/>
        <v>21.02118488357754</v>
      </c>
      <c r="F1922" s="2">
        <f t="shared" si="302"/>
        <v>8.2760570407785572</v>
      </c>
      <c r="G1922" s="2">
        <v>7.8250299999999999</v>
      </c>
      <c r="H1922" s="2">
        <f t="shared" si="303"/>
        <v>25.672671425200001</v>
      </c>
      <c r="I1922" s="2">
        <f>INDEX('Wood Density Lookup'!$B$2:$B$152,MATCH(B1922,'Wood Density Lookup'!$A$2:$A$152,0))</f>
        <v>0.75</v>
      </c>
      <c r="J1922" s="2">
        <f t="shared" si="304"/>
        <v>144.52535434628732</v>
      </c>
      <c r="K1922" s="2">
        <f t="shared" si="298"/>
        <v>40.467099216960449</v>
      </c>
      <c r="L1922" s="2">
        <f t="shared" si="299"/>
        <v>184.99245356324775</v>
      </c>
      <c r="M1922" s="2">
        <f t="shared" si="305"/>
        <v>134.11952883335462</v>
      </c>
      <c r="N1922" s="2">
        <f t="shared" si="306"/>
        <v>67.059764416677311</v>
      </c>
      <c r="O1922" s="2">
        <f t="shared" si="307"/>
        <v>246.10933540920573</v>
      </c>
      <c r="P1922" s="2">
        <v>72.552547000000004</v>
      </c>
      <c r="Q1922" s="2">
        <v>23.037509</v>
      </c>
    </row>
    <row r="1923" spans="1:17" x14ac:dyDescent="0.25">
      <c r="A1923" s="2">
        <v>2101</v>
      </c>
      <c r="B1923" s="2" t="s">
        <v>111</v>
      </c>
      <c r="C1923" s="2">
        <v>3</v>
      </c>
      <c r="D1923" s="2">
        <f t="shared" si="300"/>
        <v>7.62</v>
      </c>
      <c r="E1923" s="2">
        <f t="shared" si="301"/>
        <v>2.4255213327204852</v>
      </c>
      <c r="F1923" s="2">
        <f t="shared" si="302"/>
        <v>0.95492965855137202</v>
      </c>
      <c r="G1923" s="2">
        <v>5.0574389999999996</v>
      </c>
      <c r="H1923" s="2">
        <f t="shared" si="303"/>
        <v>16.59264816876</v>
      </c>
      <c r="I1923" s="2">
        <f>INDEX('Wood Density Lookup'!$B$2:$B$152,MATCH(B1923,'Wood Density Lookup'!$A$2:$A$152,0))</f>
        <v>0.4</v>
      </c>
      <c r="J1923" s="2">
        <f t="shared" si="304"/>
        <v>0.75474715718771956</v>
      </c>
      <c r="K1923" s="2">
        <f t="shared" ref="K1923:K1986" si="308">0.28*J1923</f>
        <v>0.2113292040125615</v>
      </c>
      <c r="L1923" s="2">
        <f t="shared" ref="L1923:L1986" si="309">J1923+K1923</f>
        <v>0.96607636120028106</v>
      </c>
      <c r="M1923" s="2">
        <f t="shared" si="305"/>
        <v>0.70040536187020375</v>
      </c>
      <c r="N1923" s="2">
        <f t="shared" si="306"/>
        <v>0.35020268093510187</v>
      </c>
      <c r="O1923" s="2">
        <f t="shared" si="307"/>
        <v>1.2852438390318239</v>
      </c>
      <c r="P1923" s="2">
        <v>72.552547000000004</v>
      </c>
      <c r="Q1923" s="2">
        <v>23.037489999999998</v>
      </c>
    </row>
    <row r="1924" spans="1:17" x14ac:dyDescent="0.25">
      <c r="A1924" s="2">
        <v>2102</v>
      </c>
      <c r="B1924" s="2" t="s">
        <v>111</v>
      </c>
      <c r="C1924" s="2">
        <v>5</v>
      </c>
      <c r="D1924" s="2">
        <f t="shared" si="300"/>
        <v>12.7</v>
      </c>
      <c r="E1924" s="2">
        <f t="shared" si="301"/>
        <v>4.0425355545341413</v>
      </c>
      <c r="F1924" s="2">
        <f t="shared" si="302"/>
        <v>1.5915494309189535</v>
      </c>
      <c r="G1924" s="2">
        <v>2.971117</v>
      </c>
      <c r="H1924" s="2">
        <f t="shared" si="303"/>
        <v>9.7477594982800007</v>
      </c>
      <c r="I1924" s="2">
        <f>INDEX('Wood Density Lookup'!$B$2:$B$152,MATCH(B1924,'Wood Density Lookup'!$A$2:$A$152,0))</f>
        <v>0.4</v>
      </c>
      <c r="J1924" s="2">
        <f t="shared" si="304"/>
        <v>1.21726071951003</v>
      </c>
      <c r="K1924" s="2">
        <f t="shared" si="308"/>
        <v>0.34083300146280843</v>
      </c>
      <c r="L1924" s="2">
        <f t="shared" si="309"/>
        <v>1.5580937209728385</v>
      </c>
      <c r="M1924" s="2">
        <f t="shared" si="305"/>
        <v>1.1296179477053079</v>
      </c>
      <c r="N1924" s="2">
        <f t="shared" si="306"/>
        <v>0.56480897385265394</v>
      </c>
      <c r="O1924" s="2">
        <f t="shared" si="307"/>
        <v>2.0728489340392398</v>
      </c>
      <c r="P1924" s="2">
        <v>72.552548999999999</v>
      </c>
      <c r="Q1924" s="2">
        <v>23.037552999999999</v>
      </c>
    </row>
    <row r="1925" spans="1:17" x14ac:dyDescent="0.25">
      <c r="A1925" s="2">
        <v>2103</v>
      </c>
      <c r="B1925" s="2" t="s">
        <v>111</v>
      </c>
      <c r="C1925" s="2">
        <v>2</v>
      </c>
      <c r="D1925" s="2">
        <f t="shared" si="300"/>
        <v>5.08</v>
      </c>
      <c r="E1925" s="2">
        <f t="shared" si="301"/>
        <v>1.6170142218136567</v>
      </c>
      <c r="F1925" s="2">
        <f t="shared" si="302"/>
        <v>0.63661977236758138</v>
      </c>
      <c r="G1925" s="2">
        <v>3.4628640000000002</v>
      </c>
      <c r="H1925" s="2">
        <f t="shared" si="303"/>
        <v>11.36110272576</v>
      </c>
      <c r="I1925" s="2">
        <f>INDEX('Wood Density Lookup'!$B$2:$B$152,MATCH(B1925,'Wood Density Lookup'!$A$2:$A$152,0))</f>
        <v>0.4</v>
      </c>
      <c r="J1925" s="2">
        <f t="shared" si="304"/>
        <v>0.23633280830749523</v>
      </c>
      <c r="K1925" s="2">
        <f t="shared" si="308"/>
        <v>6.6173186326098671E-2</v>
      </c>
      <c r="L1925" s="2">
        <f t="shared" si="309"/>
        <v>0.3025059946335939</v>
      </c>
      <c r="M1925" s="2">
        <f t="shared" si="305"/>
        <v>0.21931684610935556</v>
      </c>
      <c r="N1925" s="2">
        <f t="shared" si="306"/>
        <v>0.10965842305467778</v>
      </c>
      <c r="O1925" s="2">
        <f t="shared" si="307"/>
        <v>0.40244641261066744</v>
      </c>
      <c r="P1925" s="2">
        <v>72.552548999999999</v>
      </c>
      <c r="Q1925" s="2">
        <v>23.037436</v>
      </c>
    </row>
    <row r="1926" spans="1:17" x14ac:dyDescent="0.25">
      <c r="A1926" s="2">
        <v>2104</v>
      </c>
      <c r="B1926" s="2" t="s">
        <v>111</v>
      </c>
      <c r="C1926" s="2">
        <v>2</v>
      </c>
      <c r="D1926" s="2">
        <f t="shared" si="300"/>
        <v>5.08</v>
      </c>
      <c r="E1926" s="2">
        <f t="shared" si="301"/>
        <v>1.6170142218136567</v>
      </c>
      <c r="F1926" s="2">
        <f t="shared" si="302"/>
        <v>0.63661977236758138</v>
      </c>
      <c r="G1926" s="2">
        <v>4.0979599999999996</v>
      </c>
      <c r="H1926" s="2">
        <f t="shared" si="303"/>
        <v>13.444751086399998</v>
      </c>
      <c r="I1926" s="2">
        <f>INDEX('Wood Density Lookup'!$B$2:$B$152,MATCH(B1926,'Wood Density Lookup'!$A$2:$A$152,0))</f>
        <v>0.4</v>
      </c>
      <c r="J1926" s="2">
        <f t="shared" si="304"/>
        <v>0.27854869006526189</v>
      </c>
      <c r="K1926" s="2">
        <f t="shared" si="308"/>
        <v>7.7993633218273337E-2</v>
      </c>
      <c r="L1926" s="2">
        <f t="shared" si="309"/>
        <v>0.35654232328353525</v>
      </c>
      <c r="M1926" s="2">
        <f t="shared" si="305"/>
        <v>0.25849318438056307</v>
      </c>
      <c r="N1926" s="2">
        <f t="shared" si="306"/>
        <v>0.12924659219028153</v>
      </c>
      <c r="O1926" s="2">
        <f t="shared" si="307"/>
        <v>0.47433499333833323</v>
      </c>
      <c r="P1926" s="2">
        <v>72.552549999999997</v>
      </c>
      <c r="Q1926" s="2">
        <v>23.037469999999999</v>
      </c>
    </row>
    <row r="1927" spans="1:17" x14ac:dyDescent="0.25">
      <c r="A1927" s="2">
        <v>2105</v>
      </c>
      <c r="B1927" s="2" t="s">
        <v>111</v>
      </c>
      <c r="C1927" s="2">
        <v>3</v>
      </c>
      <c r="D1927" s="2">
        <f t="shared" si="300"/>
        <v>7.62</v>
      </c>
      <c r="E1927" s="2">
        <f t="shared" si="301"/>
        <v>2.4255213327204852</v>
      </c>
      <c r="F1927" s="2">
        <f t="shared" si="302"/>
        <v>0.95492965855137202</v>
      </c>
      <c r="G1927" s="2">
        <v>4.4009679999999998</v>
      </c>
      <c r="H1927" s="2">
        <f t="shared" si="303"/>
        <v>14.438871853119998</v>
      </c>
      <c r="I1927" s="2">
        <f>INDEX('Wood Density Lookup'!$B$2:$B$152,MATCH(B1927,'Wood Density Lookup'!$A$2:$A$152,0))</f>
        <v>0.4</v>
      </c>
      <c r="J1927" s="2">
        <f t="shared" si="304"/>
        <v>0.65897391244537251</v>
      </c>
      <c r="K1927" s="2">
        <f t="shared" si="308"/>
        <v>0.18451269548470431</v>
      </c>
      <c r="L1927" s="2">
        <f t="shared" si="309"/>
        <v>0.84348660793007679</v>
      </c>
      <c r="M1927" s="2">
        <f t="shared" si="305"/>
        <v>0.61152779074930563</v>
      </c>
      <c r="N1927" s="2">
        <f t="shared" si="306"/>
        <v>0.30576389537465282</v>
      </c>
      <c r="O1927" s="2">
        <f t="shared" si="307"/>
        <v>1.1221534960249757</v>
      </c>
      <c r="P1927" s="2">
        <v>72.552549999999997</v>
      </c>
      <c r="Q1927" s="2">
        <v>23.037479999999999</v>
      </c>
    </row>
    <row r="1928" spans="1:17" x14ac:dyDescent="0.25">
      <c r="A1928" s="2">
        <v>2106</v>
      </c>
      <c r="B1928" s="2" t="s">
        <v>49</v>
      </c>
      <c r="C1928" s="2">
        <v>16</v>
      </c>
      <c r="D1928" s="2">
        <f t="shared" si="300"/>
        <v>40.64</v>
      </c>
      <c r="E1928" s="2">
        <f t="shared" si="301"/>
        <v>12.936113774509254</v>
      </c>
      <c r="F1928" s="2">
        <f t="shared" si="302"/>
        <v>5.0929581789406511</v>
      </c>
      <c r="G1928" s="2">
        <v>9.3805759999999996</v>
      </c>
      <c r="H1928" s="2">
        <f t="shared" si="303"/>
        <v>30.77616896384</v>
      </c>
      <c r="I1928" s="2">
        <f>INDEX('Wood Density Lookup'!$B$2:$B$152,MATCH(B1928,'Wood Density Lookup'!$A$2:$A$152,0))</f>
        <v>0.78</v>
      </c>
      <c r="J1928" s="2">
        <f t="shared" si="304"/>
        <v>69.47626518678355</v>
      </c>
      <c r="K1928" s="2">
        <f t="shared" si="308"/>
        <v>19.453354252299395</v>
      </c>
      <c r="L1928" s="2">
        <f t="shared" si="309"/>
        <v>88.929619439082941</v>
      </c>
      <c r="M1928" s="2">
        <f t="shared" si="305"/>
        <v>64.47397409333513</v>
      </c>
      <c r="N1928" s="2">
        <f t="shared" si="306"/>
        <v>32.236987046667565</v>
      </c>
      <c r="O1928" s="2">
        <f t="shared" si="307"/>
        <v>118.30974246126996</v>
      </c>
      <c r="P1928" s="2">
        <v>72.552550999999994</v>
      </c>
      <c r="Q1928" s="2">
        <v>23.037927</v>
      </c>
    </row>
    <row r="1929" spans="1:17" x14ac:dyDescent="0.25">
      <c r="A1929" s="2">
        <v>2107</v>
      </c>
      <c r="B1929" s="2" t="s">
        <v>15</v>
      </c>
      <c r="C1929" s="2">
        <v>3</v>
      </c>
      <c r="D1929" s="2">
        <f t="shared" si="300"/>
        <v>7.62</v>
      </c>
      <c r="E1929" s="2">
        <f t="shared" si="301"/>
        <v>2.4255213327204852</v>
      </c>
      <c r="F1929" s="2">
        <f t="shared" si="302"/>
        <v>0.95492965855137202</v>
      </c>
      <c r="G1929" s="2">
        <v>13.366292</v>
      </c>
      <c r="H1929" s="2">
        <f t="shared" si="303"/>
        <v>43.852665445279996</v>
      </c>
      <c r="I1929" s="2">
        <f>INDEX('Wood Density Lookup'!$B$2:$B$152,MATCH(B1929,'Wood Density Lookup'!$A$2:$A$152,0))</f>
        <v>0.75</v>
      </c>
      <c r="J1929" s="2">
        <f t="shared" si="304"/>
        <v>3.5991594870673014</v>
      </c>
      <c r="K1929" s="2">
        <f t="shared" si="308"/>
        <v>1.0077646563788445</v>
      </c>
      <c r="L1929" s="2">
        <f t="shared" si="309"/>
        <v>4.6069241434461459</v>
      </c>
      <c r="M1929" s="2">
        <f t="shared" si="305"/>
        <v>3.3400200039984558</v>
      </c>
      <c r="N1929" s="2">
        <f t="shared" si="306"/>
        <v>1.6700100019992279</v>
      </c>
      <c r="O1929" s="2">
        <f t="shared" si="307"/>
        <v>6.1289367073371661</v>
      </c>
      <c r="P1929" s="2">
        <v>72.552552000000006</v>
      </c>
      <c r="Q1929" s="2">
        <v>23.035989000000001</v>
      </c>
    </row>
    <row r="1930" spans="1:17" x14ac:dyDescent="0.25">
      <c r="A1930" s="2">
        <v>2108</v>
      </c>
      <c r="B1930" s="2" t="s">
        <v>111</v>
      </c>
      <c r="C1930" s="2">
        <v>6</v>
      </c>
      <c r="D1930" s="2">
        <f t="shared" si="300"/>
        <v>15.24</v>
      </c>
      <c r="E1930" s="2">
        <f t="shared" si="301"/>
        <v>4.8510426654409704</v>
      </c>
      <c r="F1930" s="2">
        <f t="shared" si="302"/>
        <v>1.909859317102744</v>
      </c>
      <c r="G1930" s="2">
        <v>3.580851</v>
      </c>
      <c r="H1930" s="2">
        <f t="shared" si="303"/>
        <v>11.74819919484</v>
      </c>
      <c r="I1930" s="2">
        <f>INDEX('Wood Density Lookup'!$B$2:$B$152,MATCH(B1930,'Wood Density Lookup'!$A$2:$A$152,0))</f>
        <v>0.4</v>
      </c>
      <c r="J1930" s="2">
        <f t="shared" si="304"/>
        <v>2.084809129357116</v>
      </c>
      <c r="K1930" s="2">
        <f t="shared" si="308"/>
        <v>0.5837465562199925</v>
      </c>
      <c r="L1930" s="2">
        <f t="shared" si="309"/>
        <v>2.6685556855771084</v>
      </c>
      <c r="M1930" s="2">
        <f t="shared" si="305"/>
        <v>1.9347028720434036</v>
      </c>
      <c r="N1930" s="2">
        <f t="shared" si="306"/>
        <v>0.96735143602170182</v>
      </c>
      <c r="O1930" s="2">
        <f t="shared" si="307"/>
        <v>3.5501797701996458</v>
      </c>
      <c r="P1930" s="2">
        <v>72.552552000000006</v>
      </c>
      <c r="Q1930" s="2">
        <v>23.037545000000001</v>
      </c>
    </row>
    <row r="1931" spans="1:17" x14ac:dyDescent="0.25">
      <c r="A1931" s="2">
        <v>2109</v>
      </c>
      <c r="B1931" s="2" t="s">
        <v>111</v>
      </c>
      <c r="C1931" s="2">
        <v>4</v>
      </c>
      <c r="D1931" s="2">
        <f t="shared" si="300"/>
        <v>10.16</v>
      </c>
      <c r="E1931" s="2">
        <f t="shared" si="301"/>
        <v>3.2340284436273135</v>
      </c>
      <c r="F1931" s="2">
        <f t="shared" si="302"/>
        <v>1.2732395447351628</v>
      </c>
      <c r="G1931" s="2">
        <v>4.5141390000000001</v>
      </c>
      <c r="H1931" s="2">
        <f t="shared" si="303"/>
        <v>14.81016779676</v>
      </c>
      <c r="I1931" s="2">
        <f>INDEX('Wood Density Lookup'!$B$2:$B$152,MATCH(B1931,'Wood Density Lookup'!$A$2:$A$152,0))</f>
        <v>0.4</v>
      </c>
      <c r="J1931" s="2">
        <f t="shared" si="304"/>
        <v>1.1844335802516404</v>
      </c>
      <c r="K1931" s="2">
        <f t="shared" si="308"/>
        <v>0.33164140247045931</v>
      </c>
      <c r="L1931" s="2">
        <f t="shared" si="309"/>
        <v>1.5160749827220996</v>
      </c>
      <c r="M1931" s="2">
        <f t="shared" si="305"/>
        <v>1.0991543624735223</v>
      </c>
      <c r="N1931" s="2">
        <f t="shared" si="306"/>
        <v>0.54957718123676114</v>
      </c>
      <c r="O1931" s="2">
        <f t="shared" si="307"/>
        <v>2.0169482551389133</v>
      </c>
      <c r="P1931" s="2">
        <v>72.552553000000003</v>
      </c>
      <c r="Q1931" s="2">
        <v>23.037427000000001</v>
      </c>
    </row>
    <row r="1932" spans="1:17" x14ac:dyDescent="0.25">
      <c r="A1932" s="2">
        <v>2110</v>
      </c>
      <c r="B1932" s="2" t="s">
        <v>111</v>
      </c>
      <c r="C1932" s="2">
        <v>6</v>
      </c>
      <c r="D1932" s="2">
        <f t="shared" si="300"/>
        <v>15.24</v>
      </c>
      <c r="E1932" s="2">
        <f t="shared" si="301"/>
        <v>4.8510426654409704</v>
      </c>
      <c r="F1932" s="2">
        <f t="shared" si="302"/>
        <v>1.909859317102744</v>
      </c>
      <c r="G1932" s="2">
        <v>3.8715769999999998</v>
      </c>
      <c r="H1932" s="2">
        <f t="shared" si="303"/>
        <v>12.70202468468</v>
      </c>
      <c r="I1932" s="2">
        <f>INDEX('Wood Density Lookup'!$B$2:$B$152,MATCH(B1932,'Wood Density Lookup'!$A$2:$A$152,0))</f>
        <v>0.4</v>
      </c>
      <c r="J1932" s="2">
        <f t="shared" si="304"/>
        <v>2.2498538709051243</v>
      </c>
      <c r="K1932" s="2">
        <f t="shared" si="308"/>
        <v>0.62995908385343491</v>
      </c>
      <c r="L1932" s="2">
        <f t="shared" si="309"/>
        <v>2.8798129547585591</v>
      </c>
      <c r="M1932" s="2">
        <f t="shared" si="305"/>
        <v>2.0878643921999553</v>
      </c>
      <c r="N1932" s="2">
        <f t="shared" si="306"/>
        <v>1.0439321960999777</v>
      </c>
      <c r="O1932" s="2">
        <f t="shared" si="307"/>
        <v>3.8312311596869182</v>
      </c>
      <c r="P1932" s="2">
        <v>72.552554999999998</v>
      </c>
      <c r="Q1932" s="2">
        <v>23.037534999999998</v>
      </c>
    </row>
    <row r="1933" spans="1:17" x14ac:dyDescent="0.25">
      <c r="A1933" s="2">
        <v>2111</v>
      </c>
      <c r="B1933" s="2" t="s">
        <v>111</v>
      </c>
      <c r="C1933" s="2">
        <v>5</v>
      </c>
      <c r="D1933" s="2">
        <f t="shared" si="300"/>
        <v>12.7</v>
      </c>
      <c r="E1933" s="2">
        <f t="shared" si="301"/>
        <v>4.0425355545341413</v>
      </c>
      <c r="F1933" s="2">
        <f t="shared" si="302"/>
        <v>1.5915494309189535</v>
      </c>
      <c r="G1933" s="2">
        <v>6.3248889999999998</v>
      </c>
      <c r="H1933" s="2">
        <f t="shared" si="303"/>
        <v>20.750948826759998</v>
      </c>
      <c r="I1933" s="2">
        <f>INDEX('Wood Density Lookup'!$B$2:$B$152,MATCH(B1933,'Wood Density Lookup'!$A$2:$A$152,0))</f>
        <v>0.4</v>
      </c>
      <c r="J1933" s="2">
        <f t="shared" si="304"/>
        <v>2.5447291572724078</v>
      </c>
      <c r="K1933" s="2">
        <f t="shared" si="308"/>
        <v>0.71252416403627428</v>
      </c>
      <c r="L1933" s="2">
        <f t="shared" si="309"/>
        <v>3.2572533213086823</v>
      </c>
      <c r="M1933" s="2">
        <f t="shared" si="305"/>
        <v>2.3615086579487947</v>
      </c>
      <c r="N1933" s="2">
        <f t="shared" si="306"/>
        <v>1.1807543289743974</v>
      </c>
      <c r="O1933" s="2">
        <f t="shared" si="307"/>
        <v>4.333368387336038</v>
      </c>
      <c r="P1933" s="2">
        <v>72.552554999999998</v>
      </c>
      <c r="Q1933" s="2">
        <v>23.037420000000001</v>
      </c>
    </row>
    <row r="1934" spans="1:17" x14ac:dyDescent="0.25">
      <c r="A1934" s="2">
        <v>2112</v>
      </c>
      <c r="B1934" s="2" t="s">
        <v>111</v>
      </c>
      <c r="C1934" s="2">
        <v>2</v>
      </c>
      <c r="D1934" s="2">
        <f t="shared" si="300"/>
        <v>5.08</v>
      </c>
      <c r="E1934" s="2">
        <f t="shared" si="301"/>
        <v>1.6170142218136567</v>
      </c>
      <c r="F1934" s="2">
        <f t="shared" si="302"/>
        <v>0.63661977236758138</v>
      </c>
      <c r="G1934" s="2">
        <v>3.9661629999999999</v>
      </c>
      <c r="H1934" s="2">
        <f t="shared" si="303"/>
        <v>13.012346216919999</v>
      </c>
      <c r="I1934" s="2">
        <f>INDEX('Wood Density Lookup'!$B$2:$B$152,MATCH(B1934,'Wood Density Lookup'!$A$2:$A$152,0))</f>
        <v>0.4</v>
      </c>
      <c r="J1934" s="2">
        <f t="shared" si="304"/>
        <v>0.26980170879056481</v>
      </c>
      <c r="K1934" s="2">
        <f t="shared" si="308"/>
        <v>7.5544478461358158E-2</v>
      </c>
      <c r="L1934" s="2">
        <f t="shared" si="309"/>
        <v>0.34534618725192295</v>
      </c>
      <c r="M1934" s="2">
        <f t="shared" si="305"/>
        <v>0.25037598575764414</v>
      </c>
      <c r="N1934" s="2">
        <f t="shared" si="306"/>
        <v>0.12518799287882207</v>
      </c>
      <c r="O1934" s="2">
        <f t="shared" si="307"/>
        <v>0.45943993386527698</v>
      </c>
      <c r="P1934" s="2">
        <v>72.552555999999996</v>
      </c>
      <c r="Q1934" s="2">
        <v>23.037412</v>
      </c>
    </row>
    <row r="1935" spans="1:17" x14ac:dyDescent="0.25">
      <c r="A1935" s="2">
        <v>2113</v>
      </c>
      <c r="B1935" s="2" t="s">
        <v>11</v>
      </c>
      <c r="C1935" s="2">
        <v>4</v>
      </c>
      <c r="D1935" s="2">
        <f t="shared" si="300"/>
        <v>10.16</v>
      </c>
      <c r="E1935" s="2">
        <f t="shared" si="301"/>
        <v>3.2340284436273135</v>
      </c>
      <c r="F1935" s="2">
        <f t="shared" si="302"/>
        <v>1.2732395447351628</v>
      </c>
      <c r="G1935" s="2">
        <v>2.061083</v>
      </c>
      <c r="H1935" s="2">
        <f t="shared" si="303"/>
        <v>6.7620835497199998</v>
      </c>
      <c r="I1935" s="2">
        <f>INDEX('Wood Density Lookup'!$B$2:$B$152,MATCH(B1935,'Wood Density Lookup'!$A$2:$A$152,0))</f>
        <v>0.45</v>
      </c>
      <c r="J1935" s="2">
        <f t="shared" si="304"/>
        <v>0.61819805416063833</v>
      </c>
      <c r="K1935" s="2">
        <f t="shared" si="308"/>
        <v>0.17309545516497876</v>
      </c>
      <c r="L1935" s="2">
        <f t="shared" si="309"/>
        <v>0.79129350932561704</v>
      </c>
      <c r="M1935" s="2">
        <f t="shared" si="305"/>
        <v>0.5736877942610723</v>
      </c>
      <c r="N1935" s="2">
        <f t="shared" si="306"/>
        <v>0.28684389713053615</v>
      </c>
      <c r="O1935" s="2">
        <f t="shared" si="307"/>
        <v>1.0527171024690676</v>
      </c>
      <c r="P1935" s="2">
        <v>72.552556999999993</v>
      </c>
      <c r="Q1935" s="2">
        <v>23.035905</v>
      </c>
    </row>
    <row r="1936" spans="1:17" x14ac:dyDescent="0.25">
      <c r="A1936" s="2">
        <v>2114</v>
      </c>
      <c r="B1936" s="2" t="s">
        <v>152</v>
      </c>
      <c r="C1936" s="2">
        <v>23</v>
      </c>
      <c r="D1936" s="2">
        <f t="shared" si="300"/>
        <v>58.42</v>
      </c>
      <c r="E1936" s="2">
        <f t="shared" si="301"/>
        <v>18.595663550857051</v>
      </c>
      <c r="F1936" s="2">
        <f t="shared" si="302"/>
        <v>7.3211273822271856</v>
      </c>
      <c r="G1936" s="2">
        <v>4.5151490000000001</v>
      </c>
      <c r="H1936" s="2">
        <f t="shared" si="303"/>
        <v>14.813481445160001</v>
      </c>
      <c r="I1936" s="2">
        <f>INDEX('Wood Density Lookup'!$B$2:$B$152,MATCH(B1936,'Wood Density Lookup'!$A$2:$A$152,0))</f>
        <v>0.8</v>
      </c>
      <c r="J1936" s="2">
        <f t="shared" si="304"/>
        <v>70.840635302473515</v>
      </c>
      <c r="K1936" s="2">
        <f t="shared" si="308"/>
        <v>19.835377884692587</v>
      </c>
      <c r="L1936" s="2">
        <f t="shared" si="309"/>
        <v>90.676013187166106</v>
      </c>
      <c r="M1936" s="2">
        <f t="shared" si="305"/>
        <v>65.74010956069543</v>
      </c>
      <c r="N1936" s="2">
        <f t="shared" si="306"/>
        <v>32.870054780347715</v>
      </c>
      <c r="O1936" s="2">
        <f t="shared" si="307"/>
        <v>120.63310104387611</v>
      </c>
      <c r="P1936" s="2">
        <v>72.552556999999993</v>
      </c>
      <c r="Q1936" s="2">
        <v>23.038777</v>
      </c>
    </row>
    <row r="1937" spans="1:17" x14ac:dyDescent="0.25">
      <c r="A1937" s="2">
        <v>2115</v>
      </c>
      <c r="B1937" s="2" t="s">
        <v>111</v>
      </c>
      <c r="C1937" s="2">
        <v>6</v>
      </c>
      <c r="D1937" s="2">
        <f t="shared" si="300"/>
        <v>15.24</v>
      </c>
      <c r="E1937" s="2">
        <f t="shared" si="301"/>
        <v>4.8510426654409704</v>
      </c>
      <c r="F1937" s="2">
        <f t="shared" si="302"/>
        <v>1.909859317102744</v>
      </c>
      <c r="G1937" s="2">
        <v>4.0907720000000003</v>
      </c>
      <c r="H1937" s="2">
        <f t="shared" si="303"/>
        <v>13.421168408480002</v>
      </c>
      <c r="I1937" s="2">
        <f>INDEX('Wood Density Lookup'!$B$2:$B$152,MATCH(B1937,'Wood Density Lookup'!$A$2:$A$152,0))</f>
        <v>0.4</v>
      </c>
      <c r="J1937" s="2">
        <f t="shared" si="304"/>
        <v>2.3740926743900372</v>
      </c>
      <c r="K1937" s="2">
        <f t="shared" si="308"/>
        <v>0.66474594882921045</v>
      </c>
      <c r="L1937" s="2">
        <f t="shared" si="309"/>
        <v>3.0388386232192479</v>
      </c>
      <c r="M1937" s="2">
        <f t="shared" si="305"/>
        <v>2.2031580018339545</v>
      </c>
      <c r="N1937" s="2">
        <f t="shared" si="306"/>
        <v>1.1015790009169772</v>
      </c>
      <c r="O1937" s="2">
        <f t="shared" si="307"/>
        <v>4.0427949333653066</v>
      </c>
      <c r="P1937" s="2">
        <v>72.552559000000002</v>
      </c>
      <c r="Q1937" s="2">
        <v>23.037524999999999</v>
      </c>
    </row>
    <row r="1938" spans="1:17" x14ac:dyDescent="0.25">
      <c r="A1938" s="2">
        <v>2116</v>
      </c>
      <c r="B1938" s="2" t="s">
        <v>111</v>
      </c>
      <c r="C1938" s="2">
        <v>3</v>
      </c>
      <c r="D1938" s="2">
        <f t="shared" si="300"/>
        <v>7.62</v>
      </c>
      <c r="E1938" s="2">
        <f t="shared" si="301"/>
        <v>2.4255213327204852</v>
      </c>
      <c r="F1938" s="2">
        <f t="shared" si="302"/>
        <v>0.95492965855137202</v>
      </c>
      <c r="G1938" s="2">
        <v>6.9591289999999999</v>
      </c>
      <c r="H1938" s="2">
        <f t="shared" si="303"/>
        <v>22.831788788360001</v>
      </c>
      <c r="I1938" s="2">
        <f>INDEX('Wood Density Lookup'!$B$2:$B$152,MATCH(B1938,'Wood Density Lookup'!$A$2:$A$152,0))</f>
        <v>0.4</v>
      </c>
      <c r="J1938" s="2">
        <f t="shared" si="304"/>
        <v>1.0306204081534514</v>
      </c>
      <c r="K1938" s="2">
        <f t="shared" si="308"/>
        <v>0.28857371428296641</v>
      </c>
      <c r="L1938" s="2">
        <f t="shared" si="309"/>
        <v>1.3191941224364179</v>
      </c>
      <c r="M1938" s="2">
        <f t="shared" si="305"/>
        <v>0.95641573876640296</v>
      </c>
      <c r="N1938" s="2">
        <f t="shared" si="306"/>
        <v>0.47820786938320148</v>
      </c>
      <c r="O1938" s="2">
        <f t="shared" si="307"/>
        <v>1.7550228806363495</v>
      </c>
      <c r="P1938" s="2">
        <v>72.552559000000002</v>
      </c>
      <c r="Q1938" s="2">
        <v>23.037405</v>
      </c>
    </row>
    <row r="1939" spans="1:17" x14ac:dyDescent="0.25">
      <c r="A1939" s="2">
        <v>2117</v>
      </c>
      <c r="B1939" s="2" t="s">
        <v>111</v>
      </c>
      <c r="C1939" s="2">
        <v>2</v>
      </c>
      <c r="D1939" s="2">
        <f t="shared" si="300"/>
        <v>5.08</v>
      </c>
      <c r="E1939" s="2">
        <f t="shared" si="301"/>
        <v>1.6170142218136567</v>
      </c>
      <c r="F1939" s="2">
        <f t="shared" si="302"/>
        <v>0.63661977236758138</v>
      </c>
      <c r="G1939" s="2">
        <v>2.8730359999999999</v>
      </c>
      <c r="H1939" s="2">
        <f t="shared" si="303"/>
        <v>9.4259714302399988</v>
      </c>
      <c r="I1939" s="2">
        <f>INDEX('Wood Density Lookup'!$B$2:$B$152,MATCH(B1939,'Wood Density Lookup'!$A$2:$A$152,0))</f>
        <v>0.4</v>
      </c>
      <c r="J1939" s="2">
        <f t="shared" si="304"/>
        <v>0.19695903731650985</v>
      </c>
      <c r="K1939" s="2">
        <f t="shared" si="308"/>
        <v>5.5148530448622765E-2</v>
      </c>
      <c r="L1939" s="2">
        <f t="shared" si="309"/>
        <v>0.2521075677651326</v>
      </c>
      <c r="M1939" s="2">
        <f t="shared" si="305"/>
        <v>0.18277798662972114</v>
      </c>
      <c r="N1939" s="2">
        <f t="shared" si="306"/>
        <v>9.138899331486057E-2</v>
      </c>
      <c r="O1939" s="2">
        <f t="shared" si="307"/>
        <v>0.33539760546553826</v>
      </c>
      <c r="P1939" s="2">
        <v>72.552559000000002</v>
      </c>
      <c r="Q1939" s="2">
        <v>23.037436</v>
      </c>
    </row>
    <row r="1940" spans="1:17" x14ac:dyDescent="0.25">
      <c r="A1940" s="2">
        <v>2118</v>
      </c>
      <c r="B1940" s="2" t="s">
        <v>61</v>
      </c>
      <c r="C1940" s="2">
        <v>72</v>
      </c>
      <c r="D1940" s="2">
        <f t="shared" si="300"/>
        <v>182.88</v>
      </c>
      <c r="E1940" s="2">
        <f t="shared" si="301"/>
        <v>58.212511985291641</v>
      </c>
      <c r="F1940" s="2">
        <f t="shared" si="302"/>
        <v>22.918311805232928</v>
      </c>
      <c r="G1940" s="2">
        <v>14.634613</v>
      </c>
      <c r="H1940" s="2">
        <f t="shared" si="303"/>
        <v>48.013823714920001</v>
      </c>
      <c r="I1940" s="2">
        <f>INDEX('Wood Density Lookup'!$B$2:$B$152,MATCH(B1940,'Wood Density Lookup'!$A$2:$A$152,0))</f>
        <v>0.5</v>
      </c>
      <c r="J1940" s="2">
        <f t="shared" si="304"/>
        <v>1308.982309965688</v>
      </c>
      <c r="K1940" s="2">
        <f t="shared" si="308"/>
        <v>366.51504679039266</v>
      </c>
      <c r="L1940" s="2">
        <f t="shared" si="309"/>
        <v>1675.4973567560808</v>
      </c>
      <c r="M1940" s="2">
        <f t="shared" si="305"/>
        <v>1214.7355836481586</v>
      </c>
      <c r="N1940" s="2">
        <f t="shared" si="306"/>
        <v>607.36779182407929</v>
      </c>
      <c r="O1940" s="2">
        <f t="shared" si="307"/>
        <v>2229.0397959943712</v>
      </c>
      <c r="P1940" s="2">
        <v>72.55256</v>
      </c>
      <c r="Q1940" s="2">
        <v>23.03566</v>
      </c>
    </row>
    <row r="1941" spans="1:17" x14ac:dyDescent="0.25">
      <c r="A1941" s="2">
        <v>2119</v>
      </c>
      <c r="B1941" s="2" t="s">
        <v>17</v>
      </c>
      <c r="C1941" s="2">
        <v>22</v>
      </c>
      <c r="D1941" s="2">
        <f t="shared" si="300"/>
        <v>55.88</v>
      </c>
      <c r="E1941" s="2">
        <f t="shared" si="301"/>
        <v>17.787156439950223</v>
      </c>
      <c r="F1941" s="2">
        <f t="shared" si="302"/>
        <v>7.0028174960433951</v>
      </c>
      <c r="G1941" s="2">
        <v>4.6394760000000002</v>
      </c>
      <c r="H1941" s="2">
        <f t="shared" si="303"/>
        <v>15.22137843984</v>
      </c>
      <c r="I1941" s="2">
        <f>INDEX('Wood Density Lookup'!$B$2:$B$152,MATCH(B1941,'Wood Density Lookup'!$A$2:$A$152,0))</f>
        <v>0.75</v>
      </c>
      <c r="J1941" s="2">
        <f t="shared" si="304"/>
        <v>62.626259278294185</v>
      </c>
      <c r="K1941" s="2">
        <f t="shared" si="308"/>
        <v>17.535352597922373</v>
      </c>
      <c r="L1941" s="2">
        <f t="shared" si="309"/>
        <v>80.161611876216554</v>
      </c>
      <c r="M1941" s="2">
        <f t="shared" si="305"/>
        <v>58.117168610256996</v>
      </c>
      <c r="N1941" s="2">
        <f t="shared" si="306"/>
        <v>29.058584305128498</v>
      </c>
      <c r="O1941" s="2">
        <f t="shared" si="307"/>
        <v>106.64500439982159</v>
      </c>
      <c r="P1941" s="2">
        <v>72.55256</v>
      </c>
      <c r="Q1941" s="2">
        <v>23.037512</v>
      </c>
    </row>
    <row r="1942" spans="1:17" x14ac:dyDescent="0.25">
      <c r="A1942" s="2">
        <v>2120</v>
      </c>
      <c r="B1942" s="2" t="s">
        <v>111</v>
      </c>
      <c r="C1942" s="2">
        <v>3</v>
      </c>
      <c r="D1942" s="2">
        <f t="shared" si="300"/>
        <v>7.62</v>
      </c>
      <c r="E1942" s="2">
        <f t="shared" si="301"/>
        <v>2.4255213327204852</v>
      </c>
      <c r="F1942" s="2">
        <f t="shared" si="302"/>
        <v>0.95492965855137202</v>
      </c>
      <c r="G1942" s="2">
        <v>7.0497379999999996</v>
      </c>
      <c r="H1942" s="2">
        <f t="shared" si="303"/>
        <v>23.12906241992</v>
      </c>
      <c r="I1942" s="2">
        <f>INDEX('Wood Density Lookup'!$B$2:$B$152,MATCH(B1942,'Wood Density Lookup'!$A$2:$A$152,0))</f>
        <v>0.4</v>
      </c>
      <c r="J1942" s="2">
        <f t="shared" si="304"/>
        <v>1.0437151652066297</v>
      </c>
      <c r="K1942" s="2">
        <f t="shared" si="308"/>
        <v>0.29224024625785633</v>
      </c>
      <c r="L1942" s="2">
        <f t="shared" si="309"/>
        <v>1.335955411464486</v>
      </c>
      <c r="M1942" s="2">
        <f t="shared" si="305"/>
        <v>0.96856767331175231</v>
      </c>
      <c r="N1942" s="2">
        <f t="shared" si="306"/>
        <v>0.48428383665587615</v>
      </c>
      <c r="O1942" s="2">
        <f t="shared" si="307"/>
        <v>1.7773216805270655</v>
      </c>
      <c r="P1942" s="2">
        <v>72.552560999999997</v>
      </c>
      <c r="Q1942" s="2">
        <v>23.037396000000001</v>
      </c>
    </row>
    <row r="1943" spans="1:17" x14ac:dyDescent="0.25">
      <c r="A1943" s="2">
        <v>2121</v>
      </c>
      <c r="B1943" s="2" t="s">
        <v>111</v>
      </c>
      <c r="C1943" s="2">
        <v>4</v>
      </c>
      <c r="D1943" s="2">
        <f t="shared" si="300"/>
        <v>10.16</v>
      </c>
      <c r="E1943" s="2">
        <f t="shared" si="301"/>
        <v>3.2340284436273135</v>
      </c>
      <c r="F1943" s="2">
        <f t="shared" si="302"/>
        <v>1.2732395447351628</v>
      </c>
      <c r="G1943" s="2">
        <v>6.5914590000000004</v>
      </c>
      <c r="H1943" s="2">
        <f t="shared" si="303"/>
        <v>21.62552234556</v>
      </c>
      <c r="I1943" s="2">
        <f>INDEX('Wood Density Lookup'!$B$2:$B$152,MATCH(B1943,'Wood Density Lookup'!$A$2:$A$152,0))</f>
        <v>0.4</v>
      </c>
      <c r="J1943" s="2">
        <f t="shared" si="304"/>
        <v>1.7138451502939858</v>
      </c>
      <c r="K1943" s="2">
        <f t="shared" si="308"/>
        <v>0.47987664208231606</v>
      </c>
      <c r="L1943" s="2">
        <f t="shared" si="309"/>
        <v>2.1937217923763019</v>
      </c>
      <c r="M1943" s="2">
        <f t="shared" si="305"/>
        <v>1.5904482994728188</v>
      </c>
      <c r="N1943" s="2">
        <f t="shared" si="306"/>
        <v>0.79522414973640942</v>
      </c>
      <c r="O1943" s="2">
        <f t="shared" si="307"/>
        <v>2.9184726295326224</v>
      </c>
      <c r="P1943" s="2">
        <v>72.552561999999995</v>
      </c>
      <c r="Q1943" s="2">
        <v>23.037386999999999</v>
      </c>
    </row>
    <row r="1944" spans="1:17" x14ac:dyDescent="0.25">
      <c r="A1944" s="2">
        <v>2122</v>
      </c>
      <c r="B1944" s="2" t="s">
        <v>111</v>
      </c>
      <c r="C1944" s="2">
        <v>2</v>
      </c>
      <c r="D1944" s="2">
        <f t="shared" si="300"/>
        <v>5.08</v>
      </c>
      <c r="E1944" s="2">
        <f t="shared" si="301"/>
        <v>1.6170142218136567</v>
      </c>
      <c r="F1944" s="2">
        <f t="shared" si="302"/>
        <v>0.63661977236758138</v>
      </c>
      <c r="G1944" s="2">
        <v>4.8335210000000002</v>
      </c>
      <c r="H1944" s="2">
        <f t="shared" si="303"/>
        <v>15.85800903764</v>
      </c>
      <c r="I1944" s="2">
        <f>INDEX('Wood Density Lookup'!$B$2:$B$152,MATCH(B1944,'Wood Density Lookup'!$A$2:$A$152,0))</f>
        <v>0.4</v>
      </c>
      <c r="J1944" s="2">
        <f t="shared" si="304"/>
        <v>0.32724748217652094</v>
      </c>
      <c r="K1944" s="2">
        <f t="shared" si="308"/>
        <v>9.1629295009425876E-2</v>
      </c>
      <c r="L1944" s="2">
        <f t="shared" si="309"/>
        <v>0.41887677718594685</v>
      </c>
      <c r="M1944" s="2">
        <f t="shared" si="305"/>
        <v>0.30368566345981146</v>
      </c>
      <c r="N1944" s="2">
        <f t="shared" si="306"/>
        <v>0.15184283172990573</v>
      </c>
      <c r="O1944" s="2">
        <f t="shared" si="307"/>
        <v>0.557263192448754</v>
      </c>
      <c r="P1944" s="2">
        <v>72.552563000000006</v>
      </c>
      <c r="Q1944" s="2">
        <v>23.037423</v>
      </c>
    </row>
    <row r="1945" spans="1:17" x14ac:dyDescent="0.25">
      <c r="A1945" s="2">
        <v>2123</v>
      </c>
      <c r="B1945" s="2" t="s">
        <v>111</v>
      </c>
      <c r="C1945" s="2">
        <v>4</v>
      </c>
      <c r="D1945" s="2">
        <f t="shared" si="300"/>
        <v>10.16</v>
      </c>
      <c r="E1945" s="2">
        <f t="shared" si="301"/>
        <v>3.2340284436273135</v>
      </c>
      <c r="F1945" s="2">
        <f t="shared" si="302"/>
        <v>1.2732395447351628</v>
      </c>
      <c r="G1945" s="2">
        <v>6.055428</v>
      </c>
      <c r="H1945" s="2">
        <f t="shared" si="303"/>
        <v>19.866890399519999</v>
      </c>
      <c r="I1945" s="2">
        <f>INDEX('Wood Density Lookup'!$B$2:$B$152,MATCH(B1945,'Wood Density Lookup'!$A$2:$A$152,0))</f>
        <v>0.4</v>
      </c>
      <c r="J1945" s="2">
        <f t="shared" si="304"/>
        <v>1.5776801107415894</v>
      </c>
      <c r="K1945" s="2">
        <f t="shared" si="308"/>
        <v>0.44175043100764511</v>
      </c>
      <c r="L1945" s="2">
        <f t="shared" si="309"/>
        <v>2.0194305417492346</v>
      </c>
      <c r="M1945" s="2">
        <f t="shared" si="305"/>
        <v>1.464087142768195</v>
      </c>
      <c r="N1945" s="2">
        <f t="shared" si="306"/>
        <v>0.73204357138409748</v>
      </c>
      <c r="O1945" s="2">
        <f t="shared" si="307"/>
        <v>2.6865999069796378</v>
      </c>
      <c r="P1945" s="2">
        <v>72.552564000000004</v>
      </c>
      <c r="Q1945" s="2">
        <v>23.037417000000001</v>
      </c>
    </row>
    <row r="1946" spans="1:17" x14ac:dyDescent="0.25">
      <c r="A1946" s="2">
        <v>2124</v>
      </c>
      <c r="B1946" s="2" t="s">
        <v>111</v>
      </c>
      <c r="C1946" s="2">
        <v>4</v>
      </c>
      <c r="D1946" s="2">
        <f t="shared" si="300"/>
        <v>10.16</v>
      </c>
      <c r="E1946" s="2">
        <f t="shared" si="301"/>
        <v>3.2340284436273135</v>
      </c>
      <c r="F1946" s="2">
        <f t="shared" si="302"/>
        <v>1.2732395447351628</v>
      </c>
      <c r="G1946" s="2">
        <v>5.8028719999999998</v>
      </c>
      <c r="H1946" s="2">
        <f t="shared" si="303"/>
        <v>19.038294572479998</v>
      </c>
      <c r="I1946" s="2">
        <f>INDEX('Wood Density Lookup'!$B$2:$B$152,MATCH(B1946,'Wood Density Lookup'!$A$2:$A$152,0))</f>
        <v>0.4</v>
      </c>
      <c r="J1946" s="2">
        <f t="shared" si="304"/>
        <v>1.5134258281642889</v>
      </c>
      <c r="K1946" s="2">
        <f t="shared" si="308"/>
        <v>0.42375923188600095</v>
      </c>
      <c r="L1946" s="2">
        <f t="shared" si="309"/>
        <v>1.93718506005029</v>
      </c>
      <c r="M1946" s="2">
        <f t="shared" si="305"/>
        <v>1.4044591685364602</v>
      </c>
      <c r="N1946" s="2">
        <f t="shared" si="306"/>
        <v>0.70222958426823012</v>
      </c>
      <c r="O1946" s="2">
        <f t="shared" si="307"/>
        <v>2.5771825742644046</v>
      </c>
      <c r="P1946" s="2">
        <v>72.552565000000001</v>
      </c>
      <c r="Q1946" s="2">
        <v>23.037378</v>
      </c>
    </row>
    <row r="1947" spans="1:17" x14ac:dyDescent="0.25">
      <c r="A1947" s="2">
        <v>2125</v>
      </c>
      <c r="B1947" s="2" t="s">
        <v>111</v>
      </c>
      <c r="C1947" s="2">
        <v>3</v>
      </c>
      <c r="D1947" s="2">
        <f t="shared" si="300"/>
        <v>7.62</v>
      </c>
      <c r="E1947" s="2">
        <f t="shared" si="301"/>
        <v>2.4255213327204852</v>
      </c>
      <c r="F1947" s="2">
        <f t="shared" si="302"/>
        <v>0.95492965855137202</v>
      </c>
      <c r="G1947" s="2">
        <v>6.2952370000000002</v>
      </c>
      <c r="H1947" s="2">
        <f t="shared" si="303"/>
        <v>20.653665359080001</v>
      </c>
      <c r="I1947" s="2">
        <f>INDEX('Wood Density Lookup'!$B$2:$B$152,MATCH(B1947,'Wood Density Lookup'!$A$2:$A$152,0))</f>
        <v>0.4</v>
      </c>
      <c r="J1947" s="2">
        <f t="shared" si="304"/>
        <v>0.93454660286181435</v>
      </c>
      <c r="K1947" s="2">
        <f t="shared" si="308"/>
        <v>0.26167304880130804</v>
      </c>
      <c r="L1947" s="2">
        <f t="shared" si="309"/>
        <v>1.1962196516631223</v>
      </c>
      <c r="M1947" s="2">
        <f t="shared" si="305"/>
        <v>0.86725924745576366</v>
      </c>
      <c r="N1947" s="2">
        <f t="shared" si="306"/>
        <v>0.43362962372788183</v>
      </c>
      <c r="O1947" s="2">
        <f t="shared" si="307"/>
        <v>1.5914207190813263</v>
      </c>
      <c r="P1947" s="2">
        <v>72.552565000000001</v>
      </c>
      <c r="Q1947" s="2">
        <v>23.037409</v>
      </c>
    </row>
    <row r="1948" spans="1:17" x14ac:dyDescent="0.25">
      <c r="A1948" s="2">
        <v>2126</v>
      </c>
      <c r="B1948" s="2" t="s">
        <v>111</v>
      </c>
      <c r="C1948" s="2">
        <v>5</v>
      </c>
      <c r="D1948" s="2">
        <f t="shared" si="300"/>
        <v>12.7</v>
      </c>
      <c r="E1948" s="2">
        <f t="shared" si="301"/>
        <v>4.0425355545341413</v>
      </c>
      <c r="F1948" s="2">
        <f t="shared" si="302"/>
        <v>1.5915494309189535</v>
      </c>
      <c r="G1948" s="2">
        <v>7.5342849999999997</v>
      </c>
      <c r="H1948" s="2">
        <f t="shared" si="303"/>
        <v>24.718783599399998</v>
      </c>
      <c r="I1948" s="2">
        <f>INDEX('Wood Density Lookup'!$B$2:$B$152,MATCH(B1948,'Wood Density Lookup'!$A$2:$A$152,0))</f>
        <v>0.4</v>
      </c>
      <c r="J1948" s="2">
        <f t="shared" si="304"/>
        <v>3.018609696533046</v>
      </c>
      <c r="K1948" s="2">
        <f t="shared" si="308"/>
        <v>0.84521071502925293</v>
      </c>
      <c r="L1948" s="2">
        <f t="shared" si="309"/>
        <v>3.8638204115622989</v>
      </c>
      <c r="M1948" s="2">
        <f t="shared" si="305"/>
        <v>2.8012697983826667</v>
      </c>
      <c r="N1948" s="2">
        <f t="shared" si="306"/>
        <v>1.4006348991913333</v>
      </c>
      <c r="O1948" s="2">
        <f t="shared" si="307"/>
        <v>5.1403300800321929</v>
      </c>
      <c r="P1948" s="2">
        <v>72.552565999999999</v>
      </c>
      <c r="Q1948" s="2">
        <v>23.037496999999998</v>
      </c>
    </row>
    <row r="1949" spans="1:17" x14ac:dyDescent="0.25">
      <c r="A1949" s="2">
        <v>2127</v>
      </c>
      <c r="B1949" s="2" t="s">
        <v>111</v>
      </c>
      <c r="C1949" s="2">
        <v>2</v>
      </c>
      <c r="D1949" s="2">
        <f t="shared" si="300"/>
        <v>5.08</v>
      </c>
      <c r="E1949" s="2">
        <f t="shared" si="301"/>
        <v>1.6170142218136567</v>
      </c>
      <c r="F1949" s="2">
        <f t="shared" si="302"/>
        <v>0.63661977236758138</v>
      </c>
      <c r="G1949" s="2">
        <v>2.4095119999999999</v>
      </c>
      <c r="H1949" s="2">
        <f t="shared" si="303"/>
        <v>7.9052233500799991</v>
      </c>
      <c r="I1949" s="2">
        <f>INDEX('Wood Density Lookup'!$B$2:$B$152,MATCH(B1949,'Wood Density Lookup'!$A$2:$A$152,0))</f>
        <v>0.4</v>
      </c>
      <c r="J1949" s="2">
        <f t="shared" si="304"/>
        <v>0.16588145113869071</v>
      </c>
      <c r="K1949" s="2">
        <f t="shared" si="308"/>
        <v>4.6446806318833404E-2</v>
      </c>
      <c r="L1949" s="2">
        <f t="shared" si="309"/>
        <v>0.21232825745752412</v>
      </c>
      <c r="M1949" s="2">
        <f t="shared" si="305"/>
        <v>0.15393798665670499</v>
      </c>
      <c r="N1949" s="2">
        <f t="shared" si="306"/>
        <v>7.6968993328352497E-2</v>
      </c>
      <c r="O1949" s="2">
        <f t="shared" si="307"/>
        <v>0.28247620551505365</v>
      </c>
      <c r="P1949" s="2">
        <v>72.552565999999999</v>
      </c>
      <c r="Q1949" s="2">
        <v>23.037438999999999</v>
      </c>
    </row>
    <row r="1950" spans="1:17" x14ac:dyDescent="0.25">
      <c r="A1950" s="2">
        <v>2128</v>
      </c>
      <c r="B1950" s="2" t="s">
        <v>8</v>
      </c>
      <c r="C1950" s="2">
        <v>3</v>
      </c>
      <c r="D1950" s="2">
        <f t="shared" si="300"/>
        <v>7.62</v>
      </c>
      <c r="E1950" s="2">
        <f t="shared" si="301"/>
        <v>2.4255213327204852</v>
      </c>
      <c r="F1950" s="2">
        <f t="shared" si="302"/>
        <v>0.95492965855137202</v>
      </c>
      <c r="G1950" s="2">
        <v>10.956562999999999</v>
      </c>
      <c r="H1950" s="2">
        <f t="shared" si="303"/>
        <v>35.946730152919997</v>
      </c>
      <c r="I1950" s="2">
        <f>INDEX('Wood Density Lookup'!$B$2:$B$152,MATCH(B1950,'Wood Density Lookup'!$A$2:$A$152,0))</f>
        <v>0.75</v>
      </c>
      <c r="J1950" s="2">
        <f t="shared" si="304"/>
        <v>2.9643983710138295</v>
      </c>
      <c r="K1950" s="2">
        <f t="shared" si="308"/>
        <v>0.83003154388387235</v>
      </c>
      <c r="L1950" s="2">
        <f t="shared" si="309"/>
        <v>3.7944299148977017</v>
      </c>
      <c r="M1950" s="2">
        <f t="shared" si="305"/>
        <v>2.7509616883008334</v>
      </c>
      <c r="N1950" s="2">
        <f t="shared" si="306"/>
        <v>1.3754808441504167</v>
      </c>
      <c r="O1950" s="2">
        <f t="shared" si="307"/>
        <v>5.0480146980320288</v>
      </c>
      <c r="P1950" s="2">
        <v>72.552566999999996</v>
      </c>
      <c r="Q1950" s="2">
        <v>23.035246000000001</v>
      </c>
    </row>
    <row r="1951" spans="1:17" x14ac:dyDescent="0.25">
      <c r="A1951" s="2">
        <v>2129</v>
      </c>
      <c r="B1951" s="2" t="s">
        <v>111</v>
      </c>
      <c r="C1951" s="2">
        <v>5</v>
      </c>
      <c r="D1951" s="2">
        <f t="shared" si="300"/>
        <v>12.7</v>
      </c>
      <c r="E1951" s="2">
        <f t="shared" si="301"/>
        <v>4.0425355545341413</v>
      </c>
      <c r="F1951" s="2">
        <f t="shared" si="302"/>
        <v>1.5915494309189535</v>
      </c>
      <c r="G1951" s="2">
        <v>5.6222760000000003</v>
      </c>
      <c r="H1951" s="2">
        <f t="shared" si="303"/>
        <v>18.44578799184</v>
      </c>
      <c r="I1951" s="2">
        <f>INDEX('Wood Density Lookup'!$B$2:$B$152,MATCH(B1951,'Wood Density Lookup'!$A$2:$A$152,0))</f>
        <v>0.4</v>
      </c>
      <c r="J1951" s="2">
        <f t="shared" si="304"/>
        <v>2.2684447034729733</v>
      </c>
      <c r="K1951" s="2">
        <f t="shared" si="308"/>
        <v>0.63516451697243259</v>
      </c>
      <c r="L1951" s="2">
        <f t="shared" si="309"/>
        <v>2.9036092204454058</v>
      </c>
      <c r="M1951" s="2">
        <f t="shared" si="305"/>
        <v>2.105116684822919</v>
      </c>
      <c r="N1951" s="2">
        <f t="shared" si="306"/>
        <v>1.0525583424114595</v>
      </c>
      <c r="O1951" s="2">
        <f t="shared" si="307"/>
        <v>3.8628891166500563</v>
      </c>
      <c r="P1951" s="2">
        <v>72.552566999999996</v>
      </c>
      <c r="Q1951" s="2">
        <v>23.037371</v>
      </c>
    </row>
    <row r="1952" spans="1:17" x14ac:dyDescent="0.25">
      <c r="A1952" s="2">
        <v>2130</v>
      </c>
      <c r="B1952" s="2" t="s">
        <v>111</v>
      </c>
      <c r="C1952" s="2">
        <v>5</v>
      </c>
      <c r="D1952" s="2">
        <f t="shared" si="300"/>
        <v>12.7</v>
      </c>
      <c r="E1952" s="2">
        <f t="shared" si="301"/>
        <v>4.0425355545341413</v>
      </c>
      <c r="F1952" s="2">
        <f t="shared" si="302"/>
        <v>1.5915494309189535</v>
      </c>
      <c r="G1952" s="2">
        <v>7.1575280000000001</v>
      </c>
      <c r="H1952" s="2">
        <f t="shared" si="303"/>
        <v>23.482704163520001</v>
      </c>
      <c r="I1952" s="2">
        <f>INDEX('Wood Density Lookup'!$B$2:$B$152,MATCH(B1952,'Wood Density Lookup'!$A$2:$A$152,0))</f>
        <v>0.4</v>
      </c>
      <c r="J1952" s="2">
        <f t="shared" si="304"/>
        <v>2.8711948733526089</v>
      </c>
      <c r="K1952" s="2">
        <f t="shared" si="308"/>
        <v>0.80393456453873058</v>
      </c>
      <c r="L1952" s="2">
        <f t="shared" si="309"/>
        <v>3.6751294378913393</v>
      </c>
      <c r="M1952" s="2">
        <f t="shared" si="305"/>
        <v>2.6644688424712211</v>
      </c>
      <c r="N1952" s="2">
        <f t="shared" si="306"/>
        <v>1.3322344212356105</v>
      </c>
      <c r="O1952" s="2">
        <f t="shared" si="307"/>
        <v>4.8893003259346903</v>
      </c>
      <c r="P1952" s="2">
        <v>72.552566999999996</v>
      </c>
      <c r="Q1952" s="2">
        <v>23.037403000000001</v>
      </c>
    </row>
    <row r="1953" spans="1:17" x14ac:dyDescent="0.25">
      <c r="A1953" s="2">
        <v>2131</v>
      </c>
      <c r="B1953" s="2" t="s">
        <v>17</v>
      </c>
      <c r="C1953" s="2">
        <v>22</v>
      </c>
      <c r="D1953" s="2">
        <f t="shared" si="300"/>
        <v>55.88</v>
      </c>
      <c r="E1953" s="2">
        <f t="shared" si="301"/>
        <v>17.787156439950223</v>
      </c>
      <c r="F1953" s="2">
        <f t="shared" si="302"/>
        <v>7.0028174960433951</v>
      </c>
      <c r="G1953" s="2">
        <v>6.2530359999999998</v>
      </c>
      <c r="H1953" s="2">
        <f t="shared" si="303"/>
        <v>20.515210630239999</v>
      </c>
      <c r="I1953" s="2">
        <f>INDEX('Wood Density Lookup'!$B$2:$B$152,MATCH(B1953,'Wood Density Lookup'!$A$2:$A$152,0))</f>
        <v>0.75</v>
      </c>
      <c r="J1953" s="2">
        <f t="shared" si="304"/>
        <v>83.804538788078659</v>
      </c>
      <c r="K1953" s="2">
        <f t="shared" si="308"/>
        <v>23.465270860662027</v>
      </c>
      <c r="L1953" s="2">
        <f t="shared" si="309"/>
        <v>107.26980964874069</v>
      </c>
      <c r="M1953" s="2">
        <f t="shared" si="305"/>
        <v>77.770611995336992</v>
      </c>
      <c r="N1953" s="2">
        <f t="shared" si="306"/>
        <v>38.885305997668496</v>
      </c>
      <c r="O1953" s="2">
        <f t="shared" si="307"/>
        <v>142.70907301144337</v>
      </c>
      <c r="P1953" s="2">
        <v>72.552567999999994</v>
      </c>
      <c r="Q1953" s="2">
        <v>23.037391</v>
      </c>
    </row>
    <row r="1954" spans="1:17" x14ac:dyDescent="0.25">
      <c r="A1954" s="2">
        <v>2132</v>
      </c>
      <c r="B1954" s="2" t="s">
        <v>111</v>
      </c>
      <c r="C1954" s="2">
        <v>2</v>
      </c>
      <c r="D1954" s="2">
        <f t="shared" si="300"/>
        <v>5.08</v>
      </c>
      <c r="E1954" s="2">
        <f t="shared" si="301"/>
        <v>1.6170142218136567</v>
      </c>
      <c r="F1954" s="2">
        <f t="shared" si="302"/>
        <v>0.63661977236758138</v>
      </c>
      <c r="G1954" s="2">
        <v>6.8861549999999996</v>
      </c>
      <c r="H1954" s="2">
        <f t="shared" si="303"/>
        <v>22.592372770199997</v>
      </c>
      <c r="I1954" s="2">
        <f>INDEX('Wood Density Lookup'!$B$2:$B$152,MATCH(B1954,'Wood Density Lookup'!$A$2:$A$152,0))</f>
        <v>0.4</v>
      </c>
      <c r="J1954" s="2">
        <f t="shared" si="304"/>
        <v>0.46227497264203576</v>
      </c>
      <c r="K1954" s="2">
        <f t="shared" si="308"/>
        <v>0.12943699233977002</v>
      </c>
      <c r="L1954" s="2">
        <f t="shared" si="309"/>
        <v>0.59171196498180578</v>
      </c>
      <c r="M1954" s="2">
        <f t="shared" si="305"/>
        <v>0.42899117461180919</v>
      </c>
      <c r="N1954" s="2">
        <f t="shared" si="306"/>
        <v>0.21449558730590459</v>
      </c>
      <c r="O1954" s="2">
        <f t="shared" si="307"/>
        <v>0.78719880541266984</v>
      </c>
      <c r="P1954" s="2">
        <v>72.552569000000005</v>
      </c>
      <c r="Q1954" s="2">
        <v>23.037486000000001</v>
      </c>
    </row>
    <row r="1955" spans="1:17" x14ac:dyDescent="0.25">
      <c r="A1955" s="2">
        <v>2133</v>
      </c>
      <c r="B1955" s="2" t="s">
        <v>111</v>
      </c>
      <c r="C1955" s="2">
        <v>2</v>
      </c>
      <c r="D1955" s="2">
        <f t="shared" si="300"/>
        <v>5.08</v>
      </c>
      <c r="E1955" s="2">
        <f t="shared" si="301"/>
        <v>1.6170142218136567</v>
      </c>
      <c r="F1955" s="2">
        <f t="shared" si="302"/>
        <v>0.63661977236758138</v>
      </c>
      <c r="G1955" s="2">
        <v>5.5500309999999997</v>
      </c>
      <c r="H1955" s="2">
        <f t="shared" si="303"/>
        <v>18.208763706039999</v>
      </c>
      <c r="I1955" s="2">
        <f>INDEX('Wood Density Lookup'!$B$2:$B$152,MATCH(B1955,'Wood Density Lookup'!$A$2:$A$152,0))</f>
        <v>0.4</v>
      </c>
      <c r="J1955" s="2">
        <f t="shared" si="304"/>
        <v>0.3745133900521127</v>
      </c>
      <c r="K1955" s="2">
        <f t="shared" si="308"/>
        <v>0.10486374921459157</v>
      </c>
      <c r="L1955" s="2">
        <f t="shared" si="309"/>
        <v>0.47937713926670428</v>
      </c>
      <c r="M1955" s="2">
        <f t="shared" si="305"/>
        <v>0.34754842596836061</v>
      </c>
      <c r="N1955" s="2">
        <f t="shared" si="306"/>
        <v>0.1737742129841803</v>
      </c>
      <c r="O1955" s="2">
        <f t="shared" si="307"/>
        <v>0.63775136165194168</v>
      </c>
      <c r="P1955" s="2">
        <v>72.552570000000003</v>
      </c>
      <c r="Q1955" s="2">
        <v>23.037364</v>
      </c>
    </row>
    <row r="1956" spans="1:17" x14ac:dyDescent="0.25">
      <c r="A1956" s="2">
        <v>2134</v>
      </c>
      <c r="B1956" s="2" t="s">
        <v>111</v>
      </c>
      <c r="C1956" s="2">
        <v>3</v>
      </c>
      <c r="D1956" s="2">
        <f t="shared" si="300"/>
        <v>7.62</v>
      </c>
      <c r="E1956" s="2">
        <f t="shared" si="301"/>
        <v>2.4255213327204852</v>
      </c>
      <c r="F1956" s="2">
        <f t="shared" si="302"/>
        <v>0.95492965855137202</v>
      </c>
      <c r="G1956" s="2">
        <v>2.1808079999999999</v>
      </c>
      <c r="H1956" s="2">
        <f t="shared" si="303"/>
        <v>7.1548821187199998</v>
      </c>
      <c r="I1956" s="2">
        <f>INDEX('Wood Density Lookup'!$B$2:$B$152,MATCH(B1956,'Wood Density Lookup'!$A$2:$A$152,0))</f>
        <v>0.4</v>
      </c>
      <c r="J1956" s="2">
        <f t="shared" si="304"/>
        <v>0.33208998732145184</v>
      </c>
      <c r="K1956" s="2">
        <f t="shared" si="308"/>
        <v>9.2985196450006524E-2</v>
      </c>
      <c r="L1956" s="2">
        <f t="shared" si="309"/>
        <v>0.42507518377145836</v>
      </c>
      <c r="M1956" s="2">
        <f t="shared" si="305"/>
        <v>0.30817950823430729</v>
      </c>
      <c r="N1956" s="2">
        <f t="shared" si="306"/>
        <v>0.15408975411715364</v>
      </c>
      <c r="O1956" s="2">
        <f t="shared" si="307"/>
        <v>0.56550939760995389</v>
      </c>
      <c r="P1956" s="2">
        <v>72.552570000000003</v>
      </c>
      <c r="Q1956" s="2">
        <v>23.037426</v>
      </c>
    </row>
    <row r="1957" spans="1:17" x14ac:dyDescent="0.25">
      <c r="A1957" s="2">
        <v>2135</v>
      </c>
      <c r="B1957" s="2" t="s">
        <v>15</v>
      </c>
      <c r="C1957" s="2">
        <v>33</v>
      </c>
      <c r="D1957" s="2">
        <f t="shared" si="300"/>
        <v>83.820000000000007</v>
      </c>
      <c r="E1957" s="2">
        <f t="shared" si="301"/>
        <v>26.680734659925339</v>
      </c>
      <c r="F1957" s="2">
        <f t="shared" si="302"/>
        <v>10.504226244065093</v>
      </c>
      <c r="G1957" s="2">
        <v>7.4555350000000002</v>
      </c>
      <c r="H1957" s="2">
        <f t="shared" si="303"/>
        <v>24.460417449400001</v>
      </c>
      <c r="I1957" s="2">
        <f>INDEX('Wood Density Lookup'!$B$2:$B$152,MATCH(B1957,'Wood Density Lookup'!$A$2:$A$152,0))</f>
        <v>0.75</v>
      </c>
      <c r="J1957" s="2">
        <f t="shared" si="304"/>
        <v>219.55951011368813</v>
      </c>
      <c r="K1957" s="2">
        <f t="shared" si="308"/>
        <v>61.476662831832684</v>
      </c>
      <c r="L1957" s="2">
        <f t="shared" si="309"/>
        <v>281.03617294552083</v>
      </c>
      <c r="M1957" s="2">
        <f t="shared" si="305"/>
        <v>203.75122538550261</v>
      </c>
      <c r="N1957" s="2">
        <f t="shared" si="306"/>
        <v>101.8756126927513</v>
      </c>
      <c r="O1957" s="2">
        <f t="shared" si="307"/>
        <v>373.88349858239729</v>
      </c>
      <c r="P1957" s="2">
        <v>72.552571</v>
      </c>
      <c r="Q1957" s="2">
        <v>23.034690999999999</v>
      </c>
    </row>
    <row r="1958" spans="1:17" x14ac:dyDescent="0.25">
      <c r="A1958" s="2">
        <v>2136</v>
      </c>
      <c r="B1958" s="2" t="s">
        <v>111</v>
      </c>
      <c r="C1958" s="2">
        <v>1</v>
      </c>
      <c r="D1958" s="2">
        <f t="shared" si="300"/>
        <v>2.54</v>
      </c>
      <c r="E1958" s="2">
        <f t="shared" si="301"/>
        <v>0.80850711090682836</v>
      </c>
      <c r="F1958" s="2">
        <f t="shared" si="302"/>
        <v>0.31830988618379069</v>
      </c>
      <c r="G1958" s="2">
        <v>5.6738499999999998</v>
      </c>
      <c r="H1958" s="2">
        <f t="shared" si="303"/>
        <v>18.614994033999999</v>
      </c>
      <c r="I1958" s="2">
        <f>INDEX('Wood Density Lookup'!$B$2:$B$152,MATCH(B1958,'Wood Density Lookup'!$A$2:$A$152,0))</f>
        <v>0.4</v>
      </c>
      <c r="J1958" s="2">
        <f t="shared" si="304"/>
        <v>9.8902953472560631E-2</v>
      </c>
      <c r="K1958" s="2">
        <f t="shared" si="308"/>
        <v>2.7692826972316981E-2</v>
      </c>
      <c r="L1958" s="2">
        <f t="shared" si="309"/>
        <v>0.12659578044487763</v>
      </c>
      <c r="M1958" s="2">
        <f t="shared" si="305"/>
        <v>9.1781940822536281E-2</v>
      </c>
      <c r="N1958" s="2">
        <f t="shared" si="306"/>
        <v>4.5890970411268141E-2</v>
      </c>
      <c r="O1958" s="2">
        <f t="shared" si="307"/>
        <v>0.16841986140935408</v>
      </c>
      <c r="P1958" s="2">
        <v>72.552571</v>
      </c>
      <c r="Q1958" s="2">
        <v>23.037358999999999</v>
      </c>
    </row>
    <row r="1959" spans="1:17" x14ac:dyDescent="0.25">
      <c r="A1959" s="2">
        <v>2137</v>
      </c>
      <c r="B1959" s="2" t="s">
        <v>111</v>
      </c>
      <c r="C1959" s="2">
        <v>3</v>
      </c>
      <c r="D1959" s="2">
        <f t="shared" si="300"/>
        <v>7.62</v>
      </c>
      <c r="E1959" s="2">
        <f t="shared" si="301"/>
        <v>2.4255213327204852</v>
      </c>
      <c r="F1959" s="2">
        <f t="shared" si="302"/>
        <v>0.95492965855137202</v>
      </c>
      <c r="G1959" s="2">
        <v>4.5810060000000004</v>
      </c>
      <c r="H1959" s="2">
        <f t="shared" si="303"/>
        <v>15.02954772504</v>
      </c>
      <c r="I1959" s="2">
        <f>INDEX('Wood Density Lookup'!$B$2:$B$152,MATCH(B1959,'Wood Density Lookup'!$A$2:$A$152,0))</f>
        <v>0.4</v>
      </c>
      <c r="J1959" s="2">
        <f t="shared" si="304"/>
        <v>0.68527197035920751</v>
      </c>
      <c r="K1959" s="2">
        <f t="shared" si="308"/>
        <v>0.19187615170057812</v>
      </c>
      <c r="L1959" s="2">
        <f t="shared" si="309"/>
        <v>0.87714812205978565</v>
      </c>
      <c r="M1959" s="2">
        <f t="shared" si="305"/>
        <v>0.63593238849334455</v>
      </c>
      <c r="N1959" s="2">
        <f t="shared" si="306"/>
        <v>0.31796619424667227</v>
      </c>
      <c r="O1959" s="2">
        <f t="shared" si="307"/>
        <v>1.1669359328852873</v>
      </c>
      <c r="P1959" s="2">
        <v>72.552571</v>
      </c>
      <c r="Q1959" s="2">
        <v>23.037419</v>
      </c>
    </row>
    <row r="1960" spans="1:17" x14ac:dyDescent="0.25">
      <c r="A1960" s="2">
        <v>2138</v>
      </c>
      <c r="B1960" s="2" t="s">
        <v>111</v>
      </c>
      <c r="C1960" s="2">
        <v>3</v>
      </c>
      <c r="D1960" s="2">
        <f t="shared" si="300"/>
        <v>7.62</v>
      </c>
      <c r="E1960" s="2">
        <f t="shared" si="301"/>
        <v>2.4255213327204852</v>
      </c>
      <c r="F1960" s="2">
        <f t="shared" si="302"/>
        <v>0.95492965855137202</v>
      </c>
      <c r="G1960" s="2">
        <v>4.1860819999999999</v>
      </c>
      <c r="H1960" s="2">
        <f t="shared" si="303"/>
        <v>13.733865268879999</v>
      </c>
      <c r="I1960" s="2">
        <f>INDEX('Wood Density Lookup'!$B$2:$B$152,MATCH(B1960,'Wood Density Lookup'!$A$2:$A$152,0))</f>
        <v>0.4</v>
      </c>
      <c r="J1960" s="2">
        <f t="shared" si="304"/>
        <v>0.62755170539239036</v>
      </c>
      <c r="K1960" s="2">
        <f t="shared" si="308"/>
        <v>0.17571447750986932</v>
      </c>
      <c r="L1960" s="2">
        <f t="shared" si="309"/>
        <v>0.80326618290225971</v>
      </c>
      <c r="M1960" s="2">
        <f t="shared" si="305"/>
        <v>0.58236798260413825</v>
      </c>
      <c r="N1960" s="2">
        <f t="shared" si="306"/>
        <v>0.29118399130206912</v>
      </c>
      <c r="O1960" s="2">
        <f t="shared" si="307"/>
        <v>1.0686452480785937</v>
      </c>
      <c r="P1960" s="2">
        <v>72.552571999999998</v>
      </c>
      <c r="Q1960" s="2">
        <v>23.037475000000001</v>
      </c>
    </row>
    <row r="1961" spans="1:17" x14ac:dyDescent="0.25">
      <c r="A1961" s="2">
        <v>2139</v>
      </c>
      <c r="B1961" s="2" t="s">
        <v>111</v>
      </c>
      <c r="C1961" s="2">
        <v>5</v>
      </c>
      <c r="D1961" s="2">
        <f t="shared" si="300"/>
        <v>12.7</v>
      </c>
      <c r="E1961" s="2">
        <f t="shared" si="301"/>
        <v>4.0425355545341413</v>
      </c>
      <c r="F1961" s="2">
        <f t="shared" si="302"/>
        <v>1.5915494309189535</v>
      </c>
      <c r="G1961" s="2">
        <v>5.9564839999999997</v>
      </c>
      <c r="H1961" s="2">
        <f t="shared" si="303"/>
        <v>19.54227096656</v>
      </c>
      <c r="I1961" s="2">
        <f>INDEX('Wood Density Lookup'!$B$2:$B$152,MATCH(B1961,'Wood Density Lookup'!$A$2:$A$152,0))</f>
        <v>0.4</v>
      </c>
      <c r="J1961" s="2">
        <f t="shared" si="304"/>
        <v>2.399960796809824</v>
      </c>
      <c r="K1961" s="2">
        <f t="shared" si="308"/>
        <v>0.67198902310675079</v>
      </c>
      <c r="L1961" s="2">
        <f t="shared" si="309"/>
        <v>3.0719498199165747</v>
      </c>
      <c r="M1961" s="2">
        <f t="shared" si="305"/>
        <v>2.2271636194395166</v>
      </c>
      <c r="N1961" s="2">
        <f t="shared" si="306"/>
        <v>1.1135818097197583</v>
      </c>
      <c r="O1961" s="2">
        <f t="shared" si="307"/>
        <v>4.0868452416715124</v>
      </c>
      <c r="P1961" s="2">
        <v>72.552571999999998</v>
      </c>
      <c r="Q1961" s="2">
        <v>23.037398</v>
      </c>
    </row>
    <row r="1962" spans="1:17" x14ac:dyDescent="0.25">
      <c r="A1962" s="2">
        <v>2140</v>
      </c>
      <c r="B1962" s="2" t="s">
        <v>111</v>
      </c>
      <c r="C1962" s="2">
        <v>3</v>
      </c>
      <c r="D1962" s="2">
        <f t="shared" si="300"/>
        <v>7.62</v>
      </c>
      <c r="E1962" s="2">
        <f t="shared" si="301"/>
        <v>2.4255213327204852</v>
      </c>
      <c r="F1962" s="2">
        <f t="shared" si="302"/>
        <v>0.95492965855137202</v>
      </c>
      <c r="G1962" s="2">
        <v>4.0904429999999996</v>
      </c>
      <c r="H1962" s="2">
        <f t="shared" si="303"/>
        <v>13.420089012119998</v>
      </c>
      <c r="I1962" s="2">
        <f>INDEX('Wood Density Lookup'!$B$2:$B$152,MATCH(B1962,'Wood Density Lookup'!$A$2:$A$152,0))</f>
        <v>0.4</v>
      </c>
      <c r="J1962" s="2">
        <f t="shared" si="304"/>
        <v>0.613554329769324</v>
      </c>
      <c r="K1962" s="2">
        <f t="shared" si="308"/>
        <v>0.17179521233541073</v>
      </c>
      <c r="L1962" s="2">
        <f t="shared" si="309"/>
        <v>0.78534954210473473</v>
      </c>
      <c r="M1962" s="2">
        <f t="shared" si="305"/>
        <v>0.5693784180259327</v>
      </c>
      <c r="N1962" s="2">
        <f t="shared" si="306"/>
        <v>0.28468920901296635</v>
      </c>
      <c r="O1962" s="2">
        <f t="shared" si="307"/>
        <v>1.0448093970775865</v>
      </c>
      <c r="P1962" s="2">
        <v>72.552572999999995</v>
      </c>
      <c r="Q1962" s="2">
        <v>23.037413000000001</v>
      </c>
    </row>
    <row r="1963" spans="1:17" x14ac:dyDescent="0.25">
      <c r="A1963" s="2">
        <v>2141</v>
      </c>
      <c r="B1963" s="2" t="s">
        <v>31</v>
      </c>
      <c r="C1963" s="2">
        <v>8</v>
      </c>
      <c r="D1963" s="2">
        <f t="shared" si="300"/>
        <v>20.32</v>
      </c>
      <c r="E1963" s="2">
        <f t="shared" si="301"/>
        <v>6.4680568872546269</v>
      </c>
      <c r="F1963" s="2">
        <f t="shared" si="302"/>
        <v>2.5464790894703255</v>
      </c>
      <c r="G1963" s="2">
        <v>3.239446</v>
      </c>
      <c r="H1963" s="2">
        <f t="shared" si="303"/>
        <v>10.62810401464</v>
      </c>
      <c r="I1963" s="2">
        <f>INDEX('Wood Density Lookup'!$B$2:$B$152,MATCH(B1963,'Wood Density Lookup'!$A$2:$A$152,0))</f>
        <v>0.78</v>
      </c>
      <c r="J1963" s="2">
        <f t="shared" si="304"/>
        <v>6.3613510307720338</v>
      </c>
      <c r="K1963" s="2">
        <f t="shared" si="308"/>
        <v>1.7811782886161696</v>
      </c>
      <c r="L1963" s="2">
        <f t="shared" si="309"/>
        <v>8.1425293193882027</v>
      </c>
      <c r="M1963" s="2">
        <f t="shared" si="305"/>
        <v>5.9033337565564468</v>
      </c>
      <c r="N1963" s="2">
        <f t="shared" si="306"/>
        <v>2.9516668782782234</v>
      </c>
      <c r="O1963" s="2">
        <f t="shared" si="307"/>
        <v>10.83261744328108</v>
      </c>
      <c r="P1963" s="2">
        <v>72.552574000000007</v>
      </c>
      <c r="Q1963" s="2">
        <v>23.038778000000001</v>
      </c>
    </row>
    <row r="1964" spans="1:17" x14ac:dyDescent="0.25">
      <c r="A1964" s="2">
        <v>2142</v>
      </c>
      <c r="B1964" s="2" t="s">
        <v>111</v>
      </c>
      <c r="C1964" s="2">
        <v>5</v>
      </c>
      <c r="D1964" s="2">
        <f t="shared" si="300"/>
        <v>12.7</v>
      </c>
      <c r="E1964" s="2">
        <f t="shared" si="301"/>
        <v>4.0425355545341413</v>
      </c>
      <c r="F1964" s="2">
        <f t="shared" si="302"/>
        <v>1.5915494309189535</v>
      </c>
      <c r="G1964" s="2">
        <v>5.8936869999999999</v>
      </c>
      <c r="H1964" s="2">
        <f t="shared" si="303"/>
        <v>19.336244057079998</v>
      </c>
      <c r="I1964" s="2">
        <f>INDEX('Wood Density Lookup'!$B$2:$B$152,MATCH(B1964,'Wood Density Lookup'!$A$2:$A$152,0))</f>
        <v>0.4</v>
      </c>
      <c r="J1964" s="2">
        <f t="shared" si="304"/>
        <v>2.3752630109405124</v>
      </c>
      <c r="K1964" s="2">
        <f t="shared" si="308"/>
        <v>0.66507364306334349</v>
      </c>
      <c r="L1964" s="2">
        <f t="shared" si="309"/>
        <v>3.0403366540038559</v>
      </c>
      <c r="M1964" s="2">
        <f t="shared" si="305"/>
        <v>2.2042440741527956</v>
      </c>
      <c r="N1964" s="2">
        <f t="shared" si="306"/>
        <v>1.1021220370763978</v>
      </c>
      <c r="O1964" s="2">
        <f t="shared" si="307"/>
        <v>4.0447878760703802</v>
      </c>
      <c r="P1964" s="2">
        <v>72.552574000000007</v>
      </c>
      <c r="Q1964" s="2">
        <v>23.037386000000001</v>
      </c>
    </row>
    <row r="1965" spans="1:17" x14ac:dyDescent="0.25">
      <c r="A1965" s="2">
        <v>2143</v>
      </c>
      <c r="B1965" s="2" t="s">
        <v>111</v>
      </c>
      <c r="C1965" s="2">
        <v>3</v>
      </c>
      <c r="D1965" s="2">
        <f t="shared" si="300"/>
        <v>7.62</v>
      </c>
      <c r="E1965" s="2">
        <f t="shared" si="301"/>
        <v>2.4255213327204852</v>
      </c>
      <c r="F1965" s="2">
        <f t="shared" si="302"/>
        <v>0.95492965855137202</v>
      </c>
      <c r="G1965" s="2">
        <v>5.2205649999999997</v>
      </c>
      <c r="H1965" s="2">
        <f t="shared" si="303"/>
        <v>17.127838474599997</v>
      </c>
      <c r="I1965" s="2">
        <f>INDEX('Wood Density Lookup'!$B$2:$B$152,MATCH(B1965,'Wood Density Lookup'!$A$2:$A$152,0))</f>
        <v>0.4</v>
      </c>
      <c r="J1965" s="2">
        <f t="shared" si="304"/>
        <v>0.77849791823161163</v>
      </c>
      <c r="K1965" s="2">
        <f t="shared" si="308"/>
        <v>0.21797941710485128</v>
      </c>
      <c r="L1965" s="2">
        <f t="shared" si="309"/>
        <v>0.99647733533646288</v>
      </c>
      <c r="M1965" s="2">
        <f t="shared" si="305"/>
        <v>0.72244606811893552</v>
      </c>
      <c r="N1965" s="2">
        <f t="shared" si="306"/>
        <v>0.36122303405946776</v>
      </c>
      <c r="O1965" s="2">
        <f t="shared" si="307"/>
        <v>1.3256885349982466</v>
      </c>
      <c r="P1965" s="2">
        <v>72.552575000000004</v>
      </c>
      <c r="Q1965" s="2">
        <v>23.037348000000001</v>
      </c>
    </row>
    <row r="1966" spans="1:17" x14ac:dyDescent="0.25">
      <c r="A1966" s="2">
        <v>2144</v>
      </c>
      <c r="B1966" s="2" t="s">
        <v>15</v>
      </c>
      <c r="C1966" s="2">
        <v>8</v>
      </c>
      <c r="D1966" s="2">
        <f t="shared" si="300"/>
        <v>20.32</v>
      </c>
      <c r="E1966" s="2">
        <f t="shared" si="301"/>
        <v>6.4680568872546269</v>
      </c>
      <c r="F1966" s="2">
        <f t="shared" si="302"/>
        <v>2.5464790894703255</v>
      </c>
      <c r="G1966" s="2">
        <v>5.4959559999999996</v>
      </c>
      <c r="H1966" s="2">
        <f t="shared" si="303"/>
        <v>18.03135228304</v>
      </c>
      <c r="I1966" s="2">
        <f>INDEX('Wood Density Lookup'!$B$2:$B$152,MATCH(B1966,'Wood Density Lookup'!$A$2:$A$152,0))</f>
        <v>0.75</v>
      </c>
      <c r="J1966" s="2">
        <f t="shared" si="304"/>
        <v>10.256226055169204</v>
      </c>
      <c r="K1966" s="2">
        <f t="shared" si="308"/>
        <v>2.8717432954473776</v>
      </c>
      <c r="L1966" s="2">
        <f t="shared" si="309"/>
        <v>13.127969350616581</v>
      </c>
      <c r="M1966" s="2">
        <f t="shared" si="305"/>
        <v>9.5177777791970204</v>
      </c>
      <c r="N1966" s="2">
        <f t="shared" si="306"/>
        <v>4.7588888895985102</v>
      </c>
      <c r="O1966" s="2">
        <f t="shared" si="307"/>
        <v>17.465122224826533</v>
      </c>
      <c r="P1966" s="2">
        <v>72.552576000000002</v>
      </c>
      <c r="Q1966" s="2">
        <v>23.038139000000001</v>
      </c>
    </row>
    <row r="1967" spans="1:17" x14ac:dyDescent="0.25">
      <c r="A1967" s="2">
        <v>2145</v>
      </c>
      <c r="B1967" s="2" t="s">
        <v>111</v>
      </c>
      <c r="C1967" s="2">
        <v>2</v>
      </c>
      <c r="D1967" s="2">
        <f t="shared" si="300"/>
        <v>5.08</v>
      </c>
      <c r="E1967" s="2">
        <f t="shared" si="301"/>
        <v>1.6170142218136567</v>
      </c>
      <c r="F1967" s="2">
        <f t="shared" si="302"/>
        <v>0.63661977236758138</v>
      </c>
      <c r="G1967" s="2">
        <v>5.6903899999999998</v>
      </c>
      <c r="H1967" s="2">
        <f t="shared" si="303"/>
        <v>18.6692591276</v>
      </c>
      <c r="I1967" s="2">
        <f>INDEX('Wood Density Lookup'!$B$2:$B$152,MATCH(B1967,'Wood Density Lookup'!$A$2:$A$152,0))</f>
        <v>0.4</v>
      </c>
      <c r="J1967" s="2">
        <f t="shared" si="304"/>
        <v>0.38375465303006689</v>
      </c>
      <c r="K1967" s="2">
        <f t="shared" si="308"/>
        <v>0.10745130284841874</v>
      </c>
      <c r="L1967" s="2">
        <f t="shared" si="309"/>
        <v>0.49120595587848565</v>
      </c>
      <c r="M1967" s="2">
        <f t="shared" si="305"/>
        <v>0.35612431801190209</v>
      </c>
      <c r="N1967" s="2">
        <f t="shared" si="306"/>
        <v>0.17806215900595104</v>
      </c>
      <c r="O1967" s="2">
        <f t="shared" si="307"/>
        <v>0.65348812355184027</v>
      </c>
      <c r="P1967" s="2">
        <v>72.552576000000002</v>
      </c>
      <c r="Q1967" s="2">
        <v>23.037372000000001</v>
      </c>
    </row>
    <row r="1968" spans="1:17" x14ac:dyDescent="0.25">
      <c r="A1968" s="2">
        <v>2146</v>
      </c>
      <c r="B1968" s="2" t="s">
        <v>111</v>
      </c>
      <c r="C1968" s="2">
        <v>5</v>
      </c>
      <c r="D1968" s="2">
        <f t="shared" si="300"/>
        <v>12.7</v>
      </c>
      <c r="E1968" s="2">
        <f t="shared" si="301"/>
        <v>4.0425355545341413</v>
      </c>
      <c r="F1968" s="2">
        <f t="shared" si="302"/>
        <v>1.5915494309189535</v>
      </c>
      <c r="G1968" s="2">
        <v>5.8667400000000001</v>
      </c>
      <c r="H1968" s="2">
        <f t="shared" si="303"/>
        <v>19.247835261599999</v>
      </c>
      <c r="I1968" s="2">
        <f>INDEX('Wood Density Lookup'!$B$2:$B$152,MATCH(B1968,'Wood Density Lookup'!$A$2:$A$152,0))</f>
        <v>0.4</v>
      </c>
      <c r="J1968" s="2">
        <f t="shared" si="304"/>
        <v>2.3646629407105313</v>
      </c>
      <c r="K1968" s="2">
        <f t="shared" si="308"/>
        <v>0.66210562339894885</v>
      </c>
      <c r="L1968" s="2">
        <f t="shared" si="309"/>
        <v>3.0267685641094801</v>
      </c>
      <c r="M1968" s="2">
        <f t="shared" si="305"/>
        <v>2.1944072089793729</v>
      </c>
      <c r="N1968" s="2">
        <f t="shared" si="306"/>
        <v>1.0972036044896865</v>
      </c>
      <c r="O1968" s="2">
        <f t="shared" si="307"/>
        <v>4.026737228477149</v>
      </c>
      <c r="P1968" s="2">
        <v>72.552576000000002</v>
      </c>
      <c r="Q1968" s="2">
        <v>23.037379999999999</v>
      </c>
    </row>
    <row r="1969" spans="1:17" x14ac:dyDescent="0.25">
      <c r="A1969" s="2">
        <v>2147</v>
      </c>
      <c r="B1969" s="2" t="s">
        <v>111</v>
      </c>
      <c r="C1969" s="2">
        <v>2</v>
      </c>
      <c r="D1969" s="2">
        <f t="shared" si="300"/>
        <v>5.08</v>
      </c>
      <c r="E1969" s="2">
        <f t="shared" si="301"/>
        <v>1.6170142218136567</v>
      </c>
      <c r="F1969" s="2">
        <f t="shared" si="302"/>
        <v>0.63661977236758138</v>
      </c>
      <c r="G1969" s="2">
        <v>5.1549180000000003</v>
      </c>
      <c r="H1969" s="2">
        <f t="shared" si="303"/>
        <v>16.91246117112</v>
      </c>
      <c r="I1969" s="2">
        <f>INDEX('Wood Density Lookup'!$B$2:$B$152,MATCH(B1969,'Wood Density Lookup'!$A$2:$A$152,0))</f>
        <v>0.4</v>
      </c>
      <c r="J1969" s="2">
        <f t="shared" si="304"/>
        <v>0.34846845485658356</v>
      </c>
      <c r="K1969" s="2">
        <f t="shared" si="308"/>
        <v>9.7571167359843405E-2</v>
      </c>
      <c r="L1969" s="2">
        <f t="shared" si="309"/>
        <v>0.44603962221642696</v>
      </c>
      <c r="M1969" s="2">
        <f t="shared" si="305"/>
        <v>0.32337872610690954</v>
      </c>
      <c r="N1969" s="2">
        <f t="shared" si="306"/>
        <v>0.16168936305345477</v>
      </c>
      <c r="O1969" s="2">
        <f t="shared" si="307"/>
        <v>0.59339996240617898</v>
      </c>
      <c r="P1969" s="2">
        <v>72.552576000000002</v>
      </c>
      <c r="Q1969" s="2">
        <v>23.037405</v>
      </c>
    </row>
    <row r="1970" spans="1:17" x14ac:dyDescent="0.25">
      <c r="A1970" s="2">
        <v>2148</v>
      </c>
      <c r="B1970" s="2" t="s">
        <v>15</v>
      </c>
      <c r="C1970" s="2">
        <v>22</v>
      </c>
      <c r="D1970" s="2">
        <f t="shared" si="300"/>
        <v>55.88</v>
      </c>
      <c r="E1970" s="2">
        <f t="shared" si="301"/>
        <v>17.787156439950223</v>
      </c>
      <c r="F1970" s="2">
        <f t="shared" si="302"/>
        <v>7.0028174960433951</v>
      </c>
      <c r="G1970" s="2">
        <v>9.4987560000000002</v>
      </c>
      <c r="H1970" s="2">
        <f t="shared" si="303"/>
        <v>31.163898635039999</v>
      </c>
      <c r="I1970" s="2">
        <f>INDEX('Wood Density Lookup'!$B$2:$B$152,MATCH(B1970,'Wood Density Lookup'!$A$2:$A$152,0))</f>
        <v>0.75</v>
      </c>
      <c r="J1970" s="2">
        <f t="shared" si="304"/>
        <v>126.03336271365414</v>
      </c>
      <c r="K1970" s="2">
        <f t="shared" si="308"/>
        <v>35.289341559823164</v>
      </c>
      <c r="L1970" s="2">
        <f t="shared" si="309"/>
        <v>161.32270427347731</v>
      </c>
      <c r="M1970" s="2">
        <f t="shared" si="305"/>
        <v>116.95896059827105</v>
      </c>
      <c r="N1970" s="2">
        <f t="shared" si="306"/>
        <v>58.479480299135524</v>
      </c>
      <c r="O1970" s="2">
        <f t="shared" si="307"/>
        <v>214.61969269782736</v>
      </c>
      <c r="P1970" s="2">
        <v>72.552576999999999</v>
      </c>
      <c r="Q1970" s="2">
        <v>23.035793000000002</v>
      </c>
    </row>
    <row r="1971" spans="1:17" x14ac:dyDescent="0.25">
      <c r="A1971" s="2">
        <v>2149</v>
      </c>
      <c r="B1971" s="2" t="s">
        <v>57</v>
      </c>
      <c r="C1971" s="2">
        <v>28</v>
      </c>
      <c r="D1971" s="2">
        <f t="shared" si="300"/>
        <v>71.12</v>
      </c>
      <c r="E1971" s="2">
        <f t="shared" si="301"/>
        <v>22.638199105391195</v>
      </c>
      <c r="F1971" s="2">
        <f t="shared" si="302"/>
        <v>8.91267681314614</v>
      </c>
      <c r="G1971" s="2">
        <v>8.7160840000000004</v>
      </c>
      <c r="H1971" s="2">
        <f t="shared" si="303"/>
        <v>28.59607703056</v>
      </c>
      <c r="I1971" s="2">
        <f>INDEX('Wood Density Lookup'!$B$2:$B$152,MATCH(B1971,'Wood Density Lookup'!$A$2:$A$152,0))</f>
        <v>0.6</v>
      </c>
      <c r="J1971" s="2">
        <f t="shared" si="304"/>
        <v>149.24360069006534</v>
      </c>
      <c r="K1971" s="2">
        <f t="shared" si="308"/>
        <v>41.788208193218296</v>
      </c>
      <c r="L1971" s="2">
        <f t="shared" si="309"/>
        <v>191.03180888328365</v>
      </c>
      <c r="M1971" s="2">
        <f t="shared" si="305"/>
        <v>138.49806144038064</v>
      </c>
      <c r="N1971" s="2">
        <f t="shared" si="306"/>
        <v>69.249030720190319</v>
      </c>
      <c r="O1971" s="2">
        <f t="shared" si="307"/>
        <v>254.14394274309848</v>
      </c>
      <c r="P1971" s="2">
        <v>72.552576999999999</v>
      </c>
      <c r="Q1971" s="2">
        <v>23.034894999999999</v>
      </c>
    </row>
    <row r="1972" spans="1:17" x14ac:dyDescent="0.25">
      <c r="A1972" s="2">
        <v>2150</v>
      </c>
      <c r="B1972" s="2" t="s">
        <v>129</v>
      </c>
      <c r="C1972" s="2">
        <v>6</v>
      </c>
      <c r="D1972" s="2">
        <f t="shared" si="300"/>
        <v>15.24</v>
      </c>
      <c r="E1972" s="2">
        <f t="shared" si="301"/>
        <v>4.8510426654409704</v>
      </c>
      <c r="F1972" s="2">
        <f t="shared" si="302"/>
        <v>1.909859317102744</v>
      </c>
      <c r="G1972" s="2">
        <v>1.051809</v>
      </c>
      <c r="H1972" s="2">
        <f t="shared" si="303"/>
        <v>3.45081703956</v>
      </c>
      <c r="I1972" s="2">
        <f>INDEX('Wood Density Lookup'!$B$2:$B$152,MATCH(B1972,'Wood Density Lookup'!$A$2:$A$152,0))</f>
        <v>0.4</v>
      </c>
      <c r="J1972" s="2">
        <f t="shared" si="304"/>
        <v>0.630646685121663</v>
      </c>
      <c r="K1972" s="2">
        <f t="shared" si="308"/>
        <v>0.17658107183406566</v>
      </c>
      <c r="L1972" s="2">
        <f t="shared" si="309"/>
        <v>0.80722775695572868</v>
      </c>
      <c r="M1972" s="2">
        <f t="shared" si="305"/>
        <v>0.58524012379290324</v>
      </c>
      <c r="N1972" s="2">
        <f t="shared" si="306"/>
        <v>0.29262006189645162</v>
      </c>
      <c r="O1972" s="2">
        <f t="shared" si="307"/>
        <v>1.0739156271599775</v>
      </c>
      <c r="P1972" s="2">
        <v>72.552578999999994</v>
      </c>
      <c r="Q1972" s="2">
        <v>23.038207</v>
      </c>
    </row>
    <row r="1973" spans="1:17" x14ac:dyDescent="0.25">
      <c r="A1973" s="2">
        <v>2151</v>
      </c>
      <c r="B1973" s="2" t="s">
        <v>15</v>
      </c>
      <c r="C1973" s="2">
        <v>57</v>
      </c>
      <c r="D1973" s="2">
        <f t="shared" si="300"/>
        <v>144.78</v>
      </c>
      <c r="E1973" s="2">
        <f t="shared" si="301"/>
        <v>46.084905321689213</v>
      </c>
      <c r="F1973" s="2">
        <f t="shared" si="302"/>
        <v>18.143663512476071</v>
      </c>
      <c r="G1973" s="2">
        <v>15.940338000000001</v>
      </c>
      <c r="H1973" s="2">
        <f t="shared" si="303"/>
        <v>52.297698523920005</v>
      </c>
      <c r="I1973" s="2">
        <f>INDEX('Wood Density Lookup'!$B$2:$B$152,MATCH(B1973,'Wood Density Lookup'!$A$2:$A$152,0))</f>
        <v>0.75</v>
      </c>
      <c r="J1973" s="2">
        <f t="shared" si="304"/>
        <v>1339.6119846945783</v>
      </c>
      <c r="K1973" s="2">
        <f t="shared" si="308"/>
        <v>375.09135571448195</v>
      </c>
      <c r="L1973" s="2">
        <f t="shared" si="309"/>
        <v>1714.7033404090603</v>
      </c>
      <c r="M1973" s="2">
        <f t="shared" si="305"/>
        <v>1243.1599217965686</v>
      </c>
      <c r="N1973" s="2">
        <f t="shared" si="306"/>
        <v>621.5799608982843</v>
      </c>
      <c r="O1973" s="2">
        <f t="shared" si="307"/>
        <v>2281.1984564967033</v>
      </c>
      <c r="P1973" s="2">
        <v>72.552578999999994</v>
      </c>
      <c r="Q1973" s="2">
        <v>23.035346000000001</v>
      </c>
    </row>
    <row r="1974" spans="1:17" x14ac:dyDescent="0.25">
      <c r="A1974" s="2">
        <v>2152</v>
      </c>
      <c r="B1974" s="2" t="s">
        <v>111</v>
      </c>
      <c r="C1974" s="2">
        <v>3</v>
      </c>
      <c r="D1974" s="2">
        <f t="shared" si="300"/>
        <v>7.62</v>
      </c>
      <c r="E1974" s="2">
        <f t="shared" si="301"/>
        <v>2.4255213327204852</v>
      </c>
      <c r="F1974" s="2">
        <f t="shared" si="302"/>
        <v>0.95492965855137202</v>
      </c>
      <c r="G1974" s="2">
        <v>5.2892580000000002</v>
      </c>
      <c r="H1974" s="2">
        <f t="shared" si="303"/>
        <v>17.35320921672</v>
      </c>
      <c r="I1974" s="2">
        <f>INDEX('Wood Density Lookup'!$B$2:$B$152,MATCH(B1974,'Wood Density Lookup'!$A$2:$A$152,0))</f>
        <v>0.4</v>
      </c>
      <c r="J1974" s="2">
        <f t="shared" si="304"/>
        <v>0.7884940961131478</v>
      </c>
      <c r="K1974" s="2">
        <f t="shared" si="308"/>
        <v>0.22077834691168141</v>
      </c>
      <c r="L1974" s="2">
        <f t="shared" si="309"/>
        <v>1.0092724430248292</v>
      </c>
      <c r="M1974" s="2">
        <f t="shared" si="305"/>
        <v>0.73172252119300119</v>
      </c>
      <c r="N1974" s="2">
        <f t="shared" si="306"/>
        <v>0.36586126059650059</v>
      </c>
      <c r="O1974" s="2">
        <f t="shared" si="307"/>
        <v>1.3427108263891572</v>
      </c>
      <c r="P1974" s="2">
        <v>72.552578999999994</v>
      </c>
      <c r="Q1974" s="2">
        <v>23.037338999999999</v>
      </c>
    </row>
    <row r="1975" spans="1:17" x14ac:dyDescent="0.25">
      <c r="A1975" s="2">
        <v>2153</v>
      </c>
      <c r="B1975" s="2" t="s">
        <v>111</v>
      </c>
      <c r="C1975" s="2">
        <v>4</v>
      </c>
      <c r="D1975" s="2">
        <f t="shared" si="300"/>
        <v>10.16</v>
      </c>
      <c r="E1975" s="2">
        <f t="shared" si="301"/>
        <v>3.2340284436273135</v>
      </c>
      <c r="F1975" s="2">
        <f t="shared" si="302"/>
        <v>1.2732395447351628</v>
      </c>
      <c r="G1975" s="2">
        <v>5.5260509999999998</v>
      </c>
      <c r="H1975" s="2">
        <f t="shared" si="303"/>
        <v>18.130089162840001</v>
      </c>
      <c r="I1975" s="2">
        <f>INDEX('Wood Density Lookup'!$B$2:$B$152,MATCH(B1975,'Wood Density Lookup'!$A$2:$A$152,0))</f>
        <v>0.4</v>
      </c>
      <c r="J1975" s="2">
        <f t="shared" si="304"/>
        <v>1.4429208652954648</v>
      </c>
      <c r="K1975" s="2">
        <f t="shared" si="308"/>
        <v>0.40401784228273019</v>
      </c>
      <c r="L1975" s="2">
        <f t="shared" si="309"/>
        <v>1.8469387075781949</v>
      </c>
      <c r="M1975" s="2">
        <f t="shared" si="305"/>
        <v>1.3390305629941912</v>
      </c>
      <c r="N1975" s="2">
        <f t="shared" si="306"/>
        <v>0.6695152814970956</v>
      </c>
      <c r="O1975" s="2">
        <f t="shared" si="307"/>
        <v>2.4571210830943406</v>
      </c>
      <c r="P1975" s="2">
        <v>72.552578999999994</v>
      </c>
      <c r="Q1975" s="2">
        <v>23.037364</v>
      </c>
    </row>
    <row r="1976" spans="1:17" x14ac:dyDescent="0.25">
      <c r="A1976" s="2">
        <v>2154</v>
      </c>
      <c r="B1976" s="2" t="s">
        <v>17</v>
      </c>
      <c r="C1976" s="2">
        <v>20</v>
      </c>
      <c r="D1976" s="2">
        <f t="shared" si="300"/>
        <v>50.8</v>
      </c>
      <c r="E1976" s="2">
        <f t="shared" si="301"/>
        <v>16.170142218136565</v>
      </c>
      <c r="F1976" s="2">
        <f t="shared" si="302"/>
        <v>6.366197723675814</v>
      </c>
      <c r="G1976" s="2">
        <v>5.4562400000000002</v>
      </c>
      <c r="H1976" s="2">
        <f t="shared" si="303"/>
        <v>17.901050441599999</v>
      </c>
      <c r="I1976" s="2">
        <f>INDEX('Wood Density Lookup'!$B$2:$B$152,MATCH(B1976,'Wood Density Lookup'!$A$2:$A$152,0))</f>
        <v>0.75</v>
      </c>
      <c r="J1976" s="2">
        <f t="shared" si="304"/>
        <v>60.910518171690967</v>
      </c>
      <c r="K1976" s="2">
        <f t="shared" si="308"/>
        <v>17.054945088073474</v>
      </c>
      <c r="L1976" s="2">
        <f t="shared" si="309"/>
        <v>77.965463259764448</v>
      </c>
      <c r="M1976" s="2">
        <f t="shared" si="305"/>
        <v>56.52496086332922</v>
      </c>
      <c r="N1976" s="2">
        <f t="shared" si="306"/>
        <v>28.26248043166461</v>
      </c>
      <c r="O1976" s="2">
        <f t="shared" si="307"/>
        <v>103.72330318420912</v>
      </c>
      <c r="P1976" s="2">
        <v>72.552581000000004</v>
      </c>
      <c r="Q1976" s="2">
        <v>23.037395</v>
      </c>
    </row>
    <row r="1977" spans="1:17" x14ac:dyDescent="0.25">
      <c r="A1977" s="2">
        <v>2155</v>
      </c>
      <c r="B1977" s="2" t="s">
        <v>111</v>
      </c>
      <c r="C1977" s="2">
        <v>3</v>
      </c>
      <c r="D1977" s="2">
        <f t="shared" si="300"/>
        <v>7.62</v>
      </c>
      <c r="E1977" s="2">
        <f t="shared" si="301"/>
        <v>2.4255213327204852</v>
      </c>
      <c r="F1977" s="2">
        <f t="shared" si="302"/>
        <v>0.95492965855137202</v>
      </c>
      <c r="G1977" s="2">
        <v>5.620641</v>
      </c>
      <c r="H1977" s="2">
        <f t="shared" si="303"/>
        <v>18.440423818439999</v>
      </c>
      <c r="I1977" s="2">
        <f>INDEX('Wood Density Lookup'!$B$2:$B$152,MATCH(B1977,'Wood Density Lookup'!$A$2:$A$152,0))</f>
        <v>0.4</v>
      </c>
      <c r="J1977" s="2">
        <f t="shared" si="304"/>
        <v>0.83667377213389771</v>
      </c>
      <c r="K1977" s="2">
        <f t="shared" si="308"/>
        <v>0.23426865619749138</v>
      </c>
      <c r="L1977" s="2">
        <f t="shared" si="309"/>
        <v>1.0709424283313891</v>
      </c>
      <c r="M1977" s="2">
        <f t="shared" si="305"/>
        <v>0.77643326054025708</v>
      </c>
      <c r="N1977" s="2">
        <f t="shared" si="306"/>
        <v>0.38821663027012854</v>
      </c>
      <c r="O1977" s="2">
        <f t="shared" si="307"/>
        <v>1.4247550330913716</v>
      </c>
      <c r="P1977" s="2">
        <v>72.552581000000004</v>
      </c>
      <c r="Q1977" s="2">
        <v>23.037375000000001</v>
      </c>
    </row>
    <row r="1978" spans="1:17" x14ac:dyDescent="0.25">
      <c r="A1978" s="2">
        <v>2156</v>
      </c>
      <c r="B1978" s="2" t="s">
        <v>111</v>
      </c>
      <c r="C1978" s="2">
        <v>2</v>
      </c>
      <c r="D1978" s="2">
        <f t="shared" si="300"/>
        <v>5.08</v>
      </c>
      <c r="E1978" s="2">
        <f t="shared" si="301"/>
        <v>1.6170142218136567</v>
      </c>
      <c r="F1978" s="2">
        <f t="shared" si="302"/>
        <v>0.63661977236758138</v>
      </c>
      <c r="G1978" s="2">
        <v>5.8310769999999996</v>
      </c>
      <c r="H1978" s="2">
        <f t="shared" si="303"/>
        <v>19.130830664679998</v>
      </c>
      <c r="I1978" s="2">
        <f>INDEX('Wood Density Lookup'!$B$2:$B$152,MATCH(B1978,'Wood Density Lookup'!$A$2:$A$152,0))</f>
        <v>0.4</v>
      </c>
      <c r="J1978" s="2">
        <f t="shared" si="304"/>
        <v>0.39301202289302112</v>
      </c>
      <c r="K1978" s="2">
        <f t="shared" si="308"/>
        <v>0.11004336641004592</v>
      </c>
      <c r="L1978" s="2">
        <f t="shared" si="309"/>
        <v>0.50305538930306704</v>
      </c>
      <c r="M1978" s="2">
        <f t="shared" si="305"/>
        <v>0.36471515724472359</v>
      </c>
      <c r="N1978" s="2">
        <f t="shared" si="306"/>
        <v>0.18235757862236179</v>
      </c>
      <c r="O1978" s="2">
        <f t="shared" si="307"/>
        <v>0.66925231354406778</v>
      </c>
      <c r="P1978" s="2">
        <v>72.552581000000004</v>
      </c>
      <c r="Q1978" s="2">
        <v>23.037383999999999</v>
      </c>
    </row>
    <row r="1979" spans="1:17" x14ac:dyDescent="0.25">
      <c r="A1979" s="2">
        <v>2157</v>
      </c>
      <c r="B1979" s="2" t="s">
        <v>149</v>
      </c>
      <c r="C1979" s="2">
        <v>2</v>
      </c>
      <c r="D1979" s="2">
        <f t="shared" si="300"/>
        <v>5.08</v>
      </c>
      <c r="E1979" s="2">
        <f t="shared" si="301"/>
        <v>1.6170142218136567</v>
      </c>
      <c r="F1979" s="2">
        <f t="shared" si="302"/>
        <v>0.63661977236758138</v>
      </c>
      <c r="G1979" s="2">
        <v>4.5446590000000002</v>
      </c>
      <c r="H1979" s="2">
        <f t="shared" si="303"/>
        <v>14.910299033560001</v>
      </c>
      <c r="I1979" s="2">
        <f>INDEX('Wood Density Lookup'!$B$2:$B$152,MATCH(B1979,'Wood Density Lookup'!$A$2:$A$152,0))</f>
        <v>0.45</v>
      </c>
      <c r="J1979" s="2">
        <f t="shared" si="304"/>
        <v>0.34568550034538109</v>
      </c>
      <c r="K1979" s="2">
        <f t="shared" si="308"/>
        <v>9.6791940096706719E-2</v>
      </c>
      <c r="L1979" s="2">
        <f t="shared" si="309"/>
        <v>0.44247744044208781</v>
      </c>
      <c r="M1979" s="2">
        <f t="shared" si="305"/>
        <v>0.32079614432051368</v>
      </c>
      <c r="N1979" s="2">
        <f t="shared" si="306"/>
        <v>0.16039807216025684</v>
      </c>
      <c r="O1979" s="2">
        <f t="shared" si="307"/>
        <v>0.58866092482814258</v>
      </c>
      <c r="P1979" s="2">
        <v>72.552581000000004</v>
      </c>
      <c r="Q1979" s="2">
        <v>23.038107</v>
      </c>
    </row>
    <row r="1980" spans="1:17" x14ac:dyDescent="0.25">
      <c r="A1980" s="2">
        <v>2158</v>
      </c>
      <c r="B1980" s="2" t="s">
        <v>111</v>
      </c>
      <c r="C1980" s="2">
        <v>3</v>
      </c>
      <c r="D1980" s="2">
        <f t="shared" si="300"/>
        <v>7.62</v>
      </c>
      <c r="E1980" s="2">
        <f t="shared" si="301"/>
        <v>2.4255213327204852</v>
      </c>
      <c r="F1980" s="2">
        <f t="shared" si="302"/>
        <v>0.95492965855137202</v>
      </c>
      <c r="G1980" s="2">
        <v>5.1153870000000001</v>
      </c>
      <c r="H1980" s="2">
        <f t="shared" si="303"/>
        <v>16.782766285080001</v>
      </c>
      <c r="I1980" s="2">
        <f>INDEX('Wood Density Lookup'!$B$2:$B$152,MATCH(B1980,'Wood Density Lookup'!$A$2:$A$152,0))</f>
        <v>0.4</v>
      </c>
      <c r="J1980" s="2">
        <f t="shared" si="304"/>
        <v>0.76318632487121318</v>
      </c>
      <c r="K1980" s="2">
        <f t="shared" si="308"/>
        <v>0.21369217096393972</v>
      </c>
      <c r="L1980" s="2">
        <f t="shared" si="309"/>
        <v>0.97687849583515285</v>
      </c>
      <c r="M1980" s="2">
        <f t="shared" si="305"/>
        <v>0.70823690948048579</v>
      </c>
      <c r="N1980" s="2">
        <f t="shared" si="306"/>
        <v>0.35411845474024289</v>
      </c>
      <c r="O1980" s="2">
        <f t="shared" si="307"/>
        <v>1.2996147288966915</v>
      </c>
      <c r="P1980" s="2">
        <v>72.552582000000001</v>
      </c>
      <c r="Q1980" s="2">
        <v>23.037330000000001</v>
      </c>
    </row>
    <row r="1981" spans="1:17" x14ac:dyDescent="0.25">
      <c r="A1981" s="2">
        <v>2159</v>
      </c>
      <c r="B1981" s="2" t="s">
        <v>111</v>
      </c>
      <c r="C1981" s="2">
        <v>2</v>
      </c>
      <c r="D1981" s="2">
        <f t="shared" si="300"/>
        <v>5.08</v>
      </c>
      <c r="E1981" s="2">
        <f t="shared" si="301"/>
        <v>1.6170142218136567</v>
      </c>
      <c r="F1981" s="2">
        <f t="shared" si="302"/>
        <v>0.63661977236758138</v>
      </c>
      <c r="G1981" s="2">
        <v>4.8122850000000001</v>
      </c>
      <c r="H1981" s="2">
        <f t="shared" si="303"/>
        <v>15.7883371194</v>
      </c>
      <c r="I1981" s="2">
        <f>INDEX('Wood Density Lookup'!$B$2:$B$152,MATCH(B1981,'Wood Density Lookup'!$A$2:$A$152,0))</f>
        <v>0.4</v>
      </c>
      <c r="J1981" s="2">
        <f t="shared" si="304"/>
        <v>0.32584415747774331</v>
      </c>
      <c r="K1981" s="2">
        <f t="shared" si="308"/>
        <v>9.1236364093768132E-2</v>
      </c>
      <c r="L1981" s="2">
        <f t="shared" si="309"/>
        <v>0.41708052157151143</v>
      </c>
      <c r="M1981" s="2">
        <f t="shared" si="305"/>
        <v>0.30238337813934579</v>
      </c>
      <c r="N1981" s="2">
        <f t="shared" si="306"/>
        <v>0.1511916890696729</v>
      </c>
      <c r="O1981" s="2">
        <f t="shared" si="307"/>
        <v>0.55487349888569948</v>
      </c>
      <c r="P1981" s="2">
        <v>72.552582000000001</v>
      </c>
      <c r="Q1981" s="2">
        <v>23.037324999999999</v>
      </c>
    </row>
    <row r="1982" spans="1:17" x14ac:dyDescent="0.25">
      <c r="A1982" s="2">
        <v>2160</v>
      </c>
      <c r="B1982" s="2" t="s">
        <v>111</v>
      </c>
      <c r="C1982" s="2">
        <v>4</v>
      </c>
      <c r="D1982" s="2">
        <f t="shared" si="300"/>
        <v>10.16</v>
      </c>
      <c r="E1982" s="2">
        <f t="shared" si="301"/>
        <v>3.2340284436273135</v>
      </c>
      <c r="F1982" s="2">
        <f t="shared" si="302"/>
        <v>1.2732395447351628</v>
      </c>
      <c r="G1982" s="2">
        <v>5.2005109999999997</v>
      </c>
      <c r="H1982" s="2">
        <f t="shared" si="303"/>
        <v>17.06204450924</v>
      </c>
      <c r="I1982" s="2">
        <f>INDEX('Wood Density Lookup'!$B$2:$B$152,MATCH(B1982,'Wood Density Lookup'!$A$2:$A$152,0))</f>
        <v>0.4</v>
      </c>
      <c r="J1982" s="2">
        <f t="shared" si="304"/>
        <v>1.3598985071791687</v>
      </c>
      <c r="K1982" s="2">
        <f t="shared" si="308"/>
        <v>0.38077158201016725</v>
      </c>
      <c r="L1982" s="2">
        <f t="shared" si="309"/>
        <v>1.7406700891893361</v>
      </c>
      <c r="M1982" s="2">
        <f t="shared" si="305"/>
        <v>1.2619858146622687</v>
      </c>
      <c r="N1982" s="2">
        <f t="shared" si="306"/>
        <v>0.63099290733113433</v>
      </c>
      <c r="O1982" s="2">
        <f t="shared" si="307"/>
        <v>2.3157439699052631</v>
      </c>
      <c r="P1982" s="2">
        <v>72.552582000000001</v>
      </c>
      <c r="Q1982" s="2">
        <v>23.037355000000002</v>
      </c>
    </row>
    <row r="1983" spans="1:17" x14ac:dyDescent="0.25">
      <c r="A1983" s="2">
        <v>2161</v>
      </c>
      <c r="B1983" s="2" t="s">
        <v>8</v>
      </c>
      <c r="C1983" s="2">
        <v>2</v>
      </c>
      <c r="D1983" s="2">
        <f t="shared" si="300"/>
        <v>5.08</v>
      </c>
      <c r="E1983" s="2">
        <f t="shared" si="301"/>
        <v>1.6170142218136567</v>
      </c>
      <c r="F1983" s="2">
        <f t="shared" si="302"/>
        <v>0.63661977236758138</v>
      </c>
      <c r="G1983" s="2">
        <v>4.4227850000000002</v>
      </c>
      <c r="H1983" s="2">
        <f t="shared" si="303"/>
        <v>14.510449939400001</v>
      </c>
      <c r="I1983" s="2">
        <f>INDEX('Wood Density Lookup'!$B$2:$B$152,MATCH(B1983,'Wood Density Lookup'!$A$2:$A$152,0))</f>
        <v>0.75</v>
      </c>
      <c r="J1983" s="2">
        <f t="shared" si="304"/>
        <v>0.55422153940323748</v>
      </c>
      <c r="K1983" s="2">
        <f t="shared" si="308"/>
        <v>0.15518203103290651</v>
      </c>
      <c r="L1983" s="2">
        <f t="shared" si="309"/>
        <v>0.70940357043614399</v>
      </c>
      <c r="M1983" s="2">
        <f t="shared" si="305"/>
        <v>0.51431758856620435</v>
      </c>
      <c r="N1983" s="2">
        <f t="shared" si="306"/>
        <v>0.25715879428310218</v>
      </c>
      <c r="O1983" s="2">
        <f t="shared" si="307"/>
        <v>0.94377277501898493</v>
      </c>
      <c r="P1983" s="2">
        <v>72.552582000000001</v>
      </c>
      <c r="Q1983" s="2">
        <v>23.038080999999998</v>
      </c>
    </row>
    <row r="1984" spans="1:17" x14ac:dyDescent="0.25">
      <c r="A1984" s="2">
        <v>2162</v>
      </c>
      <c r="B1984" s="2" t="s">
        <v>50</v>
      </c>
      <c r="C1984" s="2">
        <v>27</v>
      </c>
      <c r="D1984" s="2">
        <f t="shared" si="300"/>
        <v>68.58</v>
      </c>
      <c r="E1984" s="2">
        <f t="shared" si="301"/>
        <v>21.829691994484364</v>
      </c>
      <c r="F1984" s="2">
        <f t="shared" si="302"/>
        <v>8.5943669269623477</v>
      </c>
      <c r="G1984" s="2">
        <v>10.226004</v>
      </c>
      <c r="H1984" s="2">
        <f t="shared" si="303"/>
        <v>33.549882963359998</v>
      </c>
      <c r="I1984" s="2">
        <f>INDEX('Wood Density Lookup'!$B$2:$B$152,MATCH(B1984,'Wood Density Lookup'!$A$2:$A$152,0))</f>
        <v>0.5</v>
      </c>
      <c r="J1984" s="2">
        <f t="shared" si="304"/>
        <v>135.98898575839382</v>
      </c>
      <c r="K1984" s="2">
        <f t="shared" si="308"/>
        <v>38.076916012350274</v>
      </c>
      <c r="L1984" s="2">
        <f t="shared" si="309"/>
        <v>174.06590177074409</v>
      </c>
      <c r="M1984" s="2">
        <f t="shared" si="305"/>
        <v>126.19777878378946</v>
      </c>
      <c r="N1984" s="2">
        <f t="shared" si="306"/>
        <v>63.09888939189473</v>
      </c>
      <c r="O1984" s="2">
        <f t="shared" si="307"/>
        <v>231.57292406825366</v>
      </c>
      <c r="P1984" s="2">
        <v>72.552583999999996</v>
      </c>
      <c r="Q1984" s="2">
        <v>23.035561999999999</v>
      </c>
    </row>
    <row r="1985" spans="1:17" x14ac:dyDescent="0.25">
      <c r="A1985" s="2">
        <v>2163</v>
      </c>
      <c r="B1985" s="2" t="s">
        <v>111</v>
      </c>
      <c r="C1985" s="2">
        <v>3</v>
      </c>
      <c r="D1985" s="2">
        <f t="shared" ref="D1985:D2048" si="310">C1985*2.54</f>
        <v>7.62</v>
      </c>
      <c r="E1985" s="2">
        <f t="shared" ref="E1985:E2048" si="311">D1985/PI()</f>
        <v>2.4255213327204852</v>
      </c>
      <c r="F1985" s="2">
        <f t="shared" ref="F1985:F2048" si="312">C1985/PI()</f>
        <v>0.95492965855137202</v>
      </c>
      <c r="G1985" s="2">
        <v>5.0800879999999999</v>
      </c>
      <c r="H1985" s="2">
        <f t="shared" ref="H1985:H2048" si="313">G1985*3.28084</f>
        <v>16.666955913919999</v>
      </c>
      <c r="I1985" s="2">
        <f>INDEX('Wood Density Lookup'!$B$2:$B$152,MATCH(B1985,'Wood Density Lookup'!$A$2:$A$152,0))</f>
        <v>0.4</v>
      </c>
      <c r="J1985" s="2">
        <f t="shared" ref="J1985:J2048" si="314">0.0673*POWER(I1985*E1985^2*G1985,0.976)</f>
        <v>0.75804588420891728</v>
      </c>
      <c r="K1985" s="2">
        <f t="shared" si="308"/>
        <v>0.21225284757849686</v>
      </c>
      <c r="L1985" s="2">
        <f t="shared" si="309"/>
        <v>0.9702987317874141</v>
      </c>
      <c r="M1985" s="2">
        <f t="shared" ref="M1985:M2048" si="315">0.725*L1985</f>
        <v>0.70346658054587519</v>
      </c>
      <c r="N1985" s="2">
        <f t="shared" ref="N1985:N2048" si="316">0.5*M1985</f>
        <v>0.35173329027293759</v>
      </c>
      <c r="O1985" s="2">
        <f t="shared" ref="O1985:O2048" si="317">3.67*N1985</f>
        <v>1.290861175301681</v>
      </c>
      <c r="P1985" s="2">
        <v>72.552583999999996</v>
      </c>
      <c r="Q1985" s="2">
        <v>23.037348000000001</v>
      </c>
    </row>
    <row r="1986" spans="1:17" x14ac:dyDescent="0.25">
      <c r="A1986" s="2">
        <v>2164</v>
      </c>
      <c r="B1986" s="2" t="s">
        <v>17</v>
      </c>
      <c r="C1986" s="2">
        <v>18</v>
      </c>
      <c r="D1986" s="2">
        <f t="shared" si="310"/>
        <v>45.72</v>
      </c>
      <c r="E1986" s="2">
        <f t="shared" si="311"/>
        <v>14.55312799632291</v>
      </c>
      <c r="F1986" s="2">
        <f t="shared" si="312"/>
        <v>5.7295779513082321</v>
      </c>
      <c r="G1986" s="2">
        <v>4.866682</v>
      </c>
      <c r="H1986" s="2">
        <f t="shared" si="313"/>
        <v>15.96680497288</v>
      </c>
      <c r="I1986" s="2">
        <f>INDEX('Wood Density Lookup'!$B$2:$B$152,MATCH(B1986,'Wood Density Lookup'!$A$2:$A$152,0))</f>
        <v>0.75</v>
      </c>
      <c r="J1986" s="2">
        <f t="shared" si="314"/>
        <v>44.351164644316029</v>
      </c>
      <c r="K1986" s="2">
        <f t="shared" si="308"/>
        <v>12.418326100408489</v>
      </c>
      <c r="L1986" s="2">
        <f t="shared" si="309"/>
        <v>56.769490744724521</v>
      </c>
      <c r="M1986" s="2">
        <f t="shared" si="315"/>
        <v>41.157880789925279</v>
      </c>
      <c r="N1986" s="2">
        <f t="shared" si="316"/>
        <v>20.57894039496264</v>
      </c>
      <c r="O1986" s="2">
        <f t="shared" si="317"/>
        <v>75.52471124951289</v>
      </c>
      <c r="P1986" s="2">
        <v>72.552584999999993</v>
      </c>
      <c r="Q1986" s="2">
        <v>23.037320000000001</v>
      </c>
    </row>
    <row r="1987" spans="1:17" x14ac:dyDescent="0.25">
      <c r="A1987" s="2">
        <v>2165</v>
      </c>
      <c r="B1987" s="2" t="s">
        <v>111</v>
      </c>
      <c r="C1987" s="2">
        <v>4</v>
      </c>
      <c r="D1987" s="2">
        <f t="shared" si="310"/>
        <v>10.16</v>
      </c>
      <c r="E1987" s="2">
        <f t="shared" si="311"/>
        <v>3.2340284436273135</v>
      </c>
      <c r="F1987" s="2">
        <f t="shared" si="312"/>
        <v>1.2732395447351628</v>
      </c>
      <c r="G1987" s="2">
        <v>5.4773339999999999</v>
      </c>
      <c r="H1987" s="2">
        <f t="shared" si="313"/>
        <v>17.97025648056</v>
      </c>
      <c r="I1987" s="2">
        <f>INDEX('Wood Density Lookup'!$B$2:$B$152,MATCH(B1987,'Wood Density Lookup'!$A$2:$A$152,0))</f>
        <v>0.4</v>
      </c>
      <c r="J1987" s="2">
        <f t="shared" si="314"/>
        <v>1.4305042261510168</v>
      </c>
      <c r="K1987" s="2">
        <f t="shared" ref="K1987:K2050" si="318">0.28*J1987</f>
        <v>0.40054118332228472</v>
      </c>
      <c r="L1987" s="2">
        <f t="shared" ref="L1987:L2050" si="319">J1987+K1987</f>
        <v>1.8310454094733015</v>
      </c>
      <c r="M1987" s="2">
        <f t="shared" si="315"/>
        <v>1.3275079218681436</v>
      </c>
      <c r="N1987" s="2">
        <f t="shared" si="316"/>
        <v>0.6637539609340718</v>
      </c>
      <c r="O1987" s="2">
        <f t="shared" si="317"/>
        <v>2.4359770366280435</v>
      </c>
      <c r="P1987" s="2">
        <v>72.552584999999993</v>
      </c>
      <c r="Q1987" s="2">
        <v>23.037367</v>
      </c>
    </row>
    <row r="1988" spans="1:17" x14ac:dyDescent="0.25">
      <c r="A1988" s="2">
        <v>2166</v>
      </c>
      <c r="B1988" s="2" t="s">
        <v>111</v>
      </c>
      <c r="C1988" s="2">
        <v>2</v>
      </c>
      <c r="D1988" s="2">
        <f t="shared" si="310"/>
        <v>5.08</v>
      </c>
      <c r="E1988" s="2">
        <f t="shared" si="311"/>
        <v>1.6170142218136567</v>
      </c>
      <c r="F1988" s="2">
        <f t="shared" si="312"/>
        <v>0.63661977236758138</v>
      </c>
      <c r="G1988" s="2">
        <v>5.807779</v>
      </c>
      <c r="H1988" s="2">
        <f t="shared" si="313"/>
        <v>19.054393654359998</v>
      </c>
      <c r="I1988" s="2">
        <f>INDEX('Wood Density Lookup'!$B$2:$B$152,MATCH(B1988,'Wood Density Lookup'!$A$2:$A$152,0))</f>
        <v>0.4</v>
      </c>
      <c r="J1988" s="2">
        <f t="shared" si="314"/>
        <v>0.39147936096604075</v>
      </c>
      <c r="K1988" s="2">
        <f t="shared" si="318"/>
        <v>0.10961422107049142</v>
      </c>
      <c r="L1988" s="2">
        <f t="shared" si="319"/>
        <v>0.5010935820365322</v>
      </c>
      <c r="M1988" s="2">
        <f t="shared" si="315"/>
        <v>0.36329284697648584</v>
      </c>
      <c r="N1988" s="2">
        <f t="shared" si="316"/>
        <v>0.18164642348824292</v>
      </c>
      <c r="O1988" s="2">
        <f t="shared" si="317"/>
        <v>0.66664237420185146</v>
      </c>
      <c r="P1988" s="2">
        <v>72.552586000000005</v>
      </c>
      <c r="Q1988" s="2">
        <v>23.037312</v>
      </c>
    </row>
    <row r="1989" spans="1:17" x14ac:dyDescent="0.25">
      <c r="A1989" s="2">
        <v>2167</v>
      </c>
      <c r="B1989" s="2" t="s">
        <v>111</v>
      </c>
      <c r="C1989" s="2">
        <v>11</v>
      </c>
      <c r="D1989" s="2">
        <f t="shared" si="310"/>
        <v>27.94</v>
      </c>
      <c r="E1989" s="2">
        <f t="shared" si="311"/>
        <v>8.8935782199751117</v>
      </c>
      <c r="F1989" s="2">
        <f t="shared" si="312"/>
        <v>3.5014087480216975</v>
      </c>
      <c r="G1989" s="2">
        <v>5.1293449999999998</v>
      </c>
      <c r="H1989" s="2">
        <f t="shared" si="313"/>
        <v>16.828560249799999</v>
      </c>
      <c r="I1989" s="2">
        <f>INDEX('Wood Density Lookup'!$B$2:$B$152,MATCH(B1989,'Wood Density Lookup'!$A$2:$A$152,0))</f>
        <v>0.4</v>
      </c>
      <c r="J1989" s="2">
        <f t="shared" si="314"/>
        <v>9.6659250970450223</v>
      </c>
      <c r="K1989" s="2">
        <f t="shared" si="318"/>
        <v>2.7064590271726066</v>
      </c>
      <c r="L1989" s="2">
        <f t="shared" si="319"/>
        <v>12.372384124217628</v>
      </c>
      <c r="M1989" s="2">
        <f t="shared" si="315"/>
        <v>8.9699784900577804</v>
      </c>
      <c r="N1989" s="2">
        <f t="shared" si="316"/>
        <v>4.4849892450288902</v>
      </c>
      <c r="O1989" s="2">
        <f t="shared" si="317"/>
        <v>16.459910529256028</v>
      </c>
      <c r="P1989" s="2">
        <v>72.552588999999998</v>
      </c>
      <c r="Q1989" s="2">
        <v>23.037361000000001</v>
      </c>
    </row>
    <row r="1990" spans="1:17" x14ac:dyDescent="0.25">
      <c r="A1990" s="2">
        <v>2168</v>
      </c>
      <c r="B1990" s="2" t="s">
        <v>17</v>
      </c>
      <c r="C1990" s="2">
        <v>23</v>
      </c>
      <c r="D1990" s="2">
        <f t="shared" si="310"/>
        <v>58.42</v>
      </c>
      <c r="E1990" s="2">
        <f t="shared" si="311"/>
        <v>18.595663550857051</v>
      </c>
      <c r="F1990" s="2">
        <f t="shared" si="312"/>
        <v>7.3211273822271856</v>
      </c>
      <c r="G1990" s="2">
        <v>5.0015599999999996</v>
      </c>
      <c r="H1990" s="2">
        <f t="shared" si="313"/>
        <v>16.409318110399997</v>
      </c>
      <c r="I1990" s="2">
        <f>INDEX('Wood Density Lookup'!$B$2:$B$152,MATCH(B1990,'Wood Density Lookup'!$A$2:$A$152,0))</f>
        <v>0.75</v>
      </c>
      <c r="J1990" s="2">
        <f t="shared" si="314"/>
        <v>73.501027115698449</v>
      </c>
      <c r="K1990" s="2">
        <f t="shared" si="318"/>
        <v>20.580287592395567</v>
      </c>
      <c r="L1990" s="2">
        <f t="shared" si="319"/>
        <v>94.081314708094013</v>
      </c>
      <c r="M1990" s="2">
        <f t="shared" si="315"/>
        <v>68.20895316336815</v>
      </c>
      <c r="N1990" s="2">
        <f t="shared" si="316"/>
        <v>34.104476581684075</v>
      </c>
      <c r="O1990" s="2">
        <f t="shared" si="317"/>
        <v>125.16342905478055</v>
      </c>
      <c r="P1990" s="2">
        <v>72.552588999999998</v>
      </c>
      <c r="Q1990" s="2">
        <v>23.037343</v>
      </c>
    </row>
    <row r="1991" spans="1:17" x14ac:dyDescent="0.25">
      <c r="A1991" s="2">
        <v>2169</v>
      </c>
      <c r="B1991" s="2" t="s">
        <v>111</v>
      </c>
      <c r="C1991" s="2">
        <v>2</v>
      </c>
      <c r="D1991" s="2">
        <f t="shared" si="310"/>
        <v>5.08</v>
      </c>
      <c r="E1991" s="2">
        <f t="shared" si="311"/>
        <v>1.6170142218136567</v>
      </c>
      <c r="F1991" s="2">
        <f t="shared" si="312"/>
        <v>0.63661977236758138</v>
      </c>
      <c r="G1991" s="2">
        <v>6.207846</v>
      </c>
      <c r="H1991" s="2">
        <f t="shared" si="313"/>
        <v>20.366949470639998</v>
      </c>
      <c r="I1991" s="2">
        <f>INDEX('Wood Density Lookup'!$B$2:$B$152,MATCH(B1991,'Wood Density Lookup'!$A$2:$A$152,0))</f>
        <v>0.4</v>
      </c>
      <c r="J1991" s="2">
        <f t="shared" si="314"/>
        <v>0.41777782339554659</v>
      </c>
      <c r="K1991" s="2">
        <f t="shared" si="318"/>
        <v>0.11697779055075305</v>
      </c>
      <c r="L1991" s="2">
        <f t="shared" si="319"/>
        <v>0.53475561394629967</v>
      </c>
      <c r="M1991" s="2">
        <f t="shared" si="315"/>
        <v>0.38769782011106724</v>
      </c>
      <c r="N1991" s="2">
        <f t="shared" si="316"/>
        <v>0.19384891005553362</v>
      </c>
      <c r="O1991" s="2">
        <f t="shared" si="317"/>
        <v>0.71142549990380832</v>
      </c>
      <c r="P1991" s="2">
        <v>72.552588999999998</v>
      </c>
      <c r="Q1991" s="2">
        <v>23.037299999999998</v>
      </c>
    </row>
    <row r="1992" spans="1:17" x14ac:dyDescent="0.25">
      <c r="A1992" s="2">
        <v>2170</v>
      </c>
      <c r="B1992" s="2" t="s">
        <v>111</v>
      </c>
      <c r="C1992" s="2">
        <v>2</v>
      </c>
      <c r="D1992" s="2">
        <f t="shared" si="310"/>
        <v>5.08</v>
      </c>
      <c r="E1992" s="2">
        <f t="shared" si="311"/>
        <v>1.6170142218136567</v>
      </c>
      <c r="F1992" s="2">
        <f t="shared" si="312"/>
        <v>0.63661977236758138</v>
      </c>
      <c r="G1992" s="2">
        <v>4.7421220000000002</v>
      </c>
      <c r="H1992" s="2">
        <f t="shared" si="313"/>
        <v>15.55814354248</v>
      </c>
      <c r="I1992" s="2">
        <f>INDEX('Wood Density Lookup'!$B$2:$B$152,MATCH(B1992,'Wood Density Lookup'!$A$2:$A$152,0))</f>
        <v>0.4</v>
      </c>
      <c r="J1992" s="2">
        <f t="shared" si="314"/>
        <v>0.32120656135182069</v>
      </c>
      <c r="K1992" s="2">
        <f t="shared" si="318"/>
        <v>8.9937837178509797E-2</v>
      </c>
      <c r="L1992" s="2">
        <f t="shared" si="319"/>
        <v>0.41114439853033047</v>
      </c>
      <c r="M1992" s="2">
        <f t="shared" si="315"/>
        <v>0.29807968893448961</v>
      </c>
      <c r="N1992" s="2">
        <f t="shared" si="316"/>
        <v>0.1490398444672448</v>
      </c>
      <c r="O1992" s="2">
        <f t="shared" si="317"/>
        <v>0.54697622919478839</v>
      </c>
      <c r="P1992" s="2">
        <v>72.552589999999995</v>
      </c>
      <c r="Q1992" s="2">
        <v>23.03735</v>
      </c>
    </row>
    <row r="1993" spans="1:17" x14ac:dyDescent="0.25">
      <c r="A1993" s="2">
        <v>2171</v>
      </c>
      <c r="B1993" s="2" t="s">
        <v>107</v>
      </c>
      <c r="C1993" s="2">
        <v>16</v>
      </c>
      <c r="D1993" s="2">
        <f t="shared" si="310"/>
        <v>40.64</v>
      </c>
      <c r="E1993" s="2">
        <f t="shared" si="311"/>
        <v>12.936113774509254</v>
      </c>
      <c r="F1993" s="2">
        <f t="shared" si="312"/>
        <v>5.0929581789406511</v>
      </c>
      <c r="G1993" s="2">
        <v>9.4295869999999997</v>
      </c>
      <c r="H1993" s="2">
        <f t="shared" si="313"/>
        <v>30.936966213079998</v>
      </c>
      <c r="I1993" s="2">
        <f>INDEX('Wood Density Lookup'!$B$2:$B$152,MATCH(B1993,'Wood Density Lookup'!$A$2:$A$152,0))</f>
        <v>0.65</v>
      </c>
      <c r="J1993" s="2">
        <f t="shared" si="314"/>
        <v>58.447295146130045</v>
      </c>
      <c r="K1993" s="2">
        <f t="shared" si="318"/>
        <v>16.365242640916414</v>
      </c>
      <c r="L1993" s="2">
        <f t="shared" si="319"/>
        <v>74.812537787046466</v>
      </c>
      <c r="M1993" s="2">
        <f t="shared" si="315"/>
        <v>54.239089895608686</v>
      </c>
      <c r="N1993" s="2">
        <f t="shared" si="316"/>
        <v>27.119544947804343</v>
      </c>
      <c r="O1993" s="2">
        <f t="shared" si="317"/>
        <v>99.528729958441943</v>
      </c>
      <c r="P1993" s="2">
        <v>72.552591000000007</v>
      </c>
      <c r="Q1993" s="2">
        <v>23.037970999999999</v>
      </c>
    </row>
    <row r="1994" spans="1:17" x14ac:dyDescent="0.25">
      <c r="A1994" s="2">
        <v>2172</v>
      </c>
      <c r="B1994" s="2" t="s">
        <v>107</v>
      </c>
      <c r="C1994" s="2">
        <v>10</v>
      </c>
      <c r="D1994" s="2">
        <f t="shared" si="310"/>
        <v>25.4</v>
      </c>
      <c r="E1994" s="2">
        <f t="shared" si="311"/>
        <v>8.0850711090682825</v>
      </c>
      <c r="F1994" s="2">
        <f t="shared" si="312"/>
        <v>3.183098861837907</v>
      </c>
      <c r="G1994" s="2">
        <v>9.4295869999999997</v>
      </c>
      <c r="H1994" s="2">
        <f t="shared" si="313"/>
        <v>30.936966213079998</v>
      </c>
      <c r="I1994" s="2">
        <f>INDEX('Wood Density Lookup'!$B$2:$B$152,MATCH(B1994,'Wood Density Lookup'!$A$2:$A$152,0))</f>
        <v>0.65</v>
      </c>
      <c r="J1994" s="2">
        <f t="shared" si="314"/>
        <v>23.351899414677263</v>
      </c>
      <c r="K1994" s="2">
        <f t="shared" si="318"/>
        <v>6.5385318361096338</v>
      </c>
      <c r="L1994" s="2">
        <f t="shared" si="319"/>
        <v>29.890431250786897</v>
      </c>
      <c r="M1994" s="2">
        <f t="shared" si="315"/>
        <v>21.670562656820501</v>
      </c>
      <c r="N1994" s="2">
        <f t="shared" si="316"/>
        <v>10.83528132841025</v>
      </c>
      <c r="O1994" s="2">
        <f t="shared" si="317"/>
        <v>39.765482475265621</v>
      </c>
      <c r="P1994" s="2">
        <v>72.552591000000007</v>
      </c>
      <c r="Q1994" s="2">
        <v>23.037970999999999</v>
      </c>
    </row>
    <row r="1995" spans="1:17" x14ac:dyDescent="0.25">
      <c r="A1995" s="2">
        <v>2173</v>
      </c>
      <c r="B1995" s="2" t="s">
        <v>111</v>
      </c>
      <c r="C1995" s="2">
        <v>2</v>
      </c>
      <c r="D1995" s="2">
        <f t="shared" si="310"/>
        <v>5.08</v>
      </c>
      <c r="E1995" s="2">
        <f t="shared" si="311"/>
        <v>1.6170142218136567</v>
      </c>
      <c r="F1995" s="2">
        <f t="shared" si="312"/>
        <v>0.63661977236758138</v>
      </c>
      <c r="G1995" s="2">
        <v>4.6257380000000001</v>
      </c>
      <c r="H1995" s="2">
        <f t="shared" si="313"/>
        <v>15.17630625992</v>
      </c>
      <c r="I1995" s="2">
        <f>INDEX('Wood Density Lookup'!$B$2:$B$152,MATCH(B1995,'Wood Density Lookup'!$A$2:$A$152,0))</f>
        <v>0.4</v>
      </c>
      <c r="J1995" s="2">
        <f t="shared" si="314"/>
        <v>0.31351023007886158</v>
      </c>
      <c r="K1995" s="2">
        <f t="shared" si="318"/>
        <v>8.7782864422081247E-2</v>
      </c>
      <c r="L1995" s="2">
        <f t="shared" si="319"/>
        <v>0.40129309450094286</v>
      </c>
      <c r="M1995" s="2">
        <f t="shared" si="315"/>
        <v>0.29093749351318354</v>
      </c>
      <c r="N1995" s="2">
        <f t="shared" si="316"/>
        <v>0.14546874675659177</v>
      </c>
      <c r="O1995" s="2">
        <f t="shared" si="317"/>
        <v>0.53387030059669183</v>
      </c>
      <c r="P1995" s="2">
        <v>72.552591000000007</v>
      </c>
      <c r="Q1995" s="2">
        <v>23.037336</v>
      </c>
    </row>
    <row r="1996" spans="1:17" x14ac:dyDescent="0.25">
      <c r="A1996" s="2">
        <v>2174</v>
      </c>
      <c r="B1996" s="2" t="s">
        <v>111</v>
      </c>
      <c r="C1996" s="2">
        <v>3</v>
      </c>
      <c r="D1996" s="2">
        <f t="shared" si="310"/>
        <v>7.62</v>
      </c>
      <c r="E1996" s="2">
        <f t="shared" si="311"/>
        <v>2.4255213327204852</v>
      </c>
      <c r="F1996" s="2">
        <f t="shared" si="312"/>
        <v>0.95492965855137202</v>
      </c>
      <c r="G1996" s="2">
        <v>5.9444949999999999</v>
      </c>
      <c r="H1996" s="2">
        <f t="shared" si="313"/>
        <v>19.502936975800001</v>
      </c>
      <c r="I1996" s="2">
        <f>INDEX('Wood Density Lookup'!$B$2:$B$152,MATCH(B1996,'Wood Density Lookup'!$A$2:$A$152,0))</f>
        <v>0.4</v>
      </c>
      <c r="J1996" s="2">
        <f t="shared" si="314"/>
        <v>0.88369291942162931</v>
      </c>
      <c r="K1996" s="2">
        <f t="shared" si="318"/>
        <v>0.24743401743805624</v>
      </c>
      <c r="L1996" s="2">
        <f t="shared" si="319"/>
        <v>1.1311269368596855</v>
      </c>
      <c r="M1996" s="2">
        <f t="shared" si="315"/>
        <v>0.8200670292232719</v>
      </c>
      <c r="N1996" s="2">
        <f t="shared" si="316"/>
        <v>0.41003351461163595</v>
      </c>
      <c r="O1996" s="2">
        <f t="shared" si="317"/>
        <v>1.5048229986247039</v>
      </c>
      <c r="P1996" s="2">
        <v>72.552592000000004</v>
      </c>
      <c r="Q1996" s="2">
        <v>23.037288</v>
      </c>
    </row>
    <row r="1997" spans="1:17" x14ac:dyDescent="0.25">
      <c r="A1997" s="2">
        <v>2175</v>
      </c>
      <c r="B1997" s="2" t="s">
        <v>33</v>
      </c>
      <c r="C1997" s="2">
        <v>23</v>
      </c>
      <c r="D1997" s="2">
        <f t="shared" si="310"/>
        <v>58.42</v>
      </c>
      <c r="E1997" s="2">
        <f t="shared" si="311"/>
        <v>18.595663550857051</v>
      </c>
      <c r="F1997" s="2">
        <f t="shared" si="312"/>
        <v>7.3211273822271856</v>
      </c>
      <c r="G1997" s="2">
        <v>8.6827430000000003</v>
      </c>
      <c r="H1997" s="2">
        <f t="shared" si="313"/>
        <v>28.486690544120002</v>
      </c>
      <c r="I1997" s="2">
        <f>INDEX('Wood Density Lookup'!$B$2:$B$152,MATCH(B1997,'Wood Density Lookup'!$A$2:$A$152,0))</f>
        <v>0.65</v>
      </c>
      <c r="J1997" s="2">
        <f t="shared" si="314"/>
        <v>109.50634390708484</v>
      </c>
      <c r="K1997" s="2">
        <f t="shared" si="318"/>
        <v>30.66177629398376</v>
      </c>
      <c r="L1997" s="2">
        <f t="shared" si="319"/>
        <v>140.1681202010686</v>
      </c>
      <c r="M1997" s="2">
        <f t="shared" si="315"/>
        <v>101.62188714577474</v>
      </c>
      <c r="N1997" s="2">
        <f t="shared" si="316"/>
        <v>50.810943572887368</v>
      </c>
      <c r="O1997" s="2">
        <f t="shared" si="317"/>
        <v>186.47616291249665</v>
      </c>
      <c r="P1997" s="2">
        <v>72.552593999999999</v>
      </c>
      <c r="Q1997" s="2">
        <v>23.037913</v>
      </c>
    </row>
    <row r="1998" spans="1:17" x14ac:dyDescent="0.25">
      <c r="A1998" s="2">
        <v>2176</v>
      </c>
      <c r="B1998" s="2" t="s">
        <v>111</v>
      </c>
      <c r="C1998" s="2">
        <v>4</v>
      </c>
      <c r="D1998" s="2">
        <f t="shared" si="310"/>
        <v>10.16</v>
      </c>
      <c r="E1998" s="2">
        <f t="shared" si="311"/>
        <v>3.2340284436273135</v>
      </c>
      <c r="F1998" s="2">
        <f t="shared" si="312"/>
        <v>1.2732395447351628</v>
      </c>
      <c r="G1998" s="2">
        <v>5.590592</v>
      </c>
      <c r="H1998" s="2">
        <f t="shared" si="313"/>
        <v>18.341837857280002</v>
      </c>
      <c r="I1998" s="2">
        <f>INDEX('Wood Density Lookup'!$B$2:$B$152,MATCH(B1998,'Wood Density Lookup'!$A$2:$A$152,0))</f>
        <v>0.4</v>
      </c>
      <c r="J1998" s="2">
        <f t="shared" si="314"/>
        <v>1.4593665705331225</v>
      </c>
      <c r="K1998" s="2">
        <f t="shared" si="318"/>
        <v>0.40862263974927432</v>
      </c>
      <c r="L1998" s="2">
        <f t="shared" si="319"/>
        <v>1.8679892102823967</v>
      </c>
      <c r="M1998" s="2">
        <f t="shared" si="315"/>
        <v>1.3542921774547376</v>
      </c>
      <c r="N1998" s="2">
        <f t="shared" si="316"/>
        <v>0.67714608872736881</v>
      </c>
      <c r="O1998" s="2">
        <f t="shared" si="317"/>
        <v>2.4851261456294433</v>
      </c>
      <c r="P1998" s="2">
        <v>72.552593999999999</v>
      </c>
      <c r="Q1998" s="2">
        <v>23.037282999999999</v>
      </c>
    </row>
    <row r="1999" spans="1:17" x14ac:dyDescent="0.25">
      <c r="A1999" s="2">
        <v>2177</v>
      </c>
      <c r="B1999" s="2" t="s">
        <v>111</v>
      </c>
      <c r="C1999" s="2">
        <v>5</v>
      </c>
      <c r="D1999" s="2">
        <f t="shared" si="310"/>
        <v>12.7</v>
      </c>
      <c r="E1999" s="2">
        <f t="shared" si="311"/>
        <v>4.0425355545341413</v>
      </c>
      <c r="F1999" s="2">
        <f t="shared" si="312"/>
        <v>1.5915494309189535</v>
      </c>
      <c r="G1999" s="2">
        <v>7.4924410000000004</v>
      </c>
      <c r="H1999" s="2">
        <f t="shared" si="313"/>
        <v>24.581500130440002</v>
      </c>
      <c r="I1999" s="2">
        <f>INDEX('Wood Density Lookup'!$B$2:$B$152,MATCH(B1999,'Wood Density Lookup'!$A$2:$A$152,0))</f>
        <v>0.4</v>
      </c>
      <c r="J1999" s="2">
        <f t="shared" si="314"/>
        <v>3.0022461691514741</v>
      </c>
      <c r="K1999" s="2">
        <f t="shared" si="318"/>
        <v>0.84062892736241279</v>
      </c>
      <c r="L1999" s="2">
        <f t="shared" si="319"/>
        <v>3.8428750965138869</v>
      </c>
      <c r="M1999" s="2">
        <f t="shared" si="315"/>
        <v>2.7860844449725679</v>
      </c>
      <c r="N1999" s="2">
        <f t="shared" si="316"/>
        <v>1.393042222486284</v>
      </c>
      <c r="O1999" s="2">
        <f t="shared" si="317"/>
        <v>5.1124649565246623</v>
      </c>
      <c r="P1999" s="2">
        <v>72.552593999999999</v>
      </c>
      <c r="Q1999" s="2">
        <v>23.037272999999999</v>
      </c>
    </row>
    <row r="2000" spans="1:17" x14ac:dyDescent="0.25">
      <c r="A2000" s="2">
        <v>2178</v>
      </c>
      <c r="B2000" s="2" t="s">
        <v>111</v>
      </c>
      <c r="C2000" s="2">
        <v>3</v>
      </c>
      <c r="D2000" s="2">
        <f t="shared" si="310"/>
        <v>7.62</v>
      </c>
      <c r="E2000" s="2">
        <f t="shared" si="311"/>
        <v>2.4255213327204852</v>
      </c>
      <c r="F2000" s="2">
        <f t="shared" si="312"/>
        <v>0.95492965855137202</v>
      </c>
      <c r="G2000" s="2">
        <v>8.9124400000000001</v>
      </c>
      <c r="H2000" s="2">
        <f t="shared" si="313"/>
        <v>29.240289649600001</v>
      </c>
      <c r="I2000" s="2">
        <f>INDEX('Wood Density Lookup'!$B$2:$B$152,MATCH(B2000,'Wood Density Lookup'!$A$2:$A$152,0))</f>
        <v>0.4</v>
      </c>
      <c r="J2000" s="2">
        <f t="shared" si="314"/>
        <v>1.3120846918408142</v>
      </c>
      <c r="K2000" s="2">
        <f t="shared" si="318"/>
        <v>0.367383713715428</v>
      </c>
      <c r="L2000" s="2">
        <f t="shared" si="319"/>
        <v>1.6794684055562423</v>
      </c>
      <c r="M2000" s="2">
        <f t="shared" si="315"/>
        <v>1.2176145940282757</v>
      </c>
      <c r="N2000" s="2">
        <f t="shared" si="316"/>
        <v>0.60880729701413783</v>
      </c>
      <c r="O2000" s="2">
        <f t="shared" si="317"/>
        <v>2.2343227800418859</v>
      </c>
      <c r="P2000" s="2">
        <v>72.552594999999997</v>
      </c>
      <c r="Q2000" s="2">
        <v>23.037262999999999</v>
      </c>
    </row>
    <row r="2001" spans="1:17" x14ac:dyDescent="0.25">
      <c r="A2001" s="2">
        <v>2179</v>
      </c>
      <c r="B2001" s="2" t="s">
        <v>111</v>
      </c>
      <c r="C2001" s="2">
        <v>4</v>
      </c>
      <c r="D2001" s="2">
        <f t="shared" si="310"/>
        <v>10.16</v>
      </c>
      <c r="E2001" s="2">
        <f t="shared" si="311"/>
        <v>3.2340284436273135</v>
      </c>
      <c r="F2001" s="2">
        <f t="shared" si="312"/>
        <v>1.2732395447351628</v>
      </c>
      <c r="G2001" s="2">
        <v>7.9751450000000004</v>
      </c>
      <c r="H2001" s="2">
        <f t="shared" si="313"/>
        <v>26.1651747218</v>
      </c>
      <c r="I2001" s="2">
        <f>INDEX('Wood Density Lookup'!$B$2:$B$152,MATCH(B2001,'Wood Density Lookup'!$A$2:$A$152,0))</f>
        <v>0.4</v>
      </c>
      <c r="J2001" s="2">
        <f t="shared" si="314"/>
        <v>2.064155656310402</v>
      </c>
      <c r="K2001" s="2">
        <f t="shared" si="318"/>
        <v>0.57796358376691259</v>
      </c>
      <c r="L2001" s="2">
        <f t="shared" si="319"/>
        <v>2.6421192400773146</v>
      </c>
      <c r="M2001" s="2">
        <f t="shared" si="315"/>
        <v>1.9155364490560529</v>
      </c>
      <c r="N2001" s="2">
        <f t="shared" si="316"/>
        <v>0.95776822452802646</v>
      </c>
      <c r="O2001" s="2">
        <f t="shared" si="317"/>
        <v>3.5150093840178571</v>
      </c>
      <c r="P2001" s="2">
        <v>72.552595999999994</v>
      </c>
      <c r="Q2001" s="2">
        <v>23.037251000000001</v>
      </c>
    </row>
    <row r="2002" spans="1:17" x14ac:dyDescent="0.25">
      <c r="A2002" s="2">
        <v>2180</v>
      </c>
      <c r="B2002" s="2" t="s">
        <v>17</v>
      </c>
      <c r="C2002" s="2">
        <v>17</v>
      </c>
      <c r="D2002" s="2">
        <f t="shared" si="310"/>
        <v>43.18</v>
      </c>
      <c r="E2002" s="2">
        <f t="shared" si="311"/>
        <v>13.744620885416081</v>
      </c>
      <c r="F2002" s="2">
        <f t="shared" si="312"/>
        <v>5.4112680651244416</v>
      </c>
      <c r="G2002" s="2">
        <v>4.5979850000000004</v>
      </c>
      <c r="H2002" s="2">
        <f t="shared" si="313"/>
        <v>15.085253107400002</v>
      </c>
      <c r="I2002" s="2">
        <f>INDEX('Wood Density Lookup'!$B$2:$B$152,MATCH(B2002,'Wood Density Lookup'!$A$2:$A$152,0))</f>
        <v>0.75</v>
      </c>
      <c r="J2002" s="2">
        <f t="shared" si="314"/>
        <v>37.52977356381777</v>
      </c>
      <c r="K2002" s="2">
        <f t="shared" si="318"/>
        <v>10.508336597868977</v>
      </c>
      <c r="L2002" s="2">
        <f t="shared" si="319"/>
        <v>48.038110161686745</v>
      </c>
      <c r="M2002" s="2">
        <f t="shared" si="315"/>
        <v>34.827629867222889</v>
      </c>
      <c r="N2002" s="2">
        <f t="shared" si="316"/>
        <v>17.413814933611445</v>
      </c>
      <c r="O2002" s="2">
        <f t="shared" si="317"/>
        <v>63.908700806353998</v>
      </c>
      <c r="P2002" s="2">
        <v>72.552595999999994</v>
      </c>
      <c r="Q2002" s="2">
        <v>23.037324000000002</v>
      </c>
    </row>
    <row r="2003" spans="1:17" x14ac:dyDescent="0.25">
      <c r="A2003" s="2">
        <v>2181</v>
      </c>
      <c r="B2003" s="2" t="s">
        <v>111</v>
      </c>
      <c r="C2003" s="2">
        <v>3</v>
      </c>
      <c r="D2003" s="2">
        <f t="shared" si="310"/>
        <v>7.62</v>
      </c>
      <c r="E2003" s="2">
        <f t="shared" si="311"/>
        <v>2.4255213327204852</v>
      </c>
      <c r="F2003" s="2">
        <f t="shared" si="312"/>
        <v>0.95492965855137202</v>
      </c>
      <c r="G2003" s="2">
        <v>8.5752980000000001</v>
      </c>
      <c r="H2003" s="2">
        <f t="shared" si="313"/>
        <v>28.134180690320001</v>
      </c>
      <c r="I2003" s="2">
        <f>INDEX('Wood Density Lookup'!$B$2:$B$152,MATCH(B2003,'Wood Density Lookup'!$A$2:$A$152,0))</f>
        <v>0.4</v>
      </c>
      <c r="J2003" s="2">
        <f t="shared" si="314"/>
        <v>1.2636197586262305</v>
      </c>
      <c r="K2003" s="2">
        <f t="shared" si="318"/>
        <v>0.35381353241534458</v>
      </c>
      <c r="L2003" s="2">
        <f t="shared" si="319"/>
        <v>1.6174332910415752</v>
      </c>
      <c r="M2003" s="2">
        <f t="shared" si="315"/>
        <v>1.172639136005142</v>
      </c>
      <c r="N2003" s="2">
        <f t="shared" si="316"/>
        <v>0.58631956800257101</v>
      </c>
      <c r="O2003" s="2">
        <f t="shared" si="317"/>
        <v>2.1517928145694354</v>
      </c>
      <c r="P2003" s="2">
        <v>72.552595999999994</v>
      </c>
      <c r="Q2003" s="2">
        <v>23.037254999999998</v>
      </c>
    </row>
    <row r="2004" spans="1:17" x14ac:dyDescent="0.25">
      <c r="A2004" s="2">
        <v>2182</v>
      </c>
      <c r="B2004" s="2" t="s">
        <v>111</v>
      </c>
      <c r="C2004" s="2">
        <v>3</v>
      </c>
      <c r="D2004" s="2">
        <f t="shared" si="310"/>
        <v>7.62</v>
      </c>
      <c r="E2004" s="2">
        <f t="shared" si="311"/>
        <v>2.4255213327204852</v>
      </c>
      <c r="F2004" s="2">
        <f t="shared" si="312"/>
        <v>0.95492965855137202</v>
      </c>
      <c r="G2004" s="2">
        <v>6.5637829999999999</v>
      </c>
      <c r="H2004" s="2">
        <f t="shared" si="313"/>
        <v>21.534721817720001</v>
      </c>
      <c r="I2004" s="2">
        <f>INDEX('Wood Density Lookup'!$B$2:$B$152,MATCH(B2004,'Wood Density Lookup'!$A$2:$A$152,0))</f>
        <v>0.4</v>
      </c>
      <c r="J2004" s="2">
        <f t="shared" si="314"/>
        <v>0.97343662414470755</v>
      </c>
      <c r="K2004" s="2">
        <f t="shared" si="318"/>
        <v>0.27256225476051815</v>
      </c>
      <c r="L2004" s="2">
        <f t="shared" si="319"/>
        <v>1.2459988789052256</v>
      </c>
      <c r="M2004" s="2">
        <f t="shared" si="315"/>
        <v>0.90334918720628854</v>
      </c>
      <c r="N2004" s="2">
        <f t="shared" si="316"/>
        <v>0.45167459360314427</v>
      </c>
      <c r="O2004" s="2">
        <f t="shared" si="317"/>
        <v>1.6576457585235393</v>
      </c>
      <c r="P2004" s="2">
        <v>72.552595999999994</v>
      </c>
      <c r="Q2004" s="2">
        <v>23.037317000000002</v>
      </c>
    </row>
    <row r="2005" spans="1:17" x14ac:dyDescent="0.25">
      <c r="A2005" s="2">
        <v>2183</v>
      </c>
      <c r="B2005" s="2" t="s">
        <v>111</v>
      </c>
      <c r="C2005" s="2">
        <v>2</v>
      </c>
      <c r="D2005" s="2">
        <f t="shared" si="310"/>
        <v>5.08</v>
      </c>
      <c r="E2005" s="2">
        <f t="shared" si="311"/>
        <v>1.6170142218136567</v>
      </c>
      <c r="F2005" s="2">
        <f t="shared" si="312"/>
        <v>0.63661977236758138</v>
      </c>
      <c r="G2005" s="2">
        <v>4.5895520000000003</v>
      </c>
      <c r="H2005" s="2">
        <f t="shared" si="313"/>
        <v>15.05758578368</v>
      </c>
      <c r="I2005" s="2">
        <f>INDEX('Wood Density Lookup'!$B$2:$B$152,MATCH(B2005,'Wood Density Lookup'!$A$2:$A$152,0))</f>
        <v>0.4</v>
      </c>
      <c r="J2005" s="2">
        <f t="shared" si="314"/>
        <v>0.31111635238322594</v>
      </c>
      <c r="K2005" s="2">
        <f t="shared" si="318"/>
        <v>8.7112578667303264E-2</v>
      </c>
      <c r="L2005" s="2">
        <f t="shared" si="319"/>
        <v>0.3982289310505292</v>
      </c>
      <c r="M2005" s="2">
        <f t="shared" si="315"/>
        <v>0.28871597501163365</v>
      </c>
      <c r="N2005" s="2">
        <f t="shared" si="316"/>
        <v>0.14435798750581683</v>
      </c>
      <c r="O2005" s="2">
        <f t="shared" si="317"/>
        <v>0.52979381414634774</v>
      </c>
      <c r="P2005" s="2">
        <v>72.552595999999994</v>
      </c>
      <c r="Q2005" s="2">
        <v>23.037330999999998</v>
      </c>
    </row>
    <row r="2006" spans="1:17" x14ac:dyDescent="0.25">
      <c r="A2006" s="2">
        <v>2184</v>
      </c>
      <c r="B2006" s="2" t="s">
        <v>111</v>
      </c>
      <c r="C2006" s="2">
        <v>1</v>
      </c>
      <c r="D2006" s="2">
        <f t="shared" si="310"/>
        <v>2.54</v>
      </c>
      <c r="E2006" s="2">
        <f t="shared" si="311"/>
        <v>0.80850711090682836</v>
      </c>
      <c r="F2006" s="2">
        <f t="shared" si="312"/>
        <v>0.31830988618379069</v>
      </c>
      <c r="G2006" s="2">
        <v>7.2281760000000004</v>
      </c>
      <c r="H2006" s="2">
        <f t="shared" si="313"/>
        <v>23.71448894784</v>
      </c>
      <c r="I2006" s="2">
        <f>INDEX('Wood Density Lookup'!$B$2:$B$152,MATCH(B2006,'Wood Density Lookup'!$A$2:$A$152,0))</f>
        <v>0.4</v>
      </c>
      <c r="J2006" s="2">
        <f t="shared" si="314"/>
        <v>0.12526695150782285</v>
      </c>
      <c r="K2006" s="2">
        <f t="shared" si="318"/>
        <v>3.5074746422190405E-2</v>
      </c>
      <c r="L2006" s="2">
        <f t="shared" si="319"/>
        <v>0.16034169793001327</v>
      </c>
      <c r="M2006" s="2">
        <f t="shared" si="315"/>
        <v>0.11624773099925961</v>
      </c>
      <c r="N2006" s="2">
        <f t="shared" si="316"/>
        <v>5.8123865499629807E-2</v>
      </c>
      <c r="O2006" s="2">
        <f t="shared" si="317"/>
        <v>0.2133145863836414</v>
      </c>
      <c r="P2006" s="2">
        <v>72.552597000000006</v>
      </c>
      <c r="Q2006" s="2">
        <v>23.037244999999999</v>
      </c>
    </row>
    <row r="2007" spans="1:17" x14ac:dyDescent="0.25">
      <c r="A2007" s="2">
        <v>2185</v>
      </c>
      <c r="B2007" s="2" t="s">
        <v>50</v>
      </c>
      <c r="C2007" s="2">
        <v>2</v>
      </c>
      <c r="D2007" s="2">
        <f t="shared" si="310"/>
        <v>5.08</v>
      </c>
      <c r="E2007" s="2">
        <f t="shared" si="311"/>
        <v>1.6170142218136567</v>
      </c>
      <c r="F2007" s="2">
        <f t="shared" si="312"/>
        <v>0.63661977236758138</v>
      </c>
      <c r="G2007" s="2">
        <v>1.072892</v>
      </c>
      <c r="H2007" s="2">
        <f t="shared" si="313"/>
        <v>3.51998698928</v>
      </c>
      <c r="I2007" s="2">
        <f>INDEX('Wood Density Lookup'!$B$2:$B$152,MATCH(B2007,'Wood Density Lookup'!$A$2:$A$152,0))</f>
        <v>0.5</v>
      </c>
      <c r="J2007" s="2">
        <f t="shared" si="314"/>
        <v>9.3635787241016039E-2</v>
      </c>
      <c r="K2007" s="2">
        <f t="shared" si="318"/>
        <v>2.6218020427484494E-2</v>
      </c>
      <c r="L2007" s="2">
        <f t="shared" si="319"/>
        <v>0.11985380766850054</v>
      </c>
      <c r="M2007" s="2">
        <f t="shared" si="315"/>
        <v>8.6894010559662893E-2</v>
      </c>
      <c r="N2007" s="2">
        <f t="shared" si="316"/>
        <v>4.3447005279831447E-2</v>
      </c>
      <c r="O2007" s="2">
        <f t="shared" si="317"/>
        <v>0.15945050937698141</v>
      </c>
      <c r="P2007" s="2">
        <v>72.552597000000006</v>
      </c>
      <c r="Q2007" s="2">
        <v>23.037718000000002</v>
      </c>
    </row>
    <row r="2008" spans="1:17" x14ac:dyDescent="0.25">
      <c r="A2008" s="2">
        <v>2186</v>
      </c>
      <c r="B2008" s="2" t="s">
        <v>72</v>
      </c>
      <c r="C2008" s="2">
        <v>21</v>
      </c>
      <c r="D2008" s="2">
        <f t="shared" si="310"/>
        <v>53.34</v>
      </c>
      <c r="E2008" s="2">
        <f t="shared" si="311"/>
        <v>16.978649329043396</v>
      </c>
      <c r="F2008" s="2">
        <f t="shared" si="312"/>
        <v>6.6845076098596046</v>
      </c>
      <c r="G2008" s="2">
        <v>9.4683100000000007</v>
      </c>
      <c r="H2008" s="2">
        <f t="shared" si="313"/>
        <v>31.0640101804</v>
      </c>
      <c r="I2008" s="2">
        <f>INDEX('Wood Density Lookup'!$B$2:$B$152,MATCH(B2008,'Wood Density Lookup'!$A$2:$A$152,0))</f>
        <v>0.65</v>
      </c>
      <c r="J2008" s="2">
        <f t="shared" si="314"/>
        <v>99.777210105433312</v>
      </c>
      <c r="K2008" s="2">
        <f t="shared" si="318"/>
        <v>27.93761882952133</v>
      </c>
      <c r="L2008" s="2">
        <f t="shared" si="319"/>
        <v>127.71482893495464</v>
      </c>
      <c r="M2008" s="2">
        <f t="shared" si="315"/>
        <v>92.593250977842104</v>
      </c>
      <c r="N2008" s="2">
        <f t="shared" si="316"/>
        <v>46.296625488921052</v>
      </c>
      <c r="O2008" s="2">
        <f t="shared" si="317"/>
        <v>169.90861554434025</v>
      </c>
      <c r="P2008" s="2">
        <v>72.552598000000003</v>
      </c>
      <c r="Q2008" s="2">
        <v>23.037811999999999</v>
      </c>
    </row>
    <row r="2009" spans="1:17" x14ac:dyDescent="0.25">
      <c r="A2009" s="2">
        <v>2187</v>
      </c>
      <c r="B2009" s="2" t="s">
        <v>72</v>
      </c>
      <c r="C2009" s="2">
        <v>26</v>
      </c>
      <c r="D2009" s="2">
        <f t="shared" si="310"/>
        <v>66.040000000000006</v>
      </c>
      <c r="E2009" s="2">
        <f t="shared" si="311"/>
        <v>21.02118488357754</v>
      </c>
      <c r="F2009" s="2">
        <f t="shared" si="312"/>
        <v>8.2760570407785572</v>
      </c>
      <c r="G2009" s="2">
        <v>9.4683100000000007</v>
      </c>
      <c r="H2009" s="2">
        <f t="shared" si="313"/>
        <v>31.0640101804</v>
      </c>
      <c r="I2009" s="2">
        <f>INDEX('Wood Density Lookup'!$B$2:$B$152,MATCH(B2009,'Wood Density Lookup'!$A$2:$A$152,0))</f>
        <v>0.65</v>
      </c>
      <c r="J2009" s="2">
        <f t="shared" si="314"/>
        <v>151.38654179856965</v>
      </c>
      <c r="K2009" s="2">
        <f t="shared" si="318"/>
        <v>42.388231703599509</v>
      </c>
      <c r="L2009" s="2">
        <f t="shared" si="319"/>
        <v>193.77477350216915</v>
      </c>
      <c r="M2009" s="2">
        <f t="shared" si="315"/>
        <v>140.48671078907265</v>
      </c>
      <c r="N2009" s="2">
        <f t="shared" si="316"/>
        <v>70.243355394536323</v>
      </c>
      <c r="O2009" s="2">
        <f t="shared" si="317"/>
        <v>257.79311429794831</v>
      </c>
      <c r="P2009" s="2">
        <v>72.552598000000003</v>
      </c>
      <c r="Q2009" s="2">
        <v>23.037811999999999</v>
      </c>
    </row>
    <row r="2010" spans="1:17" x14ac:dyDescent="0.25">
      <c r="A2010" s="2">
        <v>2188</v>
      </c>
      <c r="B2010" s="2" t="s">
        <v>114</v>
      </c>
      <c r="C2010" s="2">
        <v>44</v>
      </c>
      <c r="D2010" s="2">
        <f t="shared" si="310"/>
        <v>111.76</v>
      </c>
      <c r="E2010" s="2">
        <f t="shared" si="311"/>
        <v>35.574312879900447</v>
      </c>
      <c r="F2010" s="2">
        <f t="shared" si="312"/>
        <v>14.00563499208679</v>
      </c>
      <c r="G2010" s="2">
        <v>19.162891999999999</v>
      </c>
      <c r="H2010" s="2">
        <f t="shared" si="313"/>
        <v>62.870382589279998</v>
      </c>
      <c r="I2010" s="2">
        <f>INDEX('Wood Density Lookup'!$B$2:$B$152,MATCH(B2010,'Wood Density Lookup'!$A$2:$A$152,0))</f>
        <v>0.55000000000000004</v>
      </c>
      <c r="J2010" s="2">
        <f t="shared" si="314"/>
        <v>714.67653599946664</v>
      </c>
      <c r="K2010" s="2">
        <f t="shared" si="318"/>
        <v>200.10943007985068</v>
      </c>
      <c r="L2010" s="2">
        <f t="shared" si="319"/>
        <v>914.78596607931729</v>
      </c>
      <c r="M2010" s="2">
        <f t="shared" si="315"/>
        <v>663.21982540750503</v>
      </c>
      <c r="N2010" s="2">
        <f t="shared" si="316"/>
        <v>331.60991270375251</v>
      </c>
      <c r="O2010" s="2">
        <f t="shared" si="317"/>
        <v>1217.0083796227716</v>
      </c>
      <c r="P2010" s="2">
        <v>72.552599000000001</v>
      </c>
      <c r="Q2010" s="2">
        <v>23.036795999999999</v>
      </c>
    </row>
    <row r="2011" spans="1:17" x14ac:dyDescent="0.25">
      <c r="A2011" s="2">
        <v>2189</v>
      </c>
      <c r="B2011" s="2" t="s">
        <v>111</v>
      </c>
      <c r="C2011" s="2">
        <v>2</v>
      </c>
      <c r="D2011" s="2">
        <f t="shared" si="310"/>
        <v>5.08</v>
      </c>
      <c r="E2011" s="2">
        <f t="shared" si="311"/>
        <v>1.6170142218136567</v>
      </c>
      <c r="F2011" s="2">
        <f t="shared" si="312"/>
        <v>0.63661977236758138</v>
      </c>
      <c r="G2011" s="2">
        <v>6.0126840000000001</v>
      </c>
      <c r="H2011" s="2">
        <f t="shared" si="313"/>
        <v>19.72665417456</v>
      </c>
      <c r="I2011" s="2">
        <f>INDEX('Wood Density Lookup'!$B$2:$B$152,MATCH(B2011,'Wood Density Lookup'!$A$2:$A$152,0))</f>
        <v>0.4</v>
      </c>
      <c r="J2011" s="2">
        <f t="shared" si="314"/>
        <v>0.40495407108735687</v>
      </c>
      <c r="K2011" s="2">
        <f t="shared" si="318"/>
        <v>0.11338713990445994</v>
      </c>
      <c r="L2011" s="2">
        <f t="shared" si="319"/>
        <v>0.51834121099181685</v>
      </c>
      <c r="M2011" s="2">
        <f t="shared" si="315"/>
        <v>0.3757973779690672</v>
      </c>
      <c r="N2011" s="2">
        <f t="shared" si="316"/>
        <v>0.1878986889845336</v>
      </c>
      <c r="O2011" s="2">
        <f t="shared" si="317"/>
        <v>0.68958818857323834</v>
      </c>
      <c r="P2011" s="2">
        <v>72.552599000000001</v>
      </c>
      <c r="Q2011" s="2">
        <v>23.037299000000001</v>
      </c>
    </row>
    <row r="2012" spans="1:17" x14ac:dyDescent="0.25">
      <c r="A2012" s="2">
        <v>2190</v>
      </c>
      <c r="B2012" s="2" t="s">
        <v>111</v>
      </c>
      <c r="C2012" s="2">
        <v>5</v>
      </c>
      <c r="D2012" s="2">
        <f t="shared" si="310"/>
        <v>12.7</v>
      </c>
      <c r="E2012" s="2">
        <f t="shared" si="311"/>
        <v>4.0425355545341413</v>
      </c>
      <c r="F2012" s="2">
        <f t="shared" si="312"/>
        <v>1.5915494309189535</v>
      </c>
      <c r="G2012" s="2">
        <v>6.2125000000000004</v>
      </c>
      <c r="H2012" s="2">
        <f t="shared" si="313"/>
        <v>20.3822185</v>
      </c>
      <c r="I2012" s="2">
        <f>INDEX('Wood Density Lookup'!$B$2:$B$152,MATCH(B2012,'Wood Density Lookup'!$A$2:$A$152,0))</f>
        <v>0.4</v>
      </c>
      <c r="J2012" s="2">
        <f t="shared" si="314"/>
        <v>2.5005868078043538</v>
      </c>
      <c r="K2012" s="2">
        <f t="shared" si="318"/>
        <v>0.70016430618521919</v>
      </c>
      <c r="L2012" s="2">
        <f t="shared" si="319"/>
        <v>3.2007511139895728</v>
      </c>
      <c r="M2012" s="2">
        <f t="shared" si="315"/>
        <v>2.3205445576424402</v>
      </c>
      <c r="N2012" s="2">
        <f t="shared" si="316"/>
        <v>1.1602722788212201</v>
      </c>
      <c r="O2012" s="2">
        <f t="shared" si="317"/>
        <v>4.2581992632738777</v>
      </c>
      <c r="P2012" s="2">
        <v>72.552599000000001</v>
      </c>
      <c r="Q2012" s="2">
        <v>23.037306999999998</v>
      </c>
    </row>
    <row r="2013" spans="1:17" x14ac:dyDescent="0.25">
      <c r="A2013" s="2">
        <v>2191</v>
      </c>
      <c r="B2013" s="2" t="s">
        <v>111</v>
      </c>
      <c r="C2013" s="2">
        <v>4</v>
      </c>
      <c r="D2013" s="2">
        <f t="shared" si="310"/>
        <v>10.16</v>
      </c>
      <c r="E2013" s="2">
        <f t="shared" si="311"/>
        <v>3.2340284436273135</v>
      </c>
      <c r="F2013" s="2">
        <f t="shared" si="312"/>
        <v>1.2732395447351628</v>
      </c>
      <c r="G2013" s="2">
        <v>5.502847</v>
      </c>
      <c r="H2013" s="2">
        <f t="shared" si="313"/>
        <v>18.053960551479999</v>
      </c>
      <c r="I2013" s="2">
        <f>INDEX('Wood Density Lookup'!$B$2:$B$152,MATCH(B2013,'Wood Density Lookup'!$A$2:$A$152,0))</f>
        <v>0.4</v>
      </c>
      <c r="J2013" s="2">
        <f t="shared" si="314"/>
        <v>1.4370071254745553</v>
      </c>
      <c r="K2013" s="2">
        <f t="shared" si="318"/>
        <v>0.40236199513287552</v>
      </c>
      <c r="L2013" s="2">
        <f t="shared" si="319"/>
        <v>1.8393691206074307</v>
      </c>
      <c r="M2013" s="2">
        <f t="shared" si="315"/>
        <v>1.3335426124403873</v>
      </c>
      <c r="N2013" s="2">
        <f t="shared" si="316"/>
        <v>0.66677130622019365</v>
      </c>
      <c r="O2013" s="2">
        <f t="shared" si="317"/>
        <v>2.4470506938281105</v>
      </c>
      <c r="P2013" s="2">
        <v>72.552599999999998</v>
      </c>
      <c r="Q2013" s="2">
        <v>23.037292000000001</v>
      </c>
    </row>
    <row r="2014" spans="1:17" x14ac:dyDescent="0.25">
      <c r="A2014" s="2">
        <v>2192</v>
      </c>
      <c r="B2014" s="2" t="s">
        <v>17</v>
      </c>
      <c r="C2014" s="2">
        <v>13</v>
      </c>
      <c r="D2014" s="2">
        <f t="shared" si="310"/>
        <v>33.020000000000003</v>
      </c>
      <c r="E2014" s="2">
        <f t="shared" si="311"/>
        <v>10.51059244178877</v>
      </c>
      <c r="F2014" s="2">
        <f t="shared" si="312"/>
        <v>4.1380285203892786</v>
      </c>
      <c r="G2014" s="2">
        <v>8.6024750000000001</v>
      </c>
      <c r="H2014" s="2">
        <f t="shared" si="313"/>
        <v>28.223344079</v>
      </c>
      <c r="I2014" s="2">
        <f>INDEX('Wood Density Lookup'!$B$2:$B$152,MATCH(B2014,'Wood Density Lookup'!$A$2:$A$152,0))</f>
        <v>0.75</v>
      </c>
      <c r="J2014" s="2">
        <f t="shared" si="314"/>
        <v>40.971663901166757</v>
      </c>
      <c r="K2014" s="2">
        <f t="shared" si="318"/>
        <v>11.472065892326693</v>
      </c>
      <c r="L2014" s="2">
        <f t="shared" si="319"/>
        <v>52.443729793493446</v>
      </c>
      <c r="M2014" s="2">
        <f t="shared" si="315"/>
        <v>38.021704100282747</v>
      </c>
      <c r="N2014" s="2">
        <f t="shared" si="316"/>
        <v>19.010852050141374</v>
      </c>
      <c r="O2014" s="2">
        <f t="shared" si="317"/>
        <v>69.769827024018838</v>
      </c>
      <c r="P2014" s="2">
        <v>72.552600999999996</v>
      </c>
      <c r="Q2014" s="2">
        <v>23.037255999999999</v>
      </c>
    </row>
    <row r="2015" spans="1:17" x14ac:dyDescent="0.25">
      <c r="A2015" s="2">
        <v>2193</v>
      </c>
      <c r="B2015" s="2" t="s">
        <v>111</v>
      </c>
      <c r="C2015" s="2">
        <v>4</v>
      </c>
      <c r="D2015" s="2">
        <f t="shared" si="310"/>
        <v>10.16</v>
      </c>
      <c r="E2015" s="2">
        <f t="shared" si="311"/>
        <v>3.2340284436273135</v>
      </c>
      <c r="F2015" s="2">
        <f t="shared" si="312"/>
        <v>1.2732395447351628</v>
      </c>
      <c r="G2015" s="2">
        <v>6.836843</v>
      </c>
      <c r="H2015" s="2">
        <f t="shared" si="313"/>
        <v>22.430587988119999</v>
      </c>
      <c r="I2015" s="2">
        <f>INDEX('Wood Density Lookup'!$B$2:$B$152,MATCH(B2015,'Wood Density Lookup'!$A$2:$A$152,0))</f>
        <v>0.4</v>
      </c>
      <c r="J2015" s="2">
        <f t="shared" si="314"/>
        <v>1.7760887138768537</v>
      </c>
      <c r="K2015" s="2">
        <f t="shared" si="318"/>
        <v>0.4973048398855191</v>
      </c>
      <c r="L2015" s="2">
        <f t="shared" si="319"/>
        <v>2.2733935537623728</v>
      </c>
      <c r="M2015" s="2">
        <f t="shared" si="315"/>
        <v>1.6482103264777204</v>
      </c>
      <c r="N2015" s="2">
        <f t="shared" si="316"/>
        <v>0.82410516323886018</v>
      </c>
      <c r="O2015" s="2">
        <f t="shared" si="317"/>
        <v>3.024465949086617</v>
      </c>
      <c r="P2015" s="2">
        <v>72.552600999999996</v>
      </c>
      <c r="Q2015" s="2">
        <v>23.037233000000001</v>
      </c>
    </row>
    <row r="2016" spans="1:17" x14ac:dyDescent="0.25">
      <c r="A2016" s="2">
        <v>2194</v>
      </c>
      <c r="B2016" s="2" t="s">
        <v>115</v>
      </c>
      <c r="C2016" s="2">
        <v>32</v>
      </c>
      <c r="D2016" s="2">
        <f t="shared" si="310"/>
        <v>81.28</v>
      </c>
      <c r="E2016" s="2">
        <f t="shared" si="311"/>
        <v>25.872227549018508</v>
      </c>
      <c r="F2016" s="2">
        <f t="shared" si="312"/>
        <v>10.185916357881302</v>
      </c>
      <c r="G2016" s="2">
        <v>10.290307</v>
      </c>
      <c r="H2016" s="2">
        <f t="shared" si="313"/>
        <v>33.760850817879998</v>
      </c>
      <c r="I2016" s="2">
        <f>INDEX('Wood Density Lookup'!$B$2:$B$152,MATCH(B2016,'Wood Density Lookup'!$A$2:$A$152,0))</f>
        <v>0.65</v>
      </c>
      <c r="J2016" s="2">
        <f t="shared" si="314"/>
        <v>246.26357114740784</v>
      </c>
      <c r="K2016" s="2">
        <f t="shared" si="318"/>
        <v>68.953799921274197</v>
      </c>
      <c r="L2016" s="2">
        <f t="shared" si="319"/>
        <v>315.21737106868204</v>
      </c>
      <c r="M2016" s="2">
        <f t="shared" si="315"/>
        <v>228.53259402479446</v>
      </c>
      <c r="N2016" s="2">
        <f t="shared" si="316"/>
        <v>114.26629701239723</v>
      </c>
      <c r="O2016" s="2">
        <f t="shared" si="317"/>
        <v>419.35731003549785</v>
      </c>
      <c r="P2016" s="2">
        <v>72.552601999999993</v>
      </c>
      <c r="Q2016" s="2">
        <v>23.038722</v>
      </c>
    </row>
    <row r="2017" spans="1:17" x14ac:dyDescent="0.25">
      <c r="A2017" s="2">
        <v>2195</v>
      </c>
      <c r="B2017" s="2" t="s">
        <v>15</v>
      </c>
      <c r="C2017" s="2">
        <v>20</v>
      </c>
      <c r="D2017" s="2">
        <f t="shared" si="310"/>
        <v>50.8</v>
      </c>
      <c r="E2017" s="2">
        <f t="shared" si="311"/>
        <v>16.170142218136565</v>
      </c>
      <c r="F2017" s="2">
        <f t="shared" si="312"/>
        <v>6.366197723675814</v>
      </c>
      <c r="G2017" s="2">
        <v>10.290307</v>
      </c>
      <c r="H2017" s="2">
        <f t="shared" si="313"/>
        <v>33.760850817879998</v>
      </c>
      <c r="I2017" s="2">
        <f>INDEX('Wood Density Lookup'!$B$2:$B$152,MATCH(B2017,'Wood Density Lookup'!$A$2:$A$152,0))</f>
        <v>0.75</v>
      </c>
      <c r="J2017" s="2">
        <f t="shared" si="314"/>
        <v>113.1395179095353</v>
      </c>
      <c r="K2017" s="2">
        <f t="shared" si="318"/>
        <v>31.679065014669888</v>
      </c>
      <c r="L2017" s="2">
        <f t="shared" si="319"/>
        <v>144.8185829242052</v>
      </c>
      <c r="M2017" s="2">
        <f t="shared" si="315"/>
        <v>104.99347262004876</v>
      </c>
      <c r="N2017" s="2">
        <f t="shared" si="316"/>
        <v>52.496736310024382</v>
      </c>
      <c r="O2017" s="2">
        <f t="shared" si="317"/>
        <v>192.66302225778946</v>
      </c>
      <c r="P2017" s="2">
        <v>72.552601999999993</v>
      </c>
      <c r="Q2017" s="2">
        <v>23.038722</v>
      </c>
    </row>
    <row r="2018" spans="1:17" x14ac:dyDescent="0.25">
      <c r="A2018" s="2">
        <v>2196</v>
      </c>
      <c r="B2018" s="2" t="s">
        <v>111</v>
      </c>
      <c r="C2018" s="2">
        <v>2</v>
      </c>
      <c r="D2018" s="2">
        <f t="shared" si="310"/>
        <v>5.08</v>
      </c>
      <c r="E2018" s="2">
        <f t="shared" si="311"/>
        <v>1.6170142218136567</v>
      </c>
      <c r="F2018" s="2">
        <f t="shared" si="312"/>
        <v>0.63661977236758138</v>
      </c>
      <c r="G2018" s="2">
        <v>4.8575910000000002</v>
      </c>
      <c r="H2018" s="2">
        <f t="shared" si="313"/>
        <v>15.936978856440001</v>
      </c>
      <c r="I2018" s="2">
        <f>INDEX('Wood Density Lookup'!$B$2:$B$152,MATCH(B2018,'Wood Density Lookup'!$A$2:$A$152,0))</f>
        <v>0.4</v>
      </c>
      <c r="J2018" s="2">
        <f t="shared" si="314"/>
        <v>0.32883790537819207</v>
      </c>
      <c r="K2018" s="2">
        <f t="shared" si="318"/>
        <v>9.2074613505893785E-2</v>
      </c>
      <c r="L2018" s="2">
        <f t="shared" si="319"/>
        <v>0.42091251888408587</v>
      </c>
      <c r="M2018" s="2">
        <f t="shared" si="315"/>
        <v>0.30516157619096224</v>
      </c>
      <c r="N2018" s="2">
        <f t="shared" si="316"/>
        <v>0.15258078809548112</v>
      </c>
      <c r="O2018" s="2">
        <f t="shared" si="317"/>
        <v>0.55997149231041565</v>
      </c>
      <c r="P2018" s="2">
        <v>72.552601999999993</v>
      </c>
      <c r="Q2018" s="2">
        <v>23.037284</v>
      </c>
    </row>
    <row r="2019" spans="1:17" x14ac:dyDescent="0.25">
      <c r="A2019" s="2">
        <v>2197</v>
      </c>
      <c r="B2019" s="2" t="s">
        <v>114</v>
      </c>
      <c r="C2019" s="2">
        <v>31</v>
      </c>
      <c r="D2019" s="2">
        <f t="shared" si="310"/>
        <v>78.739999999999995</v>
      </c>
      <c r="E2019" s="2">
        <f t="shared" si="311"/>
        <v>25.063720438111677</v>
      </c>
      <c r="F2019" s="2">
        <f t="shared" si="312"/>
        <v>9.8676064716975116</v>
      </c>
      <c r="G2019" s="2">
        <v>12.380043000000001</v>
      </c>
      <c r="H2019" s="2">
        <f t="shared" si="313"/>
        <v>40.616940276120005</v>
      </c>
      <c r="I2019" s="2">
        <f>INDEX('Wood Density Lookup'!$B$2:$B$152,MATCH(B2019,'Wood Density Lookup'!$A$2:$A$152,0))</f>
        <v>0.55000000000000004</v>
      </c>
      <c r="J2019" s="2">
        <f t="shared" si="314"/>
        <v>235.5281171857564</v>
      </c>
      <c r="K2019" s="2">
        <f t="shared" si="318"/>
        <v>65.947872812011795</v>
      </c>
      <c r="L2019" s="2">
        <f t="shared" si="319"/>
        <v>301.47598999776818</v>
      </c>
      <c r="M2019" s="2">
        <f t="shared" si="315"/>
        <v>218.57009274838194</v>
      </c>
      <c r="N2019" s="2">
        <f t="shared" si="316"/>
        <v>109.28504637419097</v>
      </c>
      <c r="O2019" s="2">
        <f t="shared" si="317"/>
        <v>401.07612019328087</v>
      </c>
      <c r="P2019" s="2">
        <v>72.552603000000005</v>
      </c>
      <c r="Q2019" s="2">
        <v>23.035464999999999</v>
      </c>
    </row>
    <row r="2020" spans="1:17" x14ac:dyDescent="0.25">
      <c r="A2020" s="2">
        <v>2198</v>
      </c>
      <c r="B2020" s="2" t="s">
        <v>111</v>
      </c>
      <c r="C2020" s="2">
        <v>4</v>
      </c>
      <c r="D2020" s="2">
        <f t="shared" si="310"/>
        <v>10.16</v>
      </c>
      <c r="E2020" s="2">
        <f t="shared" si="311"/>
        <v>3.2340284436273135</v>
      </c>
      <c r="F2020" s="2">
        <f t="shared" si="312"/>
        <v>1.2732395447351628</v>
      </c>
      <c r="G2020" s="2">
        <v>5.4997249999999998</v>
      </c>
      <c r="H2020" s="2">
        <f t="shared" si="313"/>
        <v>18.043717769000001</v>
      </c>
      <c r="I2020" s="2">
        <f>INDEX('Wood Density Lookup'!$B$2:$B$152,MATCH(B2020,'Wood Density Lookup'!$A$2:$A$152,0))</f>
        <v>0.4</v>
      </c>
      <c r="J2020" s="2">
        <f t="shared" si="314"/>
        <v>1.4362114111848348</v>
      </c>
      <c r="K2020" s="2">
        <f t="shared" si="318"/>
        <v>0.40213919513175378</v>
      </c>
      <c r="L2020" s="2">
        <f t="shared" si="319"/>
        <v>1.8383506063165886</v>
      </c>
      <c r="M2020" s="2">
        <f t="shared" si="315"/>
        <v>1.3328041895795266</v>
      </c>
      <c r="N2020" s="2">
        <f t="shared" si="316"/>
        <v>0.66640209478976331</v>
      </c>
      <c r="O2020" s="2">
        <f t="shared" si="317"/>
        <v>2.4456956878784313</v>
      </c>
      <c r="P2020" s="2">
        <v>72.552604000000002</v>
      </c>
      <c r="Q2020" s="2">
        <v>23.037220999999999</v>
      </c>
    </row>
    <row r="2021" spans="1:17" x14ac:dyDescent="0.25">
      <c r="A2021" s="2">
        <v>2199</v>
      </c>
      <c r="B2021" s="2" t="s">
        <v>111</v>
      </c>
      <c r="C2021" s="2">
        <v>2</v>
      </c>
      <c r="D2021" s="2">
        <f t="shared" si="310"/>
        <v>5.08</v>
      </c>
      <c r="E2021" s="2">
        <f t="shared" si="311"/>
        <v>1.6170142218136567</v>
      </c>
      <c r="F2021" s="2">
        <f t="shared" si="312"/>
        <v>0.63661977236758138</v>
      </c>
      <c r="G2021" s="2">
        <v>5.3463700000000003</v>
      </c>
      <c r="H2021" s="2">
        <f t="shared" si="313"/>
        <v>17.540584550800002</v>
      </c>
      <c r="I2021" s="2">
        <f>INDEX('Wood Density Lookup'!$B$2:$B$152,MATCH(B2021,'Wood Density Lookup'!$A$2:$A$152,0))</f>
        <v>0.4</v>
      </c>
      <c r="J2021" s="2">
        <f t="shared" si="314"/>
        <v>0.36109429380867925</v>
      </c>
      <c r="K2021" s="2">
        <f t="shared" si="318"/>
        <v>0.1011064022664302</v>
      </c>
      <c r="L2021" s="2">
        <f t="shared" si="319"/>
        <v>0.46220069607510944</v>
      </c>
      <c r="M2021" s="2">
        <f t="shared" si="315"/>
        <v>0.33509550465445431</v>
      </c>
      <c r="N2021" s="2">
        <f t="shared" si="316"/>
        <v>0.16754775232722716</v>
      </c>
      <c r="O2021" s="2">
        <f t="shared" si="317"/>
        <v>0.61490025104092361</v>
      </c>
      <c r="P2021" s="2">
        <v>72.552605999999997</v>
      </c>
      <c r="Q2021" s="2">
        <v>23.037212</v>
      </c>
    </row>
    <row r="2022" spans="1:17" x14ac:dyDescent="0.25">
      <c r="A2022" s="2">
        <v>2200</v>
      </c>
      <c r="B2022" s="2" t="s">
        <v>111</v>
      </c>
      <c r="C2022" s="2">
        <v>2</v>
      </c>
      <c r="D2022" s="2">
        <f t="shared" si="310"/>
        <v>5.08</v>
      </c>
      <c r="E2022" s="2">
        <f t="shared" si="311"/>
        <v>1.6170142218136567</v>
      </c>
      <c r="F2022" s="2">
        <f t="shared" si="312"/>
        <v>0.63661977236758138</v>
      </c>
      <c r="G2022" s="2">
        <v>7.9909619999999997</v>
      </c>
      <c r="H2022" s="2">
        <f t="shared" si="313"/>
        <v>26.21706776808</v>
      </c>
      <c r="I2022" s="2">
        <f>INDEX('Wood Density Lookup'!$B$2:$B$152,MATCH(B2022,'Wood Density Lookup'!$A$2:$A$152,0))</f>
        <v>0.4</v>
      </c>
      <c r="J2022" s="2">
        <f t="shared" si="314"/>
        <v>0.53452954940994368</v>
      </c>
      <c r="K2022" s="2">
        <f t="shared" si="318"/>
        <v>0.14966827383478423</v>
      </c>
      <c r="L2022" s="2">
        <f t="shared" si="319"/>
        <v>0.68419782324472789</v>
      </c>
      <c r="M2022" s="2">
        <f t="shared" si="315"/>
        <v>0.49604342185242772</v>
      </c>
      <c r="N2022" s="2">
        <f t="shared" si="316"/>
        <v>0.24802171092621386</v>
      </c>
      <c r="O2022" s="2">
        <f t="shared" si="317"/>
        <v>0.91023967909920489</v>
      </c>
      <c r="P2022" s="2">
        <v>72.552605999999997</v>
      </c>
      <c r="Q2022" s="2">
        <v>23.037272000000002</v>
      </c>
    </row>
    <row r="2023" spans="1:17" x14ac:dyDescent="0.25">
      <c r="A2023" s="2">
        <v>2201</v>
      </c>
      <c r="B2023" s="2" t="s">
        <v>9</v>
      </c>
      <c r="C2023" s="2">
        <v>18</v>
      </c>
      <c r="D2023" s="2">
        <f t="shared" si="310"/>
        <v>45.72</v>
      </c>
      <c r="E2023" s="2">
        <f t="shared" si="311"/>
        <v>14.55312799632291</v>
      </c>
      <c r="F2023" s="2">
        <f t="shared" si="312"/>
        <v>5.7295779513082321</v>
      </c>
      <c r="G2023" s="2">
        <v>10.832473999999999</v>
      </c>
      <c r="H2023" s="2">
        <f t="shared" si="313"/>
        <v>35.53961399816</v>
      </c>
      <c r="I2023" s="2">
        <f>INDEX('Wood Density Lookup'!$B$2:$B$152,MATCH(B2023,'Wood Density Lookup'!$A$2:$A$152,0))</f>
        <v>0.42</v>
      </c>
      <c r="J2023" s="2">
        <f t="shared" si="314"/>
        <v>54.990966981997829</v>
      </c>
      <c r="K2023" s="2">
        <f t="shared" si="318"/>
        <v>15.397470754959393</v>
      </c>
      <c r="L2023" s="2">
        <f t="shared" si="319"/>
        <v>70.388437736957229</v>
      </c>
      <c r="M2023" s="2">
        <f t="shared" si="315"/>
        <v>51.031617359293989</v>
      </c>
      <c r="N2023" s="2">
        <f t="shared" si="316"/>
        <v>25.515808679646995</v>
      </c>
      <c r="O2023" s="2">
        <f t="shared" si="317"/>
        <v>93.643017854304475</v>
      </c>
      <c r="P2023" s="2">
        <v>72.552606999999995</v>
      </c>
      <c r="Q2023" s="2">
        <v>23.035498</v>
      </c>
    </row>
    <row r="2024" spans="1:17" x14ac:dyDescent="0.25">
      <c r="A2024" s="2">
        <v>2202</v>
      </c>
      <c r="B2024" s="2" t="s">
        <v>111</v>
      </c>
      <c r="C2024" s="2">
        <v>2</v>
      </c>
      <c r="D2024" s="2">
        <f t="shared" si="310"/>
        <v>5.08</v>
      </c>
      <c r="E2024" s="2">
        <f t="shared" si="311"/>
        <v>1.6170142218136567</v>
      </c>
      <c r="F2024" s="2">
        <f t="shared" si="312"/>
        <v>0.63661977236758138</v>
      </c>
      <c r="G2024" s="2">
        <v>5.0046039999999996</v>
      </c>
      <c r="H2024" s="2">
        <f t="shared" si="313"/>
        <v>16.41930498736</v>
      </c>
      <c r="I2024" s="2">
        <f>INDEX('Wood Density Lookup'!$B$2:$B$152,MATCH(B2024,'Wood Density Lookup'!$A$2:$A$152,0))</f>
        <v>0.4</v>
      </c>
      <c r="J2024" s="2">
        <f t="shared" si="314"/>
        <v>0.33854770656305888</v>
      </c>
      <c r="K2024" s="2">
        <f t="shared" si="318"/>
        <v>9.4793357837656494E-2</v>
      </c>
      <c r="L2024" s="2">
        <f t="shared" si="319"/>
        <v>0.4333410644007154</v>
      </c>
      <c r="M2024" s="2">
        <f t="shared" si="315"/>
        <v>0.31417227169051865</v>
      </c>
      <c r="N2024" s="2">
        <f t="shared" si="316"/>
        <v>0.15708613584525932</v>
      </c>
      <c r="O2024" s="2">
        <f t="shared" si="317"/>
        <v>0.57650611855210165</v>
      </c>
      <c r="P2024" s="2">
        <v>72.552606999999995</v>
      </c>
      <c r="Q2024" s="2">
        <v>23.037205</v>
      </c>
    </row>
    <row r="2025" spans="1:17" x14ac:dyDescent="0.25">
      <c r="A2025" s="2">
        <v>2203</v>
      </c>
      <c r="B2025" s="2" t="s">
        <v>111</v>
      </c>
      <c r="C2025" s="2">
        <v>3</v>
      </c>
      <c r="D2025" s="2">
        <f t="shared" si="310"/>
        <v>7.62</v>
      </c>
      <c r="E2025" s="2">
        <f t="shared" si="311"/>
        <v>2.4255213327204852</v>
      </c>
      <c r="F2025" s="2">
        <f t="shared" si="312"/>
        <v>0.95492965855137202</v>
      </c>
      <c r="G2025" s="2">
        <v>5.1511719999999999</v>
      </c>
      <c r="H2025" s="2">
        <f t="shared" si="313"/>
        <v>16.900171144479998</v>
      </c>
      <c r="I2025" s="2">
        <f>INDEX('Wood Density Lookup'!$B$2:$B$152,MATCH(B2025,'Wood Density Lookup'!$A$2:$A$152,0))</f>
        <v>0.4</v>
      </c>
      <c r="J2025" s="2">
        <f t="shared" si="314"/>
        <v>0.76839667071647177</v>
      </c>
      <c r="K2025" s="2">
        <f t="shared" si="318"/>
        <v>0.21515106780061211</v>
      </c>
      <c r="L2025" s="2">
        <f t="shared" si="319"/>
        <v>0.98354773851708388</v>
      </c>
      <c r="M2025" s="2">
        <f t="shared" si="315"/>
        <v>0.71307211042488583</v>
      </c>
      <c r="N2025" s="2">
        <f t="shared" si="316"/>
        <v>0.35653605521244291</v>
      </c>
      <c r="O2025" s="2">
        <f t="shared" si="317"/>
        <v>1.3084873226296654</v>
      </c>
      <c r="P2025" s="2">
        <v>72.552606999999995</v>
      </c>
      <c r="Q2025" s="2">
        <v>23.037199000000001</v>
      </c>
    </row>
    <row r="2026" spans="1:17" x14ac:dyDescent="0.25">
      <c r="A2026" s="2">
        <v>2204</v>
      </c>
      <c r="B2026" s="2" t="s">
        <v>111</v>
      </c>
      <c r="C2026" s="2">
        <v>4</v>
      </c>
      <c r="D2026" s="2">
        <f t="shared" si="310"/>
        <v>10.16</v>
      </c>
      <c r="E2026" s="2">
        <f t="shared" si="311"/>
        <v>3.2340284436273135</v>
      </c>
      <c r="F2026" s="2">
        <f t="shared" si="312"/>
        <v>1.2732395447351628</v>
      </c>
      <c r="G2026" s="2">
        <v>7.3399599999999996</v>
      </c>
      <c r="H2026" s="2">
        <f t="shared" si="313"/>
        <v>24.081234366399997</v>
      </c>
      <c r="I2026" s="2">
        <f>INDEX('Wood Density Lookup'!$B$2:$B$152,MATCH(B2026,'Wood Density Lookup'!$A$2:$A$152,0))</f>
        <v>0.4</v>
      </c>
      <c r="J2026" s="2">
        <f t="shared" si="314"/>
        <v>1.9035427150310411</v>
      </c>
      <c r="K2026" s="2">
        <f t="shared" si="318"/>
        <v>0.53299196020869155</v>
      </c>
      <c r="L2026" s="2">
        <f t="shared" si="319"/>
        <v>2.4365346752397326</v>
      </c>
      <c r="M2026" s="2">
        <f t="shared" si="315"/>
        <v>1.7664876395488061</v>
      </c>
      <c r="N2026" s="2">
        <f t="shared" si="316"/>
        <v>0.88324381977440303</v>
      </c>
      <c r="O2026" s="2">
        <f t="shared" si="317"/>
        <v>3.241504818572059</v>
      </c>
      <c r="P2026" s="2">
        <v>72.552608000000006</v>
      </c>
      <c r="Q2026" s="2">
        <v>23.037244000000001</v>
      </c>
    </row>
    <row r="2027" spans="1:17" x14ac:dyDescent="0.25">
      <c r="A2027" s="2">
        <v>2205</v>
      </c>
      <c r="B2027" s="2" t="s">
        <v>111</v>
      </c>
      <c r="C2027" s="2">
        <v>5</v>
      </c>
      <c r="D2027" s="2">
        <f t="shared" si="310"/>
        <v>12.7</v>
      </c>
      <c r="E2027" s="2">
        <f t="shared" si="311"/>
        <v>4.0425355545341413</v>
      </c>
      <c r="F2027" s="2">
        <f t="shared" si="312"/>
        <v>1.5915494309189535</v>
      </c>
      <c r="G2027" s="2">
        <v>8.7013569999999998</v>
      </c>
      <c r="H2027" s="2">
        <f t="shared" si="313"/>
        <v>28.547760099879998</v>
      </c>
      <c r="I2027" s="2">
        <f>INDEX('Wood Density Lookup'!$B$2:$B$152,MATCH(B2027,'Wood Density Lookup'!$A$2:$A$152,0))</f>
        <v>0.4</v>
      </c>
      <c r="J2027" s="2">
        <f t="shared" si="314"/>
        <v>3.4741680912701871</v>
      </c>
      <c r="K2027" s="2">
        <f t="shared" si="318"/>
        <v>0.97276706555565251</v>
      </c>
      <c r="L2027" s="2">
        <f t="shared" si="319"/>
        <v>4.4469351568258393</v>
      </c>
      <c r="M2027" s="2">
        <f t="shared" si="315"/>
        <v>3.2240279886987335</v>
      </c>
      <c r="N2027" s="2">
        <f t="shared" si="316"/>
        <v>1.6120139943493668</v>
      </c>
      <c r="O2027" s="2">
        <f t="shared" si="317"/>
        <v>5.9160913592621762</v>
      </c>
      <c r="P2027" s="2">
        <v>72.552608000000006</v>
      </c>
      <c r="Q2027" s="2">
        <v>23.037261000000001</v>
      </c>
    </row>
    <row r="2028" spans="1:17" x14ac:dyDescent="0.25">
      <c r="A2028" s="2">
        <v>2206</v>
      </c>
      <c r="B2028" s="2" t="s">
        <v>111</v>
      </c>
      <c r="C2028" s="2">
        <v>4</v>
      </c>
      <c r="D2028" s="2">
        <f t="shared" si="310"/>
        <v>10.16</v>
      </c>
      <c r="E2028" s="2">
        <f t="shared" si="311"/>
        <v>3.2340284436273135</v>
      </c>
      <c r="F2028" s="2">
        <f t="shared" si="312"/>
        <v>1.2732395447351628</v>
      </c>
      <c r="G2028" s="2">
        <v>5.0031660000000002</v>
      </c>
      <c r="H2028" s="2">
        <f t="shared" si="313"/>
        <v>16.414587139440002</v>
      </c>
      <c r="I2028" s="2">
        <f>INDEX('Wood Density Lookup'!$B$2:$B$152,MATCH(B2028,'Wood Density Lookup'!$A$2:$A$152,0))</f>
        <v>0.4</v>
      </c>
      <c r="J2028" s="2">
        <f t="shared" si="314"/>
        <v>1.3095093897400232</v>
      </c>
      <c r="K2028" s="2">
        <f t="shared" si="318"/>
        <v>0.36666262912720654</v>
      </c>
      <c r="L2028" s="2">
        <f t="shared" si="319"/>
        <v>1.6761720188672298</v>
      </c>
      <c r="M2028" s="2">
        <f t="shared" si="315"/>
        <v>1.2152247136787415</v>
      </c>
      <c r="N2028" s="2">
        <f t="shared" si="316"/>
        <v>0.60761235683937076</v>
      </c>
      <c r="O2028" s="2">
        <f t="shared" si="317"/>
        <v>2.2299373496004908</v>
      </c>
      <c r="P2028" s="2">
        <v>72.552610000000001</v>
      </c>
      <c r="Q2028" s="2">
        <v>23.037191</v>
      </c>
    </row>
    <row r="2029" spans="1:17" x14ac:dyDescent="0.25">
      <c r="A2029" s="2">
        <v>2207</v>
      </c>
      <c r="B2029" s="2" t="s">
        <v>111</v>
      </c>
      <c r="C2029" s="2">
        <v>3</v>
      </c>
      <c r="D2029" s="2">
        <f t="shared" si="310"/>
        <v>7.62</v>
      </c>
      <c r="E2029" s="2">
        <f t="shared" si="311"/>
        <v>2.4255213327204852</v>
      </c>
      <c r="F2029" s="2">
        <f t="shared" si="312"/>
        <v>0.95492965855137202</v>
      </c>
      <c r="G2029" s="2">
        <v>4.5241059999999997</v>
      </c>
      <c r="H2029" s="2">
        <f t="shared" si="313"/>
        <v>14.842867929039999</v>
      </c>
      <c r="I2029" s="2">
        <f>INDEX('Wood Density Lookup'!$B$2:$B$152,MATCH(B2029,'Wood Density Lookup'!$A$2:$A$152,0))</f>
        <v>0.4</v>
      </c>
      <c r="J2029" s="2">
        <f t="shared" si="314"/>
        <v>0.67696334465732833</v>
      </c>
      <c r="K2029" s="2">
        <f t="shared" si="318"/>
        <v>0.18954973650405194</v>
      </c>
      <c r="L2029" s="2">
        <f t="shared" si="319"/>
        <v>0.86651308116138026</v>
      </c>
      <c r="M2029" s="2">
        <f t="shared" si="315"/>
        <v>0.62822198384200068</v>
      </c>
      <c r="N2029" s="2">
        <f t="shared" si="316"/>
        <v>0.31411099192100034</v>
      </c>
      <c r="O2029" s="2">
        <f t="shared" si="317"/>
        <v>1.1527873403500712</v>
      </c>
      <c r="P2029" s="2">
        <v>72.552611999999996</v>
      </c>
      <c r="Q2029" s="2">
        <v>23.037178000000001</v>
      </c>
    </row>
    <row r="2030" spans="1:17" x14ac:dyDescent="0.25">
      <c r="A2030" s="2">
        <v>2208</v>
      </c>
      <c r="B2030" s="2" t="s">
        <v>111</v>
      </c>
      <c r="C2030" s="2">
        <v>3</v>
      </c>
      <c r="D2030" s="2">
        <f t="shared" si="310"/>
        <v>7.62</v>
      </c>
      <c r="E2030" s="2">
        <f t="shared" si="311"/>
        <v>2.4255213327204852</v>
      </c>
      <c r="F2030" s="2">
        <f t="shared" si="312"/>
        <v>0.95492965855137202</v>
      </c>
      <c r="G2030" s="2">
        <v>4.8628299999999998</v>
      </c>
      <c r="H2030" s="2">
        <f t="shared" si="313"/>
        <v>15.954167177199999</v>
      </c>
      <c r="I2030" s="2">
        <f>INDEX('Wood Density Lookup'!$B$2:$B$152,MATCH(B2030,'Wood Density Lookup'!$A$2:$A$152,0))</f>
        <v>0.4</v>
      </c>
      <c r="J2030" s="2">
        <f t="shared" si="314"/>
        <v>0.72638842907947776</v>
      </c>
      <c r="K2030" s="2">
        <f t="shared" si="318"/>
        <v>0.20338876014225379</v>
      </c>
      <c r="L2030" s="2">
        <f t="shared" si="319"/>
        <v>0.92977718922173158</v>
      </c>
      <c r="M2030" s="2">
        <f t="shared" si="315"/>
        <v>0.67408846218575535</v>
      </c>
      <c r="N2030" s="2">
        <f t="shared" si="316"/>
        <v>0.33704423109287768</v>
      </c>
      <c r="O2030" s="2">
        <f t="shared" si="317"/>
        <v>1.236952328110861</v>
      </c>
      <c r="P2030" s="2">
        <v>72.552611999999996</v>
      </c>
      <c r="Q2030" s="2">
        <v>23.037185999999998</v>
      </c>
    </row>
    <row r="2031" spans="1:17" x14ac:dyDescent="0.25">
      <c r="A2031" s="2">
        <v>2209</v>
      </c>
      <c r="B2031" s="2" t="s">
        <v>111</v>
      </c>
      <c r="C2031" s="2">
        <v>3</v>
      </c>
      <c r="D2031" s="2">
        <f t="shared" si="310"/>
        <v>7.62</v>
      </c>
      <c r="E2031" s="2">
        <f t="shared" si="311"/>
        <v>2.4255213327204852</v>
      </c>
      <c r="F2031" s="2">
        <f t="shared" si="312"/>
        <v>0.95492965855137202</v>
      </c>
      <c r="G2031" s="2">
        <v>5.5175489999999998</v>
      </c>
      <c r="H2031" s="2">
        <f t="shared" si="313"/>
        <v>18.102195461160001</v>
      </c>
      <c r="I2031" s="2">
        <f>INDEX('Wood Density Lookup'!$B$2:$B$152,MATCH(B2031,'Wood Density Lookup'!$A$2:$A$152,0))</f>
        <v>0.4</v>
      </c>
      <c r="J2031" s="2">
        <f t="shared" si="314"/>
        <v>0.82169275597593416</v>
      </c>
      <c r="K2031" s="2">
        <f t="shared" si="318"/>
        <v>0.2300739716732616</v>
      </c>
      <c r="L2031" s="2">
        <f t="shared" si="319"/>
        <v>1.0517667276491958</v>
      </c>
      <c r="M2031" s="2">
        <f t="shared" si="315"/>
        <v>0.76253087754566695</v>
      </c>
      <c r="N2031" s="2">
        <f t="shared" si="316"/>
        <v>0.38126543877283348</v>
      </c>
      <c r="O2031" s="2">
        <f t="shared" si="317"/>
        <v>1.3992441602962988</v>
      </c>
      <c r="P2031" s="2">
        <v>72.552611999999996</v>
      </c>
      <c r="Q2031" s="2">
        <v>23.037227000000001</v>
      </c>
    </row>
    <row r="2032" spans="1:17" x14ac:dyDescent="0.25">
      <c r="A2032" s="2">
        <v>2210</v>
      </c>
      <c r="B2032" s="2" t="s">
        <v>111</v>
      </c>
      <c r="C2032" s="2">
        <v>9</v>
      </c>
      <c r="D2032" s="2">
        <f t="shared" si="310"/>
        <v>22.86</v>
      </c>
      <c r="E2032" s="2">
        <f t="shared" si="311"/>
        <v>7.2765639981614552</v>
      </c>
      <c r="F2032" s="2">
        <f t="shared" si="312"/>
        <v>2.8647889756541161</v>
      </c>
      <c r="G2032" s="2">
        <v>5.18093</v>
      </c>
      <c r="H2032" s="2">
        <f t="shared" si="313"/>
        <v>16.9978023812</v>
      </c>
      <c r="I2032" s="2">
        <f>INDEX('Wood Density Lookup'!$B$2:$B$152,MATCH(B2032,'Wood Density Lookup'!$A$2:$A$152,0))</f>
        <v>0.4</v>
      </c>
      <c r="J2032" s="2">
        <f t="shared" si="314"/>
        <v>6.5973237495467414</v>
      </c>
      <c r="K2032" s="2">
        <f t="shared" si="318"/>
        <v>1.8472506498730878</v>
      </c>
      <c r="L2032" s="2">
        <f t="shared" si="319"/>
        <v>8.4445743994198299</v>
      </c>
      <c r="M2032" s="2">
        <f t="shared" si="315"/>
        <v>6.1223164395793761</v>
      </c>
      <c r="N2032" s="2">
        <f t="shared" si="316"/>
        <v>3.0611582197896881</v>
      </c>
      <c r="O2032" s="2">
        <f t="shared" si="317"/>
        <v>11.234450666628154</v>
      </c>
      <c r="P2032" s="2">
        <v>72.552614000000005</v>
      </c>
      <c r="Q2032" s="2">
        <v>23.037209000000001</v>
      </c>
    </row>
    <row r="2033" spans="1:17" x14ac:dyDescent="0.25">
      <c r="A2033" s="2">
        <v>2211</v>
      </c>
      <c r="B2033" s="2" t="s">
        <v>114</v>
      </c>
      <c r="C2033" s="2">
        <v>27</v>
      </c>
      <c r="D2033" s="2">
        <f t="shared" si="310"/>
        <v>68.58</v>
      </c>
      <c r="E2033" s="2">
        <f t="shared" si="311"/>
        <v>21.829691994484364</v>
      </c>
      <c r="F2033" s="2">
        <f t="shared" si="312"/>
        <v>8.5943669269623477</v>
      </c>
      <c r="G2033" s="2">
        <v>8.347353</v>
      </c>
      <c r="H2033" s="2">
        <f t="shared" si="313"/>
        <v>27.386329616520001</v>
      </c>
      <c r="I2033" s="2">
        <f>INDEX('Wood Density Lookup'!$B$2:$B$152,MATCH(B2033,'Wood Density Lookup'!$A$2:$A$152,0))</f>
        <v>0.55000000000000004</v>
      </c>
      <c r="J2033" s="2">
        <f t="shared" si="314"/>
        <v>122.42259728744165</v>
      </c>
      <c r="K2033" s="2">
        <f t="shared" si="318"/>
        <v>34.278327240483662</v>
      </c>
      <c r="L2033" s="2">
        <f t="shared" si="319"/>
        <v>156.70092452792531</v>
      </c>
      <c r="M2033" s="2">
        <f t="shared" si="315"/>
        <v>113.60817028274585</v>
      </c>
      <c r="N2033" s="2">
        <f t="shared" si="316"/>
        <v>56.804085141372923</v>
      </c>
      <c r="O2033" s="2">
        <f t="shared" si="317"/>
        <v>208.47099246883863</v>
      </c>
      <c r="P2033" s="2">
        <v>72.552614000000005</v>
      </c>
      <c r="Q2033" s="2">
        <v>23.035443000000001</v>
      </c>
    </row>
    <row r="2034" spans="1:17" x14ac:dyDescent="0.25">
      <c r="A2034" s="2">
        <v>2212</v>
      </c>
      <c r="B2034" s="2" t="s">
        <v>111</v>
      </c>
      <c r="C2034" s="2">
        <v>3</v>
      </c>
      <c r="D2034" s="2">
        <f t="shared" si="310"/>
        <v>7.62</v>
      </c>
      <c r="E2034" s="2">
        <f t="shared" si="311"/>
        <v>2.4255213327204852</v>
      </c>
      <c r="F2034" s="2">
        <f t="shared" si="312"/>
        <v>0.95492965855137202</v>
      </c>
      <c r="G2034" s="2">
        <v>4.2497490000000004</v>
      </c>
      <c r="H2034" s="2">
        <f t="shared" si="313"/>
        <v>13.942746509160001</v>
      </c>
      <c r="I2034" s="2">
        <f>INDEX('Wood Density Lookup'!$B$2:$B$152,MATCH(B2034,'Wood Density Lookup'!$A$2:$A$152,0))</f>
        <v>0.4</v>
      </c>
      <c r="J2034" s="2">
        <f t="shared" si="314"/>
        <v>0.63686551004089387</v>
      </c>
      <c r="K2034" s="2">
        <f t="shared" si="318"/>
        <v>0.17832234281145029</v>
      </c>
      <c r="L2034" s="2">
        <f t="shared" si="319"/>
        <v>0.81518785285234419</v>
      </c>
      <c r="M2034" s="2">
        <f t="shared" si="315"/>
        <v>0.59101119331794949</v>
      </c>
      <c r="N2034" s="2">
        <f t="shared" si="316"/>
        <v>0.29550559665897475</v>
      </c>
      <c r="O2034" s="2">
        <f t="shared" si="317"/>
        <v>1.0845055397384373</v>
      </c>
      <c r="P2034" s="2">
        <v>72.552614000000005</v>
      </c>
      <c r="Q2034" s="2">
        <v>23.037168000000001</v>
      </c>
    </row>
    <row r="2035" spans="1:17" x14ac:dyDescent="0.25">
      <c r="A2035" s="2">
        <v>2213</v>
      </c>
      <c r="B2035" s="2" t="s">
        <v>111</v>
      </c>
      <c r="C2035" s="2">
        <v>2</v>
      </c>
      <c r="D2035" s="2">
        <f t="shared" si="310"/>
        <v>5.08</v>
      </c>
      <c r="E2035" s="2">
        <f t="shared" si="311"/>
        <v>1.6170142218136567</v>
      </c>
      <c r="F2035" s="2">
        <f t="shared" si="312"/>
        <v>0.63661977236758138</v>
      </c>
      <c r="G2035" s="2">
        <v>4.2724729999999997</v>
      </c>
      <c r="H2035" s="2">
        <f t="shared" si="313"/>
        <v>14.017300317319998</v>
      </c>
      <c r="I2035" s="2">
        <f>INDEX('Wood Density Lookup'!$B$2:$B$152,MATCH(B2035,'Wood Density Lookup'!$A$2:$A$152,0))</f>
        <v>0.4</v>
      </c>
      <c r="J2035" s="2">
        <f t="shared" si="314"/>
        <v>0.2901202571042284</v>
      </c>
      <c r="K2035" s="2">
        <f t="shared" si="318"/>
        <v>8.1233671989183964E-2</v>
      </c>
      <c r="L2035" s="2">
        <f t="shared" si="319"/>
        <v>0.37135392909341236</v>
      </c>
      <c r="M2035" s="2">
        <f t="shared" si="315"/>
        <v>0.26923159859272394</v>
      </c>
      <c r="N2035" s="2">
        <f t="shared" si="316"/>
        <v>0.13461579929636197</v>
      </c>
      <c r="O2035" s="2">
        <f t="shared" si="317"/>
        <v>0.49403998341764843</v>
      </c>
      <c r="P2035" s="2">
        <v>72.552614000000005</v>
      </c>
      <c r="Q2035" s="2">
        <v>23.037174</v>
      </c>
    </row>
    <row r="2036" spans="1:17" x14ac:dyDescent="0.25">
      <c r="A2036" s="2">
        <v>2214</v>
      </c>
      <c r="B2036" s="2" t="s">
        <v>111</v>
      </c>
      <c r="C2036" s="2">
        <v>4</v>
      </c>
      <c r="D2036" s="2">
        <f t="shared" si="310"/>
        <v>10.16</v>
      </c>
      <c r="E2036" s="2">
        <f t="shared" si="311"/>
        <v>3.2340284436273135</v>
      </c>
      <c r="F2036" s="2">
        <f t="shared" si="312"/>
        <v>1.2732395447351628</v>
      </c>
      <c r="G2036" s="2">
        <v>7.7590070000000004</v>
      </c>
      <c r="H2036" s="2">
        <f t="shared" si="313"/>
        <v>25.456060525880002</v>
      </c>
      <c r="I2036" s="2">
        <f>INDEX('Wood Density Lookup'!$B$2:$B$152,MATCH(B2036,'Wood Density Lookup'!$A$2:$A$152,0))</f>
        <v>0.4</v>
      </c>
      <c r="J2036" s="2">
        <f t="shared" si="314"/>
        <v>2.0095387189187472</v>
      </c>
      <c r="K2036" s="2">
        <f t="shared" si="318"/>
        <v>0.56267084129724931</v>
      </c>
      <c r="L2036" s="2">
        <f t="shared" si="319"/>
        <v>2.5722095602159967</v>
      </c>
      <c r="M2036" s="2">
        <f t="shared" si="315"/>
        <v>1.8648519311565974</v>
      </c>
      <c r="N2036" s="2">
        <f t="shared" si="316"/>
        <v>0.93242596557829871</v>
      </c>
      <c r="O2036" s="2">
        <f t="shared" si="317"/>
        <v>3.4220032936723563</v>
      </c>
      <c r="P2036" s="2">
        <v>72.552614000000005</v>
      </c>
      <c r="Q2036" s="2">
        <v>23.037251999999999</v>
      </c>
    </row>
    <row r="2037" spans="1:17" x14ac:dyDescent="0.25">
      <c r="A2037" s="2">
        <v>2215</v>
      </c>
      <c r="B2037" s="2" t="s">
        <v>111</v>
      </c>
      <c r="C2037" s="2">
        <v>3</v>
      </c>
      <c r="D2037" s="2">
        <f t="shared" si="310"/>
        <v>7.62</v>
      </c>
      <c r="E2037" s="2">
        <f t="shared" si="311"/>
        <v>2.4255213327204852</v>
      </c>
      <c r="F2037" s="2">
        <f t="shared" si="312"/>
        <v>0.95492965855137202</v>
      </c>
      <c r="G2037" s="2">
        <v>5.5450559999999998</v>
      </c>
      <c r="H2037" s="2">
        <f t="shared" si="313"/>
        <v>18.19244152704</v>
      </c>
      <c r="I2037" s="2">
        <f>INDEX('Wood Density Lookup'!$B$2:$B$152,MATCH(B2037,'Wood Density Lookup'!$A$2:$A$152,0))</f>
        <v>0.4</v>
      </c>
      <c r="J2037" s="2">
        <f t="shared" si="314"/>
        <v>0.8256906416129226</v>
      </c>
      <c r="K2037" s="2">
        <f t="shared" si="318"/>
        <v>0.23119337965161835</v>
      </c>
      <c r="L2037" s="2">
        <f t="shared" si="319"/>
        <v>1.056884021264541</v>
      </c>
      <c r="M2037" s="2">
        <f t="shared" si="315"/>
        <v>0.76624091541679218</v>
      </c>
      <c r="N2037" s="2">
        <f t="shared" si="316"/>
        <v>0.38312045770839609</v>
      </c>
      <c r="O2037" s="2">
        <f t="shared" si="317"/>
        <v>1.4060520797898137</v>
      </c>
      <c r="P2037" s="2">
        <v>72.552614000000005</v>
      </c>
      <c r="Q2037" s="2">
        <v>23.037216000000001</v>
      </c>
    </row>
    <row r="2038" spans="1:17" x14ac:dyDescent="0.25">
      <c r="A2038" s="2">
        <v>2216</v>
      </c>
      <c r="B2038" s="2" t="s">
        <v>114</v>
      </c>
      <c r="C2038" s="2">
        <v>17</v>
      </c>
      <c r="D2038" s="2">
        <f t="shared" si="310"/>
        <v>43.18</v>
      </c>
      <c r="E2038" s="2">
        <f t="shared" si="311"/>
        <v>13.744620885416081</v>
      </c>
      <c r="F2038" s="2">
        <f t="shared" si="312"/>
        <v>5.4112680651244416</v>
      </c>
      <c r="G2038" s="2">
        <v>15.325794</v>
      </c>
      <c r="H2038" s="2">
        <f t="shared" si="313"/>
        <v>50.281477986959999</v>
      </c>
      <c r="I2038" s="2">
        <f>INDEX('Wood Density Lookup'!$B$2:$B$152,MATCH(B2038,'Wood Density Lookup'!$A$2:$A$152,0))</f>
        <v>0.55000000000000004</v>
      </c>
      <c r="J2038" s="2">
        <f t="shared" si="314"/>
        <v>89.78773976690394</v>
      </c>
      <c r="K2038" s="2">
        <f t="shared" si="318"/>
        <v>25.140567134733107</v>
      </c>
      <c r="L2038" s="2">
        <f t="shared" si="319"/>
        <v>114.92830690163704</v>
      </c>
      <c r="M2038" s="2">
        <f t="shared" si="315"/>
        <v>83.323022503686857</v>
      </c>
      <c r="N2038" s="2">
        <f t="shared" si="316"/>
        <v>41.661511251843429</v>
      </c>
      <c r="O2038" s="2">
        <f t="shared" si="317"/>
        <v>152.89774629426537</v>
      </c>
      <c r="P2038" s="2">
        <v>72.552615000000003</v>
      </c>
      <c r="Q2038" s="2">
        <v>23.035423999999999</v>
      </c>
    </row>
    <row r="2039" spans="1:17" x14ac:dyDescent="0.25">
      <c r="A2039" s="2">
        <v>2217</v>
      </c>
      <c r="B2039" s="2" t="s">
        <v>111</v>
      </c>
      <c r="C2039" s="2">
        <v>3</v>
      </c>
      <c r="D2039" s="2">
        <f t="shared" si="310"/>
        <v>7.62</v>
      </c>
      <c r="E2039" s="2">
        <f t="shared" si="311"/>
        <v>2.4255213327204852</v>
      </c>
      <c r="F2039" s="2">
        <f t="shared" si="312"/>
        <v>0.95492965855137202</v>
      </c>
      <c r="G2039" s="2">
        <v>6.9961970000000004</v>
      </c>
      <c r="H2039" s="2">
        <f t="shared" si="313"/>
        <v>22.953402965480002</v>
      </c>
      <c r="I2039" s="2">
        <f>INDEX('Wood Density Lookup'!$B$2:$B$152,MATCH(B2039,'Wood Density Lookup'!$A$2:$A$152,0))</f>
        <v>0.4</v>
      </c>
      <c r="J2039" s="2">
        <f t="shared" si="314"/>
        <v>1.0359779443402419</v>
      </c>
      <c r="K2039" s="2">
        <f t="shared" si="318"/>
        <v>0.29007382441526774</v>
      </c>
      <c r="L2039" s="2">
        <f t="shared" si="319"/>
        <v>1.3260517687555096</v>
      </c>
      <c r="M2039" s="2">
        <f t="shared" si="315"/>
        <v>0.96138753234774443</v>
      </c>
      <c r="N2039" s="2">
        <f t="shared" si="316"/>
        <v>0.48069376617387222</v>
      </c>
      <c r="O2039" s="2">
        <f t="shared" si="317"/>
        <v>1.7641461218581109</v>
      </c>
      <c r="P2039" s="2">
        <v>72.552616</v>
      </c>
      <c r="Q2039" s="2">
        <v>23.037244000000001</v>
      </c>
    </row>
    <row r="2040" spans="1:17" x14ac:dyDescent="0.25">
      <c r="A2040" s="2">
        <v>2218</v>
      </c>
      <c r="B2040" s="2" t="s">
        <v>50</v>
      </c>
      <c r="C2040" s="2">
        <v>3</v>
      </c>
      <c r="D2040" s="2">
        <f t="shared" si="310"/>
        <v>7.62</v>
      </c>
      <c r="E2040" s="2">
        <f t="shared" si="311"/>
        <v>2.4255213327204852</v>
      </c>
      <c r="F2040" s="2">
        <f t="shared" si="312"/>
        <v>0.95492965855137202</v>
      </c>
      <c r="G2040" s="2">
        <v>1.145243</v>
      </c>
      <c r="H2040" s="2">
        <f t="shared" si="313"/>
        <v>3.7573590441200002</v>
      </c>
      <c r="I2040" s="2">
        <f>INDEX('Wood Density Lookup'!$B$2:$B$152,MATCH(B2040,'Wood Density Lookup'!$A$2:$A$152,0))</f>
        <v>0.5</v>
      </c>
      <c r="J2040" s="2">
        <f t="shared" si="314"/>
        <v>0.2202081779339681</v>
      </c>
      <c r="K2040" s="2">
        <f t="shared" si="318"/>
        <v>6.1658289821511073E-2</v>
      </c>
      <c r="L2040" s="2">
        <f t="shared" si="319"/>
        <v>0.28186646775547919</v>
      </c>
      <c r="M2040" s="2">
        <f t="shared" si="315"/>
        <v>0.20435318912272241</v>
      </c>
      <c r="N2040" s="2">
        <f t="shared" si="316"/>
        <v>0.1021765945613612</v>
      </c>
      <c r="O2040" s="2">
        <f t="shared" si="317"/>
        <v>0.37498810204019561</v>
      </c>
      <c r="P2040" s="2">
        <v>72.552616</v>
      </c>
      <c r="Q2040" s="2">
        <v>23.037716</v>
      </c>
    </row>
    <row r="2041" spans="1:17" x14ac:dyDescent="0.25">
      <c r="A2041" s="2">
        <v>2219</v>
      </c>
      <c r="B2041" s="2" t="s">
        <v>111</v>
      </c>
      <c r="C2041" s="2">
        <v>2</v>
      </c>
      <c r="D2041" s="2">
        <f t="shared" si="310"/>
        <v>5.08</v>
      </c>
      <c r="E2041" s="2">
        <f t="shared" si="311"/>
        <v>1.6170142218136567</v>
      </c>
      <c r="F2041" s="2">
        <f t="shared" si="312"/>
        <v>0.63661977236758138</v>
      </c>
      <c r="G2041" s="2">
        <v>4.6327069999999999</v>
      </c>
      <c r="H2041" s="2">
        <f t="shared" si="313"/>
        <v>15.199170433879999</v>
      </c>
      <c r="I2041" s="2">
        <f>INDEX('Wood Density Lookup'!$B$2:$B$152,MATCH(B2041,'Wood Density Lookup'!$A$2:$A$152,0))</f>
        <v>0.4</v>
      </c>
      <c r="J2041" s="2">
        <f t="shared" si="314"/>
        <v>0.3139712111795126</v>
      </c>
      <c r="K2041" s="2">
        <f t="shared" si="318"/>
        <v>8.7911939130263531E-2</v>
      </c>
      <c r="L2041" s="2">
        <f t="shared" si="319"/>
        <v>0.40188315030977612</v>
      </c>
      <c r="M2041" s="2">
        <f t="shared" si="315"/>
        <v>0.29136528397458766</v>
      </c>
      <c r="N2041" s="2">
        <f t="shared" si="316"/>
        <v>0.14568264198729383</v>
      </c>
      <c r="O2041" s="2">
        <f t="shared" si="317"/>
        <v>0.53465529609336837</v>
      </c>
      <c r="P2041" s="2">
        <v>72.552616999999998</v>
      </c>
      <c r="Q2041" s="2">
        <v>23.037158999999999</v>
      </c>
    </row>
    <row r="2042" spans="1:17" x14ac:dyDescent="0.25">
      <c r="A2042" s="2">
        <v>2220</v>
      </c>
      <c r="B2042" s="2" t="s">
        <v>111</v>
      </c>
      <c r="C2042" s="2">
        <v>2</v>
      </c>
      <c r="D2042" s="2">
        <f t="shared" si="310"/>
        <v>5.08</v>
      </c>
      <c r="E2042" s="2">
        <f t="shared" si="311"/>
        <v>1.6170142218136567</v>
      </c>
      <c r="F2042" s="2">
        <f t="shared" si="312"/>
        <v>0.63661977236758138</v>
      </c>
      <c r="G2042" s="2">
        <v>5.2356259999999999</v>
      </c>
      <c r="H2042" s="2">
        <f t="shared" si="313"/>
        <v>17.177251205840001</v>
      </c>
      <c r="I2042" s="2">
        <f>INDEX('Wood Density Lookup'!$B$2:$B$152,MATCH(B2042,'Wood Density Lookup'!$A$2:$A$152,0))</f>
        <v>0.4</v>
      </c>
      <c r="J2042" s="2">
        <f t="shared" si="314"/>
        <v>0.35379231872490347</v>
      </c>
      <c r="K2042" s="2">
        <f t="shared" si="318"/>
        <v>9.9061849242972982E-2</v>
      </c>
      <c r="L2042" s="2">
        <f t="shared" si="319"/>
        <v>0.45285416796787648</v>
      </c>
      <c r="M2042" s="2">
        <f t="shared" si="315"/>
        <v>0.32831927177671044</v>
      </c>
      <c r="N2042" s="2">
        <f t="shared" si="316"/>
        <v>0.16415963588835522</v>
      </c>
      <c r="O2042" s="2">
        <f t="shared" si="317"/>
        <v>0.60246586371026367</v>
      </c>
      <c r="P2042" s="2">
        <v>72.552616999999998</v>
      </c>
      <c r="Q2042" s="2">
        <v>23.037201</v>
      </c>
    </row>
    <row r="2043" spans="1:17" x14ac:dyDescent="0.25">
      <c r="A2043" s="2">
        <v>2221</v>
      </c>
      <c r="B2043" s="2" t="s">
        <v>114</v>
      </c>
      <c r="C2043" s="2">
        <v>32</v>
      </c>
      <c r="D2043" s="2">
        <f t="shared" si="310"/>
        <v>81.28</v>
      </c>
      <c r="E2043" s="2">
        <f t="shared" si="311"/>
        <v>25.872227549018508</v>
      </c>
      <c r="F2043" s="2">
        <f t="shared" si="312"/>
        <v>10.185916357881302</v>
      </c>
      <c r="G2043" s="2">
        <v>17.403244999999998</v>
      </c>
      <c r="H2043" s="2">
        <f t="shared" si="313"/>
        <v>57.097262325799996</v>
      </c>
      <c r="I2043" s="2">
        <f>INDEX('Wood Density Lookup'!$B$2:$B$152,MATCH(B2043,'Wood Density Lookup'!$A$2:$A$152,0))</f>
        <v>0.55000000000000004</v>
      </c>
      <c r="J2043" s="2">
        <f t="shared" si="314"/>
        <v>349.39427029961604</v>
      </c>
      <c r="K2043" s="2">
        <f t="shared" si="318"/>
        <v>97.830395683892505</v>
      </c>
      <c r="L2043" s="2">
        <f t="shared" si="319"/>
        <v>447.22466598350854</v>
      </c>
      <c r="M2043" s="2">
        <f t="shared" si="315"/>
        <v>324.23788283804367</v>
      </c>
      <c r="N2043" s="2">
        <f t="shared" si="316"/>
        <v>162.11894141902184</v>
      </c>
      <c r="O2043" s="2">
        <f t="shared" si="317"/>
        <v>594.97651500781012</v>
      </c>
      <c r="P2043" s="2">
        <v>72.552617999999995</v>
      </c>
      <c r="Q2043" s="2">
        <v>23.035238</v>
      </c>
    </row>
    <row r="2044" spans="1:17" x14ac:dyDescent="0.25">
      <c r="A2044" s="2">
        <v>2222</v>
      </c>
      <c r="B2044" s="2" t="s">
        <v>111</v>
      </c>
      <c r="C2044" s="2">
        <v>2</v>
      </c>
      <c r="D2044" s="2">
        <f t="shared" si="310"/>
        <v>5.08</v>
      </c>
      <c r="E2044" s="2">
        <f t="shared" si="311"/>
        <v>1.6170142218136567</v>
      </c>
      <c r="F2044" s="2">
        <f t="shared" si="312"/>
        <v>0.63661977236758138</v>
      </c>
      <c r="G2044" s="2">
        <v>5.2648890000000002</v>
      </c>
      <c r="H2044" s="2">
        <f t="shared" si="313"/>
        <v>17.273258426760002</v>
      </c>
      <c r="I2044" s="2">
        <f>INDEX('Wood Density Lookup'!$B$2:$B$152,MATCH(B2044,'Wood Density Lookup'!$A$2:$A$152,0))</f>
        <v>0.4</v>
      </c>
      <c r="J2044" s="2">
        <f t="shared" si="314"/>
        <v>0.35572215015364522</v>
      </c>
      <c r="K2044" s="2">
        <f t="shared" si="318"/>
        <v>9.9602202043020671E-2</v>
      </c>
      <c r="L2044" s="2">
        <f t="shared" si="319"/>
        <v>0.45532435219666589</v>
      </c>
      <c r="M2044" s="2">
        <f t="shared" si="315"/>
        <v>0.33011015534258276</v>
      </c>
      <c r="N2044" s="2">
        <f t="shared" si="316"/>
        <v>0.16505507767129138</v>
      </c>
      <c r="O2044" s="2">
        <f t="shared" si="317"/>
        <v>0.60575213505363934</v>
      </c>
      <c r="P2044" s="2">
        <v>72.552619000000007</v>
      </c>
      <c r="Q2044" s="2">
        <v>23.037237000000001</v>
      </c>
    </row>
    <row r="2045" spans="1:17" x14ac:dyDescent="0.25">
      <c r="A2045" s="2">
        <v>2223</v>
      </c>
      <c r="B2045" s="2" t="s">
        <v>109</v>
      </c>
      <c r="C2045" s="2">
        <v>9</v>
      </c>
      <c r="D2045" s="2">
        <f t="shared" si="310"/>
        <v>22.86</v>
      </c>
      <c r="E2045" s="2">
        <f t="shared" si="311"/>
        <v>7.2765639981614552</v>
      </c>
      <c r="F2045" s="2">
        <f t="shared" si="312"/>
        <v>2.8647889756541161</v>
      </c>
      <c r="G2045" s="2">
        <v>7.759099</v>
      </c>
      <c r="H2045" s="2">
        <f t="shared" si="313"/>
        <v>25.45636236316</v>
      </c>
      <c r="I2045" s="2">
        <f>INDEX('Wood Density Lookup'!$B$2:$B$152,MATCH(B2045,'Wood Density Lookup'!$A$2:$A$152,0))</f>
        <v>0.7</v>
      </c>
      <c r="J2045" s="2">
        <f t="shared" si="314"/>
        <v>16.895335303481541</v>
      </c>
      <c r="K2045" s="2">
        <f t="shared" si="318"/>
        <v>4.7306938849748317</v>
      </c>
      <c r="L2045" s="2">
        <f t="shared" si="319"/>
        <v>21.626029188456371</v>
      </c>
      <c r="M2045" s="2">
        <f t="shared" si="315"/>
        <v>15.67887116163087</v>
      </c>
      <c r="N2045" s="2">
        <f t="shared" si="316"/>
        <v>7.8394355808154348</v>
      </c>
      <c r="O2045" s="2">
        <f t="shared" si="317"/>
        <v>28.770728581592646</v>
      </c>
      <c r="P2045" s="2">
        <v>72.552619000000007</v>
      </c>
      <c r="Q2045" s="2">
        <v>23.036650000000002</v>
      </c>
    </row>
    <row r="2046" spans="1:17" x14ac:dyDescent="0.25">
      <c r="A2046" s="2">
        <v>2224</v>
      </c>
      <c r="B2046" s="2" t="s">
        <v>111</v>
      </c>
      <c r="C2046" s="2">
        <v>2</v>
      </c>
      <c r="D2046" s="2">
        <f t="shared" si="310"/>
        <v>5.08</v>
      </c>
      <c r="E2046" s="2">
        <f t="shared" si="311"/>
        <v>1.6170142218136567</v>
      </c>
      <c r="F2046" s="2">
        <f t="shared" si="312"/>
        <v>0.63661977236758138</v>
      </c>
      <c r="G2046" s="2">
        <v>5.4040739999999996</v>
      </c>
      <c r="H2046" s="2">
        <f t="shared" si="313"/>
        <v>17.72990214216</v>
      </c>
      <c r="I2046" s="2">
        <f>INDEX('Wood Density Lookup'!$B$2:$B$152,MATCH(B2046,'Wood Density Lookup'!$A$2:$A$152,0))</f>
        <v>0.4</v>
      </c>
      <c r="J2046" s="2">
        <f t="shared" si="314"/>
        <v>0.36489760012791278</v>
      </c>
      <c r="K2046" s="2">
        <f t="shared" si="318"/>
        <v>0.10217132803581559</v>
      </c>
      <c r="L2046" s="2">
        <f t="shared" si="319"/>
        <v>0.46706892816372836</v>
      </c>
      <c r="M2046" s="2">
        <f t="shared" si="315"/>
        <v>0.33862497291870303</v>
      </c>
      <c r="N2046" s="2">
        <f t="shared" si="316"/>
        <v>0.16931248645935151</v>
      </c>
      <c r="O2046" s="2">
        <f t="shared" si="317"/>
        <v>0.62137682530582006</v>
      </c>
      <c r="P2046" s="2">
        <v>72.552620000000005</v>
      </c>
      <c r="Q2046" s="2">
        <v>23.037230999999998</v>
      </c>
    </row>
    <row r="2047" spans="1:17" x14ac:dyDescent="0.25">
      <c r="A2047" s="2">
        <v>2225</v>
      </c>
      <c r="B2047" s="2" t="s">
        <v>111</v>
      </c>
      <c r="C2047" s="2">
        <v>2</v>
      </c>
      <c r="D2047" s="2">
        <f t="shared" si="310"/>
        <v>5.08</v>
      </c>
      <c r="E2047" s="2">
        <f t="shared" si="311"/>
        <v>1.6170142218136567</v>
      </c>
      <c r="F2047" s="2">
        <f t="shared" si="312"/>
        <v>0.63661977236758138</v>
      </c>
      <c r="G2047" s="2">
        <v>5.2843020000000003</v>
      </c>
      <c r="H2047" s="2">
        <f t="shared" si="313"/>
        <v>17.33694937368</v>
      </c>
      <c r="I2047" s="2">
        <f>INDEX('Wood Density Lookup'!$B$2:$B$152,MATCH(B2047,'Wood Density Lookup'!$A$2:$A$152,0))</f>
        <v>0.4</v>
      </c>
      <c r="J2047" s="2">
        <f t="shared" si="314"/>
        <v>0.35700225331180441</v>
      </c>
      <c r="K2047" s="2">
        <f t="shared" si="318"/>
        <v>9.9960630927305241E-2</v>
      </c>
      <c r="L2047" s="2">
        <f t="shared" si="319"/>
        <v>0.45696288423910963</v>
      </c>
      <c r="M2047" s="2">
        <f t="shared" si="315"/>
        <v>0.33129809107335445</v>
      </c>
      <c r="N2047" s="2">
        <f t="shared" si="316"/>
        <v>0.16564904553667723</v>
      </c>
      <c r="O2047" s="2">
        <f t="shared" si="317"/>
        <v>0.60793199711960544</v>
      </c>
      <c r="P2047" s="2">
        <v>72.552620000000005</v>
      </c>
      <c r="Q2047" s="2">
        <v>23.037189000000001</v>
      </c>
    </row>
    <row r="2048" spans="1:17" x14ac:dyDescent="0.25">
      <c r="A2048" s="2">
        <v>2226</v>
      </c>
      <c r="B2048" s="2" t="s">
        <v>111</v>
      </c>
      <c r="C2048" s="2">
        <v>2</v>
      </c>
      <c r="D2048" s="2">
        <f t="shared" si="310"/>
        <v>5.08</v>
      </c>
      <c r="E2048" s="2">
        <f t="shared" si="311"/>
        <v>1.6170142218136567</v>
      </c>
      <c r="F2048" s="2">
        <f t="shared" si="312"/>
        <v>0.63661977236758138</v>
      </c>
      <c r="G2048" s="2">
        <v>5.1139749999999999</v>
      </c>
      <c r="H2048" s="2">
        <f t="shared" si="313"/>
        <v>16.778133739000001</v>
      </c>
      <c r="I2048" s="2">
        <f>INDEX('Wood Density Lookup'!$B$2:$B$152,MATCH(B2048,'Wood Density Lookup'!$A$2:$A$152,0))</f>
        <v>0.4</v>
      </c>
      <c r="J2048" s="2">
        <f t="shared" si="314"/>
        <v>0.34576690684127487</v>
      </c>
      <c r="K2048" s="2">
        <f t="shared" si="318"/>
        <v>9.6814733915556977E-2</v>
      </c>
      <c r="L2048" s="2">
        <f t="shared" si="319"/>
        <v>0.44258164075683182</v>
      </c>
      <c r="M2048" s="2">
        <f t="shared" si="315"/>
        <v>0.32087168954870304</v>
      </c>
      <c r="N2048" s="2">
        <f t="shared" si="316"/>
        <v>0.16043584477435152</v>
      </c>
      <c r="O2048" s="2">
        <f t="shared" si="317"/>
        <v>0.58879955032187004</v>
      </c>
      <c r="P2048" s="2">
        <v>72.552621000000002</v>
      </c>
      <c r="Q2048" s="2">
        <v>23.037223000000001</v>
      </c>
    </row>
    <row r="2049" spans="1:17" x14ac:dyDescent="0.25">
      <c r="A2049" s="2">
        <v>2227</v>
      </c>
      <c r="B2049" s="2" t="s">
        <v>129</v>
      </c>
      <c r="C2049" s="2">
        <v>5</v>
      </c>
      <c r="D2049" s="2">
        <f t="shared" ref="D2049:D2112" si="320">C2049*2.54</f>
        <v>12.7</v>
      </c>
      <c r="E2049" s="2">
        <f t="shared" ref="E2049:E2112" si="321">D2049/PI()</f>
        <v>4.0425355545341413</v>
      </c>
      <c r="F2049" s="2">
        <f t="shared" ref="F2049:F2112" si="322">C2049/PI()</f>
        <v>1.5915494309189535</v>
      </c>
      <c r="G2049" s="2">
        <v>1.032554</v>
      </c>
      <c r="H2049" s="2">
        <f t="shared" ref="H2049:H2112" si="323">G2049*3.28084</f>
        <v>3.3876444653599997</v>
      </c>
      <c r="I2049" s="2">
        <f>INDEX('Wood Density Lookup'!$B$2:$B$152,MATCH(B2049,'Wood Density Lookup'!$A$2:$A$152,0))</f>
        <v>0.4</v>
      </c>
      <c r="J2049" s="2">
        <f t="shared" ref="J2049:J2112" si="324">0.0673*POWER(I2049*E2049^2*G2049,0.976)</f>
        <v>0.43390314147170328</v>
      </c>
      <c r="K2049" s="2">
        <f t="shared" si="318"/>
        <v>0.12149287961207693</v>
      </c>
      <c r="L2049" s="2">
        <f t="shared" si="319"/>
        <v>0.55539602108378017</v>
      </c>
      <c r="M2049" s="2">
        <f t="shared" ref="M2049:M2112" si="325">0.725*L2049</f>
        <v>0.40266211528574058</v>
      </c>
      <c r="N2049" s="2">
        <f t="shared" ref="N2049:N2112" si="326">0.5*M2049</f>
        <v>0.20133105764287029</v>
      </c>
      <c r="O2049" s="2">
        <f t="shared" ref="O2049:O2112" si="327">3.67*N2049</f>
        <v>0.73888498154933391</v>
      </c>
      <c r="P2049" s="2">
        <v>72.552622</v>
      </c>
      <c r="Q2049" s="2">
        <v>23.038205999999999</v>
      </c>
    </row>
    <row r="2050" spans="1:17" x14ac:dyDescent="0.25">
      <c r="A2050" s="2">
        <v>2228</v>
      </c>
      <c r="B2050" s="2" t="s">
        <v>128</v>
      </c>
      <c r="C2050" s="2">
        <v>43</v>
      </c>
      <c r="D2050" s="2">
        <f t="shared" si="320"/>
        <v>109.22</v>
      </c>
      <c r="E2050" s="2">
        <f t="shared" si="321"/>
        <v>34.765805768993616</v>
      </c>
      <c r="F2050" s="2">
        <f t="shared" si="322"/>
        <v>13.687325105903</v>
      </c>
      <c r="G2050" s="2">
        <v>9.1817130000000002</v>
      </c>
      <c r="H2050" s="2">
        <f t="shared" si="323"/>
        <v>30.123731278920001</v>
      </c>
      <c r="I2050" s="2">
        <f>INDEX('Wood Density Lookup'!$B$2:$B$152,MATCH(B2050,'Wood Density Lookup'!$A$2:$A$152,0))</f>
        <v>0.75</v>
      </c>
      <c r="J2050" s="2">
        <f t="shared" si="324"/>
        <v>451.04273332150962</v>
      </c>
      <c r="K2050" s="2">
        <f t="shared" si="318"/>
        <v>126.29196533002271</v>
      </c>
      <c r="L2050" s="2">
        <f t="shared" si="319"/>
        <v>577.33469865153234</v>
      </c>
      <c r="M2050" s="2">
        <f t="shared" si="325"/>
        <v>418.56765652236095</v>
      </c>
      <c r="N2050" s="2">
        <f t="shared" si="326"/>
        <v>209.28382826118047</v>
      </c>
      <c r="O2050" s="2">
        <f t="shared" si="327"/>
        <v>768.07164971853229</v>
      </c>
      <c r="P2050" s="2">
        <v>72.552622</v>
      </c>
      <c r="Q2050" s="2">
        <v>23.034835000000001</v>
      </c>
    </row>
    <row r="2051" spans="1:17" x14ac:dyDescent="0.25">
      <c r="A2051" s="2">
        <v>2229</v>
      </c>
      <c r="B2051" s="2" t="s">
        <v>111</v>
      </c>
      <c r="C2051" s="2">
        <v>3</v>
      </c>
      <c r="D2051" s="2">
        <f t="shared" si="320"/>
        <v>7.62</v>
      </c>
      <c r="E2051" s="2">
        <f t="shared" si="321"/>
        <v>2.4255213327204852</v>
      </c>
      <c r="F2051" s="2">
        <f t="shared" si="322"/>
        <v>0.95492965855137202</v>
      </c>
      <c r="G2051" s="2">
        <v>4.9356590000000002</v>
      </c>
      <c r="H2051" s="2">
        <f t="shared" si="323"/>
        <v>16.193107473560001</v>
      </c>
      <c r="I2051" s="2">
        <f>INDEX('Wood Density Lookup'!$B$2:$B$152,MATCH(B2051,'Wood Density Lookup'!$A$2:$A$152,0))</f>
        <v>0.4</v>
      </c>
      <c r="J2051" s="2">
        <f t="shared" si="324"/>
        <v>0.73700431718552384</v>
      </c>
      <c r="K2051" s="2">
        <f t="shared" ref="K2051:K2114" si="328">0.28*J2051</f>
        <v>0.20636120881194669</v>
      </c>
      <c r="L2051" s="2">
        <f t="shared" ref="L2051:L2114" si="329">J2051+K2051</f>
        <v>0.94336552599747048</v>
      </c>
      <c r="M2051" s="2">
        <f t="shared" si="325"/>
        <v>0.6839400063481661</v>
      </c>
      <c r="N2051" s="2">
        <f t="shared" si="326"/>
        <v>0.34197000317408305</v>
      </c>
      <c r="O2051" s="2">
        <f t="shared" si="327"/>
        <v>1.2550299116488848</v>
      </c>
      <c r="P2051" s="2">
        <v>72.552622999999997</v>
      </c>
      <c r="Q2051" s="2">
        <v>23.037216000000001</v>
      </c>
    </row>
    <row r="2052" spans="1:17" x14ac:dyDescent="0.25">
      <c r="A2052" s="2">
        <v>2230</v>
      </c>
      <c r="B2052" s="2" t="s">
        <v>31</v>
      </c>
      <c r="C2052" s="2">
        <v>9</v>
      </c>
      <c r="D2052" s="2">
        <f t="shared" si="320"/>
        <v>22.86</v>
      </c>
      <c r="E2052" s="2">
        <f t="shared" si="321"/>
        <v>7.2765639981614552</v>
      </c>
      <c r="F2052" s="2">
        <f t="shared" si="322"/>
        <v>2.8647889756541161</v>
      </c>
      <c r="G2052" s="2">
        <v>3.3205490000000002</v>
      </c>
      <c r="H2052" s="2">
        <f t="shared" si="323"/>
        <v>10.89418998116</v>
      </c>
      <c r="I2052" s="2">
        <f>INDEX('Wood Density Lookup'!$B$2:$B$152,MATCH(B2052,'Wood Density Lookup'!$A$2:$A$152,0))</f>
        <v>0.78</v>
      </c>
      <c r="J2052" s="2">
        <f t="shared" si="324"/>
        <v>8.2012583721401047</v>
      </c>
      <c r="K2052" s="2">
        <f t="shared" si="328"/>
        <v>2.2963523441992297</v>
      </c>
      <c r="L2052" s="2">
        <f t="shared" si="329"/>
        <v>10.497610716339334</v>
      </c>
      <c r="M2052" s="2">
        <f t="shared" si="325"/>
        <v>7.6107677693460172</v>
      </c>
      <c r="N2052" s="2">
        <f t="shared" si="326"/>
        <v>3.8053838846730086</v>
      </c>
      <c r="O2052" s="2">
        <f t="shared" si="327"/>
        <v>13.965758856749941</v>
      </c>
      <c r="P2052" s="2">
        <v>72.552622999999997</v>
      </c>
      <c r="Q2052" s="2">
        <v>23.038765999999999</v>
      </c>
    </row>
    <row r="2053" spans="1:17" x14ac:dyDescent="0.25">
      <c r="A2053" s="2">
        <v>2231</v>
      </c>
      <c r="B2053" s="2" t="s">
        <v>111</v>
      </c>
      <c r="C2053" s="2">
        <v>2</v>
      </c>
      <c r="D2053" s="2">
        <f t="shared" si="320"/>
        <v>5.08</v>
      </c>
      <c r="E2053" s="2">
        <f t="shared" si="321"/>
        <v>1.6170142218136567</v>
      </c>
      <c r="F2053" s="2">
        <f t="shared" si="322"/>
        <v>0.63661977236758138</v>
      </c>
      <c r="G2053" s="2">
        <v>5.0627060000000004</v>
      </c>
      <c r="H2053" s="2">
        <f t="shared" si="323"/>
        <v>16.609928353040001</v>
      </c>
      <c r="I2053" s="2">
        <f>INDEX('Wood Density Lookup'!$B$2:$B$152,MATCH(B2053,'Wood Density Lookup'!$A$2:$A$152,0))</f>
        <v>0.4</v>
      </c>
      <c r="J2053" s="2">
        <f t="shared" si="324"/>
        <v>0.34238328427980746</v>
      </c>
      <c r="K2053" s="2">
        <f t="shared" si="328"/>
        <v>9.5867319598346101E-2</v>
      </c>
      <c r="L2053" s="2">
        <f t="shared" si="329"/>
        <v>0.43825060387815357</v>
      </c>
      <c r="M2053" s="2">
        <f t="shared" si="325"/>
        <v>0.31773168781166133</v>
      </c>
      <c r="N2053" s="2">
        <f t="shared" si="326"/>
        <v>0.15886584390583067</v>
      </c>
      <c r="O2053" s="2">
        <f t="shared" si="327"/>
        <v>0.58303764713439854</v>
      </c>
      <c r="P2053" s="2">
        <v>72.552623999999994</v>
      </c>
      <c r="Q2053" s="2">
        <v>23.037209000000001</v>
      </c>
    </row>
    <row r="2054" spans="1:17" x14ac:dyDescent="0.25">
      <c r="A2054" s="2">
        <v>2232</v>
      </c>
      <c r="B2054" s="2" t="s">
        <v>111</v>
      </c>
      <c r="C2054" s="2">
        <v>2</v>
      </c>
      <c r="D2054" s="2">
        <f t="shared" si="320"/>
        <v>5.08</v>
      </c>
      <c r="E2054" s="2">
        <f t="shared" si="321"/>
        <v>1.6170142218136567</v>
      </c>
      <c r="F2054" s="2">
        <f t="shared" si="322"/>
        <v>0.63661977236758138</v>
      </c>
      <c r="G2054" s="2">
        <v>4.3736329999999999</v>
      </c>
      <c r="H2054" s="2">
        <f t="shared" si="323"/>
        <v>14.349190091719999</v>
      </c>
      <c r="I2054" s="2">
        <f>INDEX('Wood Density Lookup'!$B$2:$B$152,MATCH(B2054,'Wood Density Lookup'!$A$2:$A$152,0))</f>
        <v>0.4</v>
      </c>
      <c r="J2054" s="2">
        <f t="shared" si="324"/>
        <v>0.29682272803465576</v>
      </c>
      <c r="K2054" s="2">
        <f t="shared" si="328"/>
        <v>8.311036384970362E-2</v>
      </c>
      <c r="L2054" s="2">
        <f t="shared" si="329"/>
        <v>0.37993309188435936</v>
      </c>
      <c r="M2054" s="2">
        <f t="shared" si="325"/>
        <v>0.2754514916161605</v>
      </c>
      <c r="N2054" s="2">
        <f t="shared" si="326"/>
        <v>0.13772574580808025</v>
      </c>
      <c r="O2054" s="2">
        <f t="shared" si="327"/>
        <v>0.50545348711565452</v>
      </c>
      <c r="P2054" s="2">
        <v>72.552623999999994</v>
      </c>
      <c r="Q2054" s="2">
        <v>23.037119000000001</v>
      </c>
    </row>
    <row r="2055" spans="1:17" x14ac:dyDescent="0.25">
      <c r="A2055" s="2">
        <v>2233</v>
      </c>
      <c r="B2055" s="2" t="s">
        <v>17</v>
      </c>
      <c r="C2055" s="2">
        <v>13</v>
      </c>
      <c r="D2055" s="2">
        <f t="shared" si="320"/>
        <v>33.020000000000003</v>
      </c>
      <c r="E2055" s="2">
        <f t="shared" si="321"/>
        <v>10.51059244178877</v>
      </c>
      <c r="F2055" s="2">
        <f t="shared" si="322"/>
        <v>4.1380285203892786</v>
      </c>
      <c r="G2055" s="2">
        <v>3.9356550000000001</v>
      </c>
      <c r="H2055" s="2">
        <f t="shared" si="323"/>
        <v>12.9122543502</v>
      </c>
      <c r="I2055" s="2">
        <f>INDEX('Wood Density Lookup'!$B$2:$B$152,MATCH(B2055,'Wood Density Lookup'!$A$2:$A$152,0))</f>
        <v>0.75</v>
      </c>
      <c r="J2055" s="2">
        <f t="shared" si="324"/>
        <v>19.099753264371017</v>
      </c>
      <c r="K2055" s="2">
        <f t="shared" si="328"/>
        <v>5.3479309140238858</v>
      </c>
      <c r="L2055" s="2">
        <f t="shared" si="329"/>
        <v>24.447684178394901</v>
      </c>
      <c r="M2055" s="2">
        <f t="shared" si="325"/>
        <v>17.724571029336303</v>
      </c>
      <c r="N2055" s="2">
        <f t="shared" si="326"/>
        <v>8.8622855146681516</v>
      </c>
      <c r="O2055" s="2">
        <f t="shared" si="327"/>
        <v>32.524587838832119</v>
      </c>
      <c r="P2055" s="2">
        <v>72.552625000000006</v>
      </c>
      <c r="Q2055" s="2">
        <v>23.037172000000002</v>
      </c>
    </row>
    <row r="2056" spans="1:17" x14ac:dyDescent="0.25">
      <c r="A2056" s="2">
        <v>2234</v>
      </c>
      <c r="B2056" s="2" t="s">
        <v>111</v>
      </c>
      <c r="C2056" s="2">
        <v>3</v>
      </c>
      <c r="D2056" s="2">
        <f t="shared" si="320"/>
        <v>7.62</v>
      </c>
      <c r="E2056" s="2">
        <f t="shared" si="321"/>
        <v>2.4255213327204852</v>
      </c>
      <c r="F2056" s="2">
        <f t="shared" si="322"/>
        <v>0.95492965855137202</v>
      </c>
      <c r="G2056" s="2">
        <v>5.2084609999999998</v>
      </c>
      <c r="H2056" s="2">
        <f t="shared" si="323"/>
        <v>17.088127187239998</v>
      </c>
      <c r="I2056" s="2">
        <f>INDEX('Wood Density Lookup'!$B$2:$B$152,MATCH(B2056,'Wood Density Lookup'!$A$2:$A$152,0))</f>
        <v>0.4</v>
      </c>
      <c r="J2056" s="2">
        <f t="shared" si="324"/>
        <v>0.77673622302250356</v>
      </c>
      <c r="K2056" s="2">
        <f t="shared" si="328"/>
        <v>0.21748614244630102</v>
      </c>
      <c r="L2056" s="2">
        <f t="shared" si="329"/>
        <v>0.9942223654688046</v>
      </c>
      <c r="M2056" s="2">
        <f t="shared" si="325"/>
        <v>0.72081121496488332</v>
      </c>
      <c r="N2056" s="2">
        <f t="shared" si="326"/>
        <v>0.36040560748244166</v>
      </c>
      <c r="O2056" s="2">
        <f t="shared" si="327"/>
        <v>1.322688579460561</v>
      </c>
      <c r="P2056" s="2">
        <v>72.552625000000006</v>
      </c>
      <c r="Q2056" s="2">
        <v>23.037199999999999</v>
      </c>
    </row>
    <row r="2057" spans="1:17" x14ac:dyDescent="0.25">
      <c r="A2057" s="2">
        <v>2235</v>
      </c>
      <c r="B2057" s="2" t="s">
        <v>111</v>
      </c>
      <c r="C2057" s="2">
        <v>1</v>
      </c>
      <c r="D2057" s="2">
        <f t="shared" si="320"/>
        <v>2.54</v>
      </c>
      <c r="E2057" s="2">
        <f t="shared" si="321"/>
        <v>0.80850711090682836</v>
      </c>
      <c r="F2057" s="2">
        <f t="shared" si="322"/>
        <v>0.31830988618379069</v>
      </c>
      <c r="G2057" s="2">
        <v>6.0656809999999997</v>
      </c>
      <c r="H2057" s="2">
        <f t="shared" si="323"/>
        <v>19.900528852039997</v>
      </c>
      <c r="I2057" s="2">
        <f>INDEX('Wood Density Lookup'!$B$2:$B$152,MATCH(B2057,'Wood Density Lookup'!$A$2:$A$152,0))</f>
        <v>0.4</v>
      </c>
      <c r="J2057" s="2">
        <f t="shared" si="324"/>
        <v>0.1055637807745141</v>
      </c>
      <c r="K2057" s="2">
        <f t="shared" si="328"/>
        <v>2.9557858616863952E-2</v>
      </c>
      <c r="L2057" s="2">
        <f t="shared" si="329"/>
        <v>0.13512163939137806</v>
      </c>
      <c r="M2057" s="2">
        <f t="shared" si="325"/>
        <v>9.7963188558749081E-2</v>
      </c>
      <c r="N2057" s="2">
        <f t="shared" si="326"/>
        <v>4.8981594279374541E-2</v>
      </c>
      <c r="O2057" s="2">
        <f t="shared" si="327"/>
        <v>0.17976245100530455</v>
      </c>
      <c r="P2057" s="2">
        <v>72.552625000000006</v>
      </c>
      <c r="Q2057" s="2">
        <v>23.037113000000002</v>
      </c>
    </row>
    <row r="2058" spans="1:17" x14ac:dyDescent="0.25">
      <c r="A2058" s="2">
        <v>2236</v>
      </c>
      <c r="B2058" s="2" t="s">
        <v>59</v>
      </c>
      <c r="C2058" s="2">
        <v>16</v>
      </c>
      <c r="D2058" s="2">
        <f t="shared" si="320"/>
        <v>40.64</v>
      </c>
      <c r="E2058" s="2">
        <f t="shared" si="321"/>
        <v>12.936113774509254</v>
      </c>
      <c r="F2058" s="2">
        <f t="shared" si="322"/>
        <v>5.0929581789406511</v>
      </c>
      <c r="G2058" s="2">
        <v>7.3842920000000003</v>
      </c>
      <c r="H2058" s="2">
        <f t="shared" si="323"/>
        <v>24.226680565280002</v>
      </c>
      <c r="I2058" s="2">
        <f>INDEX('Wood Density Lookup'!$B$2:$B$152,MATCH(B2058,'Wood Density Lookup'!$A$2:$A$152,0))</f>
        <v>0.45</v>
      </c>
      <c r="J2058" s="2">
        <f t="shared" si="324"/>
        <v>32.155924204774941</v>
      </c>
      <c r="K2058" s="2">
        <f t="shared" si="328"/>
        <v>9.0036587773369838</v>
      </c>
      <c r="L2058" s="2">
        <f t="shared" si="329"/>
        <v>41.159582982111928</v>
      </c>
      <c r="M2058" s="2">
        <f t="shared" si="325"/>
        <v>29.840697662031147</v>
      </c>
      <c r="N2058" s="2">
        <f t="shared" si="326"/>
        <v>14.920348831015573</v>
      </c>
      <c r="O2058" s="2">
        <f t="shared" si="327"/>
        <v>54.75768020982715</v>
      </c>
      <c r="P2058" s="2">
        <v>72.552626000000004</v>
      </c>
      <c r="Q2058" s="2">
        <v>23.03809</v>
      </c>
    </row>
    <row r="2059" spans="1:17" x14ac:dyDescent="0.25">
      <c r="A2059" s="2">
        <v>2237</v>
      </c>
      <c r="B2059" s="2" t="s">
        <v>111</v>
      </c>
      <c r="C2059" s="2">
        <v>1</v>
      </c>
      <c r="D2059" s="2">
        <f t="shared" si="320"/>
        <v>2.54</v>
      </c>
      <c r="E2059" s="2">
        <f t="shared" si="321"/>
        <v>0.80850711090682836</v>
      </c>
      <c r="F2059" s="2">
        <f t="shared" si="322"/>
        <v>0.31830988618379069</v>
      </c>
      <c r="G2059" s="2">
        <v>5.8832940000000002</v>
      </c>
      <c r="H2059" s="2">
        <f t="shared" si="323"/>
        <v>19.302146286959999</v>
      </c>
      <c r="I2059" s="2">
        <f>INDEX('Wood Density Lookup'!$B$2:$B$152,MATCH(B2059,'Wood Density Lookup'!$A$2:$A$152,0))</f>
        <v>0.4</v>
      </c>
      <c r="J2059" s="2">
        <f t="shared" si="324"/>
        <v>0.10246466803444611</v>
      </c>
      <c r="K2059" s="2">
        <f t="shared" si="328"/>
        <v>2.8690107049644913E-2</v>
      </c>
      <c r="L2059" s="2">
        <f t="shared" si="329"/>
        <v>0.13115477508409101</v>
      </c>
      <c r="M2059" s="2">
        <f t="shared" si="325"/>
        <v>9.5087211935965976E-2</v>
      </c>
      <c r="N2059" s="2">
        <f t="shared" si="326"/>
        <v>4.7543605967982988E-2</v>
      </c>
      <c r="O2059" s="2">
        <f t="shared" si="327"/>
        <v>0.17448503390249756</v>
      </c>
      <c r="P2059" s="2">
        <v>72.552626000000004</v>
      </c>
      <c r="Q2059" s="2">
        <v>23.037106999999999</v>
      </c>
    </row>
    <row r="2060" spans="1:17" x14ac:dyDescent="0.25">
      <c r="A2060" s="2">
        <v>2238</v>
      </c>
      <c r="B2060" s="2" t="s">
        <v>111</v>
      </c>
      <c r="C2060" s="2">
        <v>3</v>
      </c>
      <c r="D2060" s="2">
        <f t="shared" si="320"/>
        <v>7.62</v>
      </c>
      <c r="E2060" s="2">
        <f t="shared" si="321"/>
        <v>2.4255213327204852</v>
      </c>
      <c r="F2060" s="2">
        <f t="shared" si="322"/>
        <v>0.95492965855137202</v>
      </c>
      <c r="G2060" s="2">
        <v>5.4131280000000004</v>
      </c>
      <c r="H2060" s="2">
        <f t="shared" si="323"/>
        <v>17.759606867520002</v>
      </c>
      <c r="I2060" s="2">
        <f>INDEX('Wood Density Lookup'!$B$2:$B$152,MATCH(B2060,'Wood Density Lookup'!$A$2:$A$152,0))</f>
        <v>0.4</v>
      </c>
      <c r="J2060" s="2">
        <f t="shared" si="324"/>
        <v>0.80651176274137937</v>
      </c>
      <c r="K2060" s="2">
        <f t="shared" si="328"/>
        <v>0.22582329356758624</v>
      </c>
      <c r="L2060" s="2">
        <f t="shared" si="329"/>
        <v>1.0323350563089657</v>
      </c>
      <c r="M2060" s="2">
        <f t="shared" si="325"/>
        <v>0.74844291582400013</v>
      </c>
      <c r="N2060" s="2">
        <f t="shared" si="326"/>
        <v>0.37422145791200007</v>
      </c>
      <c r="O2060" s="2">
        <f t="shared" si="327"/>
        <v>1.3733927505370402</v>
      </c>
      <c r="P2060" s="2">
        <v>72.552627000000001</v>
      </c>
      <c r="Q2060" s="2">
        <v>23.037191</v>
      </c>
    </row>
    <row r="2061" spans="1:17" x14ac:dyDescent="0.25">
      <c r="A2061" s="2">
        <v>2240</v>
      </c>
      <c r="B2061" s="2" t="s">
        <v>111</v>
      </c>
      <c r="C2061" s="2">
        <v>3</v>
      </c>
      <c r="D2061" s="2">
        <f t="shared" si="320"/>
        <v>7.62</v>
      </c>
      <c r="E2061" s="2">
        <f t="shared" si="321"/>
        <v>2.4255213327204852</v>
      </c>
      <c r="F2061" s="2">
        <f t="shared" si="322"/>
        <v>0.95492965855137202</v>
      </c>
      <c r="G2061" s="2">
        <v>2.783766</v>
      </c>
      <c r="H2061" s="2">
        <f t="shared" si="323"/>
        <v>9.1330908434399998</v>
      </c>
      <c r="I2061" s="2">
        <f>INDEX('Wood Density Lookup'!$B$2:$B$152,MATCH(B2061,'Wood Density Lookup'!$A$2:$A$152,0))</f>
        <v>0.4</v>
      </c>
      <c r="J2061" s="2">
        <f t="shared" si="324"/>
        <v>0.42143122359599278</v>
      </c>
      <c r="K2061" s="2">
        <f t="shared" si="328"/>
        <v>0.11800074260687798</v>
      </c>
      <c r="L2061" s="2">
        <f t="shared" si="329"/>
        <v>0.53943196620287082</v>
      </c>
      <c r="M2061" s="2">
        <f t="shared" si="325"/>
        <v>0.3910881754970813</v>
      </c>
      <c r="N2061" s="2">
        <f t="shared" si="326"/>
        <v>0.19554408774854065</v>
      </c>
      <c r="O2061" s="2">
        <f t="shared" si="327"/>
        <v>0.71764680203714415</v>
      </c>
      <c r="P2061" s="2">
        <v>72.552627999999999</v>
      </c>
      <c r="Q2061" s="2">
        <v>23.03716</v>
      </c>
    </row>
    <row r="2062" spans="1:17" x14ac:dyDescent="0.25">
      <c r="A2062" s="2">
        <v>2241</v>
      </c>
      <c r="B2062" s="2" t="s">
        <v>111</v>
      </c>
      <c r="C2062" s="2">
        <v>1</v>
      </c>
      <c r="D2062" s="2">
        <f t="shared" si="320"/>
        <v>2.54</v>
      </c>
      <c r="E2062" s="2">
        <f t="shared" si="321"/>
        <v>0.80850711090682836</v>
      </c>
      <c r="F2062" s="2">
        <f t="shared" si="322"/>
        <v>0.31830988618379069</v>
      </c>
      <c r="G2062" s="2">
        <v>5.3810399999999996</v>
      </c>
      <c r="H2062" s="2">
        <f t="shared" si="323"/>
        <v>17.654331273599997</v>
      </c>
      <c r="I2062" s="2">
        <f>INDEX('Wood Density Lookup'!$B$2:$B$152,MATCH(B2062,'Wood Density Lookup'!$A$2:$A$152,0))</f>
        <v>0.4</v>
      </c>
      <c r="J2062" s="2">
        <f t="shared" si="324"/>
        <v>9.3918232382152966E-2</v>
      </c>
      <c r="K2062" s="2">
        <f t="shared" si="328"/>
        <v>2.6297105067002832E-2</v>
      </c>
      <c r="L2062" s="2">
        <f t="shared" si="329"/>
        <v>0.1202153374491558</v>
      </c>
      <c r="M2062" s="2">
        <f t="shared" si="325"/>
        <v>8.715611965063795E-2</v>
      </c>
      <c r="N2062" s="2">
        <f t="shared" si="326"/>
        <v>4.3578059825318975E-2</v>
      </c>
      <c r="O2062" s="2">
        <f t="shared" si="327"/>
        <v>0.15993147955892065</v>
      </c>
      <c r="P2062" s="2">
        <v>72.552627999999999</v>
      </c>
      <c r="Q2062" s="2">
        <v>23.037101</v>
      </c>
    </row>
    <row r="2063" spans="1:17" x14ac:dyDescent="0.25">
      <c r="A2063" s="2">
        <v>2242</v>
      </c>
      <c r="B2063" s="2" t="s">
        <v>33</v>
      </c>
      <c r="C2063" s="2">
        <v>12</v>
      </c>
      <c r="D2063" s="2">
        <f t="shared" si="320"/>
        <v>30.48</v>
      </c>
      <c r="E2063" s="2">
        <f t="shared" si="321"/>
        <v>9.7020853308819408</v>
      </c>
      <c r="F2063" s="2">
        <f t="shared" si="322"/>
        <v>3.8197186342054881</v>
      </c>
      <c r="G2063" s="2">
        <v>2.0165099999999998</v>
      </c>
      <c r="H2063" s="2">
        <f t="shared" si="323"/>
        <v>6.6158466683999997</v>
      </c>
      <c r="I2063" s="2">
        <f>INDEX('Wood Density Lookup'!$B$2:$B$152,MATCH(B2063,'Wood Density Lookup'!$A$2:$A$152,0))</f>
        <v>0.65</v>
      </c>
      <c r="J2063" s="2">
        <f t="shared" si="324"/>
        <v>7.3972300774762658</v>
      </c>
      <c r="K2063" s="2">
        <f t="shared" si="328"/>
        <v>2.0712244216933544</v>
      </c>
      <c r="L2063" s="2">
        <f t="shared" si="329"/>
        <v>9.4684544991696207</v>
      </c>
      <c r="M2063" s="2">
        <f t="shared" si="325"/>
        <v>6.8646295118979745</v>
      </c>
      <c r="N2063" s="2">
        <f t="shared" si="326"/>
        <v>3.4323147559489873</v>
      </c>
      <c r="O2063" s="2">
        <f t="shared" si="327"/>
        <v>12.596595154332784</v>
      </c>
      <c r="P2063" s="2">
        <v>72.552628999999996</v>
      </c>
      <c r="Q2063" s="2">
        <v>23.038008000000001</v>
      </c>
    </row>
    <row r="2064" spans="1:17" x14ac:dyDescent="0.25">
      <c r="A2064" s="2">
        <v>2243</v>
      </c>
      <c r="B2064" s="2" t="s">
        <v>111</v>
      </c>
      <c r="C2064" s="2">
        <v>2</v>
      </c>
      <c r="D2064" s="2">
        <f t="shared" si="320"/>
        <v>5.08</v>
      </c>
      <c r="E2064" s="2">
        <f t="shared" si="321"/>
        <v>1.6170142218136567</v>
      </c>
      <c r="F2064" s="2">
        <f t="shared" si="322"/>
        <v>0.63661977236758138</v>
      </c>
      <c r="G2064" s="2">
        <v>5.7422069999999996</v>
      </c>
      <c r="H2064" s="2">
        <f t="shared" si="323"/>
        <v>18.83926241388</v>
      </c>
      <c r="I2064" s="2">
        <f>INDEX('Wood Density Lookup'!$B$2:$B$152,MATCH(B2064,'Wood Density Lookup'!$A$2:$A$152,0))</f>
        <v>0.4</v>
      </c>
      <c r="J2064" s="2">
        <f t="shared" si="324"/>
        <v>0.38716490440510809</v>
      </c>
      <c r="K2064" s="2">
        <f t="shared" si="328"/>
        <v>0.10840617323343027</v>
      </c>
      <c r="L2064" s="2">
        <f t="shared" si="329"/>
        <v>0.49557107763853836</v>
      </c>
      <c r="M2064" s="2">
        <f t="shared" si="325"/>
        <v>0.35928903128794032</v>
      </c>
      <c r="N2064" s="2">
        <f t="shared" si="326"/>
        <v>0.17964451564397016</v>
      </c>
      <c r="O2064" s="2">
        <f t="shared" si="327"/>
        <v>0.65929537241337044</v>
      </c>
      <c r="P2064" s="2">
        <v>72.552628999999996</v>
      </c>
      <c r="Q2064" s="2">
        <v>23.037092999999999</v>
      </c>
    </row>
    <row r="2065" spans="1:17" x14ac:dyDescent="0.25">
      <c r="A2065" s="2">
        <v>2244</v>
      </c>
      <c r="B2065" s="2" t="s">
        <v>134</v>
      </c>
      <c r="C2065" s="2">
        <v>4</v>
      </c>
      <c r="D2065" s="2">
        <f t="shared" si="320"/>
        <v>10.16</v>
      </c>
      <c r="E2065" s="2">
        <f t="shared" si="321"/>
        <v>3.2340284436273135</v>
      </c>
      <c r="F2065" s="2">
        <f t="shared" si="322"/>
        <v>1.2732395447351628</v>
      </c>
      <c r="G2065" s="2">
        <v>1.018656</v>
      </c>
      <c r="H2065" s="2">
        <f t="shared" si="323"/>
        <v>3.3420473510400002</v>
      </c>
      <c r="I2065" s="2">
        <f>INDEX('Wood Density Lookup'!$B$2:$B$152,MATCH(B2065,'Wood Density Lookup'!$A$2:$A$152,0))</f>
        <v>0.65</v>
      </c>
      <c r="J2065" s="2">
        <f t="shared" si="324"/>
        <v>0.44491121488512475</v>
      </c>
      <c r="K2065" s="2">
        <f t="shared" si="328"/>
        <v>0.12457514016783494</v>
      </c>
      <c r="L2065" s="2">
        <f t="shared" si="329"/>
        <v>0.56948635505295964</v>
      </c>
      <c r="M2065" s="2">
        <f t="shared" si="325"/>
        <v>0.41287760741339574</v>
      </c>
      <c r="N2065" s="2">
        <f t="shared" si="326"/>
        <v>0.20643880370669787</v>
      </c>
      <c r="O2065" s="2">
        <f t="shared" si="327"/>
        <v>0.75763040960358119</v>
      </c>
      <c r="P2065" s="2">
        <v>72.552629999999994</v>
      </c>
      <c r="Q2065" s="2">
        <v>23.038042000000001</v>
      </c>
    </row>
    <row r="2066" spans="1:17" x14ac:dyDescent="0.25">
      <c r="A2066" s="2">
        <v>2245</v>
      </c>
      <c r="B2066" s="2" t="s">
        <v>111</v>
      </c>
      <c r="C2066" s="2">
        <v>2</v>
      </c>
      <c r="D2066" s="2">
        <f t="shared" si="320"/>
        <v>5.08</v>
      </c>
      <c r="E2066" s="2">
        <f t="shared" si="321"/>
        <v>1.6170142218136567</v>
      </c>
      <c r="F2066" s="2">
        <f t="shared" si="322"/>
        <v>0.63661977236758138</v>
      </c>
      <c r="G2066" s="2">
        <v>4.4419060000000004</v>
      </c>
      <c r="H2066" s="2">
        <f t="shared" si="323"/>
        <v>14.573182881040001</v>
      </c>
      <c r="I2066" s="2">
        <f>INDEX('Wood Density Lookup'!$B$2:$B$152,MATCH(B2066,'Wood Density Lookup'!$A$2:$A$152,0))</f>
        <v>0.4</v>
      </c>
      <c r="J2066" s="2">
        <f t="shared" si="324"/>
        <v>0.30134412552277956</v>
      </c>
      <c r="K2066" s="2">
        <f t="shared" si="328"/>
        <v>8.4376355146378285E-2</v>
      </c>
      <c r="L2066" s="2">
        <f t="shared" si="329"/>
        <v>0.38572048066915787</v>
      </c>
      <c r="M2066" s="2">
        <f t="shared" si="325"/>
        <v>0.27964734848513945</v>
      </c>
      <c r="N2066" s="2">
        <f t="shared" si="326"/>
        <v>0.13982367424256972</v>
      </c>
      <c r="O2066" s="2">
        <f t="shared" si="327"/>
        <v>0.51315288447023089</v>
      </c>
      <c r="P2066" s="2">
        <v>72.552629999999994</v>
      </c>
      <c r="Q2066" s="2">
        <v>23.037085999999999</v>
      </c>
    </row>
    <row r="2067" spans="1:17" x14ac:dyDescent="0.25">
      <c r="A2067" s="2">
        <v>2246</v>
      </c>
      <c r="B2067" s="2" t="s">
        <v>111</v>
      </c>
      <c r="C2067" s="2">
        <v>2</v>
      </c>
      <c r="D2067" s="2">
        <f t="shared" si="320"/>
        <v>5.08</v>
      </c>
      <c r="E2067" s="2">
        <f t="shared" si="321"/>
        <v>1.6170142218136567</v>
      </c>
      <c r="F2067" s="2">
        <f t="shared" si="322"/>
        <v>0.63661977236758138</v>
      </c>
      <c r="G2067" s="2">
        <v>4.2477260000000001</v>
      </c>
      <c r="H2067" s="2">
        <f t="shared" si="323"/>
        <v>13.93610936984</v>
      </c>
      <c r="I2067" s="2">
        <f>INDEX('Wood Density Lookup'!$B$2:$B$152,MATCH(B2067,'Wood Density Lookup'!$A$2:$A$152,0))</f>
        <v>0.4</v>
      </c>
      <c r="J2067" s="2">
        <f t="shared" si="324"/>
        <v>0.28848003995697241</v>
      </c>
      <c r="K2067" s="2">
        <f t="shared" si="328"/>
        <v>8.0774411187952283E-2</v>
      </c>
      <c r="L2067" s="2">
        <f t="shared" si="329"/>
        <v>0.36925445114492472</v>
      </c>
      <c r="M2067" s="2">
        <f t="shared" si="325"/>
        <v>0.26770947708007042</v>
      </c>
      <c r="N2067" s="2">
        <f t="shared" si="326"/>
        <v>0.13385473854003521</v>
      </c>
      <c r="O2067" s="2">
        <f t="shared" si="327"/>
        <v>0.49124689044192921</v>
      </c>
      <c r="P2067" s="2">
        <v>72.552631000000005</v>
      </c>
      <c r="Q2067" s="2">
        <v>23.037119000000001</v>
      </c>
    </row>
    <row r="2068" spans="1:17" x14ac:dyDescent="0.25">
      <c r="A2068" s="2">
        <v>2247</v>
      </c>
      <c r="B2068" s="2" t="s">
        <v>15</v>
      </c>
      <c r="C2068" s="2">
        <v>1</v>
      </c>
      <c r="D2068" s="2">
        <f t="shared" si="320"/>
        <v>2.54</v>
      </c>
      <c r="E2068" s="2">
        <f t="shared" si="321"/>
        <v>0.80850711090682836</v>
      </c>
      <c r="F2068" s="2">
        <f t="shared" si="322"/>
        <v>0.31830988618379069</v>
      </c>
      <c r="G2068" s="2">
        <v>6.0852539999999999</v>
      </c>
      <c r="H2068" s="2">
        <f t="shared" si="323"/>
        <v>19.96474473336</v>
      </c>
      <c r="I2068" s="2">
        <f>INDEX('Wood Density Lookup'!$B$2:$B$152,MATCH(B2068,'Wood Density Lookup'!$A$2:$A$152,0))</f>
        <v>0.75</v>
      </c>
      <c r="J2068" s="2">
        <f t="shared" si="324"/>
        <v>0.19558238694768817</v>
      </c>
      <c r="K2068" s="2">
        <f t="shared" si="328"/>
        <v>5.4763068345352696E-2</v>
      </c>
      <c r="L2068" s="2">
        <f t="shared" si="329"/>
        <v>0.25034545529304086</v>
      </c>
      <c r="M2068" s="2">
        <f t="shared" si="325"/>
        <v>0.18150045508745463</v>
      </c>
      <c r="N2068" s="2">
        <f t="shared" si="326"/>
        <v>9.0750227543727316E-2</v>
      </c>
      <c r="O2068" s="2">
        <f t="shared" si="327"/>
        <v>0.33305333508547924</v>
      </c>
      <c r="P2068" s="2">
        <v>72.552631000000005</v>
      </c>
      <c r="Q2068" s="2">
        <v>23.038142000000001</v>
      </c>
    </row>
    <row r="2069" spans="1:17" x14ac:dyDescent="0.25">
      <c r="A2069" s="2">
        <v>2248</v>
      </c>
      <c r="B2069" s="2" t="s">
        <v>111</v>
      </c>
      <c r="C2069" s="2">
        <v>3</v>
      </c>
      <c r="D2069" s="2">
        <f t="shared" si="320"/>
        <v>7.62</v>
      </c>
      <c r="E2069" s="2">
        <f t="shared" si="321"/>
        <v>2.4255213327204852</v>
      </c>
      <c r="F2069" s="2">
        <f t="shared" si="322"/>
        <v>0.95492965855137202</v>
      </c>
      <c r="G2069" s="2">
        <v>5.9624459999999999</v>
      </c>
      <c r="H2069" s="2">
        <f t="shared" si="323"/>
        <v>19.561831334640001</v>
      </c>
      <c r="I2069" s="2">
        <f>INDEX('Wood Density Lookup'!$B$2:$B$152,MATCH(B2069,'Wood Density Lookup'!$A$2:$A$152,0))</f>
        <v>0.4</v>
      </c>
      <c r="J2069" s="2">
        <f t="shared" si="324"/>
        <v>0.88629732820898932</v>
      </c>
      <c r="K2069" s="2">
        <f t="shared" si="328"/>
        <v>0.24816325189851704</v>
      </c>
      <c r="L2069" s="2">
        <f t="shared" si="329"/>
        <v>1.1344605801075063</v>
      </c>
      <c r="M2069" s="2">
        <f t="shared" si="325"/>
        <v>0.82248392057794206</v>
      </c>
      <c r="N2069" s="2">
        <f t="shared" si="326"/>
        <v>0.41124196028897103</v>
      </c>
      <c r="O2069" s="2">
        <f t="shared" si="327"/>
        <v>1.5092579942605238</v>
      </c>
      <c r="P2069" s="2">
        <v>72.552632000000003</v>
      </c>
      <c r="Q2069" s="2">
        <v>23.037174</v>
      </c>
    </row>
    <row r="2070" spans="1:17" x14ac:dyDescent="0.25">
      <c r="A2070" s="2">
        <v>2249</v>
      </c>
      <c r="B2070" s="2" t="s">
        <v>111</v>
      </c>
      <c r="C2070" s="2">
        <v>2</v>
      </c>
      <c r="D2070" s="2">
        <f t="shared" si="320"/>
        <v>5.08</v>
      </c>
      <c r="E2070" s="2">
        <f t="shared" si="321"/>
        <v>1.6170142218136567</v>
      </c>
      <c r="F2070" s="2">
        <f t="shared" si="322"/>
        <v>0.63661977236758138</v>
      </c>
      <c r="G2070" s="2">
        <v>3.9744619999999999</v>
      </c>
      <c r="H2070" s="2">
        <f t="shared" si="323"/>
        <v>13.039573908079999</v>
      </c>
      <c r="I2070" s="2">
        <f>INDEX('Wood Density Lookup'!$B$2:$B$152,MATCH(B2070,'Wood Density Lookup'!$A$2:$A$152,0))</f>
        <v>0.4</v>
      </c>
      <c r="J2070" s="2">
        <f t="shared" si="324"/>
        <v>0.27035269258081807</v>
      </c>
      <c r="K2070" s="2">
        <f t="shared" si="328"/>
        <v>7.5698753922629064E-2</v>
      </c>
      <c r="L2070" s="2">
        <f t="shared" si="329"/>
        <v>0.3460514465034471</v>
      </c>
      <c r="M2070" s="2">
        <f t="shared" si="325"/>
        <v>0.25088729871499915</v>
      </c>
      <c r="N2070" s="2">
        <f t="shared" si="326"/>
        <v>0.12544364935749958</v>
      </c>
      <c r="O2070" s="2">
        <f t="shared" si="327"/>
        <v>0.46037819314202344</v>
      </c>
      <c r="P2070" s="2">
        <v>72.552632000000003</v>
      </c>
      <c r="Q2070" s="2">
        <v>23.037113999999999</v>
      </c>
    </row>
    <row r="2071" spans="1:17" x14ac:dyDescent="0.25">
      <c r="A2071" s="2">
        <v>2250</v>
      </c>
      <c r="B2071" s="2" t="s">
        <v>111</v>
      </c>
      <c r="C2071" s="2">
        <v>2</v>
      </c>
      <c r="D2071" s="2">
        <f t="shared" si="320"/>
        <v>5.08</v>
      </c>
      <c r="E2071" s="2">
        <f t="shared" si="321"/>
        <v>1.6170142218136567</v>
      </c>
      <c r="F2071" s="2">
        <f t="shared" si="322"/>
        <v>0.63661977236758138</v>
      </c>
      <c r="G2071" s="2">
        <v>4.7238810000000004</v>
      </c>
      <c r="H2071" s="2">
        <f t="shared" si="323"/>
        <v>15.498297740040002</v>
      </c>
      <c r="I2071" s="2">
        <f>INDEX('Wood Density Lookup'!$B$2:$B$152,MATCH(B2071,'Wood Density Lookup'!$A$2:$A$152,0))</f>
        <v>0.4</v>
      </c>
      <c r="J2071" s="2">
        <f t="shared" si="324"/>
        <v>0.32000060880551817</v>
      </c>
      <c r="K2071" s="2">
        <f t="shared" si="328"/>
        <v>8.9600170465545095E-2</v>
      </c>
      <c r="L2071" s="2">
        <f t="shared" si="329"/>
        <v>0.40960077927106325</v>
      </c>
      <c r="M2071" s="2">
        <f t="shared" si="325"/>
        <v>0.29696056497152085</v>
      </c>
      <c r="N2071" s="2">
        <f t="shared" si="326"/>
        <v>0.14848028248576042</v>
      </c>
      <c r="O2071" s="2">
        <f t="shared" si="327"/>
        <v>0.54492263672274077</v>
      </c>
      <c r="P2071" s="2">
        <v>72.552632000000003</v>
      </c>
      <c r="Q2071" s="2">
        <v>23.037078999999999</v>
      </c>
    </row>
    <row r="2072" spans="1:17" x14ac:dyDescent="0.25">
      <c r="A2072" s="2">
        <v>2251</v>
      </c>
      <c r="B2072" s="2" t="s">
        <v>50</v>
      </c>
      <c r="C2072" s="2">
        <v>2</v>
      </c>
      <c r="D2072" s="2">
        <f t="shared" si="320"/>
        <v>5.08</v>
      </c>
      <c r="E2072" s="2">
        <f t="shared" si="321"/>
        <v>1.6170142218136567</v>
      </c>
      <c r="F2072" s="2">
        <f t="shared" si="322"/>
        <v>0.63661977236758138</v>
      </c>
      <c r="G2072" s="2">
        <v>1.116468</v>
      </c>
      <c r="H2072" s="2">
        <f t="shared" si="323"/>
        <v>3.6629528731200001</v>
      </c>
      <c r="I2072" s="2">
        <f>INDEX('Wood Density Lookup'!$B$2:$B$152,MATCH(B2072,'Wood Density Lookup'!$A$2:$A$152,0))</f>
        <v>0.5</v>
      </c>
      <c r="J2072" s="2">
        <f t="shared" si="324"/>
        <v>9.7345789684478976E-2</v>
      </c>
      <c r="K2072" s="2">
        <f t="shared" si="328"/>
        <v>2.7256821111654117E-2</v>
      </c>
      <c r="L2072" s="2">
        <f t="shared" si="329"/>
        <v>0.12460261079613309</v>
      </c>
      <c r="M2072" s="2">
        <f t="shared" si="325"/>
        <v>9.0336892827196494E-2</v>
      </c>
      <c r="N2072" s="2">
        <f t="shared" si="326"/>
        <v>4.5168446413598247E-2</v>
      </c>
      <c r="O2072" s="2">
        <f t="shared" si="327"/>
        <v>0.16576819833790557</v>
      </c>
      <c r="P2072" s="2">
        <v>72.552632000000003</v>
      </c>
      <c r="Q2072" s="2">
        <v>23.037718000000002</v>
      </c>
    </row>
    <row r="2073" spans="1:17" x14ac:dyDescent="0.25">
      <c r="A2073" s="2">
        <v>2252</v>
      </c>
      <c r="B2073" s="2" t="s">
        <v>114</v>
      </c>
      <c r="C2073" s="2">
        <v>14</v>
      </c>
      <c r="D2073" s="2">
        <f t="shared" si="320"/>
        <v>35.56</v>
      </c>
      <c r="E2073" s="2">
        <f t="shared" si="321"/>
        <v>11.319099552695597</v>
      </c>
      <c r="F2073" s="2">
        <f t="shared" si="322"/>
        <v>4.45633840657307</v>
      </c>
      <c r="G2073" s="2">
        <v>9.2485079999999993</v>
      </c>
      <c r="H2073" s="2">
        <f t="shared" si="323"/>
        <v>30.342874986719998</v>
      </c>
      <c r="I2073" s="2">
        <f>INDEX('Wood Density Lookup'!$B$2:$B$152,MATCH(B2073,'Wood Density Lookup'!$A$2:$A$152,0))</f>
        <v>0.55000000000000004</v>
      </c>
      <c r="J2073" s="2">
        <f t="shared" si="324"/>
        <v>37.54358965643469</v>
      </c>
      <c r="K2073" s="2">
        <f t="shared" si="328"/>
        <v>10.512205103801714</v>
      </c>
      <c r="L2073" s="2">
        <f t="shared" si="329"/>
        <v>48.055794760236402</v>
      </c>
      <c r="M2073" s="2">
        <f t="shared" si="325"/>
        <v>34.84045120117139</v>
      </c>
      <c r="N2073" s="2">
        <f t="shared" si="326"/>
        <v>17.420225600585695</v>
      </c>
      <c r="O2073" s="2">
        <f t="shared" si="327"/>
        <v>63.932227954149504</v>
      </c>
      <c r="P2073" s="2">
        <v>72.552633</v>
      </c>
      <c r="Q2073" s="2">
        <v>23.03511</v>
      </c>
    </row>
    <row r="2074" spans="1:17" x14ac:dyDescent="0.25">
      <c r="A2074" s="2">
        <v>2253</v>
      </c>
      <c r="B2074" s="2" t="s">
        <v>111</v>
      </c>
      <c r="C2074" s="2">
        <v>2</v>
      </c>
      <c r="D2074" s="2">
        <f t="shared" si="320"/>
        <v>5.08</v>
      </c>
      <c r="E2074" s="2">
        <f t="shared" si="321"/>
        <v>1.6170142218136567</v>
      </c>
      <c r="F2074" s="2">
        <f t="shared" si="322"/>
        <v>0.63661977236758138</v>
      </c>
      <c r="G2074" s="2">
        <v>3.2961209999999999</v>
      </c>
      <c r="H2074" s="2">
        <f t="shared" si="323"/>
        <v>10.81404562164</v>
      </c>
      <c r="I2074" s="2">
        <f>INDEX('Wood Density Lookup'!$B$2:$B$152,MATCH(B2074,'Wood Density Lookup'!$A$2:$A$152,0))</f>
        <v>0.4</v>
      </c>
      <c r="J2074" s="2">
        <f t="shared" si="324"/>
        <v>0.22521955773964841</v>
      </c>
      <c r="K2074" s="2">
        <f t="shared" si="328"/>
        <v>6.306147616710156E-2</v>
      </c>
      <c r="L2074" s="2">
        <f t="shared" si="329"/>
        <v>0.28828103390674997</v>
      </c>
      <c r="M2074" s="2">
        <f t="shared" si="325"/>
        <v>0.20900374958239373</v>
      </c>
      <c r="N2074" s="2">
        <f t="shared" si="326"/>
        <v>0.10450187479119687</v>
      </c>
      <c r="O2074" s="2">
        <f t="shared" si="327"/>
        <v>0.38352188048369251</v>
      </c>
      <c r="P2074" s="2">
        <v>72.552633999999998</v>
      </c>
      <c r="Q2074" s="2">
        <v>23.037165000000002</v>
      </c>
    </row>
    <row r="2075" spans="1:17" x14ac:dyDescent="0.25">
      <c r="A2075" s="2">
        <v>2254</v>
      </c>
      <c r="B2075" s="2" t="s">
        <v>111</v>
      </c>
      <c r="C2075" s="2">
        <v>2</v>
      </c>
      <c r="D2075" s="2">
        <f t="shared" si="320"/>
        <v>5.08</v>
      </c>
      <c r="E2075" s="2">
        <f t="shared" si="321"/>
        <v>1.6170142218136567</v>
      </c>
      <c r="F2075" s="2">
        <f t="shared" si="322"/>
        <v>0.63661977236758138</v>
      </c>
      <c r="G2075" s="2">
        <v>3.1681309999999998</v>
      </c>
      <c r="H2075" s="2">
        <f t="shared" si="323"/>
        <v>10.394130910039999</v>
      </c>
      <c r="I2075" s="2">
        <f>INDEX('Wood Density Lookup'!$B$2:$B$152,MATCH(B2075,'Wood Density Lookup'!$A$2:$A$152,0))</f>
        <v>0.4</v>
      </c>
      <c r="J2075" s="2">
        <f t="shared" si="324"/>
        <v>0.21668002975601564</v>
      </c>
      <c r="K2075" s="2">
        <f t="shared" si="328"/>
        <v>6.0670408331684383E-2</v>
      </c>
      <c r="L2075" s="2">
        <f t="shared" si="329"/>
        <v>0.27735043808769999</v>
      </c>
      <c r="M2075" s="2">
        <f t="shared" si="325"/>
        <v>0.20107906761358249</v>
      </c>
      <c r="N2075" s="2">
        <f t="shared" si="326"/>
        <v>0.10053953380679125</v>
      </c>
      <c r="O2075" s="2">
        <f t="shared" si="327"/>
        <v>0.36898008907092389</v>
      </c>
      <c r="P2075" s="2">
        <v>72.552633999999998</v>
      </c>
      <c r="Q2075" s="2">
        <v>23.037109000000001</v>
      </c>
    </row>
    <row r="2076" spans="1:17" x14ac:dyDescent="0.25">
      <c r="A2076" s="2">
        <v>2255</v>
      </c>
      <c r="B2076" s="2" t="s">
        <v>111</v>
      </c>
      <c r="C2076" s="2">
        <v>1</v>
      </c>
      <c r="D2076" s="2">
        <f t="shared" si="320"/>
        <v>2.54</v>
      </c>
      <c r="E2076" s="2">
        <f t="shared" si="321"/>
        <v>0.80850711090682836</v>
      </c>
      <c r="F2076" s="2">
        <f t="shared" si="322"/>
        <v>0.31830988618379069</v>
      </c>
      <c r="G2076" s="2">
        <v>4.9566150000000002</v>
      </c>
      <c r="H2076" s="2">
        <f t="shared" si="323"/>
        <v>16.261860756600001</v>
      </c>
      <c r="I2076" s="2">
        <f>INDEX('Wood Density Lookup'!$B$2:$B$152,MATCH(B2076,'Wood Density Lookup'!$A$2:$A$152,0))</f>
        <v>0.4</v>
      </c>
      <c r="J2076" s="2">
        <f t="shared" si="324"/>
        <v>8.6681261167695367E-2</v>
      </c>
      <c r="K2076" s="2">
        <f t="shared" si="328"/>
        <v>2.4270753126954706E-2</v>
      </c>
      <c r="L2076" s="2">
        <f t="shared" si="329"/>
        <v>0.11095201429465007</v>
      </c>
      <c r="M2076" s="2">
        <f t="shared" si="325"/>
        <v>8.0440210363621298E-2</v>
      </c>
      <c r="N2076" s="2">
        <f t="shared" si="326"/>
        <v>4.0220105181810649E-2</v>
      </c>
      <c r="O2076" s="2">
        <f t="shared" si="327"/>
        <v>0.14760778601724509</v>
      </c>
      <c r="P2076" s="2">
        <v>72.552633999999998</v>
      </c>
      <c r="Q2076" s="2">
        <v>23.037071999999998</v>
      </c>
    </row>
    <row r="2077" spans="1:17" x14ac:dyDescent="0.25">
      <c r="A2077" s="2">
        <v>2256</v>
      </c>
      <c r="B2077" s="2" t="s">
        <v>17</v>
      </c>
      <c r="C2077" s="2">
        <v>24</v>
      </c>
      <c r="D2077" s="2">
        <f t="shared" si="320"/>
        <v>60.96</v>
      </c>
      <c r="E2077" s="2">
        <f t="shared" si="321"/>
        <v>19.404170661763882</v>
      </c>
      <c r="F2077" s="2">
        <f t="shared" si="322"/>
        <v>7.6394372684109761</v>
      </c>
      <c r="G2077" s="2">
        <v>3.678839</v>
      </c>
      <c r="H2077" s="2">
        <f t="shared" si="323"/>
        <v>12.06968214476</v>
      </c>
      <c r="I2077" s="2">
        <f>INDEX('Wood Density Lookup'!$B$2:$B$152,MATCH(B2077,'Wood Density Lookup'!$A$2:$A$152,0))</f>
        <v>0.75</v>
      </c>
      <c r="J2077" s="2">
        <f t="shared" si="324"/>
        <v>59.180657728447777</v>
      </c>
      <c r="K2077" s="2">
        <f t="shared" si="328"/>
        <v>16.570584163965378</v>
      </c>
      <c r="L2077" s="2">
        <f t="shared" si="329"/>
        <v>75.751241892413162</v>
      </c>
      <c r="M2077" s="2">
        <f t="shared" si="325"/>
        <v>54.919650371999538</v>
      </c>
      <c r="N2077" s="2">
        <f t="shared" si="326"/>
        <v>27.459825185999769</v>
      </c>
      <c r="O2077" s="2">
        <f t="shared" si="327"/>
        <v>100.77755843261914</v>
      </c>
      <c r="P2077" s="2">
        <v>72.552634999999995</v>
      </c>
      <c r="Q2077" s="2">
        <v>23.037099999999999</v>
      </c>
    </row>
    <row r="2078" spans="1:17" x14ac:dyDescent="0.25">
      <c r="A2078" s="2">
        <v>2257</v>
      </c>
      <c r="B2078" s="2" t="s">
        <v>111</v>
      </c>
      <c r="C2078" s="2">
        <v>2</v>
      </c>
      <c r="D2078" s="2">
        <f t="shared" si="320"/>
        <v>5.08</v>
      </c>
      <c r="E2078" s="2">
        <f t="shared" si="321"/>
        <v>1.6170142218136567</v>
      </c>
      <c r="F2078" s="2">
        <f t="shared" si="322"/>
        <v>0.63661977236758138</v>
      </c>
      <c r="G2078" s="2">
        <v>2.013798</v>
      </c>
      <c r="H2078" s="2">
        <f t="shared" si="323"/>
        <v>6.60694903032</v>
      </c>
      <c r="I2078" s="2">
        <f>INDEX('Wood Density Lookup'!$B$2:$B$152,MATCH(B2078,'Wood Density Lookup'!$A$2:$A$152,0))</f>
        <v>0.4</v>
      </c>
      <c r="J2078" s="2">
        <f t="shared" si="324"/>
        <v>0.13923696688510745</v>
      </c>
      <c r="K2078" s="2">
        <f t="shared" si="328"/>
        <v>3.8986350727830091E-2</v>
      </c>
      <c r="L2078" s="2">
        <f t="shared" si="329"/>
        <v>0.17822331761293753</v>
      </c>
      <c r="M2078" s="2">
        <f t="shared" si="325"/>
        <v>0.1292119052693797</v>
      </c>
      <c r="N2078" s="2">
        <f t="shared" si="326"/>
        <v>6.4605952634689851E-2</v>
      </c>
      <c r="O2078" s="2">
        <f t="shared" si="327"/>
        <v>0.23710384616931174</v>
      </c>
      <c r="P2078" s="2">
        <v>72.552634999999995</v>
      </c>
      <c r="Q2078" s="2">
        <v>23.037158999999999</v>
      </c>
    </row>
    <row r="2079" spans="1:17" x14ac:dyDescent="0.25">
      <c r="A2079" s="2">
        <v>2258</v>
      </c>
      <c r="B2079" s="2" t="s">
        <v>111</v>
      </c>
      <c r="C2079" s="2">
        <v>3</v>
      </c>
      <c r="D2079" s="2">
        <f t="shared" si="320"/>
        <v>7.62</v>
      </c>
      <c r="E2079" s="2">
        <f t="shared" si="321"/>
        <v>2.4255213327204852</v>
      </c>
      <c r="F2079" s="2">
        <f t="shared" si="322"/>
        <v>0.95492965855137202</v>
      </c>
      <c r="G2079" s="2">
        <v>2.3450410000000002</v>
      </c>
      <c r="H2079" s="2">
        <f t="shared" si="323"/>
        <v>7.6937043144400006</v>
      </c>
      <c r="I2079" s="2">
        <f>INDEX('Wood Density Lookup'!$B$2:$B$152,MATCH(B2079,'Wood Density Lookup'!$A$2:$A$152,0))</f>
        <v>0.4</v>
      </c>
      <c r="J2079" s="2">
        <f t="shared" si="324"/>
        <v>0.35647739699683068</v>
      </c>
      <c r="K2079" s="2">
        <f t="shared" si="328"/>
        <v>9.9813671159112605E-2</v>
      </c>
      <c r="L2079" s="2">
        <f t="shared" si="329"/>
        <v>0.45629106815594328</v>
      </c>
      <c r="M2079" s="2">
        <f t="shared" si="325"/>
        <v>0.33081102441305887</v>
      </c>
      <c r="N2079" s="2">
        <f t="shared" si="326"/>
        <v>0.16540551220652944</v>
      </c>
      <c r="O2079" s="2">
        <f t="shared" si="327"/>
        <v>0.60703822979796307</v>
      </c>
      <c r="P2079" s="2">
        <v>72.552634999999995</v>
      </c>
      <c r="Q2079" s="2">
        <v>23.037105</v>
      </c>
    </row>
    <row r="2080" spans="1:17" x14ac:dyDescent="0.25">
      <c r="A2080" s="2">
        <v>2259</v>
      </c>
      <c r="B2080" s="2" t="s">
        <v>111</v>
      </c>
      <c r="C2080" s="2">
        <v>1</v>
      </c>
      <c r="D2080" s="2">
        <f t="shared" si="320"/>
        <v>2.54</v>
      </c>
      <c r="E2080" s="2">
        <f t="shared" si="321"/>
        <v>0.80850711090682836</v>
      </c>
      <c r="F2080" s="2">
        <f t="shared" si="322"/>
        <v>0.31830988618379069</v>
      </c>
      <c r="G2080" s="2">
        <v>5.22933</v>
      </c>
      <c r="H2080" s="2">
        <f t="shared" si="323"/>
        <v>17.156595037199999</v>
      </c>
      <c r="I2080" s="2">
        <f>INDEX('Wood Density Lookup'!$B$2:$B$152,MATCH(B2080,'Wood Density Lookup'!$A$2:$A$152,0))</f>
        <v>0.4</v>
      </c>
      <c r="J2080" s="2">
        <f t="shared" si="324"/>
        <v>9.1333021019871508E-2</v>
      </c>
      <c r="K2080" s="2">
        <f t="shared" si="328"/>
        <v>2.5573245885564026E-2</v>
      </c>
      <c r="L2080" s="2">
        <f t="shared" si="329"/>
        <v>0.11690626690543554</v>
      </c>
      <c r="M2080" s="2">
        <f t="shared" si="325"/>
        <v>8.4757043506440768E-2</v>
      </c>
      <c r="N2080" s="2">
        <f t="shared" si="326"/>
        <v>4.2378521753220384E-2</v>
      </c>
      <c r="O2080" s="2">
        <f t="shared" si="327"/>
        <v>0.1555291748343188</v>
      </c>
      <c r="P2080" s="2">
        <v>72.552634999999995</v>
      </c>
      <c r="Q2080" s="2">
        <v>23.037065999999999</v>
      </c>
    </row>
    <row r="2081" spans="1:17" x14ac:dyDescent="0.25">
      <c r="A2081" s="2">
        <v>2260</v>
      </c>
      <c r="B2081" s="2" t="s">
        <v>17</v>
      </c>
      <c r="C2081" s="2">
        <v>3</v>
      </c>
      <c r="D2081" s="2">
        <f t="shared" si="320"/>
        <v>7.62</v>
      </c>
      <c r="E2081" s="2">
        <f t="shared" si="321"/>
        <v>2.4255213327204852</v>
      </c>
      <c r="F2081" s="2">
        <f t="shared" si="322"/>
        <v>0.95492965855137202</v>
      </c>
      <c r="G2081" s="2">
        <v>11.333904</v>
      </c>
      <c r="H2081" s="2">
        <f t="shared" si="323"/>
        <v>37.18472559936</v>
      </c>
      <c r="I2081" s="2">
        <f>INDEX('Wood Density Lookup'!$B$2:$B$152,MATCH(B2081,'Wood Density Lookup'!$A$2:$A$152,0))</f>
        <v>0.75</v>
      </c>
      <c r="J2081" s="2">
        <f t="shared" si="324"/>
        <v>3.0640004935168532</v>
      </c>
      <c r="K2081" s="2">
        <f t="shared" si="328"/>
        <v>0.85792013818471902</v>
      </c>
      <c r="L2081" s="2">
        <f t="shared" si="329"/>
        <v>3.921920631701572</v>
      </c>
      <c r="M2081" s="2">
        <f t="shared" si="325"/>
        <v>2.8433924579836396</v>
      </c>
      <c r="N2081" s="2">
        <f t="shared" si="326"/>
        <v>1.4216962289918198</v>
      </c>
      <c r="O2081" s="2">
        <f t="shared" si="327"/>
        <v>5.2176251603999786</v>
      </c>
      <c r="P2081" s="2">
        <v>72.552636000000007</v>
      </c>
      <c r="Q2081" s="2">
        <v>23.035983000000002</v>
      </c>
    </row>
    <row r="2082" spans="1:17" x14ac:dyDescent="0.25">
      <c r="A2082" s="2">
        <v>2262</v>
      </c>
      <c r="B2082" s="2" t="s">
        <v>49</v>
      </c>
      <c r="C2082" s="2">
        <v>7</v>
      </c>
      <c r="D2082" s="2">
        <f t="shared" si="320"/>
        <v>17.78</v>
      </c>
      <c r="E2082" s="2">
        <f t="shared" si="321"/>
        <v>5.6595497763477987</v>
      </c>
      <c r="F2082" s="2">
        <f t="shared" si="322"/>
        <v>2.228169203286535</v>
      </c>
      <c r="G2082" s="2">
        <v>8.6918450000000007</v>
      </c>
      <c r="H2082" s="2">
        <f t="shared" si="323"/>
        <v>28.516552749800002</v>
      </c>
      <c r="I2082" s="2">
        <f>INDEX('Wood Density Lookup'!$B$2:$B$152,MATCH(B2082,'Wood Density Lookup'!$A$2:$A$152,0))</f>
        <v>0.78</v>
      </c>
      <c r="J2082" s="2">
        <f t="shared" si="324"/>
        <v>12.844077564468929</v>
      </c>
      <c r="K2082" s="2">
        <f t="shared" si="328"/>
        <v>3.5963417180513004</v>
      </c>
      <c r="L2082" s="2">
        <f t="shared" si="329"/>
        <v>16.440419282520228</v>
      </c>
      <c r="M2082" s="2">
        <f t="shared" si="325"/>
        <v>11.919303979827164</v>
      </c>
      <c r="N2082" s="2">
        <f t="shared" si="326"/>
        <v>5.9596519899135822</v>
      </c>
      <c r="O2082" s="2">
        <f t="shared" si="327"/>
        <v>21.871922802982848</v>
      </c>
      <c r="P2082" s="2">
        <v>72.552637000000004</v>
      </c>
      <c r="Q2082" s="2">
        <v>23.037887999999999</v>
      </c>
    </row>
    <row r="2083" spans="1:17" x14ac:dyDescent="0.25">
      <c r="A2083" s="2">
        <v>2263</v>
      </c>
      <c r="B2083" s="2" t="s">
        <v>114</v>
      </c>
      <c r="C2083" s="2">
        <v>11</v>
      </c>
      <c r="D2083" s="2">
        <f t="shared" si="320"/>
        <v>27.94</v>
      </c>
      <c r="E2083" s="2">
        <f t="shared" si="321"/>
        <v>8.8935782199751117</v>
      </c>
      <c r="F2083" s="2">
        <f t="shared" si="322"/>
        <v>3.5014087480216975</v>
      </c>
      <c r="G2083" s="2">
        <v>12.319451000000001</v>
      </c>
      <c r="H2083" s="2">
        <f t="shared" si="323"/>
        <v>40.418147618840003</v>
      </c>
      <c r="I2083" s="2">
        <f>INDEX('Wood Density Lookup'!$B$2:$B$152,MATCH(B2083,'Wood Density Lookup'!$A$2:$A$152,0))</f>
        <v>0.55000000000000004</v>
      </c>
      <c r="J2083" s="2">
        <f t="shared" si="324"/>
        <v>31.018700246189656</v>
      </c>
      <c r="K2083" s="2">
        <f t="shared" si="328"/>
        <v>8.6852360689331043</v>
      </c>
      <c r="L2083" s="2">
        <f t="shared" si="329"/>
        <v>39.70393631512276</v>
      </c>
      <c r="M2083" s="2">
        <f t="shared" si="325"/>
        <v>28.785353828464</v>
      </c>
      <c r="N2083" s="2">
        <f t="shared" si="326"/>
        <v>14.392676914232</v>
      </c>
      <c r="O2083" s="2">
        <f t="shared" si="327"/>
        <v>52.82112427523144</v>
      </c>
      <c r="P2083" s="2">
        <v>72.552637000000004</v>
      </c>
      <c r="Q2083" s="2">
        <v>23.03509</v>
      </c>
    </row>
    <row r="2084" spans="1:17" x14ac:dyDescent="0.25">
      <c r="A2084" s="2">
        <v>2264</v>
      </c>
      <c r="B2084" s="2" t="s">
        <v>111</v>
      </c>
      <c r="C2084" s="2">
        <v>2</v>
      </c>
      <c r="D2084" s="2">
        <f t="shared" si="320"/>
        <v>5.08</v>
      </c>
      <c r="E2084" s="2">
        <f t="shared" si="321"/>
        <v>1.6170142218136567</v>
      </c>
      <c r="F2084" s="2">
        <f t="shared" si="322"/>
        <v>0.63661977236758138</v>
      </c>
      <c r="G2084" s="2">
        <v>3.4439289999999998</v>
      </c>
      <c r="H2084" s="2">
        <f t="shared" si="323"/>
        <v>11.298980020359998</v>
      </c>
      <c r="I2084" s="2">
        <f>INDEX('Wood Density Lookup'!$B$2:$B$152,MATCH(B2084,'Wood Density Lookup'!$A$2:$A$152,0))</f>
        <v>0.4</v>
      </c>
      <c r="J2084" s="2">
        <f t="shared" si="324"/>
        <v>0.23507146805181195</v>
      </c>
      <c r="K2084" s="2">
        <f t="shared" si="328"/>
        <v>6.5820011054507355E-2</v>
      </c>
      <c r="L2084" s="2">
        <f t="shared" si="329"/>
        <v>0.3008914791063193</v>
      </c>
      <c r="M2084" s="2">
        <f t="shared" si="325"/>
        <v>0.21814632235208148</v>
      </c>
      <c r="N2084" s="2">
        <f t="shared" si="326"/>
        <v>0.10907316117604074</v>
      </c>
      <c r="O2084" s="2">
        <f t="shared" si="327"/>
        <v>0.40029850151606949</v>
      </c>
      <c r="P2084" s="2">
        <v>72.552637000000004</v>
      </c>
      <c r="Q2084" s="2">
        <v>23.037095000000001</v>
      </c>
    </row>
    <row r="2085" spans="1:17" x14ac:dyDescent="0.25">
      <c r="A2085" s="2">
        <v>2265</v>
      </c>
      <c r="B2085" s="2" t="s">
        <v>135</v>
      </c>
      <c r="C2085" s="2">
        <v>12</v>
      </c>
      <c r="D2085" s="2">
        <f t="shared" si="320"/>
        <v>30.48</v>
      </c>
      <c r="E2085" s="2">
        <f t="shared" si="321"/>
        <v>9.7020853308819408</v>
      </c>
      <c r="F2085" s="2">
        <f t="shared" si="322"/>
        <v>3.8197186342054881</v>
      </c>
      <c r="G2085" s="2">
        <v>8.1350390000000008</v>
      </c>
      <c r="H2085" s="2">
        <f t="shared" si="323"/>
        <v>26.689761352760002</v>
      </c>
      <c r="I2085" s="2">
        <f>INDEX('Wood Density Lookup'!$B$2:$B$152,MATCH(B2085,'Wood Density Lookup'!$A$2:$A$152,0))</f>
        <v>0.8</v>
      </c>
      <c r="J2085" s="2">
        <f t="shared" si="324"/>
        <v>35.342930372882051</v>
      </c>
      <c r="K2085" s="2">
        <f t="shared" si="328"/>
        <v>9.8960205044069749</v>
      </c>
      <c r="L2085" s="2">
        <f t="shared" si="329"/>
        <v>45.238950877289028</v>
      </c>
      <c r="M2085" s="2">
        <f t="shared" si="325"/>
        <v>32.798239386034545</v>
      </c>
      <c r="N2085" s="2">
        <f t="shared" si="326"/>
        <v>16.399119693017273</v>
      </c>
      <c r="O2085" s="2">
        <f t="shared" si="327"/>
        <v>60.184769273373391</v>
      </c>
      <c r="P2085" s="2">
        <v>72.552638000000002</v>
      </c>
      <c r="Q2085" s="2">
        <v>23.035129999999999</v>
      </c>
    </row>
    <row r="2086" spans="1:17" x14ac:dyDescent="0.25">
      <c r="A2086" s="2">
        <v>2266</v>
      </c>
      <c r="B2086" s="2" t="s">
        <v>111</v>
      </c>
      <c r="C2086" s="2">
        <v>1</v>
      </c>
      <c r="D2086" s="2">
        <f t="shared" si="320"/>
        <v>2.54</v>
      </c>
      <c r="E2086" s="2">
        <f t="shared" si="321"/>
        <v>0.80850711090682836</v>
      </c>
      <c r="F2086" s="2">
        <f t="shared" si="322"/>
        <v>0.31830988618379069</v>
      </c>
      <c r="G2086" s="2">
        <v>5.0625730000000004</v>
      </c>
      <c r="H2086" s="2">
        <f t="shared" si="323"/>
        <v>16.60949200132</v>
      </c>
      <c r="I2086" s="2">
        <f>INDEX('Wood Density Lookup'!$B$2:$B$152,MATCH(B2086,'Wood Density Lookup'!$A$2:$A$152,0))</f>
        <v>0.4</v>
      </c>
      <c r="J2086" s="2">
        <f t="shared" si="324"/>
        <v>8.848932178758287E-2</v>
      </c>
      <c r="K2086" s="2">
        <f t="shared" si="328"/>
        <v>2.4777010100523206E-2</v>
      </c>
      <c r="L2086" s="2">
        <f t="shared" si="329"/>
        <v>0.11326633188810607</v>
      </c>
      <c r="M2086" s="2">
        <f t="shared" si="325"/>
        <v>8.2118090618876899E-2</v>
      </c>
      <c r="N2086" s="2">
        <f t="shared" si="326"/>
        <v>4.1059045309438449E-2</v>
      </c>
      <c r="O2086" s="2">
        <f t="shared" si="327"/>
        <v>0.1506866962856391</v>
      </c>
      <c r="P2086" s="2">
        <v>72.552638000000002</v>
      </c>
      <c r="Q2086" s="2">
        <v>23.037061000000001</v>
      </c>
    </row>
    <row r="2087" spans="1:17" x14ac:dyDescent="0.25">
      <c r="A2087" s="2">
        <v>2267</v>
      </c>
      <c r="B2087" s="2" t="s">
        <v>15</v>
      </c>
      <c r="C2087" s="2">
        <v>97</v>
      </c>
      <c r="D2087" s="2">
        <f t="shared" si="320"/>
        <v>246.38</v>
      </c>
      <c r="E2087" s="2">
        <f t="shared" si="321"/>
        <v>78.425189757962343</v>
      </c>
      <c r="F2087" s="2">
        <f t="shared" si="322"/>
        <v>30.876058959827695</v>
      </c>
      <c r="G2087" s="2">
        <v>15.802427</v>
      </c>
      <c r="H2087" s="2">
        <f t="shared" si="323"/>
        <v>51.845234598680001</v>
      </c>
      <c r="I2087" s="2">
        <f>INDEX('Wood Density Lookup'!$B$2:$B$152,MATCH(B2087,'Wood Density Lookup'!$A$2:$A$152,0))</f>
        <v>0.75</v>
      </c>
      <c r="J2087" s="2">
        <f t="shared" si="324"/>
        <v>3749.7867285446805</v>
      </c>
      <c r="K2087" s="2">
        <f t="shared" si="328"/>
        <v>1049.9402839925106</v>
      </c>
      <c r="L2087" s="2">
        <f t="shared" si="329"/>
        <v>4799.7270125371906</v>
      </c>
      <c r="M2087" s="2">
        <f t="shared" si="325"/>
        <v>3479.8020840894633</v>
      </c>
      <c r="N2087" s="2">
        <f t="shared" si="326"/>
        <v>1739.9010420447316</v>
      </c>
      <c r="O2087" s="2">
        <f t="shared" si="327"/>
        <v>6385.4368243041654</v>
      </c>
      <c r="P2087" s="2">
        <v>72.552638999999999</v>
      </c>
      <c r="Q2087" s="2">
        <v>23.035036999999999</v>
      </c>
    </row>
    <row r="2088" spans="1:17" x14ac:dyDescent="0.25">
      <c r="A2088" s="2">
        <v>2268</v>
      </c>
      <c r="B2088" s="2" t="s">
        <v>111</v>
      </c>
      <c r="C2088" s="2">
        <v>2</v>
      </c>
      <c r="D2088" s="2">
        <f t="shared" si="320"/>
        <v>5.08</v>
      </c>
      <c r="E2088" s="2">
        <f t="shared" si="321"/>
        <v>1.6170142218136567</v>
      </c>
      <c r="F2088" s="2">
        <f t="shared" si="322"/>
        <v>0.63661977236758138</v>
      </c>
      <c r="G2088" s="2">
        <v>3.2702119999999999</v>
      </c>
      <c r="H2088" s="2">
        <f t="shared" si="323"/>
        <v>10.729042338079999</v>
      </c>
      <c r="I2088" s="2">
        <f>INDEX('Wood Density Lookup'!$B$2:$B$152,MATCH(B2088,'Wood Density Lookup'!$A$2:$A$152,0))</f>
        <v>0.4</v>
      </c>
      <c r="J2088" s="2">
        <f t="shared" si="324"/>
        <v>0.22349155471937099</v>
      </c>
      <c r="K2088" s="2">
        <f t="shared" si="328"/>
        <v>6.257763532142388E-2</v>
      </c>
      <c r="L2088" s="2">
        <f t="shared" si="329"/>
        <v>0.2860691900407949</v>
      </c>
      <c r="M2088" s="2">
        <f t="shared" si="325"/>
        <v>0.20740016277957629</v>
      </c>
      <c r="N2088" s="2">
        <f t="shared" si="326"/>
        <v>0.10370008138978815</v>
      </c>
      <c r="O2088" s="2">
        <f t="shared" si="327"/>
        <v>0.38057929870052248</v>
      </c>
      <c r="P2088" s="2">
        <v>72.552638999999999</v>
      </c>
      <c r="Q2088" s="2">
        <v>23.037089000000002</v>
      </c>
    </row>
    <row r="2089" spans="1:17" x14ac:dyDescent="0.25">
      <c r="A2089" s="2">
        <v>2269</v>
      </c>
      <c r="B2089" s="2" t="s">
        <v>111</v>
      </c>
      <c r="C2089" s="2">
        <v>3</v>
      </c>
      <c r="D2089" s="2">
        <f t="shared" si="320"/>
        <v>7.62</v>
      </c>
      <c r="E2089" s="2">
        <f t="shared" si="321"/>
        <v>2.4255213327204852</v>
      </c>
      <c r="F2089" s="2">
        <f t="shared" si="322"/>
        <v>0.95492965855137202</v>
      </c>
      <c r="G2089" s="2">
        <v>4.5136440000000002</v>
      </c>
      <c r="H2089" s="2">
        <f t="shared" si="323"/>
        <v>14.808543780960001</v>
      </c>
      <c r="I2089" s="2">
        <f>INDEX('Wood Density Lookup'!$B$2:$B$152,MATCH(B2089,'Wood Density Lookup'!$A$2:$A$152,0))</f>
        <v>0.4</v>
      </c>
      <c r="J2089" s="2">
        <f t="shared" si="324"/>
        <v>0.67543539524352958</v>
      </c>
      <c r="K2089" s="2">
        <f t="shared" si="328"/>
        <v>0.18912191066818829</v>
      </c>
      <c r="L2089" s="2">
        <f t="shared" si="329"/>
        <v>0.86455730591171787</v>
      </c>
      <c r="M2089" s="2">
        <f t="shared" si="325"/>
        <v>0.62680404678599544</v>
      </c>
      <c r="N2089" s="2">
        <f t="shared" si="326"/>
        <v>0.31340202339299772</v>
      </c>
      <c r="O2089" s="2">
        <f t="shared" si="327"/>
        <v>1.1501854258523017</v>
      </c>
      <c r="P2089" s="2">
        <v>72.552639999999997</v>
      </c>
      <c r="Q2089" s="2">
        <v>23.037082000000002</v>
      </c>
    </row>
    <row r="2090" spans="1:17" x14ac:dyDescent="0.25">
      <c r="A2090" s="2">
        <v>2270</v>
      </c>
      <c r="B2090" s="2" t="s">
        <v>111</v>
      </c>
      <c r="C2090" s="2">
        <v>1</v>
      </c>
      <c r="D2090" s="2">
        <f t="shared" si="320"/>
        <v>2.54</v>
      </c>
      <c r="E2090" s="2">
        <f t="shared" si="321"/>
        <v>0.80850711090682836</v>
      </c>
      <c r="F2090" s="2">
        <f t="shared" si="322"/>
        <v>0.31830988618379069</v>
      </c>
      <c r="G2090" s="2">
        <v>4.9929259999999998</v>
      </c>
      <c r="H2090" s="2">
        <f t="shared" si="323"/>
        <v>16.380991337839998</v>
      </c>
      <c r="I2090" s="2">
        <f>INDEX('Wood Density Lookup'!$B$2:$B$152,MATCH(B2090,'Wood Density Lookup'!$A$2:$A$152,0))</f>
        <v>0.4</v>
      </c>
      <c r="J2090" s="2">
        <f t="shared" si="324"/>
        <v>8.7300973268874177E-2</v>
      </c>
      <c r="K2090" s="2">
        <f t="shared" si="328"/>
        <v>2.4444272515284773E-2</v>
      </c>
      <c r="L2090" s="2">
        <f t="shared" si="329"/>
        <v>0.11174524578415895</v>
      </c>
      <c r="M2090" s="2">
        <f t="shared" si="325"/>
        <v>8.1015303193515242E-2</v>
      </c>
      <c r="N2090" s="2">
        <f t="shared" si="326"/>
        <v>4.0507651596757621E-2</v>
      </c>
      <c r="O2090" s="2">
        <f t="shared" si="327"/>
        <v>0.14866308136010048</v>
      </c>
      <c r="P2090" s="2">
        <v>72.552639999999997</v>
      </c>
      <c r="Q2090" s="2">
        <v>23.037054000000001</v>
      </c>
    </row>
    <row r="2091" spans="1:17" x14ac:dyDescent="0.25">
      <c r="A2091" s="2">
        <v>2271</v>
      </c>
      <c r="B2091" s="2" t="s">
        <v>111</v>
      </c>
      <c r="C2091" s="2">
        <v>6</v>
      </c>
      <c r="D2091" s="2">
        <f t="shared" si="320"/>
        <v>15.24</v>
      </c>
      <c r="E2091" s="2">
        <f t="shared" si="321"/>
        <v>4.8510426654409704</v>
      </c>
      <c r="F2091" s="2">
        <f t="shared" si="322"/>
        <v>1.909859317102744</v>
      </c>
      <c r="G2091" s="2">
        <v>5.0019850000000003</v>
      </c>
      <c r="H2091" s="2">
        <f t="shared" si="323"/>
        <v>16.4107124674</v>
      </c>
      <c r="I2091" s="2">
        <f>INDEX('Wood Density Lookup'!$B$2:$B$152,MATCH(B2091,'Wood Density Lookup'!$A$2:$A$152,0))</f>
        <v>0.4</v>
      </c>
      <c r="J2091" s="2">
        <f t="shared" si="324"/>
        <v>2.8889411009530734</v>
      </c>
      <c r="K2091" s="2">
        <f t="shared" si="328"/>
        <v>0.80890350826686064</v>
      </c>
      <c r="L2091" s="2">
        <f t="shared" si="329"/>
        <v>3.697844609219934</v>
      </c>
      <c r="M2091" s="2">
        <f t="shared" si="325"/>
        <v>2.680937341684452</v>
      </c>
      <c r="N2091" s="2">
        <f t="shared" si="326"/>
        <v>1.340468670842226</v>
      </c>
      <c r="O2091" s="2">
        <f t="shared" si="327"/>
        <v>4.9195200219909694</v>
      </c>
      <c r="P2091" s="2">
        <v>72.552640999999994</v>
      </c>
      <c r="Q2091" s="2">
        <v>23.037807999999998</v>
      </c>
    </row>
    <row r="2092" spans="1:17" x14ac:dyDescent="0.25">
      <c r="A2092" s="2">
        <v>2272</v>
      </c>
      <c r="B2092" s="2" t="s">
        <v>111</v>
      </c>
      <c r="C2092" s="2">
        <v>2</v>
      </c>
      <c r="D2092" s="2">
        <f t="shared" si="320"/>
        <v>5.08</v>
      </c>
      <c r="E2092" s="2">
        <f t="shared" si="321"/>
        <v>1.6170142218136567</v>
      </c>
      <c r="F2092" s="2">
        <f t="shared" si="322"/>
        <v>0.63661977236758138</v>
      </c>
      <c r="G2092" s="2">
        <v>4.8448859999999998</v>
      </c>
      <c r="H2092" s="2">
        <f t="shared" si="323"/>
        <v>15.89529578424</v>
      </c>
      <c r="I2092" s="2">
        <f>INDEX('Wood Density Lookup'!$B$2:$B$152,MATCH(B2092,'Wood Density Lookup'!$A$2:$A$152,0))</f>
        <v>0.4</v>
      </c>
      <c r="J2092" s="2">
        <f t="shared" si="324"/>
        <v>0.32799844721304394</v>
      </c>
      <c r="K2092" s="2">
        <f t="shared" si="328"/>
        <v>9.1839565219652308E-2</v>
      </c>
      <c r="L2092" s="2">
        <f t="shared" si="329"/>
        <v>0.41983801243269625</v>
      </c>
      <c r="M2092" s="2">
        <f t="shared" si="325"/>
        <v>0.30438255901370476</v>
      </c>
      <c r="N2092" s="2">
        <f t="shared" si="326"/>
        <v>0.15219127950685238</v>
      </c>
      <c r="O2092" s="2">
        <f t="shared" si="327"/>
        <v>0.55854199579014818</v>
      </c>
      <c r="P2092" s="2">
        <v>72.552642000000006</v>
      </c>
      <c r="Q2092" s="2">
        <v>23.037047999999999</v>
      </c>
    </row>
    <row r="2093" spans="1:17" x14ac:dyDescent="0.25">
      <c r="A2093" s="2">
        <v>2273</v>
      </c>
      <c r="B2093" s="2" t="s">
        <v>111</v>
      </c>
      <c r="C2093" s="2">
        <v>3</v>
      </c>
      <c r="D2093" s="2">
        <f t="shared" si="320"/>
        <v>7.62</v>
      </c>
      <c r="E2093" s="2">
        <f t="shared" si="321"/>
        <v>2.4255213327204852</v>
      </c>
      <c r="F2093" s="2">
        <f t="shared" si="322"/>
        <v>0.95492965855137202</v>
      </c>
      <c r="G2093" s="2">
        <v>4.8602480000000003</v>
      </c>
      <c r="H2093" s="2">
        <f t="shared" si="323"/>
        <v>15.94569604832</v>
      </c>
      <c r="I2093" s="2">
        <f>INDEX('Wood Density Lookup'!$B$2:$B$152,MATCH(B2093,'Wood Density Lookup'!$A$2:$A$152,0))</f>
        <v>0.4</v>
      </c>
      <c r="J2093" s="2">
        <f t="shared" si="324"/>
        <v>0.72601199524338333</v>
      </c>
      <c r="K2093" s="2">
        <f t="shared" si="328"/>
        <v>0.20328335866814734</v>
      </c>
      <c r="L2093" s="2">
        <f t="shared" si="329"/>
        <v>0.92929535391153073</v>
      </c>
      <c r="M2093" s="2">
        <f t="shared" si="325"/>
        <v>0.67373913158585974</v>
      </c>
      <c r="N2093" s="2">
        <f t="shared" si="326"/>
        <v>0.33686956579292987</v>
      </c>
      <c r="O2093" s="2">
        <f t="shared" si="327"/>
        <v>1.2363113064600526</v>
      </c>
      <c r="P2093" s="2">
        <v>72.552642000000006</v>
      </c>
      <c r="Q2093" s="2">
        <v>23.037040000000001</v>
      </c>
    </row>
    <row r="2094" spans="1:17" x14ac:dyDescent="0.25">
      <c r="A2094" s="2">
        <v>2274</v>
      </c>
      <c r="B2094" s="2" t="s">
        <v>62</v>
      </c>
      <c r="C2094" s="2">
        <v>82</v>
      </c>
      <c r="D2094" s="2">
        <f t="shared" si="320"/>
        <v>208.28</v>
      </c>
      <c r="E2094" s="2">
        <f t="shared" si="321"/>
        <v>66.297583094359922</v>
      </c>
      <c r="F2094" s="2">
        <f t="shared" si="322"/>
        <v>26.101410667070837</v>
      </c>
      <c r="G2094" s="2">
        <v>12.046061999999999</v>
      </c>
      <c r="H2094" s="2">
        <f t="shared" si="323"/>
        <v>39.52120205208</v>
      </c>
      <c r="I2094" s="2">
        <f>INDEX('Wood Density Lookup'!$B$2:$B$152,MATCH(B2094,'Wood Density Lookup'!$A$2:$A$152,0))</f>
        <v>0.47</v>
      </c>
      <c r="J2094" s="2">
        <f t="shared" si="324"/>
        <v>1313.5629447548954</v>
      </c>
      <c r="K2094" s="2">
        <f t="shared" si="328"/>
        <v>367.79762453137073</v>
      </c>
      <c r="L2094" s="2">
        <f t="shared" si="329"/>
        <v>1681.3605692862661</v>
      </c>
      <c r="M2094" s="2">
        <f t="shared" si="325"/>
        <v>1218.9864127325429</v>
      </c>
      <c r="N2094" s="2">
        <f t="shared" si="326"/>
        <v>609.49320636627147</v>
      </c>
      <c r="O2094" s="2">
        <f t="shared" si="327"/>
        <v>2236.8400673642163</v>
      </c>
      <c r="P2094" s="2">
        <v>72.552643000000003</v>
      </c>
      <c r="Q2094" s="2">
        <v>23.035423000000002</v>
      </c>
    </row>
    <row r="2095" spans="1:17" x14ac:dyDescent="0.25">
      <c r="A2095" s="2">
        <v>2275</v>
      </c>
      <c r="B2095" s="2" t="s">
        <v>93</v>
      </c>
      <c r="C2095" s="2">
        <v>12</v>
      </c>
      <c r="D2095" s="2">
        <f t="shared" si="320"/>
        <v>30.48</v>
      </c>
      <c r="E2095" s="2">
        <f t="shared" si="321"/>
        <v>9.7020853308819408</v>
      </c>
      <c r="F2095" s="2">
        <f t="shared" si="322"/>
        <v>3.8197186342054881</v>
      </c>
      <c r="G2095" s="2">
        <v>9.2087990000000008</v>
      </c>
      <c r="H2095" s="2">
        <f t="shared" si="323"/>
        <v>30.212596111160003</v>
      </c>
      <c r="I2095" s="2">
        <f>INDEX('Wood Density Lookup'!$B$2:$B$152,MATCH(B2095,'Wood Density Lookup'!$A$2:$A$152,0))</f>
        <v>0.9</v>
      </c>
      <c r="J2095" s="2">
        <f t="shared" si="324"/>
        <v>44.748505039861179</v>
      </c>
      <c r="K2095" s="2">
        <f t="shared" si="328"/>
        <v>12.529581411161132</v>
      </c>
      <c r="L2095" s="2">
        <f t="shared" si="329"/>
        <v>57.278086451022311</v>
      </c>
      <c r="M2095" s="2">
        <f t="shared" si="325"/>
        <v>41.526612676991171</v>
      </c>
      <c r="N2095" s="2">
        <f t="shared" si="326"/>
        <v>20.763306338495585</v>
      </c>
      <c r="O2095" s="2">
        <f t="shared" si="327"/>
        <v>76.201334262278792</v>
      </c>
      <c r="P2095" s="2">
        <v>72.552643000000003</v>
      </c>
      <c r="Q2095" s="2">
        <v>23.035105000000001</v>
      </c>
    </row>
    <row r="2096" spans="1:17" x14ac:dyDescent="0.25">
      <c r="A2096" s="2">
        <v>2276</v>
      </c>
      <c r="B2096" s="2" t="s">
        <v>111</v>
      </c>
      <c r="C2096" s="2">
        <v>2</v>
      </c>
      <c r="D2096" s="2">
        <f t="shared" si="320"/>
        <v>5.08</v>
      </c>
      <c r="E2096" s="2">
        <f t="shared" si="321"/>
        <v>1.6170142218136567</v>
      </c>
      <c r="F2096" s="2">
        <f t="shared" si="322"/>
        <v>0.63661977236758138</v>
      </c>
      <c r="G2096" s="2">
        <v>4.9352299999999998</v>
      </c>
      <c r="H2096" s="2">
        <f t="shared" si="323"/>
        <v>16.1916999932</v>
      </c>
      <c r="I2096" s="2">
        <f>INDEX('Wood Density Lookup'!$B$2:$B$152,MATCH(B2096,'Wood Density Lookup'!$A$2:$A$152,0))</f>
        <v>0.4</v>
      </c>
      <c r="J2096" s="2">
        <f t="shared" si="324"/>
        <v>0.33396661162976959</v>
      </c>
      <c r="K2096" s="2">
        <f t="shared" si="328"/>
        <v>9.3510651256335495E-2</v>
      </c>
      <c r="L2096" s="2">
        <f t="shared" si="329"/>
        <v>0.4274772628861051</v>
      </c>
      <c r="M2096" s="2">
        <f t="shared" si="325"/>
        <v>0.30992101559242619</v>
      </c>
      <c r="N2096" s="2">
        <f t="shared" si="326"/>
        <v>0.15496050779621309</v>
      </c>
      <c r="O2096" s="2">
        <f t="shared" si="327"/>
        <v>0.56870506361210205</v>
      </c>
      <c r="P2096" s="2">
        <v>72.552643000000003</v>
      </c>
      <c r="Q2096" s="2">
        <v>23.037075000000002</v>
      </c>
    </row>
    <row r="2097" spans="1:17" x14ac:dyDescent="0.25">
      <c r="A2097" s="2">
        <v>2277</v>
      </c>
      <c r="B2097" s="2" t="s">
        <v>111</v>
      </c>
      <c r="C2097" s="2">
        <v>2</v>
      </c>
      <c r="D2097" s="2">
        <f t="shared" si="320"/>
        <v>5.08</v>
      </c>
      <c r="E2097" s="2">
        <f t="shared" si="321"/>
        <v>1.6170142218136567</v>
      </c>
      <c r="F2097" s="2">
        <f t="shared" si="322"/>
        <v>0.63661977236758138</v>
      </c>
      <c r="G2097" s="2">
        <v>4.729743</v>
      </c>
      <c r="H2097" s="2">
        <f t="shared" si="323"/>
        <v>15.517530024119999</v>
      </c>
      <c r="I2097" s="2">
        <f>INDEX('Wood Density Lookup'!$B$2:$B$152,MATCH(B2097,'Wood Density Lookup'!$A$2:$A$152,0))</f>
        <v>0.4</v>
      </c>
      <c r="J2097" s="2">
        <f t="shared" si="324"/>
        <v>0.32038817065808167</v>
      </c>
      <c r="K2097" s="2">
        <f t="shared" si="328"/>
        <v>8.9708687784262872E-2</v>
      </c>
      <c r="L2097" s="2">
        <f t="shared" si="329"/>
        <v>0.41009685844234456</v>
      </c>
      <c r="M2097" s="2">
        <f t="shared" si="325"/>
        <v>0.29732022237069977</v>
      </c>
      <c r="N2097" s="2">
        <f t="shared" si="326"/>
        <v>0.14866011118534989</v>
      </c>
      <c r="O2097" s="2">
        <f t="shared" si="327"/>
        <v>0.54558260805023406</v>
      </c>
      <c r="P2097" s="2">
        <v>72.552643000000003</v>
      </c>
      <c r="Q2097" s="2">
        <v>23.037033999999998</v>
      </c>
    </row>
    <row r="2098" spans="1:17" x14ac:dyDescent="0.25">
      <c r="A2098" s="2">
        <v>2278</v>
      </c>
      <c r="B2098" s="2" t="s">
        <v>114</v>
      </c>
      <c r="C2098" s="2">
        <v>12</v>
      </c>
      <c r="D2098" s="2">
        <f t="shared" si="320"/>
        <v>30.48</v>
      </c>
      <c r="E2098" s="2">
        <f t="shared" si="321"/>
        <v>9.7020853308819408</v>
      </c>
      <c r="F2098" s="2">
        <f t="shared" si="322"/>
        <v>3.8197186342054881</v>
      </c>
      <c r="G2098" s="2">
        <v>12.046329</v>
      </c>
      <c r="H2098" s="2">
        <f t="shared" si="323"/>
        <v>39.52207803636</v>
      </c>
      <c r="I2098" s="2">
        <f>INDEX('Wood Density Lookup'!$B$2:$B$152,MATCH(B2098,'Wood Density Lookup'!$A$2:$A$152,0))</f>
        <v>0.55000000000000004</v>
      </c>
      <c r="J2098" s="2">
        <f t="shared" si="324"/>
        <v>35.965318580150466</v>
      </c>
      <c r="K2098" s="2">
        <f t="shared" si="328"/>
        <v>10.070289202442131</v>
      </c>
      <c r="L2098" s="2">
        <f t="shared" si="329"/>
        <v>46.035607782592599</v>
      </c>
      <c r="M2098" s="2">
        <f t="shared" si="325"/>
        <v>33.375815642379635</v>
      </c>
      <c r="N2098" s="2">
        <f t="shared" si="326"/>
        <v>16.687907821189818</v>
      </c>
      <c r="O2098" s="2">
        <f t="shared" si="327"/>
        <v>61.244621703766626</v>
      </c>
      <c r="P2098" s="2">
        <v>72.552644000000001</v>
      </c>
      <c r="Q2098" s="2">
        <v>23.035060999999999</v>
      </c>
    </row>
    <row r="2099" spans="1:17" x14ac:dyDescent="0.25">
      <c r="A2099" s="2">
        <v>2279</v>
      </c>
      <c r="B2099" s="2" t="s">
        <v>111</v>
      </c>
      <c r="C2099" s="2">
        <v>2</v>
      </c>
      <c r="D2099" s="2">
        <f t="shared" si="320"/>
        <v>5.08</v>
      </c>
      <c r="E2099" s="2">
        <f t="shared" si="321"/>
        <v>1.6170142218136567</v>
      </c>
      <c r="F2099" s="2">
        <f t="shared" si="322"/>
        <v>0.63661977236758138</v>
      </c>
      <c r="G2099" s="2">
        <v>5.2355489999999998</v>
      </c>
      <c r="H2099" s="2">
        <f t="shared" si="323"/>
        <v>17.176998581159999</v>
      </c>
      <c r="I2099" s="2">
        <f>INDEX('Wood Density Lookup'!$B$2:$B$152,MATCH(B2099,'Wood Density Lookup'!$A$2:$A$152,0))</f>
        <v>0.4</v>
      </c>
      <c r="J2099" s="2">
        <f t="shared" si="324"/>
        <v>0.35378724040093035</v>
      </c>
      <c r="K2099" s="2">
        <f t="shared" si="328"/>
        <v>9.9060427312260502E-2</v>
      </c>
      <c r="L2099" s="2">
        <f t="shared" si="329"/>
        <v>0.45284766771319085</v>
      </c>
      <c r="M2099" s="2">
        <f t="shared" si="325"/>
        <v>0.32831455909206336</v>
      </c>
      <c r="N2099" s="2">
        <f t="shared" si="326"/>
        <v>0.16415727954603168</v>
      </c>
      <c r="O2099" s="2">
        <f t="shared" si="327"/>
        <v>0.60245721593393631</v>
      </c>
      <c r="P2099" s="2">
        <v>72.552644999999998</v>
      </c>
      <c r="Q2099" s="2">
        <v>23.037068000000001</v>
      </c>
    </row>
    <row r="2100" spans="1:17" x14ac:dyDescent="0.25">
      <c r="A2100" s="2">
        <v>2280</v>
      </c>
      <c r="B2100" s="2" t="s">
        <v>111</v>
      </c>
      <c r="C2100" s="2">
        <v>2</v>
      </c>
      <c r="D2100" s="2">
        <f t="shared" si="320"/>
        <v>5.08</v>
      </c>
      <c r="E2100" s="2">
        <f t="shared" si="321"/>
        <v>1.6170142218136567</v>
      </c>
      <c r="F2100" s="2">
        <f t="shared" si="322"/>
        <v>0.63661977236758138</v>
      </c>
      <c r="G2100" s="2">
        <v>4.1976089999999999</v>
      </c>
      <c r="H2100" s="2">
        <f t="shared" si="323"/>
        <v>13.771683511559999</v>
      </c>
      <c r="I2100" s="2">
        <f>INDEX('Wood Density Lookup'!$B$2:$B$152,MATCH(B2100,'Wood Density Lookup'!$A$2:$A$152,0))</f>
        <v>0.4</v>
      </c>
      <c r="J2100" s="2">
        <f t="shared" si="324"/>
        <v>0.2851576095563999</v>
      </c>
      <c r="K2100" s="2">
        <f t="shared" si="328"/>
        <v>7.9844130675791977E-2</v>
      </c>
      <c r="L2100" s="2">
        <f t="shared" si="329"/>
        <v>0.3650017402321919</v>
      </c>
      <c r="M2100" s="2">
        <f t="shared" si="325"/>
        <v>0.26462626166833914</v>
      </c>
      <c r="N2100" s="2">
        <f t="shared" si="326"/>
        <v>0.13231313083416957</v>
      </c>
      <c r="O2100" s="2">
        <f t="shared" si="327"/>
        <v>0.48558919016140228</v>
      </c>
      <c r="P2100" s="2">
        <v>72.552645999999996</v>
      </c>
      <c r="Q2100" s="2">
        <v>23.037026000000001</v>
      </c>
    </row>
    <row r="2101" spans="1:17" x14ac:dyDescent="0.25">
      <c r="A2101" s="2">
        <v>2281</v>
      </c>
      <c r="B2101" s="2" t="s">
        <v>50</v>
      </c>
      <c r="C2101" s="2">
        <v>23</v>
      </c>
      <c r="D2101" s="2">
        <f t="shared" si="320"/>
        <v>58.42</v>
      </c>
      <c r="E2101" s="2">
        <f t="shared" si="321"/>
        <v>18.595663550857051</v>
      </c>
      <c r="F2101" s="2">
        <f t="shared" si="322"/>
        <v>7.3211273822271856</v>
      </c>
      <c r="G2101" s="2">
        <v>10.575222999999999</v>
      </c>
      <c r="H2101" s="2">
        <f t="shared" si="323"/>
        <v>34.695614627319998</v>
      </c>
      <c r="I2101" s="2">
        <f>INDEX('Wood Density Lookup'!$B$2:$B$152,MATCH(B2101,'Wood Density Lookup'!$A$2:$A$152,0))</f>
        <v>0.5</v>
      </c>
      <c r="J2101" s="2">
        <f t="shared" si="324"/>
        <v>102.75618524716351</v>
      </c>
      <c r="K2101" s="2">
        <f t="shared" si="328"/>
        <v>28.771731869205787</v>
      </c>
      <c r="L2101" s="2">
        <f t="shared" si="329"/>
        <v>131.52791711636931</v>
      </c>
      <c r="M2101" s="2">
        <f t="shared" si="325"/>
        <v>95.357739909367751</v>
      </c>
      <c r="N2101" s="2">
        <f t="shared" si="326"/>
        <v>47.678869954683876</v>
      </c>
      <c r="O2101" s="2">
        <f t="shared" si="327"/>
        <v>174.98145273368982</v>
      </c>
      <c r="P2101" s="2">
        <v>72.552646999999993</v>
      </c>
      <c r="Q2101" s="2">
        <v>23.035544999999999</v>
      </c>
    </row>
    <row r="2102" spans="1:17" x14ac:dyDescent="0.25">
      <c r="A2102" s="2">
        <v>2282</v>
      </c>
      <c r="B2102" s="2" t="s">
        <v>111</v>
      </c>
      <c r="C2102" s="2">
        <v>2</v>
      </c>
      <c r="D2102" s="2">
        <f t="shared" si="320"/>
        <v>5.08</v>
      </c>
      <c r="E2102" s="2">
        <f t="shared" si="321"/>
        <v>1.6170142218136567</v>
      </c>
      <c r="F2102" s="2">
        <f t="shared" si="322"/>
        <v>0.63661977236758138</v>
      </c>
      <c r="G2102" s="2">
        <v>5.1292559999999998</v>
      </c>
      <c r="H2102" s="2">
        <f t="shared" si="323"/>
        <v>16.828268255039998</v>
      </c>
      <c r="I2102" s="2">
        <f>INDEX('Wood Density Lookup'!$B$2:$B$152,MATCH(B2102,'Wood Density Lookup'!$A$2:$A$152,0))</f>
        <v>0.4</v>
      </c>
      <c r="J2102" s="2">
        <f t="shared" si="324"/>
        <v>0.34677525581515095</v>
      </c>
      <c r="K2102" s="2">
        <f t="shared" si="328"/>
        <v>9.7097071628242271E-2</v>
      </c>
      <c r="L2102" s="2">
        <f t="shared" si="329"/>
        <v>0.44387232744339322</v>
      </c>
      <c r="M2102" s="2">
        <f t="shared" si="325"/>
        <v>0.32180743739646006</v>
      </c>
      <c r="N2102" s="2">
        <f t="shared" si="326"/>
        <v>0.16090371869823003</v>
      </c>
      <c r="O2102" s="2">
        <f t="shared" si="327"/>
        <v>0.59051664762250422</v>
      </c>
      <c r="P2102" s="2">
        <v>72.552646999999993</v>
      </c>
      <c r="Q2102" s="2">
        <v>23.037061999999999</v>
      </c>
    </row>
    <row r="2103" spans="1:17" x14ac:dyDescent="0.25">
      <c r="A2103" s="2">
        <v>2283</v>
      </c>
      <c r="B2103" s="2" t="s">
        <v>111</v>
      </c>
      <c r="C2103" s="2">
        <v>2</v>
      </c>
      <c r="D2103" s="2">
        <f t="shared" si="320"/>
        <v>5.08</v>
      </c>
      <c r="E2103" s="2">
        <f t="shared" si="321"/>
        <v>1.6170142218136567</v>
      </c>
      <c r="F2103" s="2">
        <f t="shared" si="322"/>
        <v>0.63661977236758138</v>
      </c>
      <c r="G2103" s="2">
        <v>4.1448749999999999</v>
      </c>
      <c r="H2103" s="2">
        <f t="shared" si="323"/>
        <v>13.598671695</v>
      </c>
      <c r="I2103" s="2">
        <f>INDEX('Wood Density Lookup'!$B$2:$B$152,MATCH(B2103,'Wood Density Lookup'!$A$2:$A$152,0))</f>
        <v>0.4</v>
      </c>
      <c r="J2103" s="2">
        <f t="shared" si="324"/>
        <v>0.28166066082681923</v>
      </c>
      <c r="K2103" s="2">
        <f t="shared" si="328"/>
        <v>7.8864985031509391E-2</v>
      </c>
      <c r="L2103" s="2">
        <f t="shared" si="329"/>
        <v>0.36052564585832864</v>
      </c>
      <c r="M2103" s="2">
        <f t="shared" si="325"/>
        <v>0.26138109324728825</v>
      </c>
      <c r="N2103" s="2">
        <f t="shared" si="326"/>
        <v>0.13069054662364413</v>
      </c>
      <c r="O2103" s="2">
        <f t="shared" si="327"/>
        <v>0.47963430610877394</v>
      </c>
      <c r="P2103" s="2">
        <v>72.552646999999993</v>
      </c>
      <c r="Q2103" s="2">
        <v>23.037016000000001</v>
      </c>
    </row>
    <row r="2104" spans="1:17" x14ac:dyDescent="0.25">
      <c r="A2104" s="2">
        <v>2284</v>
      </c>
      <c r="B2104" s="2" t="s">
        <v>111</v>
      </c>
      <c r="C2104" s="2">
        <v>2</v>
      </c>
      <c r="D2104" s="2">
        <f t="shared" si="320"/>
        <v>5.08</v>
      </c>
      <c r="E2104" s="2">
        <f t="shared" si="321"/>
        <v>1.6170142218136567</v>
      </c>
      <c r="F2104" s="2">
        <f t="shared" si="322"/>
        <v>0.63661977236758138</v>
      </c>
      <c r="G2104" s="2">
        <v>4.3577469999999998</v>
      </c>
      <c r="H2104" s="2">
        <f t="shared" si="323"/>
        <v>14.29707066748</v>
      </c>
      <c r="I2104" s="2">
        <f>INDEX('Wood Density Lookup'!$B$2:$B$152,MATCH(B2104,'Wood Density Lookup'!$A$2:$A$152,0))</f>
        <v>0.4</v>
      </c>
      <c r="J2104" s="2">
        <f t="shared" si="324"/>
        <v>0.29577043149336629</v>
      </c>
      <c r="K2104" s="2">
        <f t="shared" si="328"/>
        <v>8.2815720818142563E-2</v>
      </c>
      <c r="L2104" s="2">
        <f t="shared" si="329"/>
        <v>0.37858615231150883</v>
      </c>
      <c r="M2104" s="2">
        <f t="shared" si="325"/>
        <v>0.27447496042584391</v>
      </c>
      <c r="N2104" s="2">
        <f t="shared" si="326"/>
        <v>0.13723748021292195</v>
      </c>
      <c r="O2104" s="2">
        <f t="shared" si="327"/>
        <v>0.50366155238142352</v>
      </c>
      <c r="P2104" s="2">
        <v>72.552648000000005</v>
      </c>
      <c r="Q2104" s="2">
        <v>23.037009999999999</v>
      </c>
    </row>
    <row r="2105" spans="1:17" x14ac:dyDescent="0.25">
      <c r="A2105" s="2">
        <v>2285</v>
      </c>
      <c r="B2105" s="2" t="s">
        <v>15</v>
      </c>
      <c r="C2105" s="2">
        <v>89</v>
      </c>
      <c r="D2105" s="2">
        <f t="shared" si="320"/>
        <v>226.06</v>
      </c>
      <c r="E2105" s="2">
        <f t="shared" si="321"/>
        <v>71.957132870707724</v>
      </c>
      <c r="F2105" s="2">
        <f t="shared" si="322"/>
        <v>28.329579870357371</v>
      </c>
      <c r="G2105" s="2">
        <v>12.538175000000001</v>
      </c>
      <c r="H2105" s="2">
        <f t="shared" si="323"/>
        <v>41.135746066999999</v>
      </c>
      <c r="I2105" s="2">
        <f>INDEX('Wood Density Lookup'!$B$2:$B$152,MATCH(B2105,'Wood Density Lookup'!$A$2:$A$152,0))</f>
        <v>0.75</v>
      </c>
      <c r="J2105" s="2">
        <f t="shared" si="324"/>
        <v>2529.0634016911708</v>
      </c>
      <c r="K2105" s="2">
        <f t="shared" si="328"/>
        <v>708.13775247352794</v>
      </c>
      <c r="L2105" s="2">
        <f t="shared" si="329"/>
        <v>3237.2011541646989</v>
      </c>
      <c r="M2105" s="2">
        <f t="shared" si="325"/>
        <v>2346.9708367694066</v>
      </c>
      <c r="N2105" s="2">
        <f t="shared" si="326"/>
        <v>1173.4854183847033</v>
      </c>
      <c r="O2105" s="2">
        <f t="shared" si="327"/>
        <v>4306.6914854718607</v>
      </c>
      <c r="P2105" s="2">
        <v>72.552649000000002</v>
      </c>
      <c r="Q2105" s="2">
        <v>23.035153000000001</v>
      </c>
    </row>
    <row r="2106" spans="1:17" x14ac:dyDescent="0.25">
      <c r="A2106" s="2">
        <v>2287</v>
      </c>
      <c r="B2106" s="2" t="s">
        <v>111</v>
      </c>
      <c r="C2106" s="2">
        <v>2</v>
      </c>
      <c r="D2106" s="2">
        <f t="shared" si="320"/>
        <v>5.08</v>
      </c>
      <c r="E2106" s="2">
        <f t="shared" si="321"/>
        <v>1.6170142218136567</v>
      </c>
      <c r="F2106" s="2">
        <f t="shared" si="322"/>
        <v>0.63661977236758138</v>
      </c>
      <c r="G2106" s="2">
        <v>4.4757350000000002</v>
      </c>
      <c r="H2106" s="2">
        <f t="shared" si="323"/>
        <v>14.684170417400001</v>
      </c>
      <c r="I2106" s="2">
        <f>INDEX('Wood Density Lookup'!$B$2:$B$152,MATCH(B2106,'Wood Density Lookup'!$A$2:$A$152,0))</f>
        <v>0.4</v>
      </c>
      <c r="J2106" s="2">
        <f t="shared" si="324"/>
        <v>0.3035838405001236</v>
      </c>
      <c r="K2106" s="2">
        <f t="shared" si="328"/>
        <v>8.500347534003462E-2</v>
      </c>
      <c r="L2106" s="2">
        <f t="shared" si="329"/>
        <v>0.38858731584015821</v>
      </c>
      <c r="M2106" s="2">
        <f t="shared" si="325"/>
        <v>0.28172580398411468</v>
      </c>
      <c r="N2106" s="2">
        <f t="shared" si="326"/>
        <v>0.14086290199205734</v>
      </c>
      <c r="O2106" s="2">
        <f t="shared" si="327"/>
        <v>0.51696685031085043</v>
      </c>
      <c r="P2106" s="2">
        <v>72.552649000000002</v>
      </c>
      <c r="Q2106" s="2">
        <v>23.037005000000001</v>
      </c>
    </row>
    <row r="2107" spans="1:17" x14ac:dyDescent="0.25">
      <c r="A2107" s="2">
        <v>2288</v>
      </c>
      <c r="B2107" s="2" t="s">
        <v>111</v>
      </c>
      <c r="C2107" s="2">
        <v>7</v>
      </c>
      <c r="D2107" s="2">
        <f t="shared" si="320"/>
        <v>17.78</v>
      </c>
      <c r="E2107" s="2">
        <f t="shared" si="321"/>
        <v>5.6595497763477987</v>
      </c>
      <c r="F2107" s="2">
        <f t="shared" si="322"/>
        <v>2.228169203286535</v>
      </c>
      <c r="G2107" s="2">
        <v>4.8262450000000001</v>
      </c>
      <c r="H2107" s="2">
        <f t="shared" si="323"/>
        <v>15.8341376458</v>
      </c>
      <c r="I2107" s="2">
        <f>INDEX('Wood Density Lookup'!$B$2:$B$152,MATCH(B2107,'Wood Density Lookup'!$A$2:$A$152,0))</f>
        <v>0.4</v>
      </c>
      <c r="J2107" s="2">
        <f t="shared" si="324"/>
        <v>3.7692816755694207</v>
      </c>
      <c r="K2107" s="2">
        <f t="shared" si="328"/>
        <v>1.0553988691594378</v>
      </c>
      <c r="L2107" s="2">
        <f t="shared" si="329"/>
        <v>4.8246805447288583</v>
      </c>
      <c r="M2107" s="2">
        <f t="shared" si="325"/>
        <v>3.4978933949284223</v>
      </c>
      <c r="N2107" s="2">
        <f t="shared" si="326"/>
        <v>1.7489466974642112</v>
      </c>
      <c r="O2107" s="2">
        <f t="shared" si="327"/>
        <v>6.4186343796936551</v>
      </c>
      <c r="P2107" s="2">
        <v>72.55265</v>
      </c>
      <c r="Q2107" s="2">
        <v>23.037057000000001</v>
      </c>
    </row>
    <row r="2108" spans="1:17" x14ac:dyDescent="0.25">
      <c r="A2108" s="2">
        <v>2289</v>
      </c>
      <c r="B2108" s="2" t="s">
        <v>111</v>
      </c>
      <c r="C2108" s="2">
        <v>1</v>
      </c>
      <c r="D2108" s="2">
        <f t="shared" si="320"/>
        <v>2.54</v>
      </c>
      <c r="E2108" s="2">
        <f t="shared" si="321"/>
        <v>0.80850711090682836</v>
      </c>
      <c r="F2108" s="2">
        <f t="shared" si="322"/>
        <v>0.31830988618379069</v>
      </c>
      <c r="G2108" s="2">
        <v>4.8263249999999998</v>
      </c>
      <c r="H2108" s="2">
        <f t="shared" si="323"/>
        <v>15.834400112999999</v>
      </c>
      <c r="I2108" s="2">
        <f>INDEX('Wood Density Lookup'!$B$2:$B$152,MATCH(B2108,'Wood Density Lookup'!$A$2:$A$152,0))</f>
        <v>0.4</v>
      </c>
      <c r="J2108" s="2">
        <f t="shared" si="324"/>
        <v>8.4456726640154786E-2</v>
      </c>
      <c r="K2108" s="2">
        <f t="shared" si="328"/>
        <v>2.3647883459243343E-2</v>
      </c>
      <c r="L2108" s="2">
        <f t="shared" si="329"/>
        <v>0.10810461009939813</v>
      </c>
      <c r="M2108" s="2">
        <f t="shared" si="325"/>
        <v>7.8375842322063641E-2</v>
      </c>
      <c r="N2108" s="2">
        <f t="shared" si="326"/>
        <v>3.918792116103182E-2</v>
      </c>
      <c r="O2108" s="2">
        <f t="shared" si="327"/>
        <v>0.14381967066098678</v>
      </c>
      <c r="P2108" s="2">
        <v>72.55265</v>
      </c>
      <c r="Q2108" s="2">
        <v>23.037051999999999</v>
      </c>
    </row>
    <row r="2109" spans="1:17" x14ac:dyDescent="0.25">
      <c r="A2109" s="2">
        <v>2290</v>
      </c>
      <c r="B2109" s="2" t="s">
        <v>15</v>
      </c>
      <c r="C2109" s="2">
        <v>18</v>
      </c>
      <c r="D2109" s="2">
        <f t="shared" si="320"/>
        <v>45.72</v>
      </c>
      <c r="E2109" s="2">
        <f t="shared" si="321"/>
        <v>14.55312799632291</v>
      </c>
      <c r="F2109" s="2">
        <f t="shared" si="322"/>
        <v>5.7295779513082321</v>
      </c>
      <c r="G2109" s="2">
        <v>8.5694130000000008</v>
      </c>
      <c r="H2109" s="2">
        <f t="shared" si="323"/>
        <v>28.114872946920002</v>
      </c>
      <c r="I2109" s="2">
        <f>INDEX('Wood Density Lookup'!$B$2:$B$152,MATCH(B2109,'Wood Density Lookup'!$A$2:$A$152,0))</f>
        <v>0.75</v>
      </c>
      <c r="J2109" s="2">
        <f t="shared" si="324"/>
        <v>77.041707358967059</v>
      </c>
      <c r="K2109" s="2">
        <f t="shared" si="328"/>
        <v>21.571678060510777</v>
      </c>
      <c r="L2109" s="2">
        <f t="shared" si="329"/>
        <v>98.613385419477837</v>
      </c>
      <c r="M2109" s="2">
        <f t="shared" si="325"/>
        <v>71.494704429121427</v>
      </c>
      <c r="N2109" s="2">
        <f t="shared" si="326"/>
        <v>35.747352214560713</v>
      </c>
      <c r="O2109" s="2">
        <f t="shared" si="327"/>
        <v>131.19278262743782</v>
      </c>
      <c r="P2109" s="2">
        <v>72.552650999999997</v>
      </c>
      <c r="Q2109" s="2">
        <v>23.036645</v>
      </c>
    </row>
    <row r="2110" spans="1:17" x14ac:dyDescent="0.25">
      <c r="A2110" s="2">
        <v>2291</v>
      </c>
      <c r="B2110" s="2" t="s">
        <v>111</v>
      </c>
      <c r="C2110" s="2">
        <v>2</v>
      </c>
      <c r="D2110" s="2">
        <f t="shared" si="320"/>
        <v>5.08</v>
      </c>
      <c r="E2110" s="2">
        <f t="shared" si="321"/>
        <v>1.6170142218136567</v>
      </c>
      <c r="F2110" s="2">
        <f t="shared" si="322"/>
        <v>0.63661977236758138</v>
      </c>
      <c r="G2110" s="2">
        <v>5.063669</v>
      </c>
      <c r="H2110" s="2">
        <f t="shared" si="323"/>
        <v>16.613087801959999</v>
      </c>
      <c r="I2110" s="2">
        <f>INDEX('Wood Density Lookup'!$B$2:$B$152,MATCH(B2110,'Wood Density Lookup'!$A$2:$A$152,0))</f>
        <v>0.4</v>
      </c>
      <c r="J2110" s="2">
        <f t="shared" si="324"/>
        <v>0.34244684736362196</v>
      </c>
      <c r="K2110" s="2">
        <f t="shared" si="328"/>
        <v>9.588511726181416E-2</v>
      </c>
      <c r="L2110" s="2">
        <f t="shared" si="329"/>
        <v>0.43833196462543611</v>
      </c>
      <c r="M2110" s="2">
        <f t="shared" si="325"/>
        <v>0.31779067435344116</v>
      </c>
      <c r="N2110" s="2">
        <f t="shared" si="326"/>
        <v>0.15889533717672058</v>
      </c>
      <c r="O2110" s="2">
        <f t="shared" si="327"/>
        <v>0.58314588743856455</v>
      </c>
      <c r="P2110" s="2">
        <v>72.552650999999997</v>
      </c>
      <c r="Q2110" s="2">
        <v>23.037044999999999</v>
      </c>
    </row>
    <row r="2111" spans="1:17" x14ac:dyDescent="0.25">
      <c r="A2111" s="2">
        <v>2292</v>
      </c>
      <c r="B2111" s="2" t="s">
        <v>50</v>
      </c>
      <c r="C2111" s="2">
        <v>2</v>
      </c>
      <c r="D2111" s="2">
        <f t="shared" si="320"/>
        <v>5.08</v>
      </c>
      <c r="E2111" s="2">
        <f t="shared" si="321"/>
        <v>1.6170142218136567</v>
      </c>
      <c r="F2111" s="2">
        <f t="shared" si="322"/>
        <v>0.63661977236758138</v>
      </c>
      <c r="G2111" s="2">
        <v>1.028438</v>
      </c>
      <c r="H2111" s="2">
        <f t="shared" si="323"/>
        <v>3.3741405279199999</v>
      </c>
      <c r="I2111" s="2">
        <f>INDEX('Wood Density Lookup'!$B$2:$B$152,MATCH(B2111,'Wood Density Lookup'!$A$2:$A$152,0))</f>
        <v>0.5</v>
      </c>
      <c r="J2111" s="2">
        <f t="shared" si="324"/>
        <v>8.9847302694871803E-2</v>
      </c>
      <c r="K2111" s="2">
        <f t="shared" si="328"/>
        <v>2.5157244754564108E-2</v>
      </c>
      <c r="L2111" s="2">
        <f t="shared" si="329"/>
        <v>0.11500454744943592</v>
      </c>
      <c r="M2111" s="2">
        <f t="shared" si="325"/>
        <v>8.3378296900841031E-2</v>
      </c>
      <c r="N2111" s="2">
        <f t="shared" si="326"/>
        <v>4.1689148450420516E-2</v>
      </c>
      <c r="O2111" s="2">
        <f t="shared" si="327"/>
        <v>0.15299917481304329</v>
      </c>
      <c r="P2111" s="2">
        <v>72.552650999999997</v>
      </c>
      <c r="Q2111" s="2">
        <v>23.037717000000001</v>
      </c>
    </row>
    <row r="2112" spans="1:17" x14ac:dyDescent="0.25">
      <c r="A2112" s="2">
        <v>2293</v>
      </c>
      <c r="B2112" s="2" t="s">
        <v>26</v>
      </c>
      <c r="C2112" s="2">
        <v>7</v>
      </c>
      <c r="D2112" s="2">
        <f t="shared" si="320"/>
        <v>17.78</v>
      </c>
      <c r="E2112" s="2">
        <f t="shared" si="321"/>
        <v>5.6595497763477987</v>
      </c>
      <c r="F2112" s="2">
        <f t="shared" si="322"/>
        <v>2.228169203286535</v>
      </c>
      <c r="G2112" s="2">
        <v>2.840957</v>
      </c>
      <c r="H2112" s="2">
        <f t="shared" si="323"/>
        <v>9.3207253638799994</v>
      </c>
      <c r="I2112" s="2">
        <f>INDEX('Wood Density Lookup'!$B$2:$B$152,MATCH(B2112,'Wood Density Lookup'!$A$2:$A$152,0))</f>
        <v>0.7</v>
      </c>
      <c r="J2112" s="2">
        <f t="shared" si="324"/>
        <v>3.8800962357725481</v>
      </c>
      <c r="K2112" s="2">
        <f t="shared" si="328"/>
        <v>1.0864269460163136</v>
      </c>
      <c r="L2112" s="2">
        <f t="shared" si="329"/>
        <v>4.9665231817888618</v>
      </c>
      <c r="M2112" s="2">
        <f t="shared" si="325"/>
        <v>3.6007293067969246</v>
      </c>
      <c r="N2112" s="2">
        <f t="shared" si="326"/>
        <v>1.8003646533984623</v>
      </c>
      <c r="O2112" s="2">
        <f t="shared" si="327"/>
        <v>6.6073382779723566</v>
      </c>
      <c r="P2112" s="2">
        <v>72.552651999999995</v>
      </c>
      <c r="Q2112" s="2">
        <v>23.034749999999999</v>
      </c>
    </row>
    <row r="2113" spans="1:17" x14ac:dyDescent="0.25">
      <c r="A2113" s="2">
        <v>2294</v>
      </c>
      <c r="B2113" s="2" t="s">
        <v>111</v>
      </c>
      <c r="C2113" s="2">
        <v>3</v>
      </c>
      <c r="D2113" s="2">
        <f t="shared" ref="D2113:D2176" si="330">C2113*2.54</f>
        <v>7.62</v>
      </c>
      <c r="E2113" s="2">
        <f t="shared" ref="E2113:E2176" si="331">D2113/PI()</f>
        <v>2.4255213327204852</v>
      </c>
      <c r="F2113" s="2">
        <f t="shared" ref="F2113:F2176" si="332">C2113/PI()</f>
        <v>0.95492965855137202</v>
      </c>
      <c r="G2113" s="2">
        <v>4.3304479999999996</v>
      </c>
      <c r="H2113" s="2">
        <f t="shared" ref="H2113:H2176" si="333">G2113*3.28084</f>
        <v>14.207507016319999</v>
      </c>
      <c r="I2113" s="2">
        <f>INDEX('Wood Density Lookup'!$B$2:$B$152,MATCH(B2113,'Wood Density Lookup'!$A$2:$A$152,0))</f>
        <v>0.4</v>
      </c>
      <c r="J2113" s="2">
        <f t="shared" ref="J2113:J2176" si="334">0.0673*POWER(I2113*E2113^2*G2113,0.976)</f>
        <v>0.64866610983977768</v>
      </c>
      <c r="K2113" s="2">
        <f t="shared" si="328"/>
        <v>0.18162651075513778</v>
      </c>
      <c r="L2113" s="2">
        <f t="shared" si="329"/>
        <v>0.83029262059491549</v>
      </c>
      <c r="M2113" s="2">
        <f t="shared" ref="M2113:M2176" si="335">0.725*L2113</f>
        <v>0.60196214993131369</v>
      </c>
      <c r="N2113" s="2">
        <f t="shared" ref="N2113:N2176" si="336">0.5*M2113</f>
        <v>0.30098107496565685</v>
      </c>
      <c r="O2113" s="2">
        <f t="shared" ref="O2113:O2176" si="337">3.67*N2113</f>
        <v>1.1046005451239607</v>
      </c>
      <c r="P2113" s="2">
        <v>72.552651999999995</v>
      </c>
      <c r="Q2113" s="2">
        <v>23.037001</v>
      </c>
    </row>
    <row r="2114" spans="1:17" x14ac:dyDescent="0.25">
      <c r="A2114" s="2">
        <v>2295</v>
      </c>
      <c r="B2114" s="2" t="s">
        <v>51</v>
      </c>
      <c r="C2114" s="2">
        <v>94</v>
      </c>
      <c r="D2114" s="2">
        <f t="shared" si="330"/>
        <v>238.76</v>
      </c>
      <c r="E2114" s="2">
        <f t="shared" si="331"/>
        <v>75.999668425241865</v>
      </c>
      <c r="F2114" s="2">
        <f t="shared" si="332"/>
        <v>29.921129301276324</v>
      </c>
      <c r="G2114" s="2">
        <v>15.99938</v>
      </c>
      <c r="H2114" s="2">
        <f t="shared" si="333"/>
        <v>52.491405879200002</v>
      </c>
      <c r="I2114" s="2">
        <f>INDEX('Wood Density Lookup'!$B$2:$B$152,MATCH(B2114,'Wood Density Lookup'!$A$2:$A$152,0))</f>
        <v>0.7</v>
      </c>
      <c r="J2114" s="2">
        <f t="shared" si="334"/>
        <v>3337.1817706418915</v>
      </c>
      <c r="K2114" s="2">
        <f t="shared" si="328"/>
        <v>934.41089577972969</v>
      </c>
      <c r="L2114" s="2">
        <f t="shared" si="329"/>
        <v>4271.5926664216213</v>
      </c>
      <c r="M2114" s="2">
        <f t="shared" si="335"/>
        <v>3096.9046831556752</v>
      </c>
      <c r="N2114" s="2">
        <f t="shared" si="336"/>
        <v>1548.4523415778376</v>
      </c>
      <c r="O2114" s="2">
        <f t="shared" si="337"/>
        <v>5682.8200935906643</v>
      </c>
      <c r="P2114" s="2">
        <v>72.552653000000007</v>
      </c>
      <c r="Q2114" s="2">
        <v>23.035653</v>
      </c>
    </row>
    <row r="2115" spans="1:17" x14ac:dyDescent="0.25">
      <c r="A2115" s="2">
        <v>2296</v>
      </c>
      <c r="B2115" s="2" t="s">
        <v>111</v>
      </c>
      <c r="C2115" s="2">
        <v>1</v>
      </c>
      <c r="D2115" s="2">
        <f t="shared" si="330"/>
        <v>2.54</v>
      </c>
      <c r="E2115" s="2">
        <f t="shared" si="331"/>
        <v>0.80850711090682836</v>
      </c>
      <c r="F2115" s="2">
        <f t="shared" si="332"/>
        <v>0.31830988618379069</v>
      </c>
      <c r="G2115" s="2">
        <v>4.4372910000000001</v>
      </c>
      <c r="H2115" s="2">
        <f t="shared" si="333"/>
        <v>14.55804180444</v>
      </c>
      <c r="I2115" s="2">
        <f>INDEX('Wood Density Lookup'!$B$2:$B$152,MATCH(B2115,'Wood Density Lookup'!$A$2:$A$152,0))</f>
        <v>0.4</v>
      </c>
      <c r="J2115" s="2">
        <f t="shared" si="334"/>
        <v>7.7805726129585584E-2</v>
      </c>
      <c r="K2115" s="2">
        <f t="shared" ref="K2115:K2178" si="338">0.28*J2115</f>
        <v>2.1785603316283965E-2</v>
      </c>
      <c r="L2115" s="2">
        <f t="shared" ref="L2115:L2178" si="339">J2115+K2115</f>
        <v>9.9591329445869542E-2</v>
      </c>
      <c r="M2115" s="2">
        <f t="shared" si="335"/>
        <v>7.2203713848255413E-2</v>
      </c>
      <c r="N2115" s="2">
        <f t="shared" si="336"/>
        <v>3.6101856924127707E-2</v>
      </c>
      <c r="O2115" s="2">
        <f t="shared" si="337"/>
        <v>0.13249381491154869</v>
      </c>
      <c r="P2115" s="2">
        <v>72.552653000000007</v>
      </c>
      <c r="Q2115" s="2">
        <v>23.037037000000002</v>
      </c>
    </row>
    <row r="2116" spans="1:17" x14ac:dyDescent="0.25">
      <c r="A2116" s="2">
        <v>2297</v>
      </c>
      <c r="B2116" s="2" t="s">
        <v>90</v>
      </c>
      <c r="C2116" s="2">
        <v>9</v>
      </c>
      <c r="D2116" s="2">
        <f t="shared" si="330"/>
        <v>22.86</v>
      </c>
      <c r="E2116" s="2">
        <f t="shared" si="331"/>
        <v>7.2765639981614552</v>
      </c>
      <c r="F2116" s="2">
        <f t="shared" si="332"/>
        <v>2.8647889756541161</v>
      </c>
      <c r="G2116" s="2">
        <v>10.174671</v>
      </c>
      <c r="H2116" s="2">
        <f t="shared" si="333"/>
        <v>33.381467603639997</v>
      </c>
      <c r="I2116" s="2">
        <f>INDEX('Wood Density Lookup'!$B$2:$B$152,MATCH(B2116,'Wood Density Lookup'!$A$2:$A$152,0))</f>
        <v>0.7</v>
      </c>
      <c r="J2116" s="2">
        <f t="shared" si="334"/>
        <v>22.011562852061122</v>
      </c>
      <c r="K2116" s="2">
        <f t="shared" si="338"/>
        <v>6.1632375985771146</v>
      </c>
      <c r="L2116" s="2">
        <f t="shared" si="339"/>
        <v>28.174800450638237</v>
      </c>
      <c r="M2116" s="2">
        <f t="shared" si="335"/>
        <v>20.426730326712722</v>
      </c>
      <c r="N2116" s="2">
        <f t="shared" si="336"/>
        <v>10.213365163356361</v>
      </c>
      <c r="O2116" s="2">
        <f t="shared" si="337"/>
        <v>37.483050149517844</v>
      </c>
      <c r="P2116" s="2">
        <v>72.552654000000004</v>
      </c>
      <c r="Q2116" s="2">
        <v>23.035481000000001</v>
      </c>
    </row>
    <row r="2117" spans="1:17" x14ac:dyDescent="0.25">
      <c r="A2117" s="2">
        <v>2298</v>
      </c>
      <c r="B2117" s="2" t="s">
        <v>111</v>
      </c>
      <c r="C2117" s="2">
        <v>1</v>
      </c>
      <c r="D2117" s="2">
        <f t="shared" si="330"/>
        <v>2.54</v>
      </c>
      <c r="E2117" s="2">
        <f t="shared" si="331"/>
        <v>0.80850711090682836</v>
      </c>
      <c r="F2117" s="2">
        <f t="shared" si="332"/>
        <v>0.31830988618379069</v>
      </c>
      <c r="G2117" s="2">
        <v>3.3735810000000002</v>
      </c>
      <c r="H2117" s="2">
        <f t="shared" si="333"/>
        <v>11.06817948804</v>
      </c>
      <c r="I2117" s="2">
        <f>INDEX('Wood Density Lookup'!$B$2:$B$152,MATCH(B2117,'Wood Density Lookup'!$A$2:$A$152,0))</f>
        <v>0.4</v>
      </c>
      <c r="J2117" s="2">
        <f t="shared" si="334"/>
        <v>5.9544469967793674E-2</v>
      </c>
      <c r="K2117" s="2">
        <f t="shared" si="338"/>
        <v>1.667245159098223E-2</v>
      </c>
      <c r="L2117" s="2">
        <f t="shared" si="339"/>
        <v>7.6216921558775907E-2</v>
      </c>
      <c r="M2117" s="2">
        <f t="shared" si="335"/>
        <v>5.525726813011253E-2</v>
      </c>
      <c r="N2117" s="2">
        <f t="shared" si="336"/>
        <v>2.7628634065056265E-2</v>
      </c>
      <c r="O2117" s="2">
        <f t="shared" si="337"/>
        <v>0.10139708701875649</v>
      </c>
      <c r="P2117" s="2">
        <v>72.552654000000004</v>
      </c>
      <c r="Q2117" s="2">
        <v>23.036950999999998</v>
      </c>
    </row>
    <row r="2118" spans="1:17" x14ac:dyDescent="0.25">
      <c r="A2118" s="2">
        <v>2299</v>
      </c>
      <c r="B2118" s="2" t="s">
        <v>111</v>
      </c>
      <c r="C2118" s="2">
        <v>2</v>
      </c>
      <c r="D2118" s="2">
        <f t="shared" si="330"/>
        <v>5.08</v>
      </c>
      <c r="E2118" s="2">
        <f t="shared" si="331"/>
        <v>1.6170142218136567</v>
      </c>
      <c r="F2118" s="2">
        <f t="shared" si="332"/>
        <v>0.63661977236758138</v>
      </c>
      <c r="G2118" s="2">
        <v>3.6871350000000001</v>
      </c>
      <c r="H2118" s="2">
        <f t="shared" si="333"/>
        <v>12.096899993399999</v>
      </c>
      <c r="I2118" s="2">
        <f>INDEX('Wood Density Lookup'!$B$2:$B$152,MATCH(B2118,'Wood Density Lookup'!$A$2:$A$152,0))</f>
        <v>0.4</v>
      </c>
      <c r="J2118" s="2">
        <f t="shared" si="334"/>
        <v>0.25126010259410486</v>
      </c>
      <c r="K2118" s="2">
        <f t="shared" si="338"/>
        <v>7.0352828726349362E-2</v>
      </c>
      <c r="L2118" s="2">
        <f t="shared" si="339"/>
        <v>0.32161293132045421</v>
      </c>
      <c r="M2118" s="2">
        <f t="shared" si="335"/>
        <v>0.2331693752073293</v>
      </c>
      <c r="N2118" s="2">
        <f t="shared" si="336"/>
        <v>0.11658468760366465</v>
      </c>
      <c r="O2118" s="2">
        <f t="shared" si="337"/>
        <v>0.42786580350544928</v>
      </c>
      <c r="P2118" s="2">
        <v>72.552654000000004</v>
      </c>
      <c r="Q2118" s="2">
        <v>23.036942</v>
      </c>
    </row>
    <row r="2119" spans="1:17" x14ac:dyDescent="0.25">
      <c r="A2119" s="2">
        <v>2300</v>
      </c>
      <c r="B2119" s="2" t="s">
        <v>111</v>
      </c>
      <c r="C2119" s="2">
        <v>2</v>
      </c>
      <c r="D2119" s="2">
        <f t="shared" si="330"/>
        <v>5.08</v>
      </c>
      <c r="E2119" s="2">
        <f t="shared" si="331"/>
        <v>1.6170142218136567</v>
      </c>
      <c r="F2119" s="2">
        <f t="shared" si="332"/>
        <v>0.63661977236758138</v>
      </c>
      <c r="G2119" s="2">
        <v>4.4618669999999998</v>
      </c>
      <c r="H2119" s="2">
        <f t="shared" si="333"/>
        <v>14.638671728279999</v>
      </c>
      <c r="I2119" s="2">
        <f>INDEX('Wood Density Lookup'!$B$2:$B$152,MATCH(B2119,'Wood Density Lookup'!$A$2:$A$152,0))</f>
        <v>0.4</v>
      </c>
      <c r="J2119" s="2">
        <f t="shared" si="334"/>
        <v>0.3026657318034775</v>
      </c>
      <c r="K2119" s="2">
        <f t="shared" si="338"/>
        <v>8.4746404904973704E-2</v>
      </c>
      <c r="L2119" s="2">
        <f t="shared" si="339"/>
        <v>0.3874121367084512</v>
      </c>
      <c r="M2119" s="2">
        <f t="shared" si="335"/>
        <v>0.28087379911362709</v>
      </c>
      <c r="N2119" s="2">
        <f t="shared" si="336"/>
        <v>0.14043689955681354</v>
      </c>
      <c r="O2119" s="2">
        <f t="shared" si="337"/>
        <v>0.5154034213735057</v>
      </c>
      <c r="P2119" s="2">
        <v>72.552655000000001</v>
      </c>
      <c r="Q2119" s="2">
        <v>23.037026999999998</v>
      </c>
    </row>
    <row r="2120" spans="1:17" x14ac:dyDescent="0.25">
      <c r="A2120" s="2">
        <v>2301</v>
      </c>
      <c r="B2120" s="2" t="s">
        <v>111</v>
      </c>
      <c r="C2120" s="2">
        <v>3</v>
      </c>
      <c r="D2120" s="2">
        <f t="shared" si="330"/>
        <v>7.62</v>
      </c>
      <c r="E2120" s="2">
        <f t="shared" si="331"/>
        <v>2.4255213327204852</v>
      </c>
      <c r="F2120" s="2">
        <f t="shared" si="332"/>
        <v>0.95492965855137202</v>
      </c>
      <c r="G2120" s="2">
        <v>4.1380210000000002</v>
      </c>
      <c r="H2120" s="2">
        <f t="shared" si="333"/>
        <v>13.57618481764</v>
      </c>
      <c r="I2120" s="2">
        <f>INDEX('Wood Density Lookup'!$B$2:$B$152,MATCH(B2120,'Wood Density Lookup'!$A$2:$A$152,0))</f>
        <v>0.4</v>
      </c>
      <c r="J2120" s="2">
        <f t="shared" si="334"/>
        <v>0.62051864301322468</v>
      </c>
      <c r="K2120" s="2">
        <f t="shared" si="338"/>
        <v>0.17374522004370294</v>
      </c>
      <c r="L2120" s="2">
        <f t="shared" si="339"/>
        <v>0.79426386305692764</v>
      </c>
      <c r="M2120" s="2">
        <f t="shared" si="335"/>
        <v>0.57584130071627249</v>
      </c>
      <c r="N2120" s="2">
        <f t="shared" si="336"/>
        <v>0.28792065035813624</v>
      </c>
      <c r="O2120" s="2">
        <f t="shared" si="337"/>
        <v>1.0566687868143601</v>
      </c>
      <c r="P2120" s="2">
        <v>72.552655999999999</v>
      </c>
      <c r="Q2120" s="2">
        <v>23.036933999999999</v>
      </c>
    </row>
    <row r="2121" spans="1:17" x14ac:dyDescent="0.25">
      <c r="A2121" s="2">
        <v>2302</v>
      </c>
      <c r="B2121" s="2" t="s">
        <v>111</v>
      </c>
      <c r="C2121" s="2">
        <v>9</v>
      </c>
      <c r="D2121" s="2">
        <f t="shared" si="330"/>
        <v>22.86</v>
      </c>
      <c r="E2121" s="2">
        <f t="shared" si="331"/>
        <v>7.2765639981614552</v>
      </c>
      <c r="F2121" s="2">
        <f t="shared" si="332"/>
        <v>2.8647889756541161</v>
      </c>
      <c r="G2121" s="2">
        <v>4.3727919999999996</v>
      </c>
      <c r="H2121" s="2">
        <f t="shared" si="333"/>
        <v>14.346430905279998</v>
      </c>
      <c r="I2121" s="2">
        <f>INDEX('Wood Density Lookup'!$B$2:$B$152,MATCH(B2121,'Wood Density Lookup'!$A$2:$A$152,0))</f>
        <v>0.4</v>
      </c>
      <c r="J2121" s="2">
        <f t="shared" si="334"/>
        <v>5.5909610364924767</v>
      </c>
      <c r="K2121" s="2">
        <f t="shared" si="338"/>
        <v>1.5654690902178936</v>
      </c>
      <c r="L2121" s="2">
        <f t="shared" si="339"/>
        <v>7.1564301267103705</v>
      </c>
      <c r="M2121" s="2">
        <f t="shared" si="335"/>
        <v>5.188411841865018</v>
      </c>
      <c r="N2121" s="2">
        <f t="shared" si="336"/>
        <v>2.594205920932509</v>
      </c>
      <c r="O2121" s="2">
        <f t="shared" si="337"/>
        <v>9.5207357298223076</v>
      </c>
      <c r="P2121" s="2">
        <v>72.552656999999996</v>
      </c>
      <c r="Q2121" s="2">
        <v>23.037011</v>
      </c>
    </row>
    <row r="2122" spans="1:17" x14ac:dyDescent="0.25">
      <c r="A2122" s="2">
        <v>2303</v>
      </c>
      <c r="B2122" s="2" t="s">
        <v>111</v>
      </c>
      <c r="C2122" s="2">
        <v>4</v>
      </c>
      <c r="D2122" s="2">
        <f t="shared" si="330"/>
        <v>10.16</v>
      </c>
      <c r="E2122" s="2">
        <f t="shared" si="331"/>
        <v>3.2340284436273135</v>
      </c>
      <c r="F2122" s="2">
        <f t="shared" si="332"/>
        <v>1.2732395447351628</v>
      </c>
      <c r="G2122" s="2">
        <v>4.0702220000000002</v>
      </c>
      <c r="H2122" s="2">
        <f t="shared" si="333"/>
        <v>13.35374714648</v>
      </c>
      <c r="I2122" s="2">
        <f>INDEX('Wood Density Lookup'!$B$2:$B$152,MATCH(B2122,'Wood Density Lookup'!$A$2:$A$152,0))</f>
        <v>0.4</v>
      </c>
      <c r="J2122" s="2">
        <f t="shared" si="334"/>
        <v>1.0706138201017046</v>
      </c>
      <c r="K2122" s="2">
        <f t="shared" si="338"/>
        <v>0.29977186962847729</v>
      </c>
      <c r="L2122" s="2">
        <f t="shared" si="339"/>
        <v>1.3703856897301818</v>
      </c>
      <c r="M2122" s="2">
        <f t="shared" si="335"/>
        <v>0.9935296250543818</v>
      </c>
      <c r="N2122" s="2">
        <f t="shared" si="336"/>
        <v>0.4967648125271909</v>
      </c>
      <c r="O2122" s="2">
        <f t="shared" si="337"/>
        <v>1.8231268619747907</v>
      </c>
      <c r="P2122" s="2">
        <v>72.552656999999996</v>
      </c>
      <c r="Q2122" s="2">
        <v>23.036926999999999</v>
      </c>
    </row>
    <row r="2123" spans="1:17" x14ac:dyDescent="0.25">
      <c r="A2123" s="2">
        <v>2304</v>
      </c>
      <c r="B2123" s="2" t="s">
        <v>111</v>
      </c>
      <c r="C2123" s="2">
        <v>1</v>
      </c>
      <c r="D2123" s="2">
        <f t="shared" si="330"/>
        <v>2.54</v>
      </c>
      <c r="E2123" s="2">
        <f t="shared" si="331"/>
        <v>0.80850711090682836</v>
      </c>
      <c r="F2123" s="2">
        <f t="shared" si="332"/>
        <v>0.31830988618379069</v>
      </c>
      <c r="G2123" s="2">
        <v>4.4701940000000002</v>
      </c>
      <c r="H2123" s="2">
        <f t="shared" si="333"/>
        <v>14.66599128296</v>
      </c>
      <c r="I2123" s="2">
        <f>INDEX('Wood Density Lookup'!$B$2:$B$152,MATCH(B2123,'Wood Density Lookup'!$A$2:$A$152,0))</f>
        <v>0.4</v>
      </c>
      <c r="J2123" s="2">
        <f t="shared" si="334"/>
        <v>7.8368767641918996E-2</v>
      </c>
      <c r="K2123" s="2">
        <f t="shared" si="338"/>
        <v>2.1943254939737322E-2</v>
      </c>
      <c r="L2123" s="2">
        <f t="shared" si="339"/>
        <v>0.10031202258165632</v>
      </c>
      <c r="M2123" s="2">
        <f t="shared" si="335"/>
        <v>7.2726216371700833E-2</v>
      </c>
      <c r="N2123" s="2">
        <f t="shared" si="336"/>
        <v>3.6363108185850417E-2</v>
      </c>
      <c r="O2123" s="2">
        <f t="shared" si="337"/>
        <v>0.13345260704207101</v>
      </c>
      <c r="P2123" s="2">
        <v>72.552657999999994</v>
      </c>
      <c r="Q2123" s="2">
        <v>23.037020999999999</v>
      </c>
    </row>
    <row r="2124" spans="1:17" x14ac:dyDescent="0.25">
      <c r="A2124" s="2">
        <v>2305</v>
      </c>
      <c r="B2124" s="2" t="s">
        <v>111</v>
      </c>
      <c r="C2124" s="2">
        <v>4</v>
      </c>
      <c r="D2124" s="2">
        <f t="shared" si="330"/>
        <v>10.16</v>
      </c>
      <c r="E2124" s="2">
        <f t="shared" si="331"/>
        <v>3.2340284436273135</v>
      </c>
      <c r="F2124" s="2">
        <f t="shared" si="332"/>
        <v>1.2732395447351628</v>
      </c>
      <c r="G2124" s="2">
        <v>4.0713020000000002</v>
      </c>
      <c r="H2124" s="2">
        <f t="shared" si="333"/>
        <v>13.357290453680001</v>
      </c>
      <c r="I2124" s="2">
        <f>INDEX('Wood Density Lookup'!$B$2:$B$152,MATCH(B2124,'Wood Density Lookup'!$A$2:$A$152,0))</f>
        <v>0.4</v>
      </c>
      <c r="J2124" s="2">
        <f t="shared" si="334"/>
        <v>1.0708910799225499</v>
      </c>
      <c r="K2124" s="2">
        <f t="shared" si="338"/>
        <v>0.29984950237831404</v>
      </c>
      <c r="L2124" s="2">
        <f t="shared" si="339"/>
        <v>1.370740582300864</v>
      </c>
      <c r="M2124" s="2">
        <f t="shared" si="335"/>
        <v>0.99378692216812636</v>
      </c>
      <c r="N2124" s="2">
        <f t="shared" si="336"/>
        <v>0.49689346108406318</v>
      </c>
      <c r="O2124" s="2">
        <f t="shared" si="337"/>
        <v>1.8235990021785118</v>
      </c>
      <c r="P2124" s="2">
        <v>72.552657999999994</v>
      </c>
      <c r="Q2124" s="2">
        <v>23.036921</v>
      </c>
    </row>
    <row r="2125" spans="1:17" x14ac:dyDescent="0.25">
      <c r="A2125" s="2">
        <v>2306</v>
      </c>
      <c r="B2125" s="2" t="s">
        <v>111</v>
      </c>
      <c r="C2125" s="2">
        <v>3</v>
      </c>
      <c r="D2125" s="2">
        <f t="shared" si="330"/>
        <v>7.62</v>
      </c>
      <c r="E2125" s="2">
        <f t="shared" si="331"/>
        <v>2.4255213327204852</v>
      </c>
      <c r="F2125" s="2">
        <f t="shared" si="332"/>
        <v>0.95492965855137202</v>
      </c>
      <c r="G2125" s="2">
        <v>4.0874610000000002</v>
      </c>
      <c r="H2125" s="2">
        <f t="shared" si="333"/>
        <v>13.41030554724</v>
      </c>
      <c r="I2125" s="2">
        <f>INDEX('Wood Density Lookup'!$B$2:$B$152,MATCH(B2125,'Wood Density Lookup'!$A$2:$A$152,0))</f>
        <v>0.4</v>
      </c>
      <c r="J2125" s="2">
        <f t="shared" si="334"/>
        <v>0.61311776977308075</v>
      </c>
      <c r="K2125" s="2">
        <f t="shared" si="338"/>
        <v>0.17167297553646263</v>
      </c>
      <c r="L2125" s="2">
        <f t="shared" si="339"/>
        <v>0.7847907453095434</v>
      </c>
      <c r="M2125" s="2">
        <f t="shared" si="335"/>
        <v>0.5689732903494189</v>
      </c>
      <c r="N2125" s="2">
        <f t="shared" si="336"/>
        <v>0.28448664517470945</v>
      </c>
      <c r="O2125" s="2">
        <f t="shared" si="337"/>
        <v>1.0440659877911838</v>
      </c>
      <c r="P2125" s="2">
        <v>72.552657999999994</v>
      </c>
      <c r="Q2125" s="2">
        <v>23.036911</v>
      </c>
    </row>
    <row r="2126" spans="1:17" x14ac:dyDescent="0.25">
      <c r="A2126" s="2">
        <v>2307</v>
      </c>
      <c r="B2126" s="2" t="s">
        <v>111</v>
      </c>
      <c r="C2126" s="2">
        <v>1</v>
      </c>
      <c r="D2126" s="2">
        <f t="shared" si="330"/>
        <v>2.54</v>
      </c>
      <c r="E2126" s="2">
        <f t="shared" si="331"/>
        <v>0.80850711090682836</v>
      </c>
      <c r="F2126" s="2">
        <f t="shared" si="332"/>
        <v>0.31830988618379069</v>
      </c>
      <c r="G2126" s="2">
        <v>4.3051630000000003</v>
      </c>
      <c r="H2126" s="2">
        <f t="shared" si="333"/>
        <v>14.12455097692</v>
      </c>
      <c r="I2126" s="2">
        <f>INDEX('Wood Density Lookup'!$B$2:$B$152,MATCH(B2126,'Wood Density Lookup'!$A$2:$A$152,0))</f>
        <v>0.4</v>
      </c>
      <c r="J2126" s="2">
        <f t="shared" si="334"/>
        <v>7.5543713196569662E-2</v>
      </c>
      <c r="K2126" s="2">
        <f t="shared" si="338"/>
        <v>2.1152239695039508E-2</v>
      </c>
      <c r="L2126" s="2">
        <f t="shared" si="339"/>
        <v>9.6695952891609177E-2</v>
      </c>
      <c r="M2126" s="2">
        <f t="shared" si="335"/>
        <v>7.0104565846416653E-2</v>
      </c>
      <c r="N2126" s="2">
        <f t="shared" si="336"/>
        <v>3.5052282923208326E-2</v>
      </c>
      <c r="O2126" s="2">
        <f t="shared" si="337"/>
        <v>0.12864187832817456</v>
      </c>
      <c r="P2126" s="2">
        <v>72.552660000000003</v>
      </c>
      <c r="Q2126" s="2">
        <v>23.037005000000001</v>
      </c>
    </row>
    <row r="2127" spans="1:17" x14ac:dyDescent="0.25">
      <c r="A2127" s="2">
        <v>2308</v>
      </c>
      <c r="B2127" s="2" t="s">
        <v>111</v>
      </c>
      <c r="C2127" s="2">
        <v>2</v>
      </c>
      <c r="D2127" s="2">
        <f t="shared" si="330"/>
        <v>5.08</v>
      </c>
      <c r="E2127" s="2">
        <f t="shared" si="331"/>
        <v>1.6170142218136567</v>
      </c>
      <c r="F2127" s="2">
        <f t="shared" si="332"/>
        <v>0.63661977236758138</v>
      </c>
      <c r="G2127" s="2">
        <v>4.4974980000000002</v>
      </c>
      <c r="H2127" s="2">
        <f t="shared" si="333"/>
        <v>14.755571338320001</v>
      </c>
      <c r="I2127" s="2">
        <f>INDEX('Wood Density Lookup'!$B$2:$B$152,MATCH(B2127,'Wood Density Lookup'!$A$2:$A$152,0))</f>
        <v>0.4</v>
      </c>
      <c r="J2127" s="2">
        <f t="shared" si="334"/>
        <v>0.30502448745650851</v>
      </c>
      <c r="K2127" s="2">
        <f t="shared" si="338"/>
        <v>8.5406856487822397E-2</v>
      </c>
      <c r="L2127" s="2">
        <f t="shared" si="339"/>
        <v>0.39043134394433088</v>
      </c>
      <c r="M2127" s="2">
        <f t="shared" si="335"/>
        <v>0.28306272435963986</v>
      </c>
      <c r="N2127" s="2">
        <f t="shared" si="336"/>
        <v>0.14153136217981993</v>
      </c>
      <c r="O2127" s="2">
        <f t="shared" si="337"/>
        <v>0.51942009919993914</v>
      </c>
      <c r="P2127" s="2">
        <v>72.552660000000003</v>
      </c>
      <c r="Q2127" s="2">
        <v>23.037015</v>
      </c>
    </row>
    <row r="2128" spans="1:17" x14ac:dyDescent="0.25">
      <c r="A2128" s="2">
        <v>2309</v>
      </c>
      <c r="B2128" s="2" t="s">
        <v>111</v>
      </c>
      <c r="C2128" s="2">
        <v>3</v>
      </c>
      <c r="D2128" s="2">
        <f t="shared" si="330"/>
        <v>7.62</v>
      </c>
      <c r="E2128" s="2">
        <f t="shared" si="331"/>
        <v>2.4255213327204852</v>
      </c>
      <c r="F2128" s="2">
        <f t="shared" si="332"/>
        <v>0.95492965855137202</v>
      </c>
      <c r="G2128" s="2">
        <v>4.3184310000000004</v>
      </c>
      <c r="H2128" s="2">
        <f t="shared" si="333"/>
        <v>14.168081162040002</v>
      </c>
      <c r="I2128" s="2">
        <f>INDEX('Wood Density Lookup'!$B$2:$B$152,MATCH(B2128,'Wood Density Lookup'!$A$2:$A$152,0))</f>
        <v>0.4</v>
      </c>
      <c r="J2128" s="2">
        <f t="shared" si="334"/>
        <v>0.64690920299517574</v>
      </c>
      <c r="K2128" s="2">
        <f t="shared" si="338"/>
        <v>0.18113457683864922</v>
      </c>
      <c r="L2128" s="2">
        <f t="shared" si="339"/>
        <v>0.82804377983382493</v>
      </c>
      <c r="M2128" s="2">
        <f t="shared" si="335"/>
        <v>0.60033174037952308</v>
      </c>
      <c r="N2128" s="2">
        <f t="shared" si="336"/>
        <v>0.30016587018976154</v>
      </c>
      <c r="O2128" s="2">
        <f t="shared" si="337"/>
        <v>1.1016087435964248</v>
      </c>
      <c r="P2128" s="2">
        <v>72.552660000000003</v>
      </c>
      <c r="Q2128" s="2">
        <v>23.036905000000001</v>
      </c>
    </row>
    <row r="2129" spans="1:17" x14ac:dyDescent="0.25">
      <c r="A2129" s="2">
        <v>2310</v>
      </c>
      <c r="B2129" s="2" t="s">
        <v>17</v>
      </c>
      <c r="C2129" s="2">
        <v>1</v>
      </c>
      <c r="D2129" s="2">
        <f t="shared" si="330"/>
        <v>2.54</v>
      </c>
      <c r="E2129" s="2">
        <f t="shared" si="331"/>
        <v>0.80850711090682836</v>
      </c>
      <c r="F2129" s="2">
        <f t="shared" si="332"/>
        <v>0.31830988618379069</v>
      </c>
      <c r="G2129" s="2">
        <v>1.5160210000000001</v>
      </c>
      <c r="H2129" s="2">
        <f t="shared" si="333"/>
        <v>4.9738223376400006</v>
      </c>
      <c r="I2129" s="2">
        <f>INDEX('Wood Density Lookup'!$B$2:$B$152,MATCH(B2129,'Wood Density Lookup'!$A$2:$A$152,0))</f>
        <v>0.75</v>
      </c>
      <c r="J2129" s="2">
        <f t="shared" si="334"/>
        <v>5.0378126504849664E-2</v>
      </c>
      <c r="K2129" s="2">
        <f t="shared" si="338"/>
        <v>1.4105875421357907E-2</v>
      </c>
      <c r="L2129" s="2">
        <f t="shared" si="339"/>
        <v>6.4484001926207568E-2</v>
      </c>
      <c r="M2129" s="2">
        <f t="shared" si="335"/>
        <v>4.6750901396500483E-2</v>
      </c>
      <c r="N2129" s="2">
        <f t="shared" si="336"/>
        <v>2.3375450698250241E-2</v>
      </c>
      <c r="O2129" s="2">
        <f t="shared" si="337"/>
        <v>8.5787904062578385E-2</v>
      </c>
      <c r="P2129" s="2">
        <v>72.552660000000003</v>
      </c>
      <c r="Q2129" s="2">
        <v>23.035920000000001</v>
      </c>
    </row>
    <row r="2130" spans="1:17" x14ac:dyDescent="0.25">
      <c r="A2130" s="2">
        <v>2311</v>
      </c>
      <c r="B2130" s="2" t="s">
        <v>111</v>
      </c>
      <c r="C2130" s="2">
        <v>3</v>
      </c>
      <c r="D2130" s="2">
        <f t="shared" si="330"/>
        <v>7.62</v>
      </c>
      <c r="E2130" s="2">
        <f t="shared" si="331"/>
        <v>2.4255213327204852</v>
      </c>
      <c r="F2130" s="2">
        <f t="shared" si="332"/>
        <v>0.95492965855137202</v>
      </c>
      <c r="G2130" s="2">
        <v>12.453761</v>
      </c>
      <c r="H2130" s="2">
        <f t="shared" si="333"/>
        <v>40.858797239239998</v>
      </c>
      <c r="I2130" s="2">
        <f>INDEX('Wood Density Lookup'!$B$2:$B$152,MATCH(B2130,'Wood Density Lookup'!$A$2:$A$152,0))</f>
        <v>0.4</v>
      </c>
      <c r="J2130" s="2">
        <f t="shared" si="334"/>
        <v>1.818772933789871</v>
      </c>
      <c r="K2130" s="2">
        <f t="shared" si="338"/>
        <v>0.5092564214611639</v>
      </c>
      <c r="L2130" s="2">
        <f t="shared" si="339"/>
        <v>2.3280293552510347</v>
      </c>
      <c r="M2130" s="2">
        <f t="shared" si="335"/>
        <v>1.687821282557</v>
      </c>
      <c r="N2130" s="2">
        <f t="shared" si="336"/>
        <v>0.84391064127850002</v>
      </c>
      <c r="O2130" s="2">
        <f t="shared" si="337"/>
        <v>3.0971520534920951</v>
      </c>
      <c r="P2130" s="2">
        <v>72.552661000000001</v>
      </c>
      <c r="Q2130" s="2">
        <v>23.036898000000001</v>
      </c>
    </row>
    <row r="2131" spans="1:17" x14ac:dyDescent="0.25">
      <c r="A2131" s="2">
        <v>2312</v>
      </c>
      <c r="B2131" s="2" t="s">
        <v>111</v>
      </c>
      <c r="C2131" s="2">
        <v>2</v>
      </c>
      <c r="D2131" s="2">
        <f t="shared" si="330"/>
        <v>5.08</v>
      </c>
      <c r="E2131" s="2">
        <f t="shared" si="331"/>
        <v>1.6170142218136567</v>
      </c>
      <c r="F2131" s="2">
        <f t="shared" si="332"/>
        <v>0.63661977236758138</v>
      </c>
      <c r="G2131" s="2">
        <v>12.836639</v>
      </c>
      <c r="H2131" s="2">
        <f t="shared" si="333"/>
        <v>42.114958696759999</v>
      </c>
      <c r="I2131" s="2">
        <f>INDEX('Wood Density Lookup'!$B$2:$B$152,MATCH(B2131,'Wood Density Lookup'!$A$2:$A$152,0))</f>
        <v>0.4</v>
      </c>
      <c r="J2131" s="2">
        <f t="shared" si="334"/>
        <v>0.84895276402016573</v>
      </c>
      <c r="K2131" s="2">
        <f t="shared" si="338"/>
        <v>0.23770677392564643</v>
      </c>
      <c r="L2131" s="2">
        <f t="shared" si="339"/>
        <v>1.0866595379458122</v>
      </c>
      <c r="M2131" s="2">
        <f t="shared" si="335"/>
        <v>0.78782816501071384</v>
      </c>
      <c r="N2131" s="2">
        <f t="shared" si="336"/>
        <v>0.39391408250535692</v>
      </c>
      <c r="O2131" s="2">
        <f t="shared" si="337"/>
        <v>1.44566468279466</v>
      </c>
      <c r="P2131" s="2">
        <v>72.552661999999998</v>
      </c>
      <c r="Q2131" s="2">
        <v>23.036892000000002</v>
      </c>
    </row>
    <row r="2132" spans="1:17" x14ac:dyDescent="0.25">
      <c r="A2132" s="2">
        <v>2313</v>
      </c>
      <c r="B2132" s="2" t="s">
        <v>99</v>
      </c>
      <c r="C2132" s="2">
        <v>2</v>
      </c>
      <c r="D2132" s="2">
        <f t="shared" si="330"/>
        <v>5.08</v>
      </c>
      <c r="E2132" s="2">
        <f t="shared" si="331"/>
        <v>1.6170142218136567</v>
      </c>
      <c r="F2132" s="2">
        <f t="shared" si="332"/>
        <v>0.63661977236758138</v>
      </c>
      <c r="G2132" s="2">
        <v>7.3552580000000001</v>
      </c>
      <c r="H2132" s="2">
        <f t="shared" si="333"/>
        <v>24.13142465672</v>
      </c>
      <c r="I2132" s="2">
        <f>INDEX('Wood Density Lookup'!$B$2:$B$152,MATCH(B2132,'Wood Density Lookup'!$A$2:$A$152,0))</f>
        <v>0.6</v>
      </c>
      <c r="J2132" s="2">
        <f t="shared" si="334"/>
        <v>0.73231791849588057</v>
      </c>
      <c r="K2132" s="2">
        <f t="shared" si="338"/>
        <v>0.20504901717884658</v>
      </c>
      <c r="L2132" s="2">
        <f t="shared" si="339"/>
        <v>0.93736693567472718</v>
      </c>
      <c r="M2132" s="2">
        <f t="shared" si="335"/>
        <v>0.67959102836417717</v>
      </c>
      <c r="N2132" s="2">
        <f t="shared" si="336"/>
        <v>0.33979551418208859</v>
      </c>
      <c r="O2132" s="2">
        <f t="shared" si="337"/>
        <v>1.247049537048265</v>
      </c>
      <c r="P2132" s="2">
        <v>72.552663999999993</v>
      </c>
      <c r="Q2132" s="2">
        <v>23.035492000000001</v>
      </c>
    </row>
    <row r="2133" spans="1:17" x14ac:dyDescent="0.25">
      <c r="A2133" s="2">
        <v>2314</v>
      </c>
      <c r="B2133" s="2" t="s">
        <v>111</v>
      </c>
      <c r="C2133" s="2">
        <v>2</v>
      </c>
      <c r="D2133" s="2">
        <f t="shared" si="330"/>
        <v>5.08</v>
      </c>
      <c r="E2133" s="2">
        <f t="shared" si="331"/>
        <v>1.6170142218136567</v>
      </c>
      <c r="F2133" s="2">
        <f t="shared" si="332"/>
        <v>0.63661977236758138</v>
      </c>
      <c r="G2133" s="2">
        <v>13.169425</v>
      </c>
      <c r="H2133" s="2">
        <f t="shared" si="333"/>
        <v>43.206776316999999</v>
      </c>
      <c r="I2133" s="2">
        <f>INDEX('Wood Density Lookup'!$B$2:$B$152,MATCH(B2133,'Wood Density Lookup'!$A$2:$A$152,0))</f>
        <v>0.4</v>
      </c>
      <c r="J2133" s="2">
        <f t="shared" si="334"/>
        <v>0.87042677229339283</v>
      </c>
      <c r="K2133" s="2">
        <f t="shared" si="338"/>
        <v>0.24371949624215</v>
      </c>
      <c r="L2133" s="2">
        <f t="shared" si="339"/>
        <v>1.1141462685355428</v>
      </c>
      <c r="M2133" s="2">
        <f t="shared" si="335"/>
        <v>0.80775604468826845</v>
      </c>
      <c r="N2133" s="2">
        <f t="shared" si="336"/>
        <v>0.40387802234413422</v>
      </c>
      <c r="O2133" s="2">
        <f t="shared" si="337"/>
        <v>1.4822323420029726</v>
      </c>
      <c r="P2133" s="2">
        <v>72.552663999999993</v>
      </c>
      <c r="Q2133" s="2">
        <v>23.036884000000001</v>
      </c>
    </row>
    <row r="2134" spans="1:17" x14ac:dyDescent="0.25">
      <c r="A2134" s="2">
        <v>2315</v>
      </c>
      <c r="B2134" s="2" t="s">
        <v>50</v>
      </c>
      <c r="C2134" s="2">
        <v>11</v>
      </c>
      <c r="D2134" s="2">
        <f t="shared" si="330"/>
        <v>27.94</v>
      </c>
      <c r="E2134" s="2">
        <f t="shared" si="331"/>
        <v>8.8935782199751117</v>
      </c>
      <c r="F2134" s="2">
        <f t="shared" si="332"/>
        <v>3.5014087480216975</v>
      </c>
      <c r="G2134" s="2">
        <v>10.103591</v>
      </c>
      <c r="H2134" s="2">
        <f t="shared" si="333"/>
        <v>33.148265496439997</v>
      </c>
      <c r="I2134" s="2">
        <f>INDEX('Wood Density Lookup'!$B$2:$B$152,MATCH(B2134,'Wood Density Lookup'!$A$2:$A$152,0))</f>
        <v>0.5</v>
      </c>
      <c r="J2134" s="2">
        <f t="shared" si="334"/>
        <v>23.290323046819669</v>
      </c>
      <c r="K2134" s="2">
        <f t="shared" si="338"/>
        <v>6.5212904531095077</v>
      </c>
      <c r="L2134" s="2">
        <f t="shared" si="339"/>
        <v>29.811613499929177</v>
      </c>
      <c r="M2134" s="2">
        <f t="shared" si="335"/>
        <v>21.613419787448652</v>
      </c>
      <c r="N2134" s="2">
        <f t="shared" si="336"/>
        <v>10.806709893724326</v>
      </c>
      <c r="O2134" s="2">
        <f t="shared" si="337"/>
        <v>39.660625309968275</v>
      </c>
      <c r="P2134" s="2">
        <v>72.552665000000005</v>
      </c>
      <c r="Q2134" s="2">
        <v>23.035308000000001</v>
      </c>
    </row>
    <row r="2135" spans="1:17" x14ac:dyDescent="0.25">
      <c r="A2135" s="2">
        <v>2316</v>
      </c>
      <c r="B2135" s="2" t="s">
        <v>101</v>
      </c>
      <c r="C2135" s="2">
        <v>10</v>
      </c>
      <c r="D2135" s="2">
        <f t="shared" si="330"/>
        <v>25.4</v>
      </c>
      <c r="E2135" s="2">
        <f t="shared" si="331"/>
        <v>8.0850711090682825</v>
      </c>
      <c r="F2135" s="2">
        <f t="shared" si="332"/>
        <v>3.183098861837907</v>
      </c>
      <c r="G2135" s="2">
        <v>14.930315</v>
      </c>
      <c r="H2135" s="2">
        <f t="shared" si="333"/>
        <v>48.983974664599998</v>
      </c>
      <c r="I2135" s="2">
        <f>INDEX('Wood Density Lookup'!$B$2:$B$152,MATCH(B2135,'Wood Density Lookup'!$A$2:$A$152,0))</f>
        <v>0.2</v>
      </c>
      <c r="J2135" s="2">
        <f t="shared" si="334"/>
        <v>11.574720657314668</v>
      </c>
      <c r="K2135" s="2">
        <f t="shared" si="338"/>
        <v>3.240921784048107</v>
      </c>
      <c r="L2135" s="2">
        <f t="shared" si="339"/>
        <v>14.815642441362774</v>
      </c>
      <c r="M2135" s="2">
        <f t="shared" si="335"/>
        <v>10.74134076998801</v>
      </c>
      <c r="N2135" s="2">
        <f t="shared" si="336"/>
        <v>5.3706703849940052</v>
      </c>
      <c r="O2135" s="2">
        <f t="shared" si="337"/>
        <v>19.710360312928</v>
      </c>
      <c r="P2135" s="2">
        <v>72.552666000000002</v>
      </c>
      <c r="Q2135" s="2">
        <v>23.034953999999999</v>
      </c>
    </row>
    <row r="2136" spans="1:17" x14ac:dyDescent="0.25">
      <c r="A2136" s="2">
        <v>2317</v>
      </c>
      <c r="B2136" s="2" t="s">
        <v>115</v>
      </c>
      <c r="C2136" s="2">
        <v>2</v>
      </c>
      <c r="D2136" s="2">
        <f t="shared" si="330"/>
        <v>5.08</v>
      </c>
      <c r="E2136" s="2">
        <f t="shared" si="331"/>
        <v>1.6170142218136567</v>
      </c>
      <c r="F2136" s="2">
        <f t="shared" si="332"/>
        <v>0.63661977236758138</v>
      </c>
      <c r="G2136" s="2">
        <v>3.0138120000000002</v>
      </c>
      <c r="H2136" s="2">
        <f t="shared" si="333"/>
        <v>9.8878349620800012</v>
      </c>
      <c r="I2136" s="2">
        <f>INDEX('Wood Density Lookup'!$B$2:$B$152,MATCH(B2136,'Wood Density Lookup'!$A$2:$A$152,0))</f>
        <v>0.65</v>
      </c>
      <c r="J2136" s="2">
        <f t="shared" si="334"/>
        <v>0.33147080664371142</v>
      </c>
      <c r="K2136" s="2">
        <f t="shared" si="338"/>
        <v>9.2811825860239214E-2</v>
      </c>
      <c r="L2136" s="2">
        <f t="shared" si="339"/>
        <v>0.42428263250395065</v>
      </c>
      <c r="M2136" s="2">
        <f t="shared" si="335"/>
        <v>0.30760490856536421</v>
      </c>
      <c r="N2136" s="2">
        <f t="shared" si="336"/>
        <v>0.15380245428268211</v>
      </c>
      <c r="O2136" s="2">
        <f t="shared" si="337"/>
        <v>0.56445500721744335</v>
      </c>
      <c r="P2136" s="2">
        <v>72.552666000000002</v>
      </c>
      <c r="Q2136" s="2">
        <v>23.038171999999999</v>
      </c>
    </row>
    <row r="2137" spans="1:17" x14ac:dyDescent="0.25">
      <c r="A2137" s="2">
        <v>2318</v>
      </c>
      <c r="B2137" s="2" t="s">
        <v>111</v>
      </c>
      <c r="C2137" s="2">
        <v>2</v>
      </c>
      <c r="D2137" s="2">
        <f t="shared" si="330"/>
        <v>5.08</v>
      </c>
      <c r="E2137" s="2">
        <f t="shared" si="331"/>
        <v>1.6170142218136567</v>
      </c>
      <c r="F2137" s="2">
        <f t="shared" si="332"/>
        <v>0.63661977236758138</v>
      </c>
      <c r="G2137" s="2">
        <v>3.5711490000000001</v>
      </c>
      <c r="H2137" s="2">
        <f t="shared" si="333"/>
        <v>11.71636848516</v>
      </c>
      <c r="I2137" s="2">
        <f>INDEX('Wood Density Lookup'!$B$2:$B$152,MATCH(B2137,'Wood Density Lookup'!$A$2:$A$152,0))</f>
        <v>0.4</v>
      </c>
      <c r="J2137" s="2">
        <f t="shared" si="334"/>
        <v>0.24354297681539022</v>
      </c>
      <c r="K2137" s="2">
        <f t="shared" si="338"/>
        <v>6.8192033508309269E-2</v>
      </c>
      <c r="L2137" s="2">
        <f t="shared" si="339"/>
        <v>0.31173501032369949</v>
      </c>
      <c r="M2137" s="2">
        <f t="shared" si="335"/>
        <v>0.22600788248468212</v>
      </c>
      <c r="N2137" s="2">
        <f t="shared" si="336"/>
        <v>0.11300394124234106</v>
      </c>
      <c r="O2137" s="2">
        <f t="shared" si="337"/>
        <v>0.4147244643593917</v>
      </c>
      <c r="P2137" s="2">
        <v>72.552667</v>
      </c>
      <c r="Q2137" s="2">
        <v>23.036954000000001</v>
      </c>
    </row>
    <row r="2138" spans="1:17" x14ac:dyDescent="0.25">
      <c r="A2138" s="2">
        <v>2319</v>
      </c>
      <c r="B2138" s="2" t="s">
        <v>129</v>
      </c>
      <c r="C2138" s="2">
        <v>5</v>
      </c>
      <c r="D2138" s="2">
        <f t="shared" si="330"/>
        <v>12.7</v>
      </c>
      <c r="E2138" s="2">
        <f t="shared" si="331"/>
        <v>4.0425355545341413</v>
      </c>
      <c r="F2138" s="2">
        <f t="shared" si="332"/>
        <v>1.5915494309189535</v>
      </c>
      <c r="G2138" s="2">
        <v>1.0146850000000001</v>
      </c>
      <c r="H2138" s="2">
        <f t="shared" si="333"/>
        <v>3.3290191354000003</v>
      </c>
      <c r="I2138" s="2">
        <f>INDEX('Wood Density Lookup'!$B$2:$B$152,MATCH(B2138,'Wood Density Lookup'!$A$2:$A$152,0))</f>
        <v>0.4</v>
      </c>
      <c r="J2138" s="2">
        <f t="shared" si="334"/>
        <v>0.42657285741479511</v>
      </c>
      <c r="K2138" s="2">
        <f t="shared" si="338"/>
        <v>0.11944040007614265</v>
      </c>
      <c r="L2138" s="2">
        <f t="shared" si="339"/>
        <v>0.54601325749093776</v>
      </c>
      <c r="M2138" s="2">
        <f t="shared" si="335"/>
        <v>0.39585961168092987</v>
      </c>
      <c r="N2138" s="2">
        <f t="shared" si="336"/>
        <v>0.19792980584046493</v>
      </c>
      <c r="O2138" s="2">
        <f t="shared" si="337"/>
        <v>0.72640238743450625</v>
      </c>
      <c r="P2138" s="2">
        <v>72.552668999999995</v>
      </c>
      <c r="Q2138" s="2">
        <v>23.038207</v>
      </c>
    </row>
    <row r="2139" spans="1:17" x14ac:dyDescent="0.25">
      <c r="A2139" s="2">
        <v>2320</v>
      </c>
      <c r="B2139" s="2" t="s">
        <v>111</v>
      </c>
      <c r="C2139" s="2">
        <v>3</v>
      </c>
      <c r="D2139" s="2">
        <f t="shared" si="330"/>
        <v>7.62</v>
      </c>
      <c r="E2139" s="2">
        <f t="shared" si="331"/>
        <v>2.4255213327204852</v>
      </c>
      <c r="F2139" s="2">
        <f t="shared" si="332"/>
        <v>0.95492965855137202</v>
      </c>
      <c r="G2139" s="2">
        <v>3.617712</v>
      </c>
      <c r="H2139" s="2">
        <f t="shared" si="333"/>
        <v>11.869134238080001</v>
      </c>
      <c r="I2139" s="2">
        <f>INDEX('Wood Density Lookup'!$B$2:$B$152,MATCH(B2139,'Wood Density Lookup'!$A$2:$A$152,0))</f>
        <v>0.4</v>
      </c>
      <c r="J2139" s="2">
        <f t="shared" si="334"/>
        <v>0.5442478762053955</v>
      </c>
      <c r="K2139" s="2">
        <f t="shared" si="338"/>
        <v>0.15238940533751075</v>
      </c>
      <c r="L2139" s="2">
        <f t="shared" si="339"/>
        <v>0.69663728154290627</v>
      </c>
      <c r="M2139" s="2">
        <f t="shared" si="335"/>
        <v>0.50506202911860698</v>
      </c>
      <c r="N2139" s="2">
        <f t="shared" si="336"/>
        <v>0.25253101455930349</v>
      </c>
      <c r="O2139" s="2">
        <f t="shared" si="337"/>
        <v>0.92678882343264379</v>
      </c>
      <c r="P2139" s="2">
        <v>72.552668999999995</v>
      </c>
      <c r="Q2139" s="2">
        <v>23.036949</v>
      </c>
    </row>
    <row r="2140" spans="1:17" x14ac:dyDescent="0.25">
      <c r="A2140" s="2">
        <v>2321</v>
      </c>
      <c r="B2140" s="2" t="s">
        <v>111</v>
      </c>
      <c r="C2140" s="2">
        <v>3</v>
      </c>
      <c r="D2140" s="2">
        <f t="shared" si="330"/>
        <v>7.62</v>
      </c>
      <c r="E2140" s="2">
        <f t="shared" si="331"/>
        <v>2.4255213327204852</v>
      </c>
      <c r="F2140" s="2">
        <f t="shared" si="332"/>
        <v>0.95492965855137202</v>
      </c>
      <c r="G2140" s="2">
        <v>3.6358860000000002</v>
      </c>
      <c r="H2140" s="2">
        <f t="shared" si="333"/>
        <v>11.928760224240001</v>
      </c>
      <c r="I2140" s="2">
        <f>INDEX('Wood Density Lookup'!$B$2:$B$152,MATCH(B2140,'Wood Density Lookup'!$A$2:$A$152,0))</f>
        <v>0.4</v>
      </c>
      <c r="J2140" s="2">
        <f t="shared" si="334"/>
        <v>0.54691619034249828</v>
      </c>
      <c r="K2140" s="2">
        <f t="shared" si="338"/>
        <v>0.15313653329589952</v>
      </c>
      <c r="L2140" s="2">
        <f t="shared" si="339"/>
        <v>0.70005272363839777</v>
      </c>
      <c r="M2140" s="2">
        <f t="shared" si="335"/>
        <v>0.50753822463783838</v>
      </c>
      <c r="N2140" s="2">
        <f t="shared" si="336"/>
        <v>0.25376911231891919</v>
      </c>
      <c r="O2140" s="2">
        <f t="shared" si="337"/>
        <v>0.93133264221043344</v>
      </c>
      <c r="P2140" s="2">
        <v>72.552670000000006</v>
      </c>
      <c r="Q2140" s="2">
        <v>23.036944999999999</v>
      </c>
    </row>
    <row r="2141" spans="1:17" x14ac:dyDescent="0.25">
      <c r="A2141" s="2">
        <v>2322</v>
      </c>
      <c r="B2141" s="2" t="s">
        <v>17</v>
      </c>
      <c r="C2141" s="2">
        <v>9</v>
      </c>
      <c r="D2141" s="2">
        <f t="shared" si="330"/>
        <v>22.86</v>
      </c>
      <c r="E2141" s="2">
        <f t="shared" si="331"/>
        <v>7.2765639981614552</v>
      </c>
      <c r="F2141" s="2">
        <f t="shared" si="332"/>
        <v>2.8647889756541161</v>
      </c>
      <c r="G2141" s="2">
        <v>3.8377889999999999</v>
      </c>
      <c r="H2141" s="2">
        <f t="shared" si="333"/>
        <v>12.591171662759999</v>
      </c>
      <c r="I2141" s="2">
        <f>INDEX('Wood Density Lookup'!$B$2:$B$152,MATCH(B2141,'Wood Density Lookup'!$A$2:$A$152,0))</f>
        <v>0.75</v>
      </c>
      <c r="J2141" s="2">
        <f t="shared" si="334"/>
        <v>9.0911379226523952</v>
      </c>
      <c r="K2141" s="2">
        <f t="shared" si="338"/>
        <v>2.5455186183426708</v>
      </c>
      <c r="L2141" s="2">
        <f t="shared" si="339"/>
        <v>11.636656540995066</v>
      </c>
      <c r="M2141" s="2">
        <f t="shared" si="335"/>
        <v>8.4365759922214227</v>
      </c>
      <c r="N2141" s="2">
        <f t="shared" si="336"/>
        <v>4.2182879961107114</v>
      </c>
      <c r="O2141" s="2">
        <f t="shared" si="337"/>
        <v>15.48111694572631</v>
      </c>
      <c r="P2141" s="2">
        <v>72.552671000000004</v>
      </c>
      <c r="Q2141" s="2">
        <v>23.036933000000001</v>
      </c>
    </row>
    <row r="2142" spans="1:17" x14ac:dyDescent="0.25">
      <c r="A2142" s="2">
        <v>2323</v>
      </c>
      <c r="B2142" s="2" t="s">
        <v>101</v>
      </c>
      <c r="C2142" s="2">
        <v>8</v>
      </c>
      <c r="D2142" s="2">
        <f t="shared" si="330"/>
        <v>20.32</v>
      </c>
      <c r="E2142" s="2">
        <f t="shared" si="331"/>
        <v>6.4680568872546269</v>
      </c>
      <c r="F2142" s="2">
        <f t="shared" si="332"/>
        <v>2.5464790894703255</v>
      </c>
      <c r="G2142" s="2">
        <v>12.665388999999999</v>
      </c>
      <c r="H2142" s="2">
        <f t="shared" si="333"/>
        <v>41.553114846759996</v>
      </c>
      <c r="I2142" s="2">
        <f>INDEX('Wood Density Lookup'!$B$2:$B$152,MATCH(B2142,'Wood Density Lookup'!$A$2:$A$152,0))</f>
        <v>0.2</v>
      </c>
      <c r="J2142" s="2">
        <f t="shared" si="334"/>
        <v>6.3768550636646717</v>
      </c>
      <c r="K2142" s="2">
        <f t="shared" si="338"/>
        <v>1.7855194178261082</v>
      </c>
      <c r="L2142" s="2">
        <f t="shared" si="339"/>
        <v>8.1623744814907795</v>
      </c>
      <c r="M2142" s="2">
        <f t="shared" si="335"/>
        <v>5.9177214990808151</v>
      </c>
      <c r="N2142" s="2">
        <f t="shared" si="336"/>
        <v>2.9588607495404076</v>
      </c>
      <c r="O2142" s="2">
        <f t="shared" si="337"/>
        <v>10.859018950813295</v>
      </c>
      <c r="P2142" s="2">
        <v>72.552671000000004</v>
      </c>
      <c r="Q2142" s="2">
        <v>23.034938</v>
      </c>
    </row>
    <row r="2143" spans="1:17" x14ac:dyDescent="0.25">
      <c r="A2143" s="2">
        <v>2324</v>
      </c>
      <c r="B2143" s="2" t="s">
        <v>111</v>
      </c>
      <c r="C2143" s="2">
        <v>2</v>
      </c>
      <c r="D2143" s="2">
        <f t="shared" si="330"/>
        <v>5.08</v>
      </c>
      <c r="E2143" s="2">
        <f t="shared" si="331"/>
        <v>1.6170142218136567</v>
      </c>
      <c r="F2143" s="2">
        <f t="shared" si="332"/>
        <v>0.63661977236758138</v>
      </c>
      <c r="G2143" s="2">
        <v>3.4949690000000002</v>
      </c>
      <c r="H2143" s="2">
        <f t="shared" si="333"/>
        <v>11.46643409396</v>
      </c>
      <c r="I2143" s="2">
        <f>INDEX('Wood Density Lookup'!$B$2:$B$152,MATCH(B2143,'Wood Density Lookup'!$A$2:$A$152,0))</f>
        <v>0.4</v>
      </c>
      <c r="J2143" s="2">
        <f t="shared" si="334"/>
        <v>0.23847108008726292</v>
      </c>
      <c r="K2143" s="2">
        <f t="shared" si="338"/>
        <v>6.6771902424433621E-2</v>
      </c>
      <c r="L2143" s="2">
        <f t="shared" si="339"/>
        <v>0.30524298251169657</v>
      </c>
      <c r="M2143" s="2">
        <f t="shared" si="335"/>
        <v>0.22130116232098002</v>
      </c>
      <c r="N2143" s="2">
        <f t="shared" si="336"/>
        <v>0.11065058116049001</v>
      </c>
      <c r="O2143" s="2">
        <f t="shared" si="337"/>
        <v>0.40608763285899835</v>
      </c>
      <c r="P2143" s="2">
        <v>72.552671000000004</v>
      </c>
      <c r="Q2143" s="2">
        <v>23.036940999999999</v>
      </c>
    </row>
    <row r="2144" spans="1:17" x14ac:dyDescent="0.25">
      <c r="A2144" s="2">
        <v>2325</v>
      </c>
      <c r="B2144" s="2" t="s">
        <v>50</v>
      </c>
      <c r="C2144" s="2">
        <v>2</v>
      </c>
      <c r="D2144" s="2">
        <f t="shared" si="330"/>
        <v>5.08</v>
      </c>
      <c r="E2144" s="2">
        <f t="shared" si="331"/>
        <v>1.6170142218136567</v>
      </c>
      <c r="F2144" s="2">
        <f t="shared" si="332"/>
        <v>0.63661977236758138</v>
      </c>
      <c r="G2144" s="2">
        <v>1.1182190000000001</v>
      </c>
      <c r="H2144" s="2">
        <f t="shared" si="333"/>
        <v>3.6686976239600004</v>
      </c>
      <c r="I2144" s="2">
        <f>INDEX('Wood Density Lookup'!$B$2:$B$152,MATCH(B2144,'Wood Density Lookup'!$A$2:$A$152,0))</f>
        <v>0.5</v>
      </c>
      <c r="J2144" s="2">
        <f t="shared" si="334"/>
        <v>9.7494793945246114E-2</v>
      </c>
      <c r="K2144" s="2">
        <f t="shared" si="338"/>
        <v>2.7298542304668914E-2</v>
      </c>
      <c r="L2144" s="2">
        <f t="shared" si="339"/>
        <v>0.12479333624991502</v>
      </c>
      <c r="M2144" s="2">
        <f t="shared" si="335"/>
        <v>9.0475168781188386E-2</v>
      </c>
      <c r="N2144" s="2">
        <f t="shared" si="336"/>
        <v>4.5237584390594193E-2</v>
      </c>
      <c r="O2144" s="2">
        <f t="shared" si="337"/>
        <v>0.16602193471348067</v>
      </c>
      <c r="P2144" s="2">
        <v>72.552671000000004</v>
      </c>
      <c r="Q2144" s="2">
        <v>23.037718000000002</v>
      </c>
    </row>
    <row r="2145" spans="1:17" x14ac:dyDescent="0.25">
      <c r="A2145" s="2">
        <v>2326</v>
      </c>
      <c r="B2145" s="2" t="s">
        <v>46</v>
      </c>
      <c r="C2145" s="2">
        <v>11</v>
      </c>
      <c r="D2145" s="2">
        <f t="shared" si="330"/>
        <v>27.94</v>
      </c>
      <c r="E2145" s="2">
        <f t="shared" si="331"/>
        <v>8.8935782199751117</v>
      </c>
      <c r="F2145" s="2">
        <f t="shared" si="332"/>
        <v>3.5014087480216975</v>
      </c>
      <c r="G2145" s="2">
        <v>5.6472559999999996</v>
      </c>
      <c r="H2145" s="2">
        <f t="shared" si="333"/>
        <v>18.52774337504</v>
      </c>
      <c r="I2145" s="2">
        <f>INDEX('Wood Density Lookup'!$B$2:$B$152,MATCH(B2145,'Wood Density Lookup'!$A$2:$A$152,0))</f>
        <v>0.6</v>
      </c>
      <c r="J2145" s="2">
        <f t="shared" si="334"/>
        <v>15.771806691648381</v>
      </c>
      <c r="K2145" s="2">
        <f t="shared" si="338"/>
        <v>4.4161058736615475</v>
      </c>
      <c r="L2145" s="2">
        <f t="shared" si="339"/>
        <v>20.187912565309929</v>
      </c>
      <c r="M2145" s="2">
        <f t="shared" si="335"/>
        <v>14.636236609849698</v>
      </c>
      <c r="N2145" s="2">
        <f t="shared" si="336"/>
        <v>7.318118304924849</v>
      </c>
      <c r="O2145" s="2">
        <f t="shared" si="337"/>
        <v>26.857494179074195</v>
      </c>
      <c r="P2145" s="2">
        <v>72.552672999999999</v>
      </c>
      <c r="Q2145" s="2">
        <v>23.038087000000001</v>
      </c>
    </row>
    <row r="2146" spans="1:17" x14ac:dyDescent="0.25">
      <c r="A2146" s="2">
        <v>2327</v>
      </c>
      <c r="B2146" s="2" t="s">
        <v>78</v>
      </c>
      <c r="C2146" s="2">
        <v>13</v>
      </c>
      <c r="D2146" s="2">
        <f t="shared" si="330"/>
        <v>33.020000000000003</v>
      </c>
      <c r="E2146" s="2">
        <f t="shared" si="331"/>
        <v>10.51059244178877</v>
      </c>
      <c r="F2146" s="2">
        <f t="shared" si="332"/>
        <v>4.1380285203892786</v>
      </c>
      <c r="G2146" s="2">
        <v>4.6286339999999999</v>
      </c>
      <c r="H2146" s="2">
        <f t="shared" si="333"/>
        <v>15.18580757256</v>
      </c>
      <c r="I2146" s="2">
        <f>INDEX('Wood Density Lookup'!$B$2:$B$152,MATCH(B2146,'Wood Density Lookup'!$A$2:$A$152,0))</f>
        <v>0.55000000000000004</v>
      </c>
      <c r="J2146" s="2">
        <f t="shared" si="334"/>
        <v>16.531311492873602</v>
      </c>
      <c r="K2146" s="2">
        <f t="shared" si="338"/>
        <v>4.6287672180046089</v>
      </c>
      <c r="L2146" s="2">
        <f t="shared" si="339"/>
        <v>21.16007871087821</v>
      </c>
      <c r="M2146" s="2">
        <f t="shared" si="335"/>
        <v>15.341057065386702</v>
      </c>
      <c r="N2146" s="2">
        <f t="shared" si="336"/>
        <v>7.6705285326933508</v>
      </c>
      <c r="O2146" s="2">
        <f t="shared" si="337"/>
        <v>28.150839714984595</v>
      </c>
      <c r="P2146" s="2">
        <v>72.552672999999999</v>
      </c>
      <c r="Q2146" s="2">
        <v>23.038122000000001</v>
      </c>
    </row>
    <row r="2147" spans="1:17" x14ac:dyDescent="0.25">
      <c r="A2147" s="2">
        <v>2328</v>
      </c>
      <c r="B2147" s="2" t="s">
        <v>111</v>
      </c>
      <c r="C2147" s="2">
        <v>3</v>
      </c>
      <c r="D2147" s="2">
        <f t="shared" si="330"/>
        <v>7.62</v>
      </c>
      <c r="E2147" s="2">
        <f t="shared" si="331"/>
        <v>2.4255213327204852</v>
      </c>
      <c r="F2147" s="2">
        <f t="shared" si="332"/>
        <v>0.95492965855137202</v>
      </c>
      <c r="G2147" s="2">
        <v>4.0223500000000003</v>
      </c>
      <c r="H2147" s="2">
        <f t="shared" si="333"/>
        <v>13.196686774000002</v>
      </c>
      <c r="I2147" s="2">
        <f>INDEX('Wood Density Lookup'!$B$2:$B$152,MATCH(B2147,'Wood Density Lookup'!$A$2:$A$152,0))</f>
        <v>0.4</v>
      </c>
      <c r="J2147" s="2">
        <f t="shared" si="334"/>
        <v>0.60358370872590328</v>
      </c>
      <c r="K2147" s="2">
        <f t="shared" si="338"/>
        <v>0.16900343844325294</v>
      </c>
      <c r="L2147" s="2">
        <f t="shared" si="339"/>
        <v>0.77258714716915622</v>
      </c>
      <c r="M2147" s="2">
        <f t="shared" si="335"/>
        <v>0.56012568169763821</v>
      </c>
      <c r="N2147" s="2">
        <f t="shared" si="336"/>
        <v>0.28006284084881911</v>
      </c>
      <c r="O2147" s="2">
        <f t="shared" si="337"/>
        <v>1.0278306259151662</v>
      </c>
      <c r="P2147" s="2">
        <v>72.552672999999999</v>
      </c>
      <c r="Q2147" s="2">
        <v>23.036928</v>
      </c>
    </row>
    <row r="2148" spans="1:17" x14ac:dyDescent="0.25">
      <c r="A2148" s="2">
        <v>2329</v>
      </c>
      <c r="B2148" s="2" t="s">
        <v>111</v>
      </c>
      <c r="C2148" s="2">
        <v>2</v>
      </c>
      <c r="D2148" s="2">
        <f t="shared" si="330"/>
        <v>5.08</v>
      </c>
      <c r="E2148" s="2">
        <f t="shared" si="331"/>
        <v>1.6170142218136567</v>
      </c>
      <c r="F2148" s="2">
        <f t="shared" si="332"/>
        <v>0.63661977236758138</v>
      </c>
      <c r="G2148" s="2">
        <v>3.8958179999999998</v>
      </c>
      <c r="H2148" s="2">
        <f t="shared" si="333"/>
        <v>12.781555527119998</v>
      </c>
      <c r="I2148" s="2">
        <f>INDEX('Wood Density Lookup'!$B$2:$B$152,MATCH(B2148,'Wood Density Lookup'!$A$2:$A$152,0))</f>
        <v>0.4</v>
      </c>
      <c r="J2148" s="2">
        <f t="shared" si="334"/>
        <v>0.26513027522618038</v>
      </c>
      <c r="K2148" s="2">
        <f t="shared" si="338"/>
        <v>7.4236477063330517E-2</v>
      </c>
      <c r="L2148" s="2">
        <f t="shared" si="339"/>
        <v>0.33936675228951091</v>
      </c>
      <c r="M2148" s="2">
        <f t="shared" si="335"/>
        <v>0.2460408954098954</v>
      </c>
      <c r="N2148" s="2">
        <f t="shared" si="336"/>
        <v>0.1230204477049477</v>
      </c>
      <c r="O2148" s="2">
        <f t="shared" si="337"/>
        <v>0.45148504307715803</v>
      </c>
      <c r="P2148" s="2">
        <v>72.552673999999996</v>
      </c>
      <c r="Q2148" s="2">
        <v>23.036923000000002</v>
      </c>
    </row>
    <row r="2149" spans="1:17" x14ac:dyDescent="0.25">
      <c r="A2149" s="2">
        <v>2330</v>
      </c>
      <c r="B2149" s="2" t="s">
        <v>111</v>
      </c>
      <c r="C2149" s="2">
        <v>1</v>
      </c>
      <c r="D2149" s="2">
        <f t="shared" si="330"/>
        <v>2.54</v>
      </c>
      <c r="E2149" s="2">
        <f t="shared" si="331"/>
        <v>0.80850711090682836</v>
      </c>
      <c r="F2149" s="2">
        <f t="shared" si="332"/>
        <v>0.31830988618379069</v>
      </c>
      <c r="G2149" s="2">
        <v>4.4225159999999999</v>
      </c>
      <c r="H2149" s="2">
        <f t="shared" si="333"/>
        <v>14.509567393439999</v>
      </c>
      <c r="I2149" s="2">
        <f>INDEX('Wood Density Lookup'!$B$2:$B$152,MATCH(B2149,'Wood Density Lookup'!$A$2:$A$152,0))</f>
        <v>0.4</v>
      </c>
      <c r="J2149" s="2">
        <f t="shared" si="334"/>
        <v>7.7552861357983144E-2</v>
      </c>
      <c r="K2149" s="2">
        <f t="shared" si="338"/>
        <v>2.1714801180235284E-2</v>
      </c>
      <c r="L2149" s="2">
        <f t="shared" si="339"/>
        <v>9.9267662538218421E-2</v>
      </c>
      <c r="M2149" s="2">
        <f t="shared" si="335"/>
        <v>7.1969055340208352E-2</v>
      </c>
      <c r="N2149" s="2">
        <f t="shared" si="336"/>
        <v>3.5984527670104176E-2</v>
      </c>
      <c r="O2149" s="2">
        <f t="shared" si="337"/>
        <v>0.13206321654928233</v>
      </c>
      <c r="P2149" s="2">
        <v>72.552674999999994</v>
      </c>
      <c r="Q2149" s="2">
        <v>23.036916999999999</v>
      </c>
    </row>
    <row r="2150" spans="1:17" x14ac:dyDescent="0.25">
      <c r="A2150" s="2">
        <v>2331</v>
      </c>
      <c r="B2150" s="2" t="s">
        <v>93</v>
      </c>
      <c r="C2150" s="2">
        <v>4</v>
      </c>
      <c r="D2150" s="2">
        <f t="shared" si="330"/>
        <v>10.16</v>
      </c>
      <c r="E2150" s="2">
        <f t="shared" si="331"/>
        <v>3.2340284436273135</v>
      </c>
      <c r="F2150" s="2">
        <f t="shared" si="332"/>
        <v>1.2732395447351628</v>
      </c>
      <c r="G2150" s="2">
        <v>2.0094029999999998</v>
      </c>
      <c r="H2150" s="2">
        <f t="shared" si="333"/>
        <v>6.5925297385199997</v>
      </c>
      <c r="I2150" s="2">
        <f>INDEX('Wood Density Lookup'!$B$2:$B$152,MATCH(B2150,'Wood Density Lookup'!$A$2:$A$152,0))</f>
        <v>0.9</v>
      </c>
      <c r="J2150" s="2">
        <f t="shared" si="334"/>
        <v>1.1862306932968452</v>
      </c>
      <c r="K2150" s="2">
        <f t="shared" si="338"/>
        <v>0.3321445941231167</v>
      </c>
      <c r="L2150" s="2">
        <f t="shared" si="339"/>
        <v>1.5183752874199619</v>
      </c>
      <c r="M2150" s="2">
        <f t="shared" si="335"/>
        <v>1.1008220833794724</v>
      </c>
      <c r="N2150" s="2">
        <f t="shared" si="336"/>
        <v>0.5504110416897362</v>
      </c>
      <c r="O2150" s="2">
        <f t="shared" si="337"/>
        <v>2.0200085230013318</v>
      </c>
      <c r="P2150" s="2">
        <v>72.552677000000003</v>
      </c>
      <c r="Q2150" s="2">
        <v>23.038048</v>
      </c>
    </row>
    <row r="2151" spans="1:17" x14ac:dyDescent="0.25">
      <c r="A2151" s="2">
        <v>2332</v>
      </c>
      <c r="B2151" s="2" t="s">
        <v>114</v>
      </c>
      <c r="C2151" s="2">
        <v>3</v>
      </c>
      <c r="D2151" s="2">
        <f t="shared" si="330"/>
        <v>7.62</v>
      </c>
      <c r="E2151" s="2">
        <f t="shared" si="331"/>
        <v>2.4255213327204852</v>
      </c>
      <c r="F2151" s="2">
        <f t="shared" si="332"/>
        <v>0.95492965855137202</v>
      </c>
      <c r="G2151" s="2">
        <v>1.0114749999999999</v>
      </c>
      <c r="H2151" s="2">
        <f t="shared" si="333"/>
        <v>3.3184876389999998</v>
      </c>
      <c r="I2151" s="2">
        <f>INDEX('Wood Density Lookup'!$B$2:$B$152,MATCH(B2151,'Wood Density Lookup'!$A$2:$A$152,0))</f>
        <v>0.55000000000000004</v>
      </c>
      <c r="J2151" s="2">
        <f t="shared" si="334"/>
        <v>0.21408430586029034</v>
      </c>
      <c r="K2151" s="2">
        <f t="shared" si="338"/>
        <v>5.9943605640881303E-2</v>
      </c>
      <c r="L2151" s="2">
        <f t="shared" si="339"/>
        <v>0.27402791150117167</v>
      </c>
      <c r="M2151" s="2">
        <f t="shared" si="335"/>
        <v>0.19867023583834945</v>
      </c>
      <c r="N2151" s="2">
        <f t="shared" si="336"/>
        <v>9.9335117919174723E-2</v>
      </c>
      <c r="O2151" s="2">
        <f t="shared" si="337"/>
        <v>0.3645598827633712</v>
      </c>
      <c r="P2151" s="2">
        <v>72.552677000000003</v>
      </c>
      <c r="Q2151" s="2">
        <v>23.038005999999999</v>
      </c>
    </row>
    <row r="2152" spans="1:17" x14ac:dyDescent="0.25">
      <c r="A2152" s="2">
        <v>2333</v>
      </c>
      <c r="B2152" s="2" t="s">
        <v>111</v>
      </c>
      <c r="C2152" s="2">
        <v>1</v>
      </c>
      <c r="D2152" s="2">
        <f t="shared" si="330"/>
        <v>2.54</v>
      </c>
      <c r="E2152" s="2">
        <f t="shared" si="331"/>
        <v>0.80850711090682836</v>
      </c>
      <c r="F2152" s="2">
        <f t="shared" si="332"/>
        <v>0.31830988618379069</v>
      </c>
      <c r="G2152" s="2">
        <v>4.73299</v>
      </c>
      <c r="H2152" s="2">
        <f t="shared" si="333"/>
        <v>15.5281829116</v>
      </c>
      <c r="I2152" s="2">
        <f>INDEX('Wood Density Lookup'!$B$2:$B$152,MATCH(B2152,'Wood Density Lookup'!$A$2:$A$152,0))</f>
        <v>0.4</v>
      </c>
      <c r="J2152" s="2">
        <f t="shared" si="334"/>
        <v>8.286226720228472E-2</v>
      </c>
      <c r="K2152" s="2">
        <f t="shared" si="338"/>
        <v>2.3201434816639725E-2</v>
      </c>
      <c r="L2152" s="2">
        <f t="shared" si="339"/>
        <v>0.10606370201892444</v>
      </c>
      <c r="M2152" s="2">
        <f t="shared" si="335"/>
        <v>7.6896183963720222E-2</v>
      </c>
      <c r="N2152" s="2">
        <f t="shared" si="336"/>
        <v>3.8448091981860111E-2</v>
      </c>
      <c r="O2152" s="2">
        <f t="shared" si="337"/>
        <v>0.14110449757342661</v>
      </c>
      <c r="P2152" s="2">
        <v>72.552678</v>
      </c>
      <c r="Q2152" s="2">
        <v>23.036902999999999</v>
      </c>
    </row>
    <row r="2153" spans="1:17" x14ac:dyDescent="0.25">
      <c r="A2153" s="2">
        <v>2334</v>
      </c>
      <c r="B2153" s="2" t="s">
        <v>111</v>
      </c>
      <c r="C2153" s="2">
        <v>1</v>
      </c>
      <c r="D2153" s="2">
        <f t="shared" si="330"/>
        <v>2.54</v>
      </c>
      <c r="E2153" s="2">
        <f t="shared" si="331"/>
        <v>0.80850711090682836</v>
      </c>
      <c r="F2153" s="2">
        <f t="shared" si="332"/>
        <v>0.31830988618379069</v>
      </c>
      <c r="G2153" s="2">
        <v>4.4616619999999996</v>
      </c>
      <c r="H2153" s="2">
        <f t="shared" si="333"/>
        <v>14.637999156079999</v>
      </c>
      <c r="I2153" s="2">
        <f>INDEX('Wood Density Lookup'!$B$2:$B$152,MATCH(B2153,'Wood Density Lookup'!$A$2:$A$152,0))</f>
        <v>0.4</v>
      </c>
      <c r="J2153" s="2">
        <f t="shared" si="334"/>
        <v>7.82227762450588E-2</v>
      </c>
      <c r="K2153" s="2">
        <f t="shared" si="338"/>
        <v>2.1902377348616466E-2</v>
      </c>
      <c r="L2153" s="2">
        <f t="shared" si="339"/>
        <v>0.10012515359367527</v>
      </c>
      <c r="M2153" s="2">
        <f t="shared" si="335"/>
        <v>7.2590736355414562E-2</v>
      </c>
      <c r="N2153" s="2">
        <f t="shared" si="336"/>
        <v>3.6295368177707281E-2</v>
      </c>
      <c r="O2153" s="2">
        <f t="shared" si="337"/>
        <v>0.13320400121218573</v>
      </c>
      <c r="P2153" s="2">
        <v>72.552678</v>
      </c>
      <c r="Q2153" s="2">
        <v>23.036909999999999</v>
      </c>
    </row>
    <row r="2154" spans="1:17" x14ac:dyDescent="0.25">
      <c r="A2154" s="2">
        <v>2335</v>
      </c>
      <c r="B2154" s="2" t="s">
        <v>31</v>
      </c>
      <c r="C2154" s="2">
        <v>5</v>
      </c>
      <c r="D2154" s="2">
        <f t="shared" si="330"/>
        <v>12.7</v>
      </c>
      <c r="E2154" s="2">
        <f t="shared" si="331"/>
        <v>4.0425355545341413</v>
      </c>
      <c r="F2154" s="2">
        <f t="shared" si="332"/>
        <v>1.5915494309189535</v>
      </c>
      <c r="G2154" s="2">
        <v>1.0308379999999999</v>
      </c>
      <c r="H2154" s="2">
        <f t="shared" si="333"/>
        <v>3.3820145439199996</v>
      </c>
      <c r="I2154" s="2">
        <f>INDEX('Wood Density Lookup'!$B$2:$B$152,MATCH(B2154,'Wood Density Lookup'!$A$2:$A$152,0))</f>
        <v>0.78</v>
      </c>
      <c r="J2154" s="2">
        <f t="shared" si="334"/>
        <v>0.83130723039816246</v>
      </c>
      <c r="K2154" s="2">
        <f t="shared" si="338"/>
        <v>0.23276602451148551</v>
      </c>
      <c r="L2154" s="2">
        <f t="shared" si="339"/>
        <v>1.0640732549096479</v>
      </c>
      <c r="M2154" s="2">
        <f t="shared" si="335"/>
        <v>0.77145310980949466</v>
      </c>
      <c r="N2154" s="2">
        <f t="shared" si="336"/>
        <v>0.38572655490474733</v>
      </c>
      <c r="O2154" s="2">
        <f t="shared" si="337"/>
        <v>1.4156164565004228</v>
      </c>
      <c r="P2154" s="2">
        <v>72.552678</v>
      </c>
      <c r="Q2154" s="2">
        <v>23.037890000000001</v>
      </c>
    </row>
    <row r="2155" spans="1:17" x14ac:dyDescent="0.25">
      <c r="A2155" s="2">
        <v>2336</v>
      </c>
      <c r="B2155" s="2" t="s">
        <v>50</v>
      </c>
      <c r="C2155" s="2">
        <v>2</v>
      </c>
      <c r="D2155" s="2">
        <f t="shared" si="330"/>
        <v>5.08</v>
      </c>
      <c r="E2155" s="2">
        <f t="shared" si="331"/>
        <v>1.6170142218136567</v>
      </c>
      <c r="F2155" s="2">
        <f t="shared" si="332"/>
        <v>0.63661977236758138</v>
      </c>
      <c r="G2155" s="2">
        <v>2.042036</v>
      </c>
      <c r="H2155" s="2">
        <f t="shared" si="333"/>
        <v>6.6995933902399996</v>
      </c>
      <c r="I2155" s="2">
        <f>INDEX('Wood Density Lookup'!$B$2:$B$152,MATCH(B2155,'Wood Density Lookup'!$A$2:$A$152,0))</f>
        <v>0.5</v>
      </c>
      <c r="J2155" s="2">
        <f t="shared" si="334"/>
        <v>0.1754854347962192</v>
      </c>
      <c r="K2155" s="2">
        <f t="shared" si="338"/>
        <v>4.9135921742941381E-2</v>
      </c>
      <c r="L2155" s="2">
        <f t="shared" si="339"/>
        <v>0.22462135653916057</v>
      </c>
      <c r="M2155" s="2">
        <f t="shared" si="335"/>
        <v>0.1628504834908914</v>
      </c>
      <c r="N2155" s="2">
        <f t="shared" si="336"/>
        <v>8.1425241745445701E-2</v>
      </c>
      <c r="O2155" s="2">
        <f t="shared" si="337"/>
        <v>0.29883063720578573</v>
      </c>
      <c r="P2155" s="2">
        <v>72.552678999999998</v>
      </c>
      <c r="Q2155" s="2">
        <v>23.037803</v>
      </c>
    </row>
    <row r="2156" spans="1:17" x14ac:dyDescent="0.25">
      <c r="A2156" s="2">
        <v>2337</v>
      </c>
      <c r="B2156" s="2" t="s">
        <v>111</v>
      </c>
      <c r="C2156" s="2">
        <v>2</v>
      </c>
      <c r="D2156" s="2">
        <f t="shared" si="330"/>
        <v>5.08</v>
      </c>
      <c r="E2156" s="2">
        <f t="shared" si="331"/>
        <v>1.6170142218136567</v>
      </c>
      <c r="F2156" s="2">
        <f t="shared" si="332"/>
        <v>0.63661977236758138</v>
      </c>
      <c r="G2156" s="2">
        <v>13.336252</v>
      </c>
      <c r="H2156" s="2">
        <f t="shared" si="333"/>
        <v>43.754109011680001</v>
      </c>
      <c r="I2156" s="2">
        <f>INDEX('Wood Density Lookup'!$B$2:$B$152,MATCH(B2156,'Wood Density Lookup'!$A$2:$A$152,0))</f>
        <v>0.4</v>
      </c>
      <c r="J2156" s="2">
        <f t="shared" si="334"/>
        <v>0.88118686083729403</v>
      </c>
      <c r="K2156" s="2">
        <f t="shared" si="338"/>
        <v>0.24673232103444234</v>
      </c>
      <c r="L2156" s="2">
        <f t="shared" si="339"/>
        <v>1.1279191818717365</v>
      </c>
      <c r="M2156" s="2">
        <f t="shared" si="335"/>
        <v>0.81774140685700891</v>
      </c>
      <c r="N2156" s="2">
        <f t="shared" si="336"/>
        <v>0.40887070342850446</v>
      </c>
      <c r="O2156" s="2">
        <f t="shared" si="337"/>
        <v>1.5005554815826114</v>
      </c>
      <c r="P2156" s="2">
        <v>72.552679999999995</v>
      </c>
      <c r="Q2156" s="2">
        <v>23.036895000000001</v>
      </c>
    </row>
    <row r="2157" spans="1:17" x14ac:dyDescent="0.25">
      <c r="A2157" s="2">
        <v>2338</v>
      </c>
      <c r="B2157" s="2" t="s">
        <v>111</v>
      </c>
      <c r="C2157" s="2">
        <v>3</v>
      </c>
      <c r="D2157" s="2">
        <f t="shared" si="330"/>
        <v>7.62</v>
      </c>
      <c r="E2157" s="2">
        <f t="shared" si="331"/>
        <v>2.4255213327204852</v>
      </c>
      <c r="F2157" s="2">
        <f t="shared" si="332"/>
        <v>0.95492965855137202</v>
      </c>
      <c r="G2157" s="2">
        <v>13.477758</v>
      </c>
      <c r="H2157" s="2">
        <f t="shared" si="333"/>
        <v>44.218367556719997</v>
      </c>
      <c r="I2157" s="2">
        <f>INDEX('Wood Density Lookup'!$B$2:$B$152,MATCH(B2157,'Wood Density Lookup'!$A$2:$A$152,0))</f>
        <v>0.4</v>
      </c>
      <c r="J2157" s="2">
        <f t="shared" si="334"/>
        <v>1.9645903150225805</v>
      </c>
      <c r="K2157" s="2">
        <f t="shared" si="338"/>
        <v>0.55008528820632263</v>
      </c>
      <c r="L2157" s="2">
        <f t="shared" si="339"/>
        <v>2.5146756032289033</v>
      </c>
      <c r="M2157" s="2">
        <f t="shared" si="335"/>
        <v>1.8231398123409548</v>
      </c>
      <c r="N2157" s="2">
        <f t="shared" si="336"/>
        <v>0.9115699061704774</v>
      </c>
      <c r="O2157" s="2">
        <f t="shared" si="337"/>
        <v>3.345461555645652</v>
      </c>
      <c r="P2157" s="2">
        <v>72.552681000000007</v>
      </c>
      <c r="Q2157" s="2">
        <v>23.036888000000001</v>
      </c>
    </row>
    <row r="2158" spans="1:17" x14ac:dyDescent="0.25">
      <c r="A2158" s="2">
        <v>2339</v>
      </c>
      <c r="B2158" s="2" t="s">
        <v>31</v>
      </c>
      <c r="C2158" s="2">
        <v>11</v>
      </c>
      <c r="D2158" s="2">
        <f t="shared" si="330"/>
        <v>27.94</v>
      </c>
      <c r="E2158" s="2">
        <f t="shared" si="331"/>
        <v>8.8935782199751117</v>
      </c>
      <c r="F2158" s="2">
        <f t="shared" si="332"/>
        <v>3.5014087480216975</v>
      </c>
      <c r="G2158" s="2">
        <v>12.561844000000001</v>
      </c>
      <c r="H2158" s="2">
        <f t="shared" si="333"/>
        <v>41.213400268960001</v>
      </c>
      <c r="I2158" s="2">
        <f>INDEX('Wood Density Lookup'!$B$2:$B$152,MATCH(B2158,'Wood Density Lookup'!$A$2:$A$152,0))</f>
        <v>0.78</v>
      </c>
      <c r="J2158" s="2">
        <f t="shared" si="334"/>
        <v>44.460351872510287</v>
      </c>
      <c r="K2158" s="2">
        <f t="shared" si="338"/>
        <v>12.448898524302882</v>
      </c>
      <c r="L2158" s="2">
        <f t="shared" si="339"/>
        <v>56.909250396813171</v>
      </c>
      <c r="M2158" s="2">
        <f t="shared" si="335"/>
        <v>41.25920653768955</v>
      </c>
      <c r="N2158" s="2">
        <f t="shared" si="336"/>
        <v>20.629603268844775</v>
      </c>
      <c r="O2158" s="2">
        <f t="shared" si="337"/>
        <v>75.710643996660323</v>
      </c>
      <c r="P2158" s="2">
        <v>72.552681000000007</v>
      </c>
      <c r="Q2158" s="2">
        <v>23.038755999999999</v>
      </c>
    </row>
    <row r="2159" spans="1:17" x14ac:dyDescent="0.25">
      <c r="A2159" s="2">
        <v>2340</v>
      </c>
      <c r="B2159" s="2" t="s">
        <v>15</v>
      </c>
      <c r="C2159" s="2">
        <v>170</v>
      </c>
      <c r="D2159" s="2">
        <f t="shared" si="330"/>
        <v>431.8</v>
      </c>
      <c r="E2159" s="2">
        <f t="shared" si="331"/>
        <v>137.44620885416083</v>
      </c>
      <c r="F2159" s="2">
        <f t="shared" si="332"/>
        <v>54.112680651244418</v>
      </c>
      <c r="G2159" s="2">
        <v>18.025653999999999</v>
      </c>
      <c r="H2159" s="2">
        <f t="shared" si="333"/>
        <v>59.139286669359997</v>
      </c>
      <c r="I2159" s="2">
        <f>INDEX('Wood Density Lookup'!$B$2:$B$152,MATCH(B2159,'Wood Density Lookup'!$A$2:$A$152,0))</f>
        <v>0.75</v>
      </c>
      <c r="J2159" s="2">
        <f t="shared" si="334"/>
        <v>12748.516812052314</v>
      </c>
      <c r="K2159" s="2">
        <f t="shared" si="338"/>
        <v>3569.5847073746481</v>
      </c>
      <c r="L2159" s="2">
        <f t="shared" si="339"/>
        <v>16318.101519426962</v>
      </c>
      <c r="M2159" s="2">
        <f t="shared" si="335"/>
        <v>11830.623601584548</v>
      </c>
      <c r="N2159" s="2">
        <f t="shared" si="336"/>
        <v>5915.311800792274</v>
      </c>
      <c r="O2159" s="2">
        <f t="shared" si="337"/>
        <v>21709.194308907645</v>
      </c>
      <c r="P2159" s="2">
        <v>72.552682000000004</v>
      </c>
      <c r="Q2159" s="2">
        <v>23.036791000000001</v>
      </c>
    </row>
    <row r="2160" spans="1:17" x14ac:dyDescent="0.25">
      <c r="A2160" s="2">
        <v>2341</v>
      </c>
      <c r="B2160" s="2" t="s">
        <v>8</v>
      </c>
      <c r="C2160" s="2">
        <v>3</v>
      </c>
      <c r="D2160" s="2">
        <f t="shared" si="330"/>
        <v>7.62</v>
      </c>
      <c r="E2160" s="2">
        <f t="shared" si="331"/>
        <v>2.4255213327204852</v>
      </c>
      <c r="F2160" s="2">
        <f t="shared" si="332"/>
        <v>0.95492965855137202</v>
      </c>
      <c r="G2160" s="2">
        <v>15.341077</v>
      </c>
      <c r="H2160" s="2">
        <f t="shared" si="333"/>
        <v>50.331619064679998</v>
      </c>
      <c r="I2160" s="2">
        <f>INDEX('Wood Density Lookup'!$B$2:$B$152,MATCH(B2160,'Wood Density Lookup'!$A$2:$A$152,0))</f>
        <v>0.75</v>
      </c>
      <c r="J2160" s="2">
        <f t="shared" si="334"/>
        <v>4.1172735206261795</v>
      </c>
      <c r="K2160" s="2">
        <f t="shared" si="338"/>
        <v>1.1528365857753304</v>
      </c>
      <c r="L2160" s="2">
        <f t="shared" si="339"/>
        <v>5.2701101064015097</v>
      </c>
      <c r="M2160" s="2">
        <f t="shared" si="335"/>
        <v>3.8208298271410945</v>
      </c>
      <c r="N2160" s="2">
        <f t="shared" si="336"/>
        <v>1.9104149135705473</v>
      </c>
      <c r="O2160" s="2">
        <f t="shared" si="337"/>
        <v>7.0112227328039083</v>
      </c>
      <c r="P2160" s="2">
        <v>72.552682000000004</v>
      </c>
      <c r="Q2160" s="2">
        <v>23.034977999999999</v>
      </c>
    </row>
    <row r="2161" spans="1:17" x14ac:dyDescent="0.25">
      <c r="A2161" s="2">
        <v>2342</v>
      </c>
      <c r="B2161" s="2" t="s">
        <v>135</v>
      </c>
      <c r="C2161" s="2">
        <v>23</v>
      </c>
      <c r="D2161" s="2">
        <f t="shared" si="330"/>
        <v>58.42</v>
      </c>
      <c r="E2161" s="2">
        <f t="shared" si="331"/>
        <v>18.595663550857051</v>
      </c>
      <c r="F2161" s="2">
        <f t="shared" si="332"/>
        <v>7.3211273822271856</v>
      </c>
      <c r="G2161" s="2">
        <v>8.3470379999999995</v>
      </c>
      <c r="H2161" s="2">
        <f t="shared" si="333"/>
        <v>27.385296151919999</v>
      </c>
      <c r="I2161" s="2">
        <f>INDEX('Wood Density Lookup'!$B$2:$B$152,MATCH(B2161,'Wood Density Lookup'!$A$2:$A$152,0))</f>
        <v>0.8</v>
      </c>
      <c r="J2161" s="2">
        <f t="shared" si="334"/>
        <v>129.04408543993353</v>
      </c>
      <c r="K2161" s="2">
        <f t="shared" si="338"/>
        <v>36.132343923181388</v>
      </c>
      <c r="L2161" s="2">
        <f t="shared" si="339"/>
        <v>165.17642936311492</v>
      </c>
      <c r="M2161" s="2">
        <f t="shared" si="335"/>
        <v>119.75291128825832</v>
      </c>
      <c r="N2161" s="2">
        <f t="shared" si="336"/>
        <v>59.876455644129159</v>
      </c>
      <c r="O2161" s="2">
        <f t="shared" si="337"/>
        <v>219.74659221395402</v>
      </c>
      <c r="P2161" s="2">
        <v>72.552684999999997</v>
      </c>
      <c r="Q2161" s="2">
        <v>23.034870000000002</v>
      </c>
    </row>
    <row r="2162" spans="1:17" x14ac:dyDescent="0.25">
      <c r="A2162" s="2">
        <v>2343</v>
      </c>
      <c r="B2162" s="2" t="s">
        <v>6</v>
      </c>
      <c r="C2162" s="2">
        <v>109</v>
      </c>
      <c r="D2162" s="2">
        <f t="shared" si="330"/>
        <v>276.86</v>
      </c>
      <c r="E2162" s="2">
        <f t="shared" si="331"/>
        <v>88.1272750888443</v>
      </c>
      <c r="F2162" s="2">
        <f t="shared" si="332"/>
        <v>34.695777594033181</v>
      </c>
      <c r="G2162" s="2">
        <v>10.223919</v>
      </c>
      <c r="H2162" s="2">
        <f t="shared" si="333"/>
        <v>33.543042411960002</v>
      </c>
      <c r="I2162" s="2">
        <f>INDEX('Wood Density Lookup'!$B$2:$B$152,MATCH(B2162,'Wood Density Lookup'!$A$2:$A$152,0))</f>
        <v>0.28000000000000003</v>
      </c>
      <c r="J2162" s="2">
        <f t="shared" si="334"/>
        <v>1176.7474683022244</v>
      </c>
      <c r="K2162" s="2">
        <f t="shared" si="338"/>
        <v>329.48929112462287</v>
      </c>
      <c r="L2162" s="2">
        <f t="shared" si="339"/>
        <v>1506.2367594268474</v>
      </c>
      <c r="M2162" s="2">
        <f t="shared" si="335"/>
        <v>1092.0216505844644</v>
      </c>
      <c r="N2162" s="2">
        <f t="shared" si="336"/>
        <v>546.0108252922322</v>
      </c>
      <c r="O2162" s="2">
        <f t="shared" si="337"/>
        <v>2003.8597288224921</v>
      </c>
      <c r="P2162" s="2">
        <v>72.552685999999994</v>
      </c>
      <c r="Q2162" s="2">
        <v>23.035475000000002</v>
      </c>
    </row>
    <row r="2163" spans="1:17" x14ac:dyDescent="0.25">
      <c r="A2163" s="2">
        <v>2344</v>
      </c>
      <c r="B2163" s="2" t="s">
        <v>15</v>
      </c>
      <c r="C2163" s="2">
        <v>12</v>
      </c>
      <c r="D2163" s="2">
        <f t="shared" si="330"/>
        <v>30.48</v>
      </c>
      <c r="E2163" s="2">
        <f t="shared" si="331"/>
        <v>9.7020853308819408</v>
      </c>
      <c r="F2163" s="2">
        <f t="shared" si="332"/>
        <v>3.8197186342054881</v>
      </c>
      <c r="G2163" s="2">
        <v>15.204060999999999</v>
      </c>
      <c r="H2163" s="2">
        <f t="shared" si="333"/>
        <v>49.882091491239997</v>
      </c>
      <c r="I2163" s="2">
        <f>INDEX('Wood Density Lookup'!$B$2:$B$152,MATCH(B2163,'Wood Density Lookup'!$A$2:$A$152,0))</f>
        <v>0.75</v>
      </c>
      <c r="J2163" s="2">
        <f t="shared" si="334"/>
        <v>61.098153577428839</v>
      </c>
      <c r="K2163" s="2">
        <f t="shared" si="338"/>
        <v>17.107483001680077</v>
      </c>
      <c r="L2163" s="2">
        <f t="shared" si="339"/>
        <v>78.205636579108912</v>
      </c>
      <c r="M2163" s="2">
        <f t="shared" si="335"/>
        <v>56.699086519853957</v>
      </c>
      <c r="N2163" s="2">
        <f t="shared" si="336"/>
        <v>28.349543259926978</v>
      </c>
      <c r="O2163" s="2">
        <f t="shared" si="337"/>
        <v>104.04282376393201</v>
      </c>
      <c r="P2163" s="2">
        <v>72.552685999999994</v>
      </c>
      <c r="Q2163" s="2">
        <v>23.034962</v>
      </c>
    </row>
    <row r="2164" spans="1:17" x14ac:dyDescent="0.25">
      <c r="A2164" s="2">
        <v>2345</v>
      </c>
      <c r="B2164" s="2" t="s">
        <v>50</v>
      </c>
      <c r="C2164" s="2">
        <v>2</v>
      </c>
      <c r="D2164" s="2">
        <f t="shared" si="330"/>
        <v>5.08</v>
      </c>
      <c r="E2164" s="2">
        <f t="shared" si="331"/>
        <v>1.6170142218136567</v>
      </c>
      <c r="F2164" s="2">
        <f t="shared" si="332"/>
        <v>0.63661977236758138</v>
      </c>
      <c r="G2164" s="2">
        <v>1.1475500000000001</v>
      </c>
      <c r="H2164" s="2">
        <f t="shared" si="333"/>
        <v>3.7649279420000004</v>
      </c>
      <c r="I2164" s="2">
        <f>INDEX('Wood Density Lookup'!$B$2:$B$152,MATCH(B2164,'Wood Density Lookup'!$A$2:$A$152,0))</f>
        <v>0.5</v>
      </c>
      <c r="J2164" s="2">
        <f t="shared" si="334"/>
        <v>9.9989938629272093E-2</v>
      </c>
      <c r="K2164" s="2">
        <f t="shared" si="338"/>
        <v>2.7997182816196189E-2</v>
      </c>
      <c r="L2164" s="2">
        <f t="shared" si="339"/>
        <v>0.12798712144546828</v>
      </c>
      <c r="M2164" s="2">
        <f t="shared" si="335"/>
        <v>9.2790663047964503E-2</v>
      </c>
      <c r="N2164" s="2">
        <f t="shared" si="336"/>
        <v>4.6395331523982251E-2</v>
      </c>
      <c r="O2164" s="2">
        <f t="shared" si="337"/>
        <v>0.17027086669301486</v>
      </c>
      <c r="P2164" s="2">
        <v>72.552688000000003</v>
      </c>
      <c r="Q2164" s="2">
        <v>23.037718000000002</v>
      </c>
    </row>
    <row r="2165" spans="1:17" x14ac:dyDescent="0.25">
      <c r="A2165" s="2">
        <v>2346</v>
      </c>
      <c r="B2165" s="2" t="s">
        <v>15</v>
      </c>
      <c r="C2165" s="2">
        <v>14</v>
      </c>
      <c r="D2165" s="2">
        <f t="shared" si="330"/>
        <v>35.56</v>
      </c>
      <c r="E2165" s="2">
        <f t="shared" si="331"/>
        <v>11.319099552695597</v>
      </c>
      <c r="F2165" s="2">
        <f t="shared" si="332"/>
        <v>4.45633840657307</v>
      </c>
      <c r="G2165" s="2">
        <v>13.747088</v>
      </c>
      <c r="H2165" s="2">
        <f t="shared" si="333"/>
        <v>45.101996193920002</v>
      </c>
      <c r="I2165" s="2">
        <f>INDEX('Wood Density Lookup'!$B$2:$B$152,MATCH(B2165,'Wood Density Lookup'!$A$2:$A$152,0))</f>
        <v>0.75</v>
      </c>
      <c r="J2165" s="2">
        <f t="shared" si="334"/>
        <v>74.818552533313962</v>
      </c>
      <c r="K2165" s="2">
        <f t="shared" si="338"/>
        <v>20.949194709327912</v>
      </c>
      <c r="L2165" s="2">
        <f t="shared" si="339"/>
        <v>95.767747242641875</v>
      </c>
      <c r="M2165" s="2">
        <f t="shared" si="335"/>
        <v>69.431616750915353</v>
      </c>
      <c r="N2165" s="2">
        <f t="shared" si="336"/>
        <v>34.715808375457677</v>
      </c>
      <c r="O2165" s="2">
        <f t="shared" si="337"/>
        <v>127.40701673792967</v>
      </c>
      <c r="P2165" s="2">
        <v>72.552689000000001</v>
      </c>
      <c r="Q2165" s="2">
        <v>23.034943999999999</v>
      </c>
    </row>
    <row r="2166" spans="1:17" x14ac:dyDescent="0.25">
      <c r="A2166" s="2">
        <v>2347</v>
      </c>
      <c r="B2166" s="2" t="s">
        <v>115</v>
      </c>
      <c r="C2166" s="2">
        <v>18</v>
      </c>
      <c r="D2166" s="2">
        <f t="shared" si="330"/>
        <v>45.72</v>
      </c>
      <c r="E2166" s="2">
        <f t="shared" si="331"/>
        <v>14.55312799632291</v>
      </c>
      <c r="F2166" s="2">
        <f t="shared" si="332"/>
        <v>5.7295779513082321</v>
      </c>
      <c r="G2166" s="2">
        <v>9.9960810000000002</v>
      </c>
      <c r="H2166" s="2">
        <f t="shared" si="333"/>
        <v>32.795542388039998</v>
      </c>
      <c r="I2166" s="2">
        <f>INDEX('Wood Density Lookup'!$B$2:$B$152,MATCH(B2166,'Wood Density Lookup'!$A$2:$A$152,0))</f>
        <v>0.65</v>
      </c>
      <c r="J2166" s="2">
        <f t="shared" si="334"/>
        <v>77.8651538158054</v>
      </c>
      <c r="K2166" s="2">
        <f t="shared" si="338"/>
        <v>21.802243068425515</v>
      </c>
      <c r="L2166" s="2">
        <f t="shared" si="339"/>
        <v>99.667396884230911</v>
      </c>
      <c r="M2166" s="2">
        <f t="shared" si="335"/>
        <v>72.258862741067404</v>
      </c>
      <c r="N2166" s="2">
        <f t="shared" si="336"/>
        <v>36.129431370533702</v>
      </c>
      <c r="O2166" s="2">
        <f t="shared" si="337"/>
        <v>132.59501312985867</v>
      </c>
      <c r="P2166" s="2">
        <v>72.552689999999998</v>
      </c>
      <c r="Q2166" s="2">
        <v>23.038699999999999</v>
      </c>
    </row>
    <row r="2167" spans="1:17" x14ac:dyDescent="0.25">
      <c r="A2167" s="2">
        <v>2348</v>
      </c>
      <c r="B2167" s="2" t="s">
        <v>31</v>
      </c>
      <c r="C2167" s="2">
        <v>6</v>
      </c>
      <c r="D2167" s="2">
        <f t="shared" si="330"/>
        <v>15.24</v>
      </c>
      <c r="E2167" s="2">
        <f t="shared" si="331"/>
        <v>4.8510426654409704</v>
      </c>
      <c r="F2167" s="2">
        <f t="shared" si="332"/>
        <v>1.909859317102744</v>
      </c>
      <c r="G2167" s="2">
        <v>13.297218000000001</v>
      </c>
      <c r="H2167" s="2">
        <f t="shared" si="333"/>
        <v>43.626044703120002</v>
      </c>
      <c r="I2167" s="2">
        <f>INDEX('Wood Density Lookup'!$B$2:$B$152,MATCH(B2167,'Wood Density Lookup'!$A$2:$A$152,0))</f>
        <v>0.78</v>
      </c>
      <c r="J2167" s="2">
        <f t="shared" si="334"/>
        <v>14.395940083233901</v>
      </c>
      <c r="K2167" s="2">
        <f t="shared" si="338"/>
        <v>4.0308632233054924</v>
      </c>
      <c r="L2167" s="2">
        <f t="shared" si="339"/>
        <v>18.426803306539394</v>
      </c>
      <c r="M2167" s="2">
        <f t="shared" si="335"/>
        <v>13.359432397241061</v>
      </c>
      <c r="N2167" s="2">
        <f t="shared" si="336"/>
        <v>6.6797161986205307</v>
      </c>
      <c r="O2167" s="2">
        <f t="shared" si="337"/>
        <v>24.514558448937347</v>
      </c>
      <c r="P2167" s="2">
        <v>72.552690999999996</v>
      </c>
      <c r="Q2167" s="2">
        <v>23.038786000000002</v>
      </c>
    </row>
    <row r="2168" spans="1:17" x14ac:dyDescent="0.25">
      <c r="A2168" s="2">
        <v>2349</v>
      </c>
      <c r="B2168" s="2" t="s">
        <v>115</v>
      </c>
      <c r="C2168" s="2">
        <v>12</v>
      </c>
      <c r="D2168" s="2">
        <f t="shared" si="330"/>
        <v>30.48</v>
      </c>
      <c r="E2168" s="2">
        <f t="shared" si="331"/>
        <v>9.7020853308819408</v>
      </c>
      <c r="F2168" s="2">
        <f t="shared" si="332"/>
        <v>3.8197186342054881</v>
      </c>
      <c r="G2168" s="2">
        <v>14.318879000000001</v>
      </c>
      <c r="H2168" s="2">
        <f t="shared" si="333"/>
        <v>46.977950978359999</v>
      </c>
      <c r="I2168" s="2">
        <f>INDEX('Wood Density Lookup'!$B$2:$B$152,MATCH(B2168,'Wood Density Lookup'!$A$2:$A$152,0))</f>
        <v>0.65</v>
      </c>
      <c r="J2168" s="2">
        <f t="shared" si="334"/>
        <v>50.112533389286362</v>
      </c>
      <c r="K2168" s="2">
        <f t="shared" si="338"/>
        <v>14.031509349000183</v>
      </c>
      <c r="L2168" s="2">
        <f t="shared" si="339"/>
        <v>64.144042738286544</v>
      </c>
      <c r="M2168" s="2">
        <f t="shared" si="335"/>
        <v>46.504430985257741</v>
      </c>
      <c r="N2168" s="2">
        <f t="shared" si="336"/>
        <v>23.252215492628871</v>
      </c>
      <c r="O2168" s="2">
        <f t="shared" si="337"/>
        <v>85.335630857947947</v>
      </c>
      <c r="P2168" s="2">
        <v>72.552700999999999</v>
      </c>
      <c r="Q2168" s="2">
        <v>23.038772999999999</v>
      </c>
    </row>
    <row r="2169" spans="1:17" x14ac:dyDescent="0.25">
      <c r="A2169" s="2">
        <v>2350</v>
      </c>
      <c r="B2169" s="2" t="s">
        <v>50</v>
      </c>
      <c r="C2169" s="2">
        <v>2</v>
      </c>
      <c r="D2169" s="2">
        <f t="shared" si="330"/>
        <v>5.08</v>
      </c>
      <c r="E2169" s="2">
        <f t="shared" si="331"/>
        <v>1.6170142218136567</v>
      </c>
      <c r="F2169" s="2">
        <f t="shared" si="332"/>
        <v>0.63661977236758138</v>
      </c>
      <c r="G2169" s="2">
        <v>1.1427849999999999</v>
      </c>
      <c r="H2169" s="2">
        <f t="shared" si="333"/>
        <v>3.7492947393999998</v>
      </c>
      <c r="I2169" s="2">
        <f>INDEX('Wood Density Lookup'!$B$2:$B$152,MATCH(B2169,'Wood Density Lookup'!$A$2:$A$152,0))</f>
        <v>0.5</v>
      </c>
      <c r="J2169" s="2">
        <f t="shared" si="334"/>
        <v>9.9584692311529999E-2</v>
      </c>
      <c r="K2169" s="2">
        <f t="shared" si="338"/>
        <v>2.7883713847228403E-2</v>
      </c>
      <c r="L2169" s="2">
        <f t="shared" si="339"/>
        <v>0.1274684061587584</v>
      </c>
      <c r="M2169" s="2">
        <f t="shared" si="335"/>
        <v>9.2414594465099836E-2</v>
      </c>
      <c r="N2169" s="2">
        <f t="shared" si="336"/>
        <v>4.6207297232549918E-2</v>
      </c>
      <c r="O2169" s="2">
        <f t="shared" si="337"/>
        <v>0.16958078084345821</v>
      </c>
      <c r="P2169" s="2">
        <v>72.552700999999999</v>
      </c>
      <c r="Q2169" s="2">
        <v>23.037717000000001</v>
      </c>
    </row>
    <row r="2170" spans="1:17" x14ac:dyDescent="0.25">
      <c r="A2170" s="2">
        <v>2351</v>
      </c>
      <c r="B2170" s="2" t="s">
        <v>143</v>
      </c>
      <c r="C2170" s="2">
        <v>6</v>
      </c>
      <c r="D2170" s="2">
        <f t="shared" si="330"/>
        <v>15.24</v>
      </c>
      <c r="E2170" s="2">
        <f t="shared" si="331"/>
        <v>4.8510426654409704</v>
      </c>
      <c r="F2170" s="2">
        <f t="shared" si="332"/>
        <v>1.909859317102744</v>
      </c>
      <c r="G2170" s="2">
        <v>3.1411579999999999</v>
      </c>
      <c r="H2170" s="2">
        <f t="shared" si="333"/>
        <v>10.30563681272</v>
      </c>
      <c r="I2170" s="2">
        <f>INDEX('Wood Density Lookup'!$B$2:$B$152,MATCH(B2170,'Wood Density Lookup'!$A$2:$A$152,0))</f>
        <v>0.75</v>
      </c>
      <c r="J2170" s="2">
        <f t="shared" si="334"/>
        <v>3.388321320665876</v>
      </c>
      <c r="K2170" s="2">
        <f t="shared" si="338"/>
        <v>0.94872996978644542</v>
      </c>
      <c r="L2170" s="2">
        <f t="shared" si="339"/>
        <v>4.3370512904523215</v>
      </c>
      <c r="M2170" s="2">
        <f t="shared" si="335"/>
        <v>3.1443621855779331</v>
      </c>
      <c r="N2170" s="2">
        <f t="shared" si="336"/>
        <v>1.5721810927889666</v>
      </c>
      <c r="O2170" s="2">
        <f t="shared" si="337"/>
        <v>5.769904610535507</v>
      </c>
      <c r="P2170" s="2">
        <v>72.552704000000006</v>
      </c>
      <c r="Q2170" s="2">
        <v>23.038207</v>
      </c>
    </row>
    <row r="2171" spans="1:17" x14ac:dyDescent="0.25">
      <c r="A2171" s="2">
        <v>2352</v>
      </c>
      <c r="B2171" s="2" t="s">
        <v>138</v>
      </c>
      <c r="C2171" s="2">
        <v>5</v>
      </c>
      <c r="D2171" s="2">
        <f t="shared" si="330"/>
        <v>12.7</v>
      </c>
      <c r="E2171" s="2">
        <f t="shared" si="331"/>
        <v>4.0425355545341413</v>
      </c>
      <c r="F2171" s="2">
        <f t="shared" si="332"/>
        <v>1.5915494309189535</v>
      </c>
      <c r="G2171" s="2">
        <v>5.8450610000000003</v>
      </c>
      <c r="H2171" s="2">
        <f t="shared" si="333"/>
        <v>19.176709931240001</v>
      </c>
      <c r="I2171" s="2">
        <f>INDEX('Wood Density Lookup'!$B$2:$B$152,MATCH(B2171,'Wood Density Lookup'!$A$2:$A$152,0))</f>
        <v>0.5</v>
      </c>
      <c r="J2171" s="2">
        <f t="shared" si="334"/>
        <v>2.9294373266445977</v>
      </c>
      <c r="K2171" s="2">
        <f t="shared" si="338"/>
        <v>0.82024245146048747</v>
      </c>
      <c r="L2171" s="2">
        <f t="shared" si="339"/>
        <v>3.7496797781050852</v>
      </c>
      <c r="M2171" s="2">
        <f t="shared" si="335"/>
        <v>2.7185178391261866</v>
      </c>
      <c r="N2171" s="2">
        <f t="shared" si="336"/>
        <v>1.3592589195630933</v>
      </c>
      <c r="O2171" s="2">
        <f t="shared" si="337"/>
        <v>4.988480234796552</v>
      </c>
      <c r="P2171" s="2">
        <v>72.552704000000006</v>
      </c>
      <c r="Q2171" s="2">
        <v>23.035516000000001</v>
      </c>
    </row>
    <row r="2172" spans="1:17" x14ac:dyDescent="0.25">
      <c r="A2172" s="2">
        <v>2353</v>
      </c>
      <c r="B2172" s="2" t="s">
        <v>94</v>
      </c>
      <c r="C2172" s="2">
        <v>9</v>
      </c>
      <c r="D2172" s="2">
        <f t="shared" si="330"/>
        <v>22.86</v>
      </c>
      <c r="E2172" s="2">
        <f t="shared" si="331"/>
        <v>7.2765639981614552</v>
      </c>
      <c r="F2172" s="2">
        <f t="shared" si="332"/>
        <v>2.8647889756541161</v>
      </c>
      <c r="G2172" s="2">
        <v>6.2801809999999998</v>
      </c>
      <c r="H2172" s="2">
        <f t="shared" si="333"/>
        <v>20.604269032039998</v>
      </c>
      <c r="I2172" s="2">
        <f>INDEX('Wood Density Lookup'!$B$2:$B$152,MATCH(B2172,'Wood Density Lookup'!$A$2:$A$152,0))</f>
        <v>0.65</v>
      </c>
      <c r="J2172" s="2">
        <f t="shared" si="334"/>
        <v>12.785554590199927</v>
      </c>
      <c r="K2172" s="2">
        <f t="shared" si="338"/>
        <v>3.5799552852559802</v>
      </c>
      <c r="L2172" s="2">
        <f t="shared" si="339"/>
        <v>16.365509875455906</v>
      </c>
      <c r="M2172" s="2">
        <f t="shared" si="335"/>
        <v>11.864994659705532</v>
      </c>
      <c r="N2172" s="2">
        <f t="shared" si="336"/>
        <v>5.9324973298527661</v>
      </c>
      <c r="O2172" s="2">
        <f t="shared" si="337"/>
        <v>21.772265200559652</v>
      </c>
      <c r="P2172" s="2">
        <v>72.552706999999998</v>
      </c>
      <c r="Q2172" s="2">
        <v>23.035533000000001</v>
      </c>
    </row>
    <row r="2173" spans="1:17" x14ac:dyDescent="0.25">
      <c r="A2173" s="2">
        <v>2354</v>
      </c>
      <c r="B2173" s="2" t="s">
        <v>50</v>
      </c>
      <c r="C2173" s="2">
        <v>2</v>
      </c>
      <c r="D2173" s="2">
        <f t="shared" si="330"/>
        <v>5.08</v>
      </c>
      <c r="E2173" s="2">
        <f t="shared" si="331"/>
        <v>1.6170142218136567</v>
      </c>
      <c r="F2173" s="2">
        <f t="shared" si="332"/>
        <v>0.63661977236758138</v>
      </c>
      <c r="G2173" s="2">
        <v>4.0162589999999998</v>
      </c>
      <c r="H2173" s="2">
        <f t="shared" si="333"/>
        <v>13.176703177559999</v>
      </c>
      <c r="I2173" s="2">
        <f>INDEX('Wood Density Lookup'!$B$2:$B$152,MATCH(B2173,'Wood Density Lookup'!$A$2:$A$152,0))</f>
        <v>0.5</v>
      </c>
      <c r="J2173" s="2">
        <f t="shared" si="334"/>
        <v>0.33958554382061096</v>
      </c>
      <c r="K2173" s="2">
        <f t="shared" si="338"/>
        <v>9.508395226977108E-2</v>
      </c>
      <c r="L2173" s="2">
        <f t="shared" si="339"/>
        <v>0.43466949609038202</v>
      </c>
      <c r="M2173" s="2">
        <f t="shared" si="335"/>
        <v>0.31513538466552699</v>
      </c>
      <c r="N2173" s="2">
        <f t="shared" si="336"/>
        <v>0.15756769233276349</v>
      </c>
      <c r="O2173" s="2">
        <f t="shared" si="337"/>
        <v>0.57827343086124205</v>
      </c>
      <c r="P2173" s="2">
        <v>72.552706999999998</v>
      </c>
      <c r="Q2173" s="2">
        <v>23.037804000000001</v>
      </c>
    </row>
    <row r="2174" spans="1:17" x14ac:dyDescent="0.25">
      <c r="A2174" s="2">
        <v>2355</v>
      </c>
      <c r="B2174" s="2" t="s">
        <v>67</v>
      </c>
      <c r="C2174" s="2">
        <v>38</v>
      </c>
      <c r="D2174" s="2">
        <f t="shared" si="330"/>
        <v>96.52</v>
      </c>
      <c r="E2174" s="2">
        <f t="shared" si="331"/>
        <v>30.723270214459475</v>
      </c>
      <c r="F2174" s="2">
        <f t="shared" si="332"/>
        <v>12.095775674984045</v>
      </c>
      <c r="G2174" s="2">
        <v>10.702676</v>
      </c>
      <c r="H2174" s="2">
        <f t="shared" si="333"/>
        <v>35.113767527840004</v>
      </c>
      <c r="I2174" s="2">
        <f>INDEX('Wood Density Lookup'!$B$2:$B$152,MATCH(B2174,'Wood Density Lookup'!$A$2:$A$152,0))</f>
        <v>1.28</v>
      </c>
      <c r="J2174" s="2">
        <f t="shared" si="334"/>
        <v>693.38269685432351</v>
      </c>
      <c r="K2174" s="2">
        <f t="shared" si="338"/>
        <v>194.14715511921059</v>
      </c>
      <c r="L2174" s="2">
        <f t="shared" si="339"/>
        <v>887.52985197353405</v>
      </c>
      <c r="M2174" s="2">
        <f t="shared" si="335"/>
        <v>643.45914268081219</v>
      </c>
      <c r="N2174" s="2">
        <f t="shared" si="336"/>
        <v>321.7295713404061</v>
      </c>
      <c r="O2174" s="2">
        <f t="shared" si="337"/>
        <v>1180.7475268192904</v>
      </c>
      <c r="P2174" s="2">
        <v>72.552708999999993</v>
      </c>
      <c r="Q2174" s="2">
        <v>23.035350999999999</v>
      </c>
    </row>
    <row r="2175" spans="1:17" x14ac:dyDescent="0.25">
      <c r="A2175" s="2">
        <v>2356</v>
      </c>
      <c r="B2175" s="2" t="s">
        <v>107</v>
      </c>
      <c r="C2175" s="2">
        <v>4</v>
      </c>
      <c r="D2175" s="2">
        <f t="shared" si="330"/>
        <v>10.16</v>
      </c>
      <c r="E2175" s="2">
        <f t="shared" si="331"/>
        <v>3.2340284436273135</v>
      </c>
      <c r="F2175" s="2">
        <f t="shared" si="332"/>
        <v>1.2732395447351628</v>
      </c>
      <c r="G2175" s="2">
        <v>1.003088</v>
      </c>
      <c r="H2175" s="2">
        <f t="shared" si="333"/>
        <v>3.2909712339200001</v>
      </c>
      <c r="I2175" s="2">
        <f>INDEX('Wood Density Lookup'!$B$2:$B$152,MATCH(B2175,'Wood Density Lookup'!$A$2:$A$152,0))</f>
        <v>0.65</v>
      </c>
      <c r="J2175" s="2">
        <f t="shared" si="334"/>
        <v>0.43827365419918413</v>
      </c>
      <c r="K2175" s="2">
        <f t="shared" si="338"/>
        <v>0.12271662317577156</v>
      </c>
      <c r="L2175" s="2">
        <f t="shared" si="339"/>
        <v>0.56099027737495566</v>
      </c>
      <c r="M2175" s="2">
        <f t="shared" si="335"/>
        <v>0.40671795109684283</v>
      </c>
      <c r="N2175" s="2">
        <f t="shared" si="336"/>
        <v>0.20335897554842142</v>
      </c>
      <c r="O2175" s="2">
        <f t="shared" si="337"/>
        <v>0.74632744026270659</v>
      </c>
      <c r="P2175" s="2">
        <v>72.552708999999993</v>
      </c>
      <c r="Q2175" s="2">
        <v>23.038173</v>
      </c>
    </row>
    <row r="2176" spans="1:17" x14ac:dyDescent="0.25">
      <c r="A2176" s="2">
        <v>2357</v>
      </c>
      <c r="B2176" s="2" t="s">
        <v>31</v>
      </c>
      <c r="C2176" s="2">
        <v>8</v>
      </c>
      <c r="D2176" s="2">
        <f t="shared" si="330"/>
        <v>20.32</v>
      </c>
      <c r="E2176" s="2">
        <f t="shared" si="331"/>
        <v>6.4680568872546269</v>
      </c>
      <c r="F2176" s="2">
        <f t="shared" si="332"/>
        <v>2.5464790894703255</v>
      </c>
      <c r="G2176" s="2">
        <v>3.0033639999999999</v>
      </c>
      <c r="H2176" s="2">
        <f t="shared" si="333"/>
        <v>9.8535567457599988</v>
      </c>
      <c r="I2176" s="2">
        <f>INDEX('Wood Density Lookup'!$B$2:$B$152,MATCH(B2176,'Wood Density Lookup'!$A$2:$A$152,0))</f>
        <v>0.78</v>
      </c>
      <c r="J2176" s="2">
        <f t="shared" si="334"/>
        <v>5.9084735251041076</v>
      </c>
      <c r="K2176" s="2">
        <f t="shared" si="338"/>
        <v>1.6543725870291504</v>
      </c>
      <c r="L2176" s="2">
        <f t="shared" si="339"/>
        <v>7.5628461121332577</v>
      </c>
      <c r="M2176" s="2">
        <f t="shared" si="335"/>
        <v>5.4830634312966113</v>
      </c>
      <c r="N2176" s="2">
        <f t="shared" si="336"/>
        <v>2.7415317156483057</v>
      </c>
      <c r="O2176" s="2">
        <f t="shared" si="337"/>
        <v>10.061421396429282</v>
      </c>
      <c r="P2176" s="2">
        <v>72.552712</v>
      </c>
      <c r="Q2176" s="2">
        <v>23.038093</v>
      </c>
    </row>
    <row r="2177" spans="1:17" x14ac:dyDescent="0.25">
      <c r="A2177" s="2">
        <v>2358</v>
      </c>
      <c r="B2177" s="2" t="s">
        <v>96</v>
      </c>
      <c r="C2177" s="2">
        <v>3</v>
      </c>
      <c r="D2177" s="2">
        <f t="shared" ref="D2177:D2240" si="340">C2177*2.54</f>
        <v>7.62</v>
      </c>
      <c r="E2177" s="2">
        <f t="shared" ref="E2177:E2240" si="341">D2177/PI()</f>
        <v>2.4255213327204852</v>
      </c>
      <c r="F2177" s="2">
        <f t="shared" ref="F2177:F2240" si="342">C2177/PI()</f>
        <v>0.95492965855137202</v>
      </c>
      <c r="G2177" s="2">
        <v>10.881659000000001</v>
      </c>
      <c r="H2177" s="2">
        <f t="shared" ref="H2177:H2240" si="343">G2177*3.28084</f>
        <v>35.700982113560002</v>
      </c>
      <c r="I2177" s="2">
        <f>INDEX('Wood Density Lookup'!$B$2:$B$152,MATCH(B2177,'Wood Density Lookup'!$A$2:$A$152,0))</f>
        <v>0.65</v>
      </c>
      <c r="J2177" s="2">
        <f t="shared" ref="J2177:J2240" si="344">0.0673*POWER(I2177*E2177^2*G2177,0.976)</f>
        <v>2.5607812568295727</v>
      </c>
      <c r="K2177" s="2">
        <f t="shared" si="338"/>
        <v>0.71701875191228037</v>
      </c>
      <c r="L2177" s="2">
        <f t="shared" si="339"/>
        <v>3.2778000087418531</v>
      </c>
      <c r="M2177" s="2">
        <f t="shared" ref="M2177:M2240" si="345">0.725*L2177</f>
        <v>2.3764050063378432</v>
      </c>
      <c r="N2177" s="2">
        <f t="shared" ref="N2177:N2240" si="346">0.5*M2177</f>
        <v>1.1882025031689216</v>
      </c>
      <c r="O2177" s="2">
        <f t="shared" ref="O2177:O2240" si="347">3.67*N2177</f>
        <v>4.3607031866299426</v>
      </c>
      <c r="P2177" s="2">
        <v>72.552716000000004</v>
      </c>
      <c r="Q2177" s="2">
        <v>23.035658000000002</v>
      </c>
    </row>
    <row r="2178" spans="1:17" x14ac:dyDescent="0.25">
      <c r="A2178" s="2">
        <v>2359</v>
      </c>
      <c r="B2178" s="2" t="s">
        <v>50</v>
      </c>
      <c r="C2178" s="2">
        <v>3</v>
      </c>
      <c r="D2178" s="2">
        <f t="shared" si="340"/>
        <v>7.62</v>
      </c>
      <c r="E2178" s="2">
        <f t="shared" si="341"/>
        <v>2.4255213327204852</v>
      </c>
      <c r="F2178" s="2">
        <f t="shared" si="342"/>
        <v>0.95492965855137202</v>
      </c>
      <c r="G2178" s="2">
        <v>1.150987</v>
      </c>
      <c r="H2178" s="2">
        <f t="shared" si="343"/>
        <v>3.77620418908</v>
      </c>
      <c r="I2178" s="2">
        <f>INDEX('Wood Density Lookup'!$B$2:$B$152,MATCH(B2178,'Wood Density Lookup'!$A$2:$A$152,0))</f>
        <v>0.5</v>
      </c>
      <c r="J2178" s="2">
        <f t="shared" si="344"/>
        <v>0.22128606671492776</v>
      </c>
      <c r="K2178" s="2">
        <f t="shared" si="338"/>
        <v>6.1960098680179779E-2</v>
      </c>
      <c r="L2178" s="2">
        <f t="shared" si="339"/>
        <v>0.28324616539510755</v>
      </c>
      <c r="M2178" s="2">
        <f t="shared" si="345"/>
        <v>0.20535346991145298</v>
      </c>
      <c r="N2178" s="2">
        <f t="shared" si="346"/>
        <v>0.10267673495572649</v>
      </c>
      <c r="O2178" s="2">
        <f t="shared" si="347"/>
        <v>0.37682361728751623</v>
      </c>
      <c r="P2178" s="2">
        <v>72.552716000000004</v>
      </c>
      <c r="Q2178" s="2">
        <v>23.037718999999999</v>
      </c>
    </row>
    <row r="2179" spans="1:17" x14ac:dyDescent="0.25">
      <c r="A2179" s="2">
        <v>2360</v>
      </c>
      <c r="B2179" s="2" t="s">
        <v>139</v>
      </c>
      <c r="C2179" s="2">
        <v>8</v>
      </c>
      <c r="D2179" s="2">
        <f t="shared" si="340"/>
        <v>20.32</v>
      </c>
      <c r="E2179" s="2">
        <f t="shared" si="341"/>
        <v>6.4680568872546269</v>
      </c>
      <c r="F2179" s="2">
        <f t="shared" si="342"/>
        <v>2.5464790894703255</v>
      </c>
      <c r="G2179" s="2">
        <v>6.0108889999999997</v>
      </c>
      <c r="H2179" s="2">
        <f t="shared" si="343"/>
        <v>19.720765066759999</v>
      </c>
      <c r="I2179" s="2">
        <f>INDEX('Wood Density Lookup'!$B$2:$B$152,MATCH(B2179,'Wood Density Lookup'!$A$2:$A$152,0))</f>
        <v>0.9</v>
      </c>
      <c r="J2179" s="2">
        <f t="shared" si="344"/>
        <v>13.373049450819289</v>
      </c>
      <c r="K2179" s="2">
        <f t="shared" ref="K2179:K2242" si="348">0.28*J2179</f>
        <v>3.7444538462294013</v>
      </c>
      <c r="L2179" s="2">
        <f t="shared" ref="L2179:L2242" si="349">J2179+K2179</f>
        <v>17.117503297048692</v>
      </c>
      <c r="M2179" s="2">
        <f t="shared" si="345"/>
        <v>12.410189890360302</v>
      </c>
      <c r="N2179" s="2">
        <f t="shared" si="346"/>
        <v>6.2050949451801509</v>
      </c>
      <c r="O2179" s="2">
        <f t="shared" si="347"/>
        <v>22.772698448811152</v>
      </c>
      <c r="P2179" s="2">
        <v>72.552727000000004</v>
      </c>
      <c r="Q2179" s="2">
        <v>23.037841</v>
      </c>
    </row>
    <row r="2180" spans="1:17" x14ac:dyDescent="0.25">
      <c r="A2180" s="2">
        <v>2361</v>
      </c>
      <c r="B2180" s="2" t="s">
        <v>102</v>
      </c>
      <c r="C2180" s="2">
        <v>2</v>
      </c>
      <c r="D2180" s="2">
        <f t="shared" si="340"/>
        <v>5.08</v>
      </c>
      <c r="E2180" s="2">
        <f t="shared" si="341"/>
        <v>1.6170142218136567</v>
      </c>
      <c r="F2180" s="2">
        <f t="shared" si="342"/>
        <v>0.63661977236758138</v>
      </c>
      <c r="G2180" s="2">
        <v>1.0442929999999999</v>
      </c>
      <c r="H2180" s="2">
        <f t="shared" si="343"/>
        <v>3.4261582461199995</v>
      </c>
      <c r="I2180" s="2">
        <f>INDEX('Wood Density Lookup'!$B$2:$B$152,MATCH(B2180,'Wood Density Lookup'!$A$2:$A$152,0))</f>
        <v>0.45</v>
      </c>
      <c r="J2180" s="2">
        <f t="shared" si="344"/>
        <v>8.2286866124264543E-2</v>
      </c>
      <c r="K2180" s="2">
        <f t="shared" si="348"/>
        <v>2.3040322514794074E-2</v>
      </c>
      <c r="L2180" s="2">
        <f t="shared" si="349"/>
        <v>0.10532718863905861</v>
      </c>
      <c r="M2180" s="2">
        <f t="shared" si="345"/>
        <v>7.6362211763317492E-2</v>
      </c>
      <c r="N2180" s="2">
        <f t="shared" si="346"/>
        <v>3.8181105881658746E-2</v>
      </c>
      <c r="O2180" s="2">
        <f t="shared" si="347"/>
        <v>0.14012465858568759</v>
      </c>
      <c r="P2180" s="2">
        <v>72.552728000000002</v>
      </c>
      <c r="Q2180" s="2">
        <v>23.037172999999999</v>
      </c>
    </row>
    <row r="2181" spans="1:17" x14ac:dyDescent="0.25">
      <c r="A2181" s="2">
        <v>2362</v>
      </c>
      <c r="B2181" s="2" t="s">
        <v>150</v>
      </c>
      <c r="C2181" s="2">
        <v>26</v>
      </c>
      <c r="D2181" s="2">
        <f t="shared" si="340"/>
        <v>66.040000000000006</v>
      </c>
      <c r="E2181" s="2">
        <f t="shared" si="341"/>
        <v>21.02118488357754</v>
      </c>
      <c r="F2181" s="2">
        <f t="shared" si="342"/>
        <v>8.2760570407785572</v>
      </c>
      <c r="G2181" s="2">
        <v>6.4522440000000003</v>
      </c>
      <c r="H2181" s="2">
        <f t="shared" si="343"/>
        <v>21.168780204960001</v>
      </c>
      <c r="I2181" s="2">
        <f>INDEX('Wood Density Lookup'!$B$2:$B$152,MATCH(B2181,'Wood Density Lookup'!$A$2:$A$152,0))</f>
        <v>0.65</v>
      </c>
      <c r="J2181" s="2">
        <f t="shared" si="344"/>
        <v>104.11733960883214</v>
      </c>
      <c r="K2181" s="2">
        <f t="shared" si="348"/>
        <v>29.152855090473</v>
      </c>
      <c r="L2181" s="2">
        <f t="shared" si="349"/>
        <v>133.27019469930514</v>
      </c>
      <c r="M2181" s="2">
        <f t="shared" si="345"/>
        <v>96.620891156996223</v>
      </c>
      <c r="N2181" s="2">
        <f t="shared" si="346"/>
        <v>48.310445578498111</v>
      </c>
      <c r="O2181" s="2">
        <f t="shared" si="347"/>
        <v>177.29933527308808</v>
      </c>
      <c r="P2181" s="2">
        <v>72.552728999999999</v>
      </c>
      <c r="Q2181" s="2">
        <v>23.035533999999998</v>
      </c>
    </row>
    <row r="2182" spans="1:17" x14ac:dyDescent="0.25">
      <c r="A2182" s="2">
        <v>2363</v>
      </c>
      <c r="B2182" s="2" t="s">
        <v>59</v>
      </c>
      <c r="C2182" s="2">
        <v>32</v>
      </c>
      <c r="D2182" s="2">
        <f t="shared" si="340"/>
        <v>81.28</v>
      </c>
      <c r="E2182" s="2">
        <f t="shared" si="341"/>
        <v>25.872227549018508</v>
      </c>
      <c r="F2182" s="2">
        <f t="shared" si="342"/>
        <v>10.185916357881302</v>
      </c>
      <c r="G2182" s="2">
        <v>2.1117750000000002</v>
      </c>
      <c r="H2182" s="2">
        <f t="shared" si="343"/>
        <v>6.928395891000001</v>
      </c>
      <c r="I2182" s="2">
        <f>INDEX('Wood Density Lookup'!$B$2:$B$152,MATCH(B2182,'Wood Density Lookup'!$A$2:$A$152,0))</f>
        <v>0.45</v>
      </c>
      <c r="J2182" s="2">
        <f t="shared" si="344"/>
        <v>36.665549617044441</v>
      </c>
      <c r="K2182" s="2">
        <f t="shared" si="348"/>
        <v>10.266353892772445</v>
      </c>
      <c r="L2182" s="2">
        <f t="shared" si="349"/>
        <v>46.931903509816884</v>
      </c>
      <c r="M2182" s="2">
        <f t="shared" si="345"/>
        <v>34.025630044617238</v>
      </c>
      <c r="N2182" s="2">
        <f t="shared" si="346"/>
        <v>17.012815022308619</v>
      </c>
      <c r="O2182" s="2">
        <f t="shared" si="347"/>
        <v>62.437031131872629</v>
      </c>
      <c r="P2182" s="2">
        <v>72.552730999999994</v>
      </c>
      <c r="Q2182" s="2">
        <v>23.036660999999999</v>
      </c>
    </row>
    <row r="2183" spans="1:17" x14ac:dyDescent="0.25">
      <c r="A2183" s="2">
        <v>2364</v>
      </c>
      <c r="B2183" s="2" t="s">
        <v>15</v>
      </c>
      <c r="C2183" s="2">
        <v>132</v>
      </c>
      <c r="D2183" s="2">
        <f t="shared" si="340"/>
        <v>335.28000000000003</v>
      </c>
      <c r="E2183" s="2">
        <f t="shared" si="341"/>
        <v>106.72293863970135</v>
      </c>
      <c r="F2183" s="2">
        <f t="shared" si="342"/>
        <v>42.016904976260371</v>
      </c>
      <c r="G2183" s="2">
        <v>12.655887999999999</v>
      </c>
      <c r="H2183" s="2">
        <f t="shared" si="343"/>
        <v>41.521943585919999</v>
      </c>
      <c r="I2183" s="2">
        <f>INDEX('Wood Density Lookup'!$B$2:$B$152,MATCH(B2183,'Wood Density Lookup'!$A$2:$A$152,0))</f>
        <v>0.75</v>
      </c>
      <c r="J2183" s="2">
        <f t="shared" si="344"/>
        <v>5508.985562688491</v>
      </c>
      <c r="K2183" s="2">
        <f t="shared" si="348"/>
        <v>1542.5159575527775</v>
      </c>
      <c r="L2183" s="2">
        <f t="shared" si="349"/>
        <v>7051.5015202412687</v>
      </c>
      <c r="M2183" s="2">
        <f t="shared" si="345"/>
        <v>5112.3386021749193</v>
      </c>
      <c r="N2183" s="2">
        <f t="shared" si="346"/>
        <v>2556.1693010874596</v>
      </c>
      <c r="O2183" s="2">
        <f t="shared" si="347"/>
        <v>9381.1413349909762</v>
      </c>
      <c r="P2183" s="2">
        <v>72.552733000000003</v>
      </c>
      <c r="Q2183" s="2">
        <v>23.038786000000002</v>
      </c>
    </row>
    <row r="2184" spans="1:17" x14ac:dyDescent="0.25">
      <c r="A2184" s="2">
        <v>2365</v>
      </c>
      <c r="B2184" s="2" t="s">
        <v>94</v>
      </c>
      <c r="C2184" s="2">
        <v>27</v>
      </c>
      <c r="D2184" s="2">
        <f t="shared" si="340"/>
        <v>68.58</v>
      </c>
      <c r="E2184" s="2">
        <f t="shared" si="341"/>
        <v>21.829691994484364</v>
      </c>
      <c r="F2184" s="2">
        <f t="shared" si="342"/>
        <v>8.5943669269623477</v>
      </c>
      <c r="G2184" s="2">
        <v>13.41741</v>
      </c>
      <c r="H2184" s="2">
        <f t="shared" si="343"/>
        <v>44.020375424400001</v>
      </c>
      <c r="I2184" s="2">
        <f>INDEX('Wood Density Lookup'!$B$2:$B$152,MATCH(B2184,'Wood Density Lookup'!$A$2:$A$152,0))</f>
        <v>0.65</v>
      </c>
      <c r="J2184" s="2">
        <f t="shared" si="344"/>
        <v>229.00453012579317</v>
      </c>
      <c r="K2184" s="2">
        <f t="shared" si="348"/>
        <v>64.121268435222092</v>
      </c>
      <c r="L2184" s="2">
        <f t="shared" si="349"/>
        <v>293.12579856101524</v>
      </c>
      <c r="M2184" s="2">
        <f t="shared" si="345"/>
        <v>212.51620395673604</v>
      </c>
      <c r="N2184" s="2">
        <f t="shared" si="346"/>
        <v>106.25810197836802</v>
      </c>
      <c r="O2184" s="2">
        <f t="shared" si="347"/>
        <v>389.96723426061061</v>
      </c>
      <c r="P2184" s="2">
        <v>72.552733000000003</v>
      </c>
      <c r="Q2184" s="2">
        <v>23.035596000000002</v>
      </c>
    </row>
    <row r="2185" spans="1:17" x14ac:dyDescent="0.25">
      <c r="A2185" s="2">
        <v>2366</v>
      </c>
      <c r="B2185" s="2" t="s">
        <v>13</v>
      </c>
      <c r="C2185" s="2">
        <v>4</v>
      </c>
      <c r="D2185" s="2">
        <f t="shared" si="340"/>
        <v>10.16</v>
      </c>
      <c r="E2185" s="2">
        <f t="shared" si="341"/>
        <v>3.2340284436273135</v>
      </c>
      <c r="F2185" s="2">
        <f t="shared" si="342"/>
        <v>1.2732395447351628</v>
      </c>
      <c r="G2185" s="2">
        <v>14.66117</v>
      </c>
      <c r="H2185" s="2">
        <f t="shared" si="343"/>
        <v>48.100952982800003</v>
      </c>
      <c r="I2185" s="2">
        <f>INDEX('Wood Density Lookup'!$B$2:$B$152,MATCH(B2185,'Wood Density Lookup'!$A$2:$A$152,0))</f>
        <v>0.46</v>
      </c>
      <c r="J2185" s="2">
        <f t="shared" si="344"/>
        <v>4.2861489247529923</v>
      </c>
      <c r="K2185" s="2">
        <f t="shared" si="348"/>
        <v>1.2001216989308379</v>
      </c>
      <c r="L2185" s="2">
        <f t="shared" si="349"/>
        <v>5.4862706236838301</v>
      </c>
      <c r="M2185" s="2">
        <f t="shared" si="345"/>
        <v>3.9775462021707768</v>
      </c>
      <c r="N2185" s="2">
        <f t="shared" si="346"/>
        <v>1.9887731010853884</v>
      </c>
      <c r="O2185" s="2">
        <f t="shared" si="347"/>
        <v>7.2987972809833757</v>
      </c>
      <c r="P2185" s="2">
        <v>72.552733000000003</v>
      </c>
      <c r="Q2185" s="2">
        <v>23.034963000000001</v>
      </c>
    </row>
    <row r="2186" spans="1:17" x14ac:dyDescent="0.25">
      <c r="A2186" s="2">
        <v>2367</v>
      </c>
      <c r="B2186" s="2" t="s">
        <v>66</v>
      </c>
      <c r="C2186" s="2">
        <v>36</v>
      </c>
      <c r="D2186" s="2">
        <f t="shared" si="340"/>
        <v>91.44</v>
      </c>
      <c r="E2186" s="2">
        <f t="shared" si="341"/>
        <v>29.106255992645821</v>
      </c>
      <c r="F2186" s="2">
        <f t="shared" si="342"/>
        <v>11.459155902616464</v>
      </c>
      <c r="G2186" s="2">
        <v>14.274057000000001</v>
      </c>
      <c r="H2186" s="2">
        <f t="shared" si="343"/>
        <v>46.830897167880003</v>
      </c>
      <c r="I2186" s="2">
        <f>INDEX('Wood Density Lookup'!$B$2:$B$152,MATCH(B2186,'Wood Density Lookup'!$A$2:$A$152,0))</f>
        <v>0.5</v>
      </c>
      <c r="J2186" s="2">
        <f t="shared" si="344"/>
        <v>330.17898013031908</v>
      </c>
      <c r="K2186" s="2">
        <f t="shared" si="348"/>
        <v>92.450114436489343</v>
      </c>
      <c r="L2186" s="2">
        <f t="shared" si="349"/>
        <v>422.62909456680842</v>
      </c>
      <c r="M2186" s="2">
        <f t="shared" si="345"/>
        <v>306.40609356093609</v>
      </c>
      <c r="N2186" s="2">
        <f t="shared" si="346"/>
        <v>153.20304678046804</v>
      </c>
      <c r="O2186" s="2">
        <f t="shared" si="347"/>
        <v>562.25518168431768</v>
      </c>
      <c r="P2186" s="2">
        <v>72.552733000000003</v>
      </c>
      <c r="Q2186" s="2">
        <v>23.035684</v>
      </c>
    </row>
    <row r="2187" spans="1:17" x14ac:dyDescent="0.25">
      <c r="A2187" s="2">
        <v>2368</v>
      </c>
      <c r="B2187" s="2" t="s">
        <v>50</v>
      </c>
      <c r="C2187" s="2">
        <v>1</v>
      </c>
      <c r="D2187" s="2">
        <f t="shared" si="340"/>
        <v>2.54</v>
      </c>
      <c r="E2187" s="2">
        <f t="shared" si="341"/>
        <v>0.80850711090682836</v>
      </c>
      <c r="F2187" s="2">
        <f t="shared" si="342"/>
        <v>0.31830988618379069</v>
      </c>
      <c r="G2187" s="2">
        <v>1.0089680000000001</v>
      </c>
      <c r="H2187" s="2">
        <f t="shared" si="343"/>
        <v>3.3102625731200002</v>
      </c>
      <c r="I2187" s="2">
        <f>INDEX('Wood Density Lookup'!$B$2:$B$152,MATCH(B2187,'Wood Density Lookup'!$A$2:$A$152,0))</f>
        <v>0.5</v>
      </c>
      <c r="J2187" s="2">
        <f t="shared" si="344"/>
        <v>2.2792553713077045E-2</v>
      </c>
      <c r="K2187" s="2">
        <f t="shared" si="348"/>
        <v>6.3819150396615737E-3</v>
      </c>
      <c r="L2187" s="2">
        <f t="shared" si="349"/>
        <v>2.917446875273862E-2</v>
      </c>
      <c r="M2187" s="2">
        <f t="shared" si="345"/>
        <v>2.1151489845735498E-2</v>
      </c>
      <c r="N2187" s="2">
        <f t="shared" si="346"/>
        <v>1.0575744922867749E-2</v>
      </c>
      <c r="O2187" s="2">
        <f t="shared" si="347"/>
        <v>3.8812983866924639E-2</v>
      </c>
      <c r="P2187" s="2">
        <v>72.552733000000003</v>
      </c>
      <c r="Q2187" s="2">
        <v>23.037804999999999</v>
      </c>
    </row>
    <row r="2188" spans="1:17" x14ac:dyDescent="0.25">
      <c r="A2188" s="2">
        <v>2369</v>
      </c>
      <c r="B2188" s="2" t="s">
        <v>138</v>
      </c>
      <c r="C2188" s="2">
        <v>4</v>
      </c>
      <c r="D2188" s="2">
        <f t="shared" si="340"/>
        <v>10.16</v>
      </c>
      <c r="E2188" s="2">
        <f t="shared" si="341"/>
        <v>3.2340284436273135</v>
      </c>
      <c r="F2188" s="2">
        <f t="shared" si="342"/>
        <v>1.2732395447351628</v>
      </c>
      <c r="G2188" s="2">
        <v>8.2421659999999992</v>
      </c>
      <c r="H2188" s="2">
        <f t="shared" si="343"/>
        <v>27.041227899439995</v>
      </c>
      <c r="I2188" s="2">
        <f>INDEX('Wood Density Lookup'!$B$2:$B$152,MATCH(B2188,'Wood Density Lookup'!$A$2:$A$152,0))</f>
        <v>0.5</v>
      </c>
      <c r="J2188" s="2">
        <f t="shared" si="344"/>
        <v>2.6502455832660745</v>
      </c>
      <c r="K2188" s="2">
        <f t="shared" si="348"/>
        <v>0.74206876331450089</v>
      </c>
      <c r="L2188" s="2">
        <f t="shared" si="349"/>
        <v>3.3923143465805756</v>
      </c>
      <c r="M2188" s="2">
        <f t="shared" si="345"/>
        <v>2.4594279012709173</v>
      </c>
      <c r="N2188" s="2">
        <f t="shared" si="346"/>
        <v>1.2297139506354586</v>
      </c>
      <c r="O2188" s="2">
        <f t="shared" si="347"/>
        <v>4.5130501988321328</v>
      </c>
      <c r="P2188" s="2">
        <v>72.552734999999998</v>
      </c>
      <c r="Q2188" s="2">
        <v>23.035661999999999</v>
      </c>
    </row>
    <row r="2189" spans="1:17" x14ac:dyDescent="0.25">
      <c r="A2189" s="2">
        <v>2370</v>
      </c>
      <c r="B2189" s="2" t="s">
        <v>15</v>
      </c>
      <c r="C2189" s="2">
        <v>39</v>
      </c>
      <c r="D2189" s="2">
        <f t="shared" si="340"/>
        <v>99.06</v>
      </c>
      <c r="E2189" s="2">
        <f t="shared" si="341"/>
        <v>31.531777325366306</v>
      </c>
      <c r="F2189" s="2">
        <f t="shared" si="342"/>
        <v>12.414085561167836</v>
      </c>
      <c r="G2189" s="2">
        <v>14.504880999999999</v>
      </c>
      <c r="H2189" s="2">
        <f t="shared" si="343"/>
        <v>47.588193780039994</v>
      </c>
      <c r="I2189" s="2">
        <f>INDEX('Wood Density Lookup'!$B$2:$B$152,MATCH(B2189,'Wood Density Lookup'!$A$2:$A$152,0))</f>
        <v>0.75</v>
      </c>
      <c r="J2189" s="2">
        <f t="shared" si="344"/>
        <v>582.46477152533907</v>
      </c>
      <c r="K2189" s="2">
        <f t="shared" si="348"/>
        <v>163.09013602709496</v>
      </c>
      <c r="L2189" s="2">
        <f t="shared" si="349"/>
        <v>745.55490755243409</v>
      </c>
      <c r="M2189" s="2">
        <f t="shared" si="345"/>
        <v>540.52730797551465</v>
      </c>
      <c r="N2189" s="2">
        <f t="shared" si="346"/>
        <v>270.26365398775732</v>
      </c>
      <c r="O2189" s="2">
        <f t="shared" si="347"/>
        <v>991.8676101350693</v>
      </c>
      <c r="P2189" s="2">
        <v>72.552738000000005</v>
      </c>
      <c r="Q2189" s="2">
        <v>23.036809000000002</v>
      </c>
    </row>
    <row r="2190" spans="1:17" x14ac:dyDescent="0.25">
      <c r="A2190" s="2">
        <v>2371</v>
      </c>
      <c r="B2190" s="2" t="s">
        <v>31</v>
      </c>
      <c r="C2190" s="2">
        <v>7</v>
      </c>
      <c r="D2190" s="2">
        <f t="shared" si="340"/>
        <v>17.78</v>
      </c>
      <c r="E2190" s="2">
        <f t="shared" si="341"/>
        <v>5.6595497763477987</v>
      </c>
      <c r="F2190" s="2">
        <f t="shared" si="342"/>
        <v>2.228169203286535</v>
      </c>
      <c r="G2190" s="2">
        <v>13.801685000000001</v>
      </c>
      <c r="H2190" s="2">
        <f t="shared" si="343"/>
        <v>45.281120215400001</v>
      </c>
      <c r="I2190" s="2">
        <f>INDEX('Wood Density Lookup'!$B$2:$B$152,MATCH(B2190,'Wood Density Lookup'!$A$2:$A$152,0))</f>
        <v>0.78</v>
      </c>
      <c r="J2190" s="2">
        <f t="shared" si="344"/>
        <v>20.169882785760255</v>
      </c>
      <c r="K2190" s="2">
        <f t="shared" si="348"/>
        <v>5.6475671800128717</v>
      </c>
      <c r="L2190" s="2">
        <f t="shared" si="349"/>
        <v>25.817449965773125</v>
      </c>
      <c r="M2190" s="2">
        <f t="shared" si="345"/>
        <v>18.717651225185516</v>
      </c>
      <c r="N2190" s="2">
        <f t="shared" si="346"/>
        <v>9.3588256125927582</v>
      </c>
      <c r="O2190" s="2">
        <f t="shared" si="347"/>
        <v>34.346889998215424</v>
      </c>
      <c r="P2190" s="2">
        <v>72.552738000000005</v>
      </c>
      <c r="Q2190" s="2">
        <v>23.038741000000002</v>
      </c>
    </row>
    <row r="2191" spans="1:17" x14ac:dyDescent="0.25">
      <c r="A2191" s="2">
        <v>2372</v>
      </c>
      <c r="B2191" s="2" t="s">
        <v>100</v>
      </c>
      <c r="C2191" s="2">
        <v>11</v>
      </c>
      <c r="D2191" s="2">
        <f t="shared" si="340"/>
        <v>27.94</v>
      </c>
      <c r="E2191" s="2">
        <f t="shared" si="341"/>
        <v>8.8935782199751117</v>
      </c>
      <c r="F2191" s="2">
        <f t="shared" si="342"/>
        <v>3.5014087480216975</v>
      </c>
      <c r="G2191" s="2">
        <v>13.843360000000001</v>
      </c>
      <c r="H2191" s="2">
        <f t="shared" si="343"/>
        <v>45.417849222400001</v>
      </c>
      <c r="I2191" s="2">
        <f>INDEX('Wood Density Lookup'!$B$2:$B$152,MATCH(B2191,'Wood Density Lookup'!$A$2:$A$152,0))</f>
        <v>0.7</v>
      </c>
      <c r="J2191" s="2">
        <f t="shared" si="344"/>
        <v>43.982494060301605</v>
      </c>
      <c r="K2191" s="2">
        <f t="shared" si="348"/>
        <v>12.31509833688445</v>
      </c>
      <c r="L2191" s="2">
        <f t="shared" si="349"/>
        <v>56.297592397186051</v>
      </c>
      <c r="M2191" s="2">
        <f t="shared" si="345"/>
        <v>40.815754487959886</v>
      </c>
      <c r="N2191" s="2">
        <f t="shared" si="346"/>
        <v>20.407877243979943</v>
      </c>
      <c r="O2191" s="2">
        <f t="shared" si="347"/>
        <v>74.896909485406383</v>
      </c>
      <c r="P2191" s="2">
        <v>72.552741999999995</v>
      </c>
      <c r="Q2191" s="2">
        <v>23.035639</v>
      </c>
    </row>
    <row r="2192" spans="1:17" x14ac:dyDescent="0.25">
      <c r="A2192" s="2">
        <v>2373</v>
      </c>
      <c r="B2192" s="2" t="s">
        <v>124</v>
      </c>
      <c r="C2192" s="2">
        <v>5</v>
      </c>
      <c r="D2192" s="2">
        <f t="shared" si="340"/>
        <v>12.7</v>
      </c>
      <c r="E2192" s="2">
        <f t="shared" si="341"/>
        <v>4.0425355545341413</v>
      </c>
      <c r="F2192" s="2">
        <f t="shared" si="342"/>
        <v>1.5915494309189535</v>
      </c>
      <c r="G2192" s="2">
        <v>1.032465</v>
      </c>
      <c r="H2192" s="2">
        <f t="shared" si="343"/>
        <v>3.3873524705999998</v>
      </c>
      <c r="I2192" s="2">
        <f>INDEX('Wood Density Lookup'!$B$2:$B$152,MATCH(B2192,'Wood Density Lookup'!$A$2:$A$152,0))</f>
        <v>0.55000000000000004</v>
      </c>
      <c r="J2192" s="2">
        <f t="shared" si="344"/>
        <v>0.59202451554727653</v>
      </c>
      <c r="K2192" s="2">
        <f t="shared" si="348"/>
        <v>0.16576686435323745</v>
      </c>
      <c r="L2192" s="2">
        <f t="shared" si="349"/>
        <v>0.75779137990051404</v>
      </c>
      <c r="M2192" s="2">
        <f t="shared" si="345"/>
        <v>0.54939875042787267</v>
      </c>
      <c r="N2192" s="2">
        <f t="shared" si="346"/>
        <v>0.27469937521393634</v>
      </c>
      <c r="O2192" s="2">
        <f t="shared" si="347"/>
        <v>1.0081467070351464</v>
      </c>
      <c r="P2192" s="2">
        <v>72.552741999999995</v>
      </c>
      <c r="Q2192" s="2">
        <v>23.037126000000001</v>
      </c>
    </row>
    <row r="2193" spans="1:17" x14ac:dyDescent="0.25">
      <c r="A2193" s="2">
        <v>2374</v>
      </c>
      <c r="B2193" s="2" t="s">
        <v>50</v>
      </c>
      <c r="C2193" s="2">
        <v>3</v>
      </c>
      <c r="D2193" s="2">
        <f t="shared" si="340"/>
        <v>7.62</v>
      </c>
      <c r="E2193" s="2">
        <f t="shared" si="341"/>
        <v>2.4255213327204852</v>
      </c>
      <c r="F2193" s="2">
        <f t="shared" si="342"/>
        <v>0.95492965855137202</v>
      </c>
      <c r="G2193" s="2">
        <v>1.1167720000000001</v>
      </c>
      <c r="H2193" s="2">
        <f t="shared" si="343"/>
        <v>3.6639502484800004</v>
      </c>
      <c r="I2193" s="2">
        <f>INDEX('Wood Density Lookup'!$B$2:$B$152,MATCH(B2193,'Wood Density Lookup'!$A$2:$A$152,0))</f>
        <v>0.5</v>
      </c>
      <c r="J2193" s="2">
        <f t="shared" si="344"/>
        <v>0.21486353138029179</v>
      </c>
      <c r="K2193" s="2">
        <f t="shared" si="348"/>
        <v>6.0161788786481707E-2</v>
      </c>
      <c r="L2193" s="2">
        <f t="shared" si="349"/>
        <v>0.2750253201667735</v>
      </c>
      <c r="M2193" s="2">
        <f t="shared" si="345"/>
        <v>0.19939335712091077</v>
      </c>
      <c r="N2193" s="2">
        <f t="shared" si="346"/>
        <v>9.9696678560455387E-2</v>
      </c>
      <c r="O2193" s="2">
        <f t="shared" si="347"/>
        <v>0.36588681031687126</v>
      </c>
      <c r="P2193" s="2">
        <v>72.552741999999995</v>
      </c>
      <c r="Q2193" s="2">
        <v>23.037717000000001</v>
      </c>
    </row>
    <row r="2194" spans="1:17" x14ac:dyDescent="0.25">
      <c r="A2194" s="2">
        <v>2375</v>
      </c>
      <c r="B2194" s="2" t="s">
        <v>59</v>
      </c>
      <c r="C2194" s="2">
        <v>67</v>
      </c>
      <c r="D2194" s="2">
        <f t="shared" si="340"/>
        <v>170.18</v>
      </c>
      <c r="E2194" s="2">
        <f t="shared" si="341"/>
        <v>54.169976430757501</v>
      </c>
      <c r="F2194" s="2">
        <f t="shared" si="342"/>
        <v>21.326762374313976</v>
      </c>
      <c r="G2194" s="2">
        <v>17.030139999999999</v>
      </c>
      <c r="H2194" s="2">
        <f t="shared" si="343"/>
        <v>55.873164517599996</v>
      </c>
      <c r="I2194" s="2">
        <f>INDEX('Wood Density Lookup'!$B$2:$B$152,MATCH(B2194,'Wood Density Lookup'!$A$2:$A$152,0))</f>
        <v>0.45</v>
      </c>
      <c r="J2194" s="2">
        <f t="shared" si="344"/>
        <v>1189.9160893426351</v>
      </c>
      <c r="K2194" s="2">
        <f t="shared" si="348"/>
        <v>333.17650501593789</v>
      </c>
      <c r="L2194" s="2">
        <f t="shared" si="349"/>
        <v>1523.092594358573</v>
      </c>
      <c r="M2194" s="2">
        <f t="shared" si="345"/>
        <v>1104.2421309099655</v>
      </c>
      <c r="N2194" s="2">
        <f t="shared" si="346"/>
        <v>552.12106545498273</v>
      </c>
      <c r="O2194" s="2">
        <f t="shared" si="347"/>
        <v>2026.2843102197867</v>
      </c>
      <c r="P2194" s="2">
        <v>72.552744000000004</v>
      </c>
      <c r="Q2194" s="2">
        <v>23.035882000000001</v>
      </c>
    </row>
    <row r="2195" spans="1:17" x14ac:dyDescent="0.25">
      <c r="A2195" s="2">
        <v>2376</v>
      </c>
      <c r="B2195" s="2" t="s">
        <v>31</v>
      </c>
      <c r="C2195" s="2">
        <v>5</v>
      </c>
      <c r="D2195" s="2">
        <f t="shared" si="340"/>
        <v>12.7</v>
      </c>
      <c r="E2195" s="2">
        <f t="shared" si="341"/>
        <v>4.0425355545341413</v>
      </c>
      <c r="F2195" s="2">
        <f t="shared" si="342"/>
        <v>1.5915494309189535</v>
      </c>
      <c r="G2195" s="2">
        <v>14.549204</v>
      </c>
      <c r="H2195" s="2">
        <f t="shared" si="343"/>
        <v>47.733610451360001</v>
      </c>
      <c r="I2195" s="2">
        <f>INDEX('Wood Density Lookup'!$B$2:$B$152,MATCH(B2195,'Wood Density Lookup'!$A$2:$A$152,0))</f>
        <v>0.78</v>
      </c>
      <c r="J2195" s="2">
        <f t="shared" si="344"/>
        <v>11.010798118716723</v>
      </c>
      <c r="K2195" s="2">
        <f t="shared" si="348"/>
        <v>3.0830234732406829</v>
      </c>
      <c r="L2195" s="2">
        <f t="shared" si="349"/>
        <v>14.093821591957406</v>
      </c>
      <c r="M2195" s="2">
        <f t="shared" si="345"/>
        <v>10.218020654169118</v>
      </c>
      <c r="N2195" s="2">
        <f t="shared" si="346"/>
        <v>5.109010327084559</v>
      </c>
      <c r="O2195" s="2">
        <f t="shared" si="347"/>
        <v>18.750067900400332</v>
      </c>
      <c r="P2195" s="2">
        <v>72.552744000000004</v>
      </c>
      <c r="Q2195" s="2">
        <v>23.034939000000001</v>
      </c>
    </row>
    <row r="2196" spans="1:17" x14ac:dyDescent="0.25">
      <c r="A2196" s="2">
        <v>2377</v>
      </c>
      <c r="B2196" s="2" t="s">
        <v>73</v>
      </c>
      <c r="C2196" s="2">
        <v>19</v>
      </c>
      <c r="D2196" s="2">
        <f t="shared" si="340"/>
        <v>48.26</v>
      </c>
      <c r="E2196" s="2">
        <f t="shared" si="341"/>
        <v>15.361635107229738</v>
      </c>
      <c r="F2196" s="2">
        <f t="shared" si="342"/>
        <v>6.0478878374920226</v>
      </c>
      <c r="G2196" s="2">
        <v>5.955533</v>
      </c>
      <c r="H2196" s="2">
        <f t="shared" si="343"/>
        <v>19.539150887719998</v>
      </c>
      <c r="I2196" s="2">
        <f>INDEX('Wood Density Lookup'!$B$2:$B$152,MATCH(B2196,'Wood Density Lookup'!$A$2:$A$152,0))</f>
        <v>0.7</v>
      </c>
      <c r="J2196" s="2">
        <f t="shared" si="344"/>
        <v>56.115027989061765</v>
      </c>
      <c r="K2196" s="2">
        <f t="shared" si="348"/>
        <v>15.712207836937296</v>
      </c>
      <c r="L2196" s="2">
        <f t="shared" si="349"/>
        <v>71.827235825999054</v>
      </c>
      <c r="M2196" s="2">
        <f t="shared" si="345"/>
        <v>52.074745973849311</v>
      </c>
      <c r="N2196" s="2">
        <f t="shared" si="346"/>
        <v>26.037372986924655</v>
      </c>
      <c r="O2196" s="2">
        <f t="shared" si="347"/>
        <v>95.55715886201348</v>
      </c>
      <c r="P2196" s="2">
        <v>72.552745000000002</v>
      </c>
      <c r="Q2196" s="2">
        <v>23.035468000000002</v>
      </c>
    </row>
    <row r="2197" spans="1:17" x14ac:dyDescent="0.25">
      <c r="A2197" s="2">
        <v>2378</v>
      </c>
      <c r="B2197" s="2" t="s">
        <v>143</v>
      </c>
      <c r="C2197" s="2">
        <v>10</v>
      </c>
      <c r="D2197" s="2">
        <f t="shared" si="340"/>
        <v>25.4</v>
      </c>
      <c r="E2197" s="2">
        <f t="shared" si="341"/>
        <v>8.0850711090682825</v>
      </c>
      <c r="F2197" s="2">
        <f t="shared" si="342"/>
        <v>3.183098861837907</v>
      </c>
      <c r="G2197" s="2">
        <v>3.664819</v>
      </c>
      <c r="H2197" s="2">
        <f t="shared" si="343"/>
        <v>12.023684767960001</v>
      </c>
      <c r="I2197" s="2">
        <f>INDEX('Wood Density Lookup'!$B$2:$B$152,MATCH(B2197,'Wood Density Lookup'!$A$2:$A$152,0))</f>
        <v>0.75</v>
      </c>
      <c r="J2197" s="2">
        <f t="shared" si="344"/>
        <v>10.675518813767876</v>
      </c>
      <c r="K2197" s="2">
        <f t="shared" si="348"/>
        <v>2.9891452678550059</v>
      </c>
      <c r="L2197" s="2">
        <f t="shared" si="349"/>
        <v>13.664664081622883</v>
      </c>
      <c r="M2197" s="2">
        <f t="shared" si="345"/>
        <v>9.9068814591765904</v>
      </c>
      <c r="N2197" s="2">
        <f t="shared" si="346"/>
        <v>4.9534407295882952</v>
      </c>
      <c r="O2197" s="2">
        <f t="shared" si="347"/>
        <v>18.179127477589041</v>
      </c>
      <c r="P2197" s="2">
        <v>72.552747999999994</v>
      </c>
      <c r="Q2197" s="2">
        <v>23.038209999999999</v>
      </c>
    </row>
    <row r="2198" spans="1:17" x14ac:dyDescent="0.25">
      <c r="A2198" s="2">
        <v>2379</v>
      </c>
      <c r="B2198" s="2" t="s">
        <v>107</v>
      </c>
      <c r="C2198" s="2">
        <v>13</v>
      </c>
      <c r="D2198" s="2">
        <f t="shared" si="340"/>
        <v>33.020000000000003</v>
      </c>
      <c r="E2198" s="2">
        <f t="shared" si="341"/>
        <v>10.51059244178877</v>
      </c>
      <c r="F2198" s="2">
        <f t="shared" si="342"/>
        <v>4.1380285203892786</v>
      </c>
      <c r="G2198" s="2">
        <v>7.1001149999999997</v>
      </c>
      <c r="H2198" s="2">
        <f t="shared" si="343"/>
        <v>23.294341296599999</v>
      </c>
      <c r="I2198" s="2">
        <f>INDEX('Wood Density Lookup'!$B$2:$B$152,MATCH(B2198,'Wood Density Lookup'!$A$2:$A$152,0))</f>
        <v>0.65</v>
      </c>
      <c r="J2198" s="2">
        <f t="shared" si="344"/>
        <v>29.54403445787219</v>
      </c>
      <c r="K2198" s="2">
        <f t="shared" si="348"/>
        <v>8.2723296482042148</v>
      </c>
      <c r="L2198" s="2">
        <f t="shared" si="349"/>
        <v>37.816364106076406</v>
      </c>
      <c r="M2198" s="2">
        <f t="shared" si="345"/>
        <v>27.416863976905393</v>
      </c>
      <c r="N2198" s="2">
        <f t="shared" si="346"/>
        <v>13.708431988452697</v>
      </c>
      <c r="O2198" s="2">
        <f t="shared" si="347"/>
        <v>50.309945397621398</v>
      </c>
      <c r="P2198" s="2">
        <v>72.552750000000003</v>
      </c>
      <c r="Q2198" s="2">
        <v>23.037932000000001</v>
      </c>
    </row>
    <row r="2199" spans="1:17" x14ac:dyDescent="0.25">
      <c r="A2199" s="2">
        <v>2380</v>
      </c>
      <c r="B2199" s="2" t="s">
        <v>109</v>
      </c>
      <c r="C2199" s="2">
        <v>34</v>
      </c>
      <c r="D2199" s="2">
        <f t="shared" si="340"/>
        <v>86.36</v>
      </c>
      <c r="E2199" s="2">
        <f t="shared" si="341"/>
        <v>27.489241770832162</v>
      </c>
      <c r="F2199" s="2">
        <f t="shared" si="342"/>
        <v>10.822536130248883</v>
      </c>
      <c r="G2199" s="2">
        <v>12.904495000000001</v>
      </c>
      <c r="H2199" s="2">
        <f t="shared" si="343"/>
        <v>42.337583375800001</v>
      </c>
      <c r="I2199" s="2">
        <f>INDEX('Wood Density Lookup'!$B$2:$B$152,MATCH(B2199,'Wood Density Lookup'!$A$2:$A$152,0))</f>
        <v>0.7</v>
      </c>
      <c r="J2199" s="2">
        <f t="shared" si="344"/>
        <v>371.67186768786183</v>
      </c>
      <c r="K2199" s="2">
        <f t="shared" si="348"/>
        <v>104.06812295260133</v>
      </c>
      <c r="L2199" s="2">
        <f t="shared" si="349"/>
        <v>475.73999064046313</v>
      </c>
      <c r="M2199" s="2">
        <f t="shared" si="345"/>
        <v>344.91149321433574</v>
      </c>
      <c r="N2199" s="2">
        <f t="shared" si="346"/>
        <v>172.45574660716787</v>
      </c>
      <c r="O2199" s="2">
        <f t="shared" si="347"/>
        <v>632.91259004830601</v>
      </c>
      <c r="P2199" s="2">
        <v>72.552751999999998</v>
      </c>
      <c r="Q2199" s="2">
        <v>23.034806</v>
      </c>
    </row>
    <row r="2200" spans="1:17" x14ac:dyDescent="0.25">
      <c r="A2200" s="2">
        <v>2381</v>
      </c>
      <c r="B2200" s="2" t="s">
        <v>115</v>
      </c>
      <c r="C2200" s="2">
        <v>2</v>
      </c>
      <c r="D2200" s="2">
        <f t="shared" si="340"/>
        <v>5.08</v>
      </c>
      <c r="E2200" s="2">
        <f t="shared" si="341"/>
        <v>1.6170142218136567</v>
      </c>
      <c r="F2200" s="2">
        <f t="shared" si="342"/>
        <v>0.63661977236758138</v>
      </c>
      <c r="G2200" s="2">
        <v>1.0898270000000001</v>
      </c>
      <c r="H2200" s="2">
        <f t="shared" si="343"/>
        <v>3.5755480146800003</v>
      </c>
      <c r="I2200" s="2">
        <f>INDEX('Wood Density Lookup'!$B$2:$B$152,MATCH(B2200,'Wood Density Lookup'!$A$2:$A$152,0))</f>
        <v>0.65</v>
      </c>
      <c r="J2200" s="2">
        <f t="shared" si="344"/>
        <v>0.12282560070796832</v>
      </c>
      <c r="K2200" s="2">
        <f t="shared" si="348"/>
        <v>3.4391168198231133E-2</v>
      </c>
      <c r="L2200" s="2">
        <f t="shared" si="349"/>
        <v>0.15721676890619946</v>
      </c>
      <c r="M2200" s="2">
        <f t="shared" si="345"/>
        <v>0.1139821574569946</v>
      </c>
      <c r="N2200" s="2">
        <f t="shared" si="346"/>
        <v>5.6991078728497298E-2</v>
      </c>
      <c r="O2200" s="2">
        <f t="shared" si="347"/>
        <v>0.20915725893358508</v>
      </c>
      <c r="P2200" s="2">
        <v>72.552753999999993</v>
      </c>
      <c r="Q2200" s="2">
        <v>23.038171999999999</v>
      </c>
    </row>
    <row r="2201" spans="1:17" x14ac:dyDescent="0.25">
      <c r="A2201" s="2">
        <v>2382</v>
      </c>
      <c r="B2201" s="2" t="s">
        <v>25</v>
      </c>
      <c r="C2201" s="2">
        <v>5</v>
      </c>
      <c r="D2201" s="2">
        <f t="shared" si="340"/>
        <v>12.7</v>
      </c>
      <c r="E2201" s="2">
        <f t="shared" si="341"/>
        <v>4.0425355545341413</v>
      </c>
      <c r="F2201" s="2">
        <f t="shared" si="342"/>
        <v>1.5915494309189535</v>
      </c>
      <c r="G2201" s="2">
        <v>1.027617</v>
      </c>
      <c r="H2201" s="2">
        <f t="shared" si="343"/>
        <v>3.37144695828</v>
      </c>
      <c r="I2201" s="2">
        <f>INDEX('Wood Density Lookup'!$B$2:$B$152,MATCH(B2201,'Wood Density Lookup'!$A$2:$A$152,0))</f>
        <v>0.65</v>
      </c>
      <c r="J2201" s="2">
        <f t="shared" si="344"/>
        <v>0.6936719633133529</v>
      </c>
      <c r="K2201" s="2">
        <f t="shared" si="348"/>
        <v>0.19422814972773883</v>
      </c>
      <c r="L2201" s="2">
        <f t="shared" si="349"/>
        <v>0.88790011304109173</v>
      </c>
      <c r="M2201" s="2">
        <f t="shared" si="345"/>
        <v>0.64372758195479152</v>
      </c>
      <c r="N2201" s="2">
        <f t="shared" si="346"/>
        <v>0.32186379097739576</v>
      </c>
      <c r="O2201" s="2">
        <f t="shared" si="347"/>
        <v>1.1812401128870424</v>
      </c>
      <c r="P2201" s="2">
        <v>72.552755000000005</v>
      </c>
      <c r="Q2201" s="2">
        <v>23.038049000000001</v>
      </c>
    </row>
    <row r="2202" spans="1:17" x14ac:dyDescent="0.25">
      <c r="A2202" s="2">
        <v>2383</v>
      </c>
      <c r="B2202" s="2" t="s">
        <v>139</v>
      </c>
      <c r="C2202" s="2">
        <v>9</v>
      </c>
      <c r="D2202" s="2">
        <f t="shared" si="340"/>
        <v>22.86</v>
      </c>
      <c r="E2202" s="2">
        <f t="shared" si="341"/>
        <v>7.2765639981614552</v>
      </c>
      <c r="F2202" s="2">
        <f t="shared" si="342"/>
        <v>2.8647889756541161</v>
      </c>
      <c r="G2202" s="2">
        <v>4.3738950000000001</v>
      </c>
      <c r="H2202" s="2">
        <f t="shared" si="343"/>
        <v>14.350049671800001</v>
      </c>
      <c r="I2202" s="2">
        <f>INDEX('Wood Density Lookup'!$B$2:$B$152,MATCH(B2202,'Wood Density Lookup'!$A$2:$A$152,0))</f>
        <v>0.9</v>
      </c>
      <c r="J2202" s="2">
        <f t="shared" si="344"/>
        <v>12.340237206040927</v>
      </c>
      <c r="K2202" s="2">
        <f t="shared" si="348"/>
        <v>3.4552664176914596</v>
      </c>
      <c r="L2202" s="2">
        <f t="shared" si="349"/>
        <v>15.795503623732387</v>
      </c>
      <c r="M2202" s="2">
        <f t="shared" si="345"/>
        <v>11.45174012720598</v>
      </c>
      <c r="N2202" s="2">
        <f t="shared" si="346"/>
        <v>5.72587006360299</v>
      </c>
      <c r="O2202" s="2">
        <f t="shared" si="347"/>
        <v>21.013943133422973</v>
      </c>
      <c r="P2202" s="2">
        <v>72.552756000000002</v>
      </c>
      <c r="Q2202" s="2">
        <v>23.038129999999999</v>
      </c>
    </row>
    <row r="2203" spans="1:17" x14ac:dyDescent="0.25">
      <c r="A2203" s="2">
        <v>2384</v>
      </c>
      <c r="B2203" s="2" t="s">
        <v>11</v>
      </c>
      <c r="C2203" s="2">
        <v>6</v>
      </c>
      <c r="D2203" s="2">
        <f t="shared" si="340"/>
        <v>15.24</v>
      </c>
      <c r="E2203" s="2">
        <f t="shared" si="341"/>
        <v>4.8510426654409704</v>
      </c>
      <c r="F2203" s="2">
        <f t="shared" si="342"/>
        <v>1.909859317102744</v>
      </c>
      <c r="G2203" s="2">
        <v>4.9309770000000004</v>
      </c>
      <c r="H2203" s="2">
        <f t="shared" si="343"/>
        <v>16.177746580680001</v>
      </c>
      <c r="I2203" s="2">
        <f>INDEX('Wood Density Lookup'!$B$2:$B$152,MATCH(B2203,'Wood Density Lookup'!$A$2:$A$152,0))</f>
        <v>0.45</v>
      </c>
      <c r="J2203" s="2">
        <f t="shared" si="344"/>
        <v>3.1959734816728482</v>
      </c>
      <c r="K2203" s="2">
        <f t="shared" si="348"/>
        <v>0.89487257486839755</v>
      </c>
      <c r="L2203" s="2">
        <f t="shared" si="349"/>
        <v>4.0908460565412454</v>
      </c>
      <c r="M2203" s="2">
        <f t="shared" si="345"/>
        <v>2.965863390992403</v>
      </c>
      <c r="N2203" s="2">
        <f t="shared" si="346"/>
        <v>1.4829316954962015</v>
      </c>
      <c r="O2203" s="2">
        <f t="shared" si="347"/>
        <v>5.4423593224710594</v>
      </c>
      <c r="P2203" s="2">
        <v>72.552757</v>
      </c>
      <c r="Q2203" s="2">
        <v>23.038087999999998</v>
      </c>
    </row>
    <row r="2204" spans="1:17" x14ac:dyDescent="0.25">
      <c r="A2204" s="2">
        <v>2385</v>
      </c>
      <c r="B2204" s="2" t="s">
        <v>143</v>
      </c>
      <c r="C2204" s="2">
        <v>15</v>
      </c>
      <c r="D2204" s="2">
        <f t="shared" si="340"/>
        <v>38.1</v>
      </c>
      <c r="E2204" s="2">
        <f t="shared" si="341"/>
        <v>12.127606663602425</v>
      </c>
      <c r="F2204" s="2">
        <f t="shared" si="342"/>
        <v>4.7746482927568605</v>
      </c>
      <c r="G2204" s="2">
        <v>8.7012149999999995</v>
      </c>
      <c r="H2204" s="2">
        <f t="shared" si="343"/>
        <v>28.547294220599998</v>
      </c>
      <c r="I2204" s="2">
        <f>INDEX('Wood Density Lookup'!$B$2:$B$152,MATCH(B2204,'Wood Density Lookup'!$A$2:$A$152,0))</f>
        <v>0.75</v>
      </c>
      <c r="J2204" s="2">
        <f t="shared" si="344"/>
        <v>54.781490016635907</v>
      </c>
      <c r="K2204" s="2">
        <f t="shared" si="348"/>
        <v>15.338817204658055</v>
      </c>
      <c r="L2204" s="2">
        <f t="shared" si="349"/>
        <v>70.120307221293956</v>
      </c>
      <c r="M2204" s="2">
        <f t="shared" si="345"/>
        <v>50.837222735438118</v>
      </c>
      <c r="N2204" s="2">
        <f t="shared" si="346"/>
        <v>25.418611367719059</v>
      </c>
      <c r="O2204" s="2">
        <f t="shared" si="347"/>
        <v>93.286303719528945</v>
      </c>
      <c r="P2204" s="2">
        <v>72.552757</v>
      </c>
      <c r="Q2204" s="2">
        <v>23.037890000000001</v>
      </c>
    </row>
    <row r="2205" spans="1:17" x14ac:dyDescent="0.25">
      <c r="A2205" s="2">
        <v>2386</v>
      </c>
      <c r="B2205" s="2" t="s">
        <v>135</v>
      </c>
      <c r="C2205" s="2">
        <v>48</v>
      </c>
      <c r="D2205" s="2">
        <f t="shared" si="340"/>
        <v>121.92</v>
      </c>
      <c r="E2205" s="2">
        <f t="shared" si="341"/>
        <v>38.808341323527763</v>
      </c>
      <c r="F2205" s="2">
        <f t="shared" si="342"/>
        <v>15.278874536821952</v>
      </c>
      <c r="G2205" s="2">
        <v>13.862876</v>
      </c>
      <c r="H2205" s="2">
        <f t="shared" si="343"/>
        <v>45.481878095840003</v>
      </c>
      <c r="I2205" s="2">
        <f>INDEX('Wood Density Lookup'!$B$2:$B$152,MATCH(B2205,'Wood Density Lookup'!$A$2:$A$152,0))</f>
        <v>0.8</v>
      </c>
      <c r="J2205" s="2">
        <f t="shared" si="344"/>
        <v>890.14654127880783</v>
      </c>
      <c r="K2205" s="2">
        <f t="shared" si="348"/>
        <v>249.24103155806623</v>
      </c>
      <c r="L2205" s="2">
        <f t="shared" si="349"/>
        <v>1139.3875728368741</v>
      </c>
      <c r="M2205" s="2">
        <f t="shared" si="345"/>
        <v>826.05599030673375</v>
      </c>
      <c r="N2205" s="2">
        <f t="shared" si="346"/>
        <v>413.02799515336687</v>
      </c>
      <c r="O2205" s="2">
        <f t="shared" si="347"/>
        <v>1515.8127422128564</v>
      </c>
      <c r="P2205" s="2">
        <v>72.552757</v>
      </c>
      <c r="Q2205" s="2">
        <v>23.034936999999999</v>
      </c>
    </row>
    <row r="2206" spans="1:17" x14ac:dyDescent="0.25">
      <c r="A2206" s="2">
        <v>2387</v>
      </c>
      <c r="B2206" s="2" t="s">
        <v>150</v>
      </c>
      <c r="C2206" s="2">
        <v>39</v>
      </c>
      <c r="D2206" s="2">
        <f t="shared" si="340"/>
        <v>99.06</v>
      </c>
      <c r="E2206" s="2">
        <f t="shared" si="341"/>
        <v>31.531777325366306</v>
      </c>
      <c r="F2206" s="2">
        <f t="shared" si="342"/>
        <v>12.414085561167836</v>
      </c>
      <c r="G2206" s="2">
        <v>5.9140129999999997</v>
      </c>
      <c r="H2206" s="2">
        <f t="shared" si="343"/>
        <v>19.40293041092</v>
      </c>
      <c r="I2206" s="2">
        <f>INDEX('Wood Density Lookup'!$B$2:$B$152,MATCH(B2206,'Wood Density Lookup'!$A$2:$A$152,0))</f>
        <v>0.65</v>
      </c>
      <c r="J2206" s="2">
        <f t="shared" si="344"/>
        <v>211.02435271604381</v>
      </c>
      <c r="K2206" s="2">
        <f t="shared" si="348"/>
        <v>59.086818760492271</v>
      </c>
      <c r="L2206" s="2">
        <f t="shared" si="349"/>
        <v>270.11117147653607</v>
      </c>
      <c r="M2206" s="2">
        <f t="shared" si="345"/>
        <v>195.83059932048866</v>
      </c>
      <c r="N2206" s="2">
        <f t="shared" si="346"/>
        <v>97.91529966024433</v>
      </c>
      <c r="O2206" s="2">
        <f t="shared" si="347"/>
        <v>359.3491497530967</v>
      </c>
      <c r="P2206" s="2">
        <v>72.552757</v>
      </c>
      <c r="Q2206" s="2">
        <v>23.035520999999999</v>
      </c>
    </row>
    <row r="2207" spans="1:17" x14ac:dyDescent="0.25">
      <c r="A2207" s="2">
        <v>2388</v>
      </c>
      <c r="B2207" s="2" t="s">
        <v>100</v>
      </c>
      <c r="C2207" s="2">
        <v>4</v>
      </c>
      <c r="D2207" s="2">
        <f t="shared" si="340"/>
        <v>10.16</v>
      </c>
      <c r="E2207" s="2">
        <f t="shared" si="341"/>
        <v>3.2340284436273135</v>
      </c>
      <c r="F2207" s="2">
        <f t="shared" si="342"/>
        <v>1.2732395447351628</v>
      </c>
      <c r="G2207" s="2">
        <v>5.6480439999999996</v>
      </c>
      <c r="H2207" s="2">
        <f t="shared" si="343"/>
        <v>18.53032867696</v>
      </c>
      <c r="I2207" s="2">
        <f>INDEX('Wood Density Lookup'!$B$2:$B$152,MATCH(B2207,'Wood Density Lookup'!$A$2:$A$152,0))</f>
        <v>0.7</v>
      </c>
      <c r="J2207" s="2">
        <f t="shared" si="344"/>
        <v>2.5450905319365131</v>
      </c>
      <c r="K2207" s="2">
        <f t="shared" si="348"/>
        <v>0.71262534894222374</v>
      </c>
      <c r="L2207" s="2">
        <f t="shared" si="349"/>
        <v>3.2577158808787368</v>
      </c>
      <c r="M2207" s="2">
        <f t="shared" si="345"/>
        <v>2.361844013637084</v>
      </c>
      <c r="N2207" s="2">
        <f t="shared" si="346"/>
        <v>1.180922006818542</v>
      </c>
      <c r="O2207" s="2">
        <f t="shared" si="347"/>
        <v>4.3339837650240494</v>
      </c>
      <c r="P2207" s="2">
        <v>72.552757</v>
      </c>
      <c r="Q2207" s="2">
        <v>23.035482999999999</v>
      </c>
    </row>
    <row r="2208" spans="1:17" x14ac:dyDescent="0.25">
      <c r="A2208" s="2">
        <v>2390</v>
      </c>
      <c r="B2208" s="2" t="s">
        <v>113</v>
      </c>
      <c r="C2208" s="2">
        <v>5</v>
      </c>
      <c r="D2208" s="2">
        <f t="shared" si="340"/>
        <v>12.7</v>
      </c>
      <c r="E2208" s="2">
        <f t="shared" si="341"/>
        <v>4.0425355545341413</v>
      </c>
      <c r="F2208" s="2">
        <f t="shared" si="342"/>
        <v>1.5915494309189535</v>
      </c>
      <c r="G2208" s="2">
        <v>2.0388850000000001</v>
      </c>
      <c r="H2208" s="2">
        <f t="shared" si="343"/>
        <v>6.6892554634000003</v>
      </c>
      <c r="I2208" s="2">
        <f>INDEX('Wood Density Lookup'!$B$2:$B$152,MATCH(B2208,'Wood Density Lookup'!$A$2:$A$152,0))</f>
        <v>0.4</v>
      </c>
      <c r="J2208" s="2">
        <f t="shared" si="344"/>
        <v>0.84291005168718514</v>
      </c>
      <c r="K2208" s="2">
        <f t="shared" si="348"/>
        <v>0.23601481447241185</v>
      </c>
      <c r="L2208" s="2">
        <f t="shared" si="349"/>
        <v>1.0789248661595969</v>
      </c>
      <c r="M2208" s="2">
        <f t="shared" si="345"/>
        <v>0.78222052796570773</v>
      </c>
      <c r="N2208" s="2">
        <f t="shared" si="346"/>
        <v>0.39111026398285387</v>
      </c>
      <c r="O2208" s="2">
        <f t="shared" si="347"/>
        <v>1.4353746688170737</v>
      </c>
      <c r="P2208" s="2">
        <v>72.552757</v>
      </c>
      <c r="Q2208" s="2">
        <v>23.037966000000001</v>
      </c>
    </row>
    <row r="2209" spans="1:17" x14ac:dyDescent="0.25">
      <c r="A2209" s="2">
        <v>2391</v>
      </c>
      <c r="B2209" s="2" t="s">
        <v>85</v>
      </c>
      <c r="C2209" s="2">
        <v>26</v>
      </c>
      <c r="D2209" s="2">
        <f t="shared" si="340"/>
        <v>66.040000000000006</v>
      </c>
      <c r="E2209" s="2">
        <f t="shared" si="341"/>
        <v>21.02118488357754</v>
      </c>
      <c r="F2209" s="2">
        <f t="shared" si="342"/>
        <v>8.2760570407785572</v>
      </c>
      <c r="G2209" s="2">
        <v>18.015543999999998</v>
      </c>
      <c r="H2209" s="2">
        <f t="shared" si="343"/>
        <v>59.106117376959993</v>
      </c>
      <c r="I2209" s="2">
        <f>INDEX('Wood Density Lookup'!$B$2:$B$152,MATCH(B2209,'Wood Density Lookup'!$A$2:$A$152,0))</f>
        <v>0.6</v>
      </c>
      <c r="J2209" s="2">
        <f t="shared" si="344"/>
        <v>262.31876966195313</v>
      </c>
      <c r="K2209" s="2">
        <f t="shared" si="348"/>
        <v>73.449255505346883</v>
      </c>
      <c r="L2209" s="2">
        <f t="shared" si="349"/>
        <v>335.76802516730004</v>
      </c>
      <c r="M2209" s="2">
        <f t="shared" si="345"/>
        <v>243.43181824629252</v>
      </c>
      <c r="N2209" s="2">
        <f t="shared" si="346"/>
        <v>121.71590912314626</v>
      </c>
      <c r="O2209" s="2">
        <f t="shared" si="347"/>
        <v>446.69738648194675</v>
      </c>
      <c r="P2209" s="2">
        <v>72.552757999999997</v>
      </c>
      <c r="Q2209" s="2">
        <v>23.035152</v>
      </c>
    </row>
    <row r="2210" spans="1:17" x14ac:dyDescent="0.25">
      <c r="A2210" s="2">
        <v>2392</v>
      </c>
      <c r="B2210" s="2" t="s">
        <v>69</v>
      </c>
      <c r="C2210" s="2">
        <v>6</v>
      </c>
      <c r="D2210" s="2">
        <f t="shared" si="340"/>
        <v>15.24</v>
      </c>
      <c r="E2210" s="2">
        <f t="shared" si="341"/>
        <v>4.8510426654409704</v>
      </c>
      <c r="F2210" s="2">
        <f t="shared" si="342"/>
        <v>1.909859317102744</v>
      </c>
      <c r="G2210" s="2">
        <v>4.3895960000000001</v>
      </c>
      <c r="H2210" s="2">
        <f t="shared" si="343"/>
        <v>14.401562140639999</v>
      </c>
      <c r="I2210" s="2">
        <f>INDEX('Wood Density Lookup'!$B$2:$B$152,MATCH(B2210,'Wood Density Lookup'!$A$2:$A$152,0))</f>
        <v>0.55000000000000004</v>
      </c>
      <c r="J2210" s="2">
        <f t="shared" si="344"/>
        <v>3.4702879758808192</v>
      </c>
      <c r="K2210" s="2">
        <f t="shared" si="348"/>
        <v>0.97168063324662945</v>
      </c>
      <c r="L2210" s="2">
        <f t="shared" si="349"/>
        <v>4.4419686091274482</v>
      </c>
      <c r="M2210" s="2">
        <f t="shared" si="345"/>
        <v>3.2204272416173998</v>
      </c>
      <c r="N2210" s="2">
        <f t="shared" si="346"/>
        <v>1.6102136208086999</v>
      </c>
      <c r="O2210" s="2">
        <f t="shared" si="347"/>
        <v>5.9094839883679287</v>
      </c>
      <c r="P2210" s="2">
        <v>72.552758999999995</v>
      </c>
      <c r="Q2210" s="2">
        <v>23.035495000000001</v>
      </c>
    </row>
    <row r="2211" spans="1:17" x14ac:dyDescent="0.25">
      <c r="A2211" s="2">
        <v>2393</v>
      </c>
      <c r="B2211" s="2" t="s">
        <v>50</v>
      </c>
      <c r="C2211" s="2">
        <v>2</v>
      </c>
      <c r="D2211" s="2">
        <f t="shared" si="340"/>
        <v>5.08</v>
      </c>
      <c r="E2211" s="2">
        <f t="shared" si="341"/>
        <v>1.6170142218136567</v>
      </c>
      <c r="F2211" s="2">
        <f t="shared" si="342"/>
        <v>0.63661977236758138</v>
      </c>
      <c r="G2211" s="2">
        <v>2.003447</v>
      </c>
      <c r="H2211" s="2">
        <f t="shared" si="343"/>
        <v>6.5729890554799999</v>
      </c>
      <c r="I2211" s="2">
        <f>INDEX('Wood Density Lookup'!$B$2:$B$152,MATCH(B2211,'Wood Density Lookup'!$A$2:$A$152,0))</f>
        <v>0.5</v>
      </c>
      <c r="J2211" s="2">
        <f t="shared" si="344"/>
        <v>0.17224808119495919</v>
      </c>
      <c r="K2211" s="2">
        <f t="shared" si="348"/>
        <v>4.8229462734588578E-2</v>
      </c>
      <c r="L2211" s="2">
        <f t="shared" si="349"/>
        <v>0.22047754392954777</v>
      </c>
      <c r="M2211" s="2">
        <f t="shared" si="345"/>
        <v>0.15984621934892213</v>
      </c>
      <c r="N2211" s="2">
        <f t="shared" si="346"/>
        <v>7.9923109674461063E-2</v>
      </c>
      <c r="O2211" s="2">
        <f t="shared" si="347"/>
        <v>0.29331781250527211</v>
      </c>
      <c r="P2211" s="2">
        <v>72.552764999999994</v>
      </c>
      <c r="Q2211" s="2">
        <v>23.037804000000001</v>
      </c>
    </row>
    <row r="2212" spans="1:17" x14ac:dyDescent="0.25">
      <c r="A2212" s="2">
        <v>2394</v>
      </c>
      <c r="B2212" s="2" t="s">
        <v>50</v>
      </c>
      <c r="C2212" s="2">
        <v>3</v>
      </c>
      <c r="D2212" s="2">
        <f t="shared" si="340"/>
        <v>7.62</v>
      </c>
      <c r="E2212" s="2">
        <f t="shared" si="341"/>
        <v>2.4255213327204852</v>
      </c>
      <c r="F2212" s="2">
        <f t="shared" si="342"/>
        <v>0.95492965855137202</v>
      </c>
      <c r="G2212" s="2">
        <v>1.0991580000000001</v>
      </c>
      <c r="H2212" s="2">
        <f t="shared" si="343"/>
        <v>3.6061615327200003</v>
      </c>
      <c r="I2212" s="2">
        <f>INDEX('Wood Density Lookup'!$B$2:$B$152,MATCH(B2212,'Wood Density Lookup'!$A$2:$A$152,0))</f>
        <v>0.5</v>
      </c>
      <c r="J2212" s="2">
        <f t="shared" si="344"/>
        <v>0.21155535514061366</v>
      </c>
      <c r="K2212" s="2">
        <f t="shared" si="348"/>
        <v>5.9235499439371828E-2</v>
      </c>
      <c r="L2212" s="2">
        <f t="shared" si="349"/>
        <v>0.27079085457998547</v>
      </c>
      <c r="M2212" s="2">
        <f t="shared" si="345"/>
        <v>0.19632336957048946</v>
      </c>
      <c r="N2212" s="2">
        <f t="shared" si="346"/>
        <v>9.8161684785244729E-2</v>
      </c>
      <c r="O2212" s="2">
        <f t="shared" si="347"/>
        <v>0.36025338316184813</v>
      </c>
      <c r="P2212" s="2">
        <v>72.552766000000005</v>
      </c>
      <c r="Q2212" s="2">
        <v>23.037718000000002</v>
      </c>
    </row>
    <row r="2213" spans="1:17" x14ac:dyDescent="0.25">
      <c r="A2213" s="2">
        <v>2395</v>
      </c>
      <c r="B2213" s="2" t="s">
        <v>102</v>
      </c>
      <c r="C2213" s="2">
        <v>2</v>
      </c>
      <c r="D2213" s="2">
        <f t="shared" si="340"/>
        <v>5.08</v>
      </c>
      <c r="E2213" s="2">
        <f t="shared" si="341"/>
        <v>1.6170142218136567</v>
      </c>
      <c r="F2213" s="2">
        <f t="shared" si="342"/>
        <v>0.63661977236758138</v>
      </c>
      <c r="G2213" s="2">
        <v>1.019639</v>
      </c>
      <c r="H2213" s="2">
        <f t="shared" si="343"/>
        <v>3.3452724167599999</v>
      </c>
      <c r="I2213" s="2">
        <f>INDEX('Wood Density Lookup'!$B$2:$B$152,MATCH(B2213,'Wood Density Lookup'!$A$2:$A$152,0))</f>
        <v>0.45</v>
      </c>
      <c r="J2213" s="2">
        <f t="shared" si="344"/>
        <v>8.039029389811575E-2</v>
      </c>
      <c r="K2213" s="2">
        <f t="shared" si="348"/>
        <v>2.2509282291472411E-2</v>
      </c>
      <c r="L2213" s="2">
        <f t="shared" si="349"/>
        <v>0.10289957618958816</v>
      </c>
      <c r="M2213" s="2">
        <f t="shared" si="345"/>
        <v>7.4602192737451417E-2</v>
      </c>
      <c r="N2213" s="2">
        <f t="shared" si="346"/>
        <v>3.7301096368725709E-2</v>
      </c>
      <c r="O2213" s="2">
        <f t="shared" si="347"/>
        <v>0.13689502367322334</v>
      </c>
      <c r="P2213" s="2">
        <v>72.552771000000007</v>
      </c>
      <c r="Q2213" s="2">
        <v>23.037179999999999</v>
      </c>
    </row>
    <row r="2214" spans="1:17" x14ac:dyDescent="0.25">
      <c r="A2214" s="2">
        <v>2396</v>
      </c>
      <c r="B2214" s="2" t="s">
        <v>120</v>
      </c>
      <c r="C2214" s="2">
        <v>8</v>
      </c>
      <c r="D2214" s="2">
        <f t="shared" si="340"/>
        <v>20.32</v>
      </c>
      <c r="E2214" s="2">
        <f t="shared" si="341"/>
        <v>6.4680568872546269</v>
      </c>
      <c r="F2214" s="2">
        <f t="shared" si="342"/>
        <v>2.5464790894703255</v>
      </c>
      <c r="G2214" s="2">
        <v>13.185528</v>
      </c>
      <c r="H2214" s="2">
        <f t="shared" si="343"/>
        <v>43.259607683519995</v>
      </c>
      <c r="I2214" s="2">
        <f>INDEX('Wood Density Lookup'!$B$2:$B$152,MATCH(B2214,'Wood Density Lookup'!$A$2:$A$152,0))</f>
        <v>0.8</v>
      </c>
      <c r="J2214" s="2">
        <f t="shared" si="344"/>
        <v>25.661178296078205</v>
      </c>
      <c r="K2214" s="2">
        <f t="shared" si="348"/>
        <v>7.1851299229018979</v>
      </c>
      <c r="L2214" s="2">
        <f t="shared" si="349"/>
        <v>32.846308218980106</v>
      </c>
      <c r="M2214" s="2">
        <f t="shared" si="345"/>
        <v>23.813573458760576</v>
      </c>
      <c r="N2214" s="2">
        <f t="shared" si="346"/>
        <v>11.906786729380288</v>
      </c>
      <c r="O2214" s="2">
        <f t="shared" si="347"/>
        <v>43.697907296825655</v>
      </c>
      <c r="P2214" s="2">
        <v>72.552772000000004</v>
      </c>
      <c r="Q2214" s="2">
        <v>23.035657</v>
      </c>
    </row>
    <row r="2215" spans="1:17" x14ac:dyDescent="0.25">
      <c r="A2215" s="2">
        <v>2397</v>
      </c>
      <c r="B2215" s="2" t="s">
        <v>140</v>
      </c>
      <c r="C2215" s="2">
        <v>17</v>
      </c>
      <c r="D2215" s="2">
        <f t="shared" si="340"/>
        <v>43.18</v>
      </c>
      <c r="E2215" s="2">
        <f t="shared" si="341"/>
        <v>13.744620885416081</v>
      </c>
      <c r="F2215" s="2">
        <f t="shared" si="342"/>
        <v>5.4112680651244416</v>
      </c>
      <c r="G2215" s="2">
        <v>13.960622000000001</v>
      </c>
      <c r="H2215" s="2">
        <f t="shared" si="343"/>
        <v>45.802567082480003</v>
      </c>
      <c r="I2215" s="2">
        <f>INDEX('Wood Density Lookup'!$B$2:$B$152,MATCH(B2215,'Wood Density Lookup'!$A$2:$A$152,0))</f>
        <v>0.6</v>
      </c>
      <c r="J2215" s="2">
        <f t="shared" si="344"/>
        <v>89.238630396230988</v>
      </c>
      <c r="K2215" s="2">
        <f t="shared" si="348"/>
        <v>24.986816510944678</v>
      </c>
      <c r="L2215" s="2">
        <f t="shared" si="349"/>
        <v>114.22544690717567</v>
      </c>
      <c r="M2215" s="2">
        <f t="shared" si="345"/>
        <v>82.81344900770236</v>
      </c>
      <c r="N2215" s="2">
        <f t="shared" si="346"/>
        <v>41.40672450385118</v>
      </c>
      <c r="O2215" s="2">
        <f t="shared" si="347"/>
        <v>151.96267892913383</v>
      </c>
      <c r="P2215" s="2">
        <v>72.552777000000006</v>
      </c>
      <c r="Q2215" s="2">
        <v>23.034935999999998</v>
      </c>
    </row>
    <row r="2216" spans="1:17" x14ac:dyDescent="0.25">
      <c r="A2216" s="2">
        <v>2398</v>
      </c>
      <c r="B2216" s="2" t="s">
        <v>142</v>
      </c>
      <c r="C2216" s="2">
        <v>42</v>
      </c>
      <c r="D2216" s="2">
        <f t="shared" si="340"/>
        <v>106.68</v>
      </c>
      <c r="E2216" s="2">
        <f t="shared" si="341"/>
        <v>33.957298658086792</v>
      </c>
      <c r="F2216" s="2">
        <f t="shared" si="342"/>
        <v>13.369015219719209</v>
      </c>
      <c r="G2216" s="2">
        <v>2.059542</v>
      </c>
      <c r="H2216" s="2">
        <f t="shared" si="343"/>
        <v>6.7570277752800001</v>
      </c>
      <c r="I2216" s="2">
        <f>INDEX('Wood Density Lookup'!$B$2:$B$152,MATCH(B2216,'Wood Density Lookup'!$A$2:$A$152,0))</f>
        <v>0.68</v>
      </c>
      <c r="J2216" s="2">
        <f t="shared" si="344"/>
        <v>91.025987365439605</v>
      </c>
      <c r="K2216" s="2">
        <f t="shared" si="348"/>
        <v>25.487276462323091</v>
      </c>
      <c r="L2216" s="2">
        <f t="shared" si="349"/>
        <v>116.5132638277627</v>
      </c>
      <c r="M2216" s="2">
        <f t="shared" si="345"/>
        <v>84.472116275127959</v>
      </c>
      <c r="N2216" s="2">
        <f t="shared" si="346"/>
        <v>42.23605813756398</v>
      </c>
      <c r="O2216" s="2">
        <f t="shared" si="347"/>
        <v>155.00633336485981</v>
      </c>
      <c r="P2216" s="2">
        <v>72.552779999999998</v>
      </c>
      <c r="Q2216" s="2">
        <v>23.035316999999999</v>
      </c>
    </row>
    <row r="2217" spans="1:17" x14ac:dyDescent="0.25">
      <c r="A2217" s="2">
        <v>2399</v>
      </c>
      <c r="B2217" s="2" t="s">
        <v>143</v>
      </c>
      <c r="C2217" s="2">
        <v>48</v>
      </c>
      <c r="D2217" s="2">
        <f t="shared" si="340"/>
        <v>121.92</v>
      </c>
      <c r="E2217" s="2">
        <f t="shared" si="341"/>
        <v>38.808341323527763</v>
      </c>
      <c r="F2217" s="2">
        <f t="shared" si="342"/>
        <v>15.278874536821952</v>
      </c>
      <c r="G2217" s="2">
        <v>19.548030000000001</v>
      </c>
      <c r="H2217" s="2">
        <f t="shared" si="343"/>
        <v>64.133958745200005</v>
      </c>
      <c r="I2217" s="2">
        <f>INDEX('Wood Density Lookup'!$B$2:$B$152,MATCH(B2217,'Wood Density Lookup'!$A$2:$A$152,0))</f>
        <v>0.75</v>
      </c>
      <c r="J2217" s="2">
        <f t="shared" si="344"/>
        <v>1168.8886481423849</v>
      </c>
      <c r="K2217" s="2">
        <f t="shared" si="348"/>
        <v>327.28882147986781</v>
      </c>
      <c r="L2217" s="2">
        <f t="shared" si="349"/>
        <v>1496.1774696222528</v>
      </c>
      <c r="M2217" s="2">
        <f t="shared" si="345"/>
        <v>1084.7286654761333</v>
      </c>
      <c r="N2217" s="2">
        <f t="shared" si="346"/>
        <v>542.36433273806665</v>
      </c>
      <c r="O2217" s="2">
        <f t="shared" si="347"/>
        <v>1990.4771011487046</v>
      </c>
      <c r="P2217" s="2">
        <v>72.552783000000005</v>
      </c>
      <c r="Q2217" s="2">
        <v>23.035240999999999</v>
      </c>
    </row>
    <row r="2218" spans="1:17" x14ac:dyDescent="0.25">
      <c r="A2218" s="2">
        <v>2400</v>
      </c>
      <c r="B2218" s="2" t="s">
        <v>15</v>
      </c>
      <c r="C2218" s="2">
        <v>7</v>
      </c>
      <c r="D2218" s="2">
        <f t="shared" si="340"/>
        <v>17.78</v>
      </c>
      <c r="E2218" s="2">
        <f t="shared" si="341"/>
        <v>5.6595497763477987</v>
      </c>
      <c r="F2218" s="2">
        <f t="shared" si="342"/>
        <v>2.228169203286535</v>
      </c>
      <c r="G2218" s="2">
        <v>6.4621959999999996</v>
      </c>
      <c r="H2218" s="2">
        <f t="shared" si="343"/>
        <v>21.201431124639999</v>
      </c>
      <c r="I2218" s="2">
        <f>INDEX('Wood Density Lookup'!$B$2:$B$152,MATCH(B2218,'Wood Density Lookup'!$A$2:$A$152,0))</f>
        <v>0.75</v>
      </c>
      <c r="J2218" s="2">
        <f t="shared" si="344"/>
        <v>9.2562717820694775</v>
      </c>
      <c r="K2218" s="2">
        <f t="shared" si="348"/>
        <v>2.5917560989794541</v>
      </c>
      <c r="L2218" s="2">
        <f t="shared" si="349"/>
        <v>11.848027881048932</v>
      </c>
      <c r="M2218" s="2">
        <f t="shared" si="345"/>
        <v>8.5898202137604756</v>
      </c>
      <c r="N2218" s="2">
        <f t="shared" si="346"/>
        <v>4.2949101068802378</v>
      </c>
      <c r="O2218" s="2">
        <f t="shared" si="347"/>
        <v>15.762320092250473</v>
      </c>
      <c r="P2218" s="2">
        <v>72.552783000000005</v>
      </c>
      <c r="Q2218" s="2">
        <v>23.035371000000001</v>
      </c>
    </row>
    <row r="2219" spans="1:17" x14ac:dyDescent="0.25">
      <c r="A2219" s="2">
        <v>2401</v>
      </c>
      <c r="B2219" s="2" t="s">
        <v>124</v>
      </c>
      <c r="C2219" s="2">
        <v>4</v>
      </c>
      <c r="D2219" s="2">
        <f t="shared" si="340"/>
        <v>10.16</v>
      </c>
      <c r="E2219" s="2">
        <f t="shared" si="341"/>
        <v>3.2340284436273135</v>
      </c>
      <c r="F2219" s="2">
        <f t="shared" si="342"/>
        <v>1.2732395447351628</v>
      </c>
      <c r="G2219" s="2">
        <v>1.042961</v>
      </c>
      <c r="H2219" s="2">
        <f t="shared" si="343"/>
        <v>3.4217881672399999</v>
      </c>
      <c r="I2219" s="2">
        <f>INDEX('Wood Density Lookup'!$B$2:$B$152,MATCH(B2219,'Wood Density Lookup'!$A$2:$A$152,0))</f>
        <v>0.55000000000000004</v>
      </c>
      <c r="J2219" s="2">
        <f t="shared" si="344"/>
        <v>0.38677522803974668</v>
      </c>
      <c r="K2219" s="2">
        <f t="shared" si="348"/>
        <v>0.10829706385112908</v>
      </c>
      <c r="L2219" s="2">
        <f t="shared" si="349"/>
        <v>0.49507229189087576</v>
      </c>
      <c r="M2219" s="2">
        <f t="shared" si="345"/>
        <v>0.35892741162088493</v>
      </c>
      <c r="N2219" s="2">
        <f t="shared" si="346"/>
        <v>0.17946370581044246</v>
      </c>
      <c r="O2219" s="2">
        <f t="shared" si="347"/>
        <v>0.65863180032432378</v>
      </c>
      <c r="P2219" s="2">
        <v>72.552783000000005</v>
      </c>
      <c r="Q2219" s="2">
        <v>23.037134000000002</v>
      </c>
    </row>
    <row r="2220" spans="1:17" x14ac:dyDescent="0.25">
      <c r="A2220" s="2">
        <v>2402</v>
      </c>
      <c r="B2220" s="2" t="s">
        <v>50</v>
      </c>
      <c r="C2220" s="2">
        <v>3</v>
      </c>
      <c r="D2220" s="2">
        <f t="shared" si="340"/>
        <v>7.62</v>
      </c>
      <c r="E2220" s="2">
        <f t="shared" si="341"/>
        <v>2.4255213327204852</v>
      </c>
      <c r="F2220" s="2">
        <f t="shared" si="342"/>
        <v>0.95492965855137202</v>
      </c>
      <c r="G2220" s="2">
        <v>1.3887750000000001</v>
      </c>
      <c r="H2220" s="2">
        <f t="shared" si="343"/>
        <v>4.556348571</v>
      </c>
      <c r="I2220" s="2">
        <f>INDEX('Wood Density Lookup'!$B$2:$B$152,MATCH(B2220,'Wood Density Lookup'!$A$2:$A$152,0))</f>
        <v>0.5</v>
      </c>
      <c r="J2220" s="2">
        <f t="shared" si="344"/>
        <v>0.26580189056286108</v>
      </c>
      <c r="K2220" s="2">
        <f t="shared" si="348"/>
        <v>7.4424529357601105E-2</v>
      </c>
      <c r="L2220" s="2">
        <f t="shared" si="349"/>
        <v>0.34022641992046221</v>
      </c>
      <c r="M2220" s="2">
        <f t="shared" si="345"/>
        <v>0.24666415444233508</v>
      </c>
      <c r="N2220" s="2">
        <f t="shared" si="346"/>
        <v>0.12333207722116754</v>
      </c>
      <c r="O2220" s="2">
        <f t="shared" si="347"/>
        <v>0.45262872340168486</v>
      </c>
      <c r="P2220" s="2">
        <v>72.552784000000003</v>
      </c>
      <c r="Q2220" s="2">
        <v>23.03772</v>
      </c>
    </row>
    <row r="2221" spans="1:17" x14ac:dyDescent="0.25">
      <c r="A2221" s="2">
        <v>2403</v>
      </c>
      <c r="B2221" s="2" t="s">
        <v>28</v>
      </c>
      <c r="C2221" s="2">
        <v>14</v>
      </c>
      <c r="D2221" s="2">
        <f t="shared" si="340"/>
        <v>35.56</v>
      </c>
      <c r="E2221" s="2">
        <f t="shared" si="341"/>
        <v>11.319099552695597</v>
      </c>
      <c r="F2221" s="2">
        <f t="shared" si="342"/>
        <v>4.45633840657307</v>
      </c>
      <c r="G2221" s="2">
        <v>14.223660000000001</v>
      </c>
      <c r="H2221" s="2">
        <f t="shared" si="343"/>
        <v>46.665552674400004</v>
      </c>
      <c r="I2221" s="2">
        <f>INDEX('Wood Density Lookup'!$B$2:$B$152,MATCH(B2221,'Wood Density Lookup'!$A$2:$A$152,0))</f>
        <v>0.7</v>
      </c>
      <c r="J2221" s="2">
        <f t="shared" si="344"/>
        <v>72.31204272982535</v>
      </c>
      <c r="K2221" s="2">
        <f t="shared" si="348"/>
        <v>20.2473719643511</v>
      </c>
      <c r="L2221" s="2">
        <f t="shared" si="349"/>
        <v>92.559414694176454</v>
      </c>
      <c r="M2221" s="2">
        <f t="shared" si="345"/>
        <v>67.105575653277924</v>
      </c>
      <c r="N2221" s="2">
        <f t="shared" si="346"/>
        <v>33.552787826638962</v>
      </c>
      <c r="O2221" s="2">
        <f t="shared" si="347"/>
        <v>123.13873132376499</v>
      </c>
      <c r="P2221" s="2">
        <v>72.552785999999998</v>
      </c>
      <c r="Q2221" s="2">
        <v>23.035675999999999</v>
      </c>
    </row>
    <row r="2222" spans="1:17" x14ac:dyDescent="0.25">
      <c r="A2222" s="2">
        <v>2404</v>
      </c>
      <c r="B2222" s="2" t="s">
        <v>9</v>
      </c>
      <c r="C2222" s="2">
        <v>34</v>
      </c>
      <c r="D2222" s="2">
        <f t="shared" si="340"/>
        <v>86.36</v>
      </c>
      <c r="E2222" s="2">
        <f t="shared" si="341"/>
        <v>27.489241770832162</v>
      </c>
      <c r="F2222" s="2">
        <f t="shared" si="342"/>
        <v>10.822536130248883</v>
      </c>
      <c r="G2222" s="2">
        <v>14.643716</v>
      </c>
      <c r="H2222" s="2">
        <f t="shared" si="343"/>
        <v>48.043689201439996</v>
      </c>
      <c r="I2222" s="2">
        <f>INDEX('Wood Density Lookup'!$B$2:$B$152,MATCH(B2222,'Wood Density Lookup'!$A$2:$A$152,0))</f>
        <v>0.42</v>
      </c>
      <c r="J2222" s="2">
        <f t="shared" si="344"/>
        <v>255.40403107666887</v>
      </c>
      <c r="K2222" s="2">
        <f t="shared" si="348"/>
        <v>71.513128701467295</v>
      </c>
      <c r="L2222" s="2">
        <f t="shared" si="349"/>
        <v>326.91715977813618</v>
      </c>
      <c r="M2222" s="2">
        <f t="shared" si="345"/>
        <v>237.01494083914872</v>
      </c>
      <c r="N2222" s="2">
        <f t="shared" si="346"/>
        <v>118.50747041957436</v>
      </c>
      <c r="O2222" s="2">
        <f t="shared" si="347"/>
        <v>434.92241643983789</v>
      </c>
      <c r="P2222" s="2">
        <v>72.552790999999999</v>
      </c>
      <c r="Q2222" s="2">
        <v>23.035710999999999</v>
      </c>
    </row>
    <row r="2223" spans="1:17" x14ac:dyDescent="0.25">
      <c r="A2223" s="2">
        <v>2405</v>
      </c>
      <c r="B2223" s="2" t="s">
        <v>109</v>
      </c>
      <c r="C2223" s="2">
        <v>16</v>
      </c>
      <c r="D2223" s="2">
        <f t="shared" si="340"/>
        <v>40.64</v>
      </c>
      <c r="E2223" s="2">
        <f t="shared" si="341"/>
        <v>12.936113774509254</v>
      </c>
      <c r="F2223" s="2">
        <f t="shared" si="342"/>
        <v>5.0929581789406511</v>
      </c>
      <c r="G2223" s="2">
        <v>2.0611429999999999</v>
      </c>
      <c r="H2223" s="2">
        <f t="shared" si="343"/>
        <v>6.7622804001199999</v>
      </c>
      <c r="I2223" s="2">
        <f>INDEX('Wood Density Lookup'!$B$2:$B$152,MATCH(B2223,'Wood Density Lookup'!$A$2:$A$152,0))</f>
        <v>0.7</v>
      </c>
      <c r="J2223" s="2">
        <f t="shared" si="344"/>
        <v>14.2443077972327</v>
      </c>
      <c r="K2223" s="2">
        <f t="shared" si="348"/>
        <v>3.9884061832251563</v>
      </c>
      <c r="L2223" s="2">
        <f t="shared" si="349"/>
        <v>18.232713980457856</v>
      </c>
      <c r="M2223" s="2">
        <f t="shared" si="345"/>
        <v>13.218717635831945</v>
      </c>
      <c r="N2223" s="2">
        <f t="shared" si="346"/>
        <v>6.6093588179159726</v>
      </c>
      <c r="O2223" s="2">
        <f t="shared" si="347"/>
        <v>24.25634686175162</v>
      </c>
      <c r="P2223" s="2">
        <v>72.552790999999999</v>
      </c>
      <c r="Q2223" s="2">
        <v>23.036670999999998</v>
      </c>
    </row>
    <row r="2224" spans="1:17" x14ac:dyDescent="0.25">
      <c r="A2224" s="2">
        <v>2406</v>
      </c>
      <c r="B2224" s="2" t="s">
        <v>41</v>
      </c>
      <c r="C2224" s="2">
        <v>6</v>
      </c>
      <c r="D2224" s="2">
        <f t="shared" si="340"/>
        <v>15.24</v>
      </c>
      <c r="E2224" s="2">
        <f t="shared" si="341"/>
        <v>4.8510426654409704</v>
      </c>
      <c r="F2224" s="2">
        <f t="shared" si="342"/>
        <v>1.909859317102744</v>
      </c>
      <c r="G2224" s="2">
        <v>9.3631799999999998</v>
      </c>
      <c r="H2224" s="2">
        <f t="shared" si="343"/>
        <v>30.719095471199999</v>
      </c>
      <c r="I2224" s="2">
        <f>INDEX('Wood Density Lookup'!$B$2:$B$152,MATCH(B2224,'Wood Density Lookup'!$A$2:$A$152,0))</f>
        <v>0.75</v>
      </c>
      <c r="J2224" s="2">
        <f t="shared" si="344"/>
        <v>9.838619680263502</v>
      </c>
      <c r="K2224" s="2">
        <f t="shared" si="348"/>
        <v>2.754813510473781</v>
      </c>
      <c r="L2224" s="2">
        <f t="shared" si="349"/>
        <v>12.593433190737283</v>
      </c>
      <c r="M2224" s="2">
        <f t="shared" si="345"/>
        <v>9.1302390632845292</v>
      </c>
      <c r="N2224" s="2">
        <f t="shared" si="346"/>
        <v>4.5651195316422646</v>
      </c>
      <c r="O2224" s="2">
        <f t="shared" si="347"/>
        <v>16.753988681127112</v>
      </c>
      <c r="P2224" s="2">
        <v>72.552794000000006</v>
      </c>
      <c r="Q2224" s="2">
        <v>23.034887000000001</v>
      </c>
    </row>
    <row r="2225" spans="1:17" x14ac:dyDescent="0.25">
      <c r="A2225" s="2">
        <v>2407</v>
      </c>
      <c r="B2225" s="2" t="s">
        <v>17</v>
      </c>
      <c r="C2225" s="2">
        <v>28</v>
      </c>
      <c r="D2225" s="2">
        <f t="shared" si="340"/>
        <v>71.12</v>
      </c>
      <c r="E2225" s="2">
        <f t="shared" si="341"/>
        <v>22.638199105391195</v>
      </c>
      <c r="F2225" s="2">
        <f t="shared" si="342"/>
        <v>8.91267681314614</v>
      </c>
      <c r="G2225" s="2">
        <v>6.3556239999999997</v>
      </c>
      <c r="H2225" s="2">
        <f t="shared" si="343"/>
        <v>20.851785444159997</v>
      </c>
      <c r="I2225" s="2">
        <f>INDEX('Wood Density Lookup'!$B$2:$B$152,MATCH(B2225,'Wood Density Lookup'!$A$2:$A$152,0))</f>
        <v>0.75</v>
      </c>
      <c r="J2225" s="2">
        <f t="shared" si="344"/>
        <v>136.33538768673003</v>
      </c>
      <c r="K2225" s="2">
        <f t="shared" si="348"/>
        <v>38.173908552284409</v>
      </c>
      <c r="L2225" s="2">
        <f t="shared" si="349"/>
        <v>174.50929623901445</v>
      </c>
      <c r="M2225" s="2">
        <f t="shared" si="345"/>
        <v>126.51923977328546</v>
      </c>
      <c r="N2225" s="2">
        <f t="shared" si="346"/>
        <v>63.259619886642732</v>
      </c>
      <c r="O2225" s="2">
        <f t="shared" si="347"/>
        <v>232.16280498397882</v>
      </c>
      <c r="P2225" s="2">
        <v>72.552795000000003</v>
      </c>
      <c r="Q2225" s="2">
        <v>23.035450999999998</v>
      </c>
    </row>
    <row r="2226" spans="1:17" x14ac:dyDescent="0.25">
      <c r="A2226" s="2">
        <v>2408</v>
      </c>
      <c r="B2226" s="2" t="s">
        <v>143</v>
      </c>
      <c r="C2226" s="2">
        <v>6</v>
      </c>
      <c r="D2226" s="2">
        <f t="shared" si="340"/>
        <v>15.24</v>
      </c>
      <c r="E2226" s="2">
        <f t="shared" si="341"/>
        <v>4.8510426654409704</v>
      </c>
      <c r="F2226" s="2">
        <f t="shared" si="342"/>
        <v>1.909859317102744</v>
      </c>
      <c r="G2226" s="2">
        <v>2.0459550000000002</v>
      </c>
      <c r="H2226" s="2">
        <f t="shared" si="343"/>
        <v>6.7124510022000008</v>
      </c>
      <c r="I2226" s="2">
        <f>INDEX('Wood Density Lookup'!$B$2:$B$152,MATCH(B2226,'Wood Density Lookup'!$A$2:$A$152,0))</f>
        <v>0.75</v>
      </c>
      <c r="J2226" s="2">
        <f t="shared" si="344"/>
        <v>2.2297672523448404</v>
      </c>
      <c r="K2226" s="2">
        <f t="shared" si="348"/>
        <v>0.62433483065655537</v>
      </c>
      <c r="L2226" s="2">
        <f t="shared" si="349"/>
        <v>2.8541020830013957</v>
      </c>
      <c r="M2226" s="2">
        <f t="shared" si="345"/>
        <v>2.0692240101760118</v>
      </c>
      <c r="N2226" s="2">
        <f t="shared" si="346"/>
        <v>1.0346120050880059</v>
      </c>
      <c r="O2226" s="2">
        <f t="shared" si="347"/>
        <v>3.7970260586729814</v>
      </c>
      <c r="P2226" s="2">
        <v>72.552796000000001</v>
      </c>
      <c r="Q2226" s="2">
        <v>23.038129000000001</v>
      </c>
    </row>
    <row r="2227" spans="1:17" x14ac:dyDescent="0.25">
      <c r="A2227" s="2">
        <v>2410</v>
      </c>
      <c r="B2227" s="2" t="s">
        <v>148</v>
      </c>
      <c r="C2227" s="2">
        <v>6</v>
      </c>
      <c r="D2227" s="2">
        <f t="shared" si="340"/>
        <v>15.24</v>
      </c>
      <c r="E2227" s="2">
        <f t="shared" si="341"/>
        <v>4.8510426654409704</v>
      </c>
      <c r="F2227" s="2">
        <f t="shared" si="342"/>
        <v>1.909859317102744</v>
      </c>
      <c r="G2227" s="2">
        <v>12.045659000000001</v>
      </c>
      <c r="H2227" s="2">
        <f t="shared" si="343"/>
        <v>39.519879873560001</v>
      </c>
      <c r="I2227" s="2">
        <f>INDEX('Wood Density Lookup'!$B$2:$B$152,MATCH(B2227,'Wood Density Lookup'!$A$2:$A$152,0))</f>
        <v>0.5</v>
      </c>
      <c r="J2227" s="2">
        <f t="shared" si="344"/>
        <v>8.4693586374955938</v>
      </c>
      <c r="K2227" s="2">
        <f t="shared" si="348"/>
        <v>2.3714204184987664</v>
      </c>
      <c r="L2227" s="2">
        <f t="shared" si="349"/>
        <v>10.840779055994361</v>
      </c>
      <c r="M2227" s="2">
        <f t="shared" si="345"/>
        <v>7.8595648155959115</v>
      </c>
      <c r="N2227" s="2">
        <f t="shared" si="346"/>
        <v>3.9297824077979557</v>
      </c>
      <c r="O2227" s="2">
        <f t="shared" si="347"/>
        <v>14.422301436618497</v>
      </c>
      <c r="P2227" s="2">
        <v>72.552796000000001</v>
      </c>
      <c r="Q2227" s="2">
        <v>23.034927</v>
      </c>
    </row>
    <row r="2228" spans="1:17" x14ac:dyDescent="0.25">
      <c r="A2228" s="2">
        <v>2411</v>
      </c>
      <c r="B2228" s="2" t="s">
        <v>143</v>
      </c>
      <c r="C2228" s="2">
        <v>6</v>
      </c>
      <c r="D2228" s="2">
        <f t="shared" si="340"/>
        <v>15.24</v>
      </c>
      <c r="E2228" s="2">
        <f t="shared" si="341"/>
        <v>4.8510426654409704</v>
      </c>
      <c r="F2228" s="2">
        <f t="shared" si="342"/>
        <v>1.909859317102744</v>
      </c>
      <c r="G2228" s="2">
        <v>4.6189109999999998</v>
      </c>
      <c r="H2228" s="2">
        <f t="shared" si="343"/>
        <v>15.153907965239998</v>
      </c>
      <c r="I2228" s="2">
        <f>INDEX('Wood Density Lookup'!$B$2:$B$152,MATCH(B2228,'Wood Density Lookup'!$A$2:$A$152,0))</f>
        <v>0.75</v>
      </c>
      <c r="J2228" s="2">
        <f t="shared" si="344"/>
        <v>4.9364598058142439</v>
      </c>
      <c r="K2228" s="2">
        <f t="shared" si="348"/>
        <v>1.3822087456279883</v>
      </c>
      <c r="L2228" s="2">
        <f t="shared" si="349"/>
        <v>6.3186685514422321</v>
      </c>
      <c r="M2228" s="2">
        <f t="shared" si="345"/>
        <v>4.5810346997956177</v>
      </c>
      <c r="N2228" s="2">
        <f t="shared" si="346"/>
        <v>2.2905173498978089</v>
      </c>
      <c r="O2228" s="2">
        <f t="shared" si="347"/>
        <v>8.4061986741249584</v>
      </c>
      <c r="P2228" s="2">
        <v>72.552797999999996</v>
      </c>
      <c r="Q2228" s="2">
        <v>23.038208000000001</v>
      </c>
    </row>
    <row r="2229" spans="1:17" x14ac:dyDescent="0.25">
      <c r="A2229" s="2">
        <v>2412</v>
      </c>
      <c r="B2229" s="2" t="s">
        <v>107</v>
      </c>
      <c r="C2229" s="2">
        <v>4</v>
      </c>
      <c r="D2229" s="2">
        <f t="shared" si="340"/>
        <v>10.16</v>
      </c>
      <c r="E2229" s="2">
        <f t="shared" si="341"/>
        <v>3.2340284436273135</v>
      </c>
      <c r="F2229" s="2">
        <f t="shared" si="342"/>
        <v>1.2732395447351628</v>
      </c>
      <c r="G2229" s="2">
        <v>1.691171</v>
      </c>
      <c r="H2229" s="2">
        <f t="shared" si="343"/>
        <v>5.5484614636399998</v>
      </c>
      <c r="I2229" s="2">
        <f>INDEX('Wood Density Lookup'!$B$2:$B$152,MATCH(B2229,'Wood Density Lookup'!$A$2:$A$152,0))</f>
        <v>0.65</v>
      </c>
      <c r="J2229" s="2">
        <f t="shared" si="344"/>
        <v>0.72970864083020859</v>
      </c>
      <c r="K2229" s="2">
        <f t="shared" si="348"/>
        <v>0.20431841943245843</v>
      </c>
      <c r="L2229" s="2">
        <f t="shared" si="349"/>
        <v>0.93402706026266702</v>
      </c>
      <c r="M2229" s="2">
        <f t="shared" si="345"/>
        <v>0.67716961869043357</v>
      </c>
      <c r="N2229" s="2">
        <f t="shared" si="346"/>
        <v>0.33858480934521679</v>
      </c>
      <c r="O2229" s="2">
        <f t="shared" si="347"/>
        <v>1.2426062502969455</v>
      </c>
      <c r="P2229" s="2">
        <v>72.552797999999996</v>
      </c>
      <c r="Q2229" s="2">
        <v>23.038163999999998</v>
      </c>
    </row>
    <row r="2230" spans="1:17" x14ac:dyDescent="0.25">
      <c r="A2230" s="2">
        <v>2413</v>
      </c>
      <c r="B2230" s="2" t="s">
        <v>138</v>
      </c>
      <c r="C2230" s="2">
        <v>5</v>
      </c>
      <c r="D2230" s="2">
        <f t="shared" si="340"/>
        <v>12.7</v>
      </c>
      <c r="E2230" s="2">
        <f t="shared" si="341"/>
        <v>4.0425355545341413</v>
      </c>
      <c r="F2230" s="2">
        <f t="shared" si="342"/>
        <v>1.5915494309189535</v>
      </c>
      <c r="G2230" s="2">
        <v>9.7161620000000006</v>
      </c>
      <c r="H2230" s="2">
        <f t="shared" si="343"/>
        <v>31.877172936080001</v>
      </c>
      <c r="I2230" s="2">
        <f>INDEX('Wood Density Lookup'!$B$2:$B$152,MATCH(B2230,'Wood Density Lookup'!$A$2:$A$152,0))</f>
        <v>0.5</v>
      </c>
      <c r="J2230" s="2">
        <f t="shared" si="344"/>
        <v>4.8105305120786639</v>
      </c>
      <c r="K2230" s="2">
        <f t="shared" si="348"/>
        <v>1.3469485433820261</v>
      </c>
      <c r="L2230" s="2">
        <f t="shared" si="349"/>
        <v>6.1574790554606897</v>
      </c>
      <c r="M2230" s="2">
        <f t="shared" si="345"/>
        <v>4.4641723152089998</v>
      </c>
      <c r="N2230" s="2">
        <f t="shared" si="346"/>
        <v>2.2320861576044999</v>
      </c>
      <c r="O2230" s="2">
        <f t="shared" si="347"/>
        <v>8.1917561984085143</v>
      </c>
      <c r="P2230" s="2">
        <v>72.552801000000002</v>
      </c>
      <c r="Q2230" s="2">
        <v>23.035471000000001</v>
      </c>
    </row>
    <row r="2231" spans="1:17" x14ac:dyDescent="0.25">
      <c r="A2231" s="2">
        <v>2414</v>
      </c>
      <c r="B2231" s="2" t="s">
        <v>78</v>
      </c>
      <c r="C2231" s="2">
        <v>15</v>
      </c>
      <c r="D2231" s="2">
        <f t="shared" si="340"/>
        <v>38.1</v>
      </c>
      <c r="E2231" s="2">
        <f t="shared" si="341"/>
        <v>12.127606663602425</v>
      </c>
      <c r="F2231" s="2">
        <f t="shared" si="342"/>
        <v>4.7746482927568605</v>
      </c>
      <c r="G2231" s="2">
        <v>1.0164409999999999</v>
      </c>
      <c r="H2231" s="2">
        <f t="shared" si="343"/>
        <v>3.3347802904399999</v>
      </c>
      <c r="I2231" s="2">
        <f>INDEX('Wood Density Lookup'!$B$2:$B$152,MATCH(B2231,'Wood Density Lookup'!$A$2:$A$152,0))</f>
        <v>0.55000000000000004</v>
      </c>
      <c r="J2231" s="2">
        <f t="shared" si="344"/>
        <v>4.977946821245455</v>
      </c>
      <c r="K2231" s="2">
        <f t="shared" si="348"/>
        <v>1.3938251099487275</v>
      </c>
      <c r="L2231" s="2">
        <f t="shared" si="349"/>
        <v>6.3717719311941821</v>
      </c>
      <c r="M2231" s="2">
        <f t="shared" si="345"/>
        <v>4.6195346501157815</v>
      </c>
      <c r="N2231" s="2">
        <f t="shared" si="346"/>
        <v>2.3097673250578907</v>
      </c>
      <c r="O2231" s="2">
        <f t="shared" si="347"/>
        <v>8.4768460829624583</v>
      </c>
      <c r="P2231" s="2">
        <v>72.552802</v>
      </c>
      <c r="Q2231" s="2">
        <v>23.038070999999999</v>
      </c>
    </row>
    <row r="2232" spans="1:17" x14ac:dyDescent="0.25">
      <c r="A2232" s="2">
        <v>2415</v>
      </c>
      <c r="B2232" s="2" t="s">
        <v>15</v>
      </c>
      <c r="C2232" s="2">
        <v>36</v>
      </c>
      <c r="D2232" s="2">
        <f t="shared" si="340"/>
        <v>91.44</v>
      </c>
      <c r="E2232" s="2">
        <f t="shared" si="341"/>
        <v>29.106255992645821</v>
      </c>
      <c r="F2232" s="2">
        <f t="shared" si="342"/>
        <v>11.459155902616464</v>
      </c>
      <c r="G2232" s="2">
        <v>12.915767000000001</v>
      </c>
      <c r="H2232" s="2">
        <f t="shared" si="343"/>
        <v>42.374565004280001</v>
      </c>
      <c r="I2232" s="2">
        <f>INDEX('Wood Density Lookup'!$B$2:$B$152,MATCH(B2232,'Wood Density Lookup'!$A$2:$A$152,0))</f>
        <v>0.75</v>
      </c>
      <c r="J2232" s="2">
        <f t="shared" si="344"/>
        <v>444.86631148182403</v>
      </c>
      <c r="K2232" s="2">
        <f t="shared" si="348"/>
        <v>124.56256721491074</v>
      </c>
      <c r="L2232" s="2">
        <f t="shared" si="349"/>
        <v>569.42887869673473</v>
      </c>
      <c r="M2232" s="2">
        <f t="shared" si="345"/>
        <v>412.83593705513266</v>
      </c>
      <c r="N2232" s="2">
        <f t="shared" si="346"/>
        <v>206.41796852756633</v>
      </c>
      <c r="O2232" s="2">
        <f t="shared" si="347"/>
        <v>757.55394449616847</v>
      </c>
      <c r="P2232" s="2">
        <v>72.552802</v>
      </c>
      <c r="Q2232" s="2">
        <v>23.035081999999999</v>
      </c>
    </row>
    <row r="2233" spans="1:17" x14ac:dyDescent="0.25">
      <c r="A2233" s="2">
        <v>2416</v>
      </c>
      <c r="B2233" s="2" t="s">
        <v>49</v>
      </c>
      <c r="C2233" s="2">
        <v>4</v>
      </c>
      <c r="D2233" s="2">
        <f t="shared" si="340"/>
        <v>10.16</v>
      </c>
      <c r="E2233" s="2">
        <f t="shared" si="341"/>
        <v>3.2340284436273135</v>
      </c>
      <c r="F2233" s="2">
        <f t="shared" si="342"/>
        <v>1.2732395447351628</v>
      </c>
      <c r="G2233" s="2">
        <v>2.0466799999999998</v>
      </c>
      <c r="H2233" s="2">
        <f t="shared" si="343"/>
        <v>6.714829611199999</v>
      </c>
      <c r="I2233" s="2">
        <f>INDEX('Wood Density Lookup'!$B$2:$B$152,MATCH(B2233,'Wood Density Lookup'!$A$2:$A$152,0))</f>
        <v>0.78</v>
      </c>
      <c r="J2233" s="2">
        <f t="shared" si="344"/>
        <v>1.0502776163905745</v>
      </c>
      <c r="K2233" s="2">
        <f t="shared" si="348"/>
        <v>0.29407773258936087</v>
      </c>
      <c r="L2233" s="2">
        <f t="shared" si="349"/>
        <v>1.3443553489799354</v>
      </c>
      <c r="M2233" s="2">
        <f t="shared" si="345"/>
        <v>0.97465762801045308</v>
      </c>
      <c r="N2233" s="2">
        <f t="shared" si="346"/>
        <v>0.48732881400522654</v>
      </c>
      <c r="O2233" s="2">
        <f t="shared" si="347"/>
        <v>1.7884967473991813</v>
      </c>
      <c r="P2233" s="2">
        <v>72.552802</v>
      </c>
      <c r="Q2233" s="2">
        <v>23.038056999999998</v>
      </c>
    </row>
    <row r="2234" spans="1:17" x14ac:dyDescent="0.25">
      <c r="A2234" s="2">
        <v>2417</v>
      </c>
      <c r="B2234" s="2" t="s">
        <v>119</v>
      </c>
      <c r="C2234" s="2">
        <v>4</v>
      </c>
      <c r="D2234" s="2">
        <f t="shared" si="340"/>
        <v>10.16</v>
      </c>
      <c r="E2234" s="2">
        <f t="shared" si="341"/>
        <v>3.2340284436273135</v>
      </c>
      <c r="F2234" s="2">
        <f t="shared" si="342"/>
        <v>1.2732395447351628</v>
      </c>
      <c r="G2234" s="2">
        <v>1.1089690000000001</v>
      </c>
      <c r="H2234" s="2">
        <f t="shared" si="343"/>
        <v>3.6383498539600003</v>
      </c>
      <c r="I2234" s="2">
        <f>INDEX('Wood Density Lookup'!$B$2:$B$152,MATCH(B2234,'Wood Density Lookup'!$A$2:$A$152,0))</f>
        <v>0.6</v>
      </c>
      <c r="J2234" s="2">
        <f t="shared" si="344"/>
        <v>0.44704577151844488</v>
      </c>
      <c r="K2234" s="2">
        <f t="shared" si="348"/>
        <v>0.12517281602516458</v>
      </c>
      <c r="L2234" s="2">
        <f t="shared" si="349"/>
        <v>0.57221858754360944</v>
      </c>
      <c r="M2234" s="2">
        <f t="shared" si="345"/>
        <v>0.41485847596911685</v>
      </c>
      <c r="N2234" s="2">
        <f t="shared" si="346"/>
        <v>0.20742923798455842</v>
      </c>
      <c r="O2234" s="2">
        <f t="shared" si="347"/>
        <v>0.76126530340332943</v>
      </c>
      <c r="P2234" s="2">
        <v>72.552802</v>
      </c>
      <c r="Q2234" s="2">
        <v>23.038008999999999</v>
      </c>
    </row>
    <row r="2235" spans="1:17" x14ac:dyDescent="0.25">
      <c r="A2235" s="2">
        <v>2418</v>
      </c>
      <c r="B2235" s="2" t="s">
        <v>50</v>
      </c>
      <c r="C2235" s="2">
        <v>3</v>
      </c>
      <c r="D2235" s="2">
        <f t="shared" si="340"/>
        <v>7.62</v>
      </c>
      <c r="E2235" s="2">
        <f t="shared" si="341"/>
        <v>2.4255213327204852</v>
      </c>
      <c r="F2235" s="2">
        <f t="shared" si="342"/>
        <v>0.95492965855137202</v>
      </c>
      <c r="G2235" s="2">
        <v>1.174069</v>
      </c>
      <c r="H2235" s="2">
        <f t="shared" si="343"/>
        <v>3.8519325379600002</v>
      </c>
      <c r="I2235" s="2">
        <f>INDEX('Wood Density Lookup'!$B$2:$B$152,MATCH(B2235,'Wood Density Lookup'!$A$2:$A$152,0))</f>
        <v>0.5</v>
      </c>
      <c r="J2235" s="2">
        <f t="shared" si="344"/>
        <v>0.22561621818688304</v>
      </c>
      <c r="K2235" s="2">
        <f t="shared" si="348"/>
        <v>6.3172541092327256E-2</v>
      </c>
      <c r="L2235" s="2">
        <f t="shared" si="349"/>
        <v>0.28878875927921033</v>
      </c>
      <c r="M2235" s="2">
        <f t="shared" si="345"/>
        <v>0.20937185047742748</v>
      </c>
      <c r="N2235" s="2">
        <f t="shared" si="346"/>
        <v>0.10468592523871374</v>
      </c>
      <c r="O2235" s="2">
        <f t="shared" si="347"/>
        <v>0.38419734562607943</v>
      </c>
      <c r="P2235" s="2">
        <v>72.552805000000006</v>
      </c>
      <c r="Q2235" s="2">
        <v>23.037718999999999</v>
      </c>
    </row>
    <row r="2236" spans="1:17" x14ac:dyDescent="0.25">
      <c r="A2236" s="2">
        <v>2419</v>
      </c>
      <c r="B2236" s="2" t="s">
        <v>109</v>
      </c>
      <c r="C2236" s="2">
        <v>7</v>
      </c>
      <c r="D2236" s="2">
        <f t="shared" si="340"/>
        <v>17.78</v>
      </c>
      <c r="E2236" s="2">
        <f t="shared" si="341"/>
        <v>5.6595497763477987</v>
      </c>
      <c r="F2236" s="2">
        <f t="shared" si="342"/>
        <v>2.228169203286535</v>
      </c>
      <c r="G2236" s="2">
        <v>1.1333949999999999</v>
      </c>
      <c r="H2236" s="2">
        <f t="shared" si="343"/>
        <v>3.7184876517999998</v>
      </c>
      <c r="I2236" s="2">
        <f>INDEX('Wood Density Lookup'!$B$2:$B$152,MATCH(B2236,'Wood Density Lookup'!$A$2:$A$152,0))</f>
        <v>0.7</v>
      </c>
      <c r="J2236" s="2">
        <f t="shared" si="344"/>
        <v>1.5824759924832748</v>
      </c>
      <c r="K2236" s="2">
        <f t="shared" si="348"/>
        <v>0.44309327789531699</v>
      </c>
      <c r="L2236" s="2">
        <f t="shared" si="349"/>
        <v>2.0255692703785919</v>
      </c>
      <c r="M2236" s="2">
        <f t="shared" si="345"/>
        <v>1.468537721024479</v>
      </c>
      <c r="N2236" s="2">
        <f t="shared" si="346"/>
        <v>0.7342688605122395</v>
      </c>
      <c r="O2236" s="2">
        <f t="shared" si="347"/>
        <v>2.6947667180799191</v>
      </c>
      <c r="P2236" s="2">
        <v>72.552807999999999</v>
      </c>
      <c r="Q2236" s="2">
        <v>23.037967999999999</v>
      </c>
    </row>
    <row r="2237" spans="1:17" x14ac:dyDescent="0.25">
      <c r="A2237" s="2">
        <v>2420</v>
      </c>
      <c r="B2237" s="2" t="s">
        <v>25</v>
      </c>
      <c r="C2237" s="2">
        <v>8</v>
      </c>
      <c r="D2237" s="2">
        <f t="shared" si="340"/>
        <v>20.32</v>
      </c>
      <c r="E2237" s="2">
        <f t="shared" si="341"/>
        <v>6.4680568872546269</v>
      </c>
      <c r="F2237" s="2">
        <f t="shared" si="342"/>
        <v>2.5464790894703255</v>
      </c>
      <c r="G2237" s="2">
        <v>2.0310589999999999</v>
      </c>
      <c r="H2237" s="2">
        <f t="shared" si="343"/>
        <v>6.6635796095600002</v>
      </c>
      <c r="I2237" s="2">
        <f>INDEX('Wood Density Lookup'!$B$2:$B$152,MATCH(B2237,'Wood Density Lookup'!$A$2:$A$152,0))</f>
        <v>0.65</v>
      </c>
      <c r="J2237" s="2">
        <f t="shared" si="344"/>
        <v>3.3758739057867571</v>
      </c>
      <c r="K2237" s="2">
        <f t="shared" si="348"/>
        <v>0.94524469362029206</v>
      </c>
      <c r="L2237" s="2">
        <f t="shared" si="349"/>
        <v>4.3211185994070487</v>
      </c>
      <c r="M2237" s="2">
        <f t="shared" si="345"/>
        <v>3.13281098457011</v>
      </c>
      <c r="N2237" s="2">
        <f t="shared" si="346"/>
        <v>1.566405492285055</v>
      </c>
      <c r="O2237" s="2">
        <f t="shared" si="347"/>
        <v>5.7487081566861518</v>
      </c>
      <c r="P2237" s="2">
        <v>72.552808999999996</v>
      </c>
      <c r="Q2237" s="2">
        <v>23.037928000000001</v>
      </c>
    </row>
    <row r="2238" spans="1:17" x14ac:dyDescent="0.25">
      <c r="A2238" s="2">
        <v>2421</v>
      </c>
      <c r="B2238" s="2" t="s">
        <v>16</v>
      </c>
      <c r="C2238" s="2">
        <v>7</v>
      </c>
      <c r="D2238" s="2">
        <f t="shared" si="340"/>
        <v>17.78</v>
      </c>
      <c r="E2238" s="2">
        <f t="shared" si="341"/>
        <v>5.6595497763477987</v>
      </c>
      <c r="F2238" s="2">
        <f t="shared" si="342"/>
        <v>2.228169203286535</v>
      </c>
      <c r="G2238" s="2">
        <v>1.047666</v>
      </c>
      <c r="H2238" s="2">
        <f t="shared" si="343"/>
        <v>3.43722451944</v>
      </c>
      <c r="I2238" s="2">
        <f>INDEX('Wood Density Lookup'!$B$2:$B$152,MATCH(B2238,'Wood Density Lookup'!$A$2:$A$152,0))</f>
        <v>0.65</v>
      </c>
      <c r="J2238" s="2">
        <f t="shared" si="344"/>
        <v>1.3632836911123032</v>
      </c>
      <c r="K2238" s="2">
        <f t="shared" si="348"/>
        <v>0.38171943351144494</v>
      </c>
      <c r="L2238" s="2">
        <f t="shared" si="349"/>
        <v>1.7450031246237481</v>
      </c>
      <c r="M2238" s="2">
        <f t="shared" si="345"/>
        <v>1.2651272653522174</v>
      </c>
      <c r="N2238" s="2">
        <f t="shared" si="346"/>
        <v>0.63256363267610871</v>
      </c>
      <c r="O2238" s="2">
        <f t="shared" si="347"/>
        <v>2.3215085319213191</v>
      </c>
      <c r="P2238" s="2">
        <v>72.552808999999996</v>
      </c>
      <c r="Q2238" s="2">
        <v>23.037804999999999</v>
      </c>
    </row>
    <row r="2239" spans="1:17" x14ac:dyDescent="0.25">
      <c r="A2239" s="2">
        <v>2422</v>
      </c>
      <c r="B2239" s="2" t="s">
        <v>124</v>
      </c>
      <c r="C2239" s="2">
        <v>16</v>
      </c>
      <c r="D2239" s="2">
        <f t="shared" si="340"/>
        <v>40.64</v>
      </c>
      <c r="E2239" s="2">
        <f t="shared" si="341"/>
        <v>12.936113774509254</v>
      </c>
      <c r="F2239" s="2">
        <f t="shared" si="342"/>
        <v>5.0929581789406511</v>
      </c>
      <c r="G2239" s="2">
        <v>6.0074639999999997</v>
      </c>
      <c r="H2239" s="2">
        <f t="shared" si="343"/>
        <v>19.70952818976</v>
      </c>
      <c r="I2239" s="2">
        <f>INDEX('Wood Density Lookup'!$B$2:$B$152,MATCH(B2239,'Wood Density Lookup'!$A$2:$A$152,0))</f>
        <v>0.55000000000000004</v>
      </c>
      <c r="J2239" s="2">
        <f t="shared" si="344"/>
        <v>31.978103761360202</v>
      </c>
      <c r="K2239" s="2">
        <f t="shared" si="348"/>
        <v>8.953869053180858</v>
      </c>
      <c r="L2239" s="2">
        <f t="shared" si="349"/>
        <v>40.931972814541062</v>
      </c>
      <c r="M2239" s="2">
        <f t="shared" si="345"/>
        <v>29.675680290542267</v>
      </c>
      <c r="N2239" s="2">
        <f t="shared" si="346"/>
        <v>14.837840145271134</v>
      </c>
      <c r="O2239" s="2">
        <f t="shared" si="347"/>
        <v>54.454873333145059</v>
      </c>
      <c r="P2239" s="2">
        <v>72.552811000000005</v>
      </c>
      <c r="Q2239" s="2">
        <v>23.037890999999998</v>
      </c>
    </row>
    <row r="2240" spans="1:17" x14ac:dyDescent="0.25">
      <c r="A2240" s="2">
        <v>2423</v>
      </c>
      <c r="B2240" s="2" t="s">
        <v>94</v>
      </c>
      <c r="C2240" s="2">
        <v>33</v>
      </c>
      <c r="D2240" s="2">
        <f t="shared" si="340"/>
        <v>83.820000000000007</v>
      </c>
      <c r="E2240" s="2">
        <f t="shared" si="341"/>
        <v>26.680734659925339</v>
      </c>
      <c r="F2240" s="2">
        <f t="shared" si="342"/>
        <v>10.504226244065093</v>
      </c>
      <c r="G2240" s="2">
        <v>6.6639280000000003</v>
      </c>
      <c r="H2240" s="2">
        <f t="shared" si="343"/>
        <v>21.863281539519999</v>
      </c>
      <c r="I2240" s="2">
        <f>INDEX('Wood Density Lookup'!$B$2:$B$152,MATCH(B2240,'Wood Density Lookup'!$A$2:$A$152,0))</f>
        <v>0.65</v>
      </c>
      <c r="J2240" s="2">
        <f t="shared" si="344"/>
        <v>171.12652969363722</v>
      </c>
      <c r="K2240" s="2">
        <f t="shared" si="348"/>
        <v>47.915428314218424</v>
      </c>
      <c r="L2240" s="2">
        <f t="shared" si="349"/>
        <v>219.04195800785564</v>
      </c>
      <c r="M2240" s="2">
        <f t="shared" si="345"/>
        <v>158.80541955569532</v>
      </c>
      <c r="N2240" s="2">
        <f t="shared" si="346"/>
        <v>79.402709777847662</v>
      </c>
      <c r="O2240" s="2">
        <f t="shared" si="347"/>
        <v>291.4079448847009</v>
      </c>
      <c r="P2240" s="2">
        <v>72.552813</v>
      </c>
      <c r="Q2240" s="2">
        <v>23.035556</v>
      </c>
    </row>
    <row r="2241" spans="1:17" x14ac:dyDescent="0.25">
      <c r="A2241" s="2">
        <v>2424</v>
      </c>
      <c r="B2241" s="2" t="s">
        <v>11</v>
      </c>
      <c r="C2241" s="2">
        <v>11</v>
      </c>
      <c r="D2241" s="2">
        <f t="shared" ref="D2241:D2304" si="350">C2241*2.54</f>
        <v>27.94</v>
      </c>
      <c r="E2241" s="2">
        <f t="shared" ref="E2241:E2304" si="351">D2241/PI()</f>
        <v>8.8935782199751117</v>
      </c>
      <c r="F2241" s="2">
        <f t="shared" ref="F2241:F2304" si="352">C2241/PI()</f>
        <v>3.5014087480216975</v>
      </c>
      <c r="G2241" s="2">
        <v>4.2106750000000002</v>
      </c>
      <c r="H2241" s="2">
        <f t="shared" ref="H2241:H2304" si="353">G2241*3.28084</f>
        <v>13.814550967000001</v>
      </c>
      <c r="I2241" s="2">
        <f>INDEX('Wood Density Lookup'!$B$2:$B$152,MATCH(B2241,'Wood Density Lookup'!$A$2:$A$152,0))</f>
        <v>0.45</v>
      </c>
      <c r="J2241" s="2">
        <f t="shared" ref="J2241:J2304" si="354">0.0673*POWER(I2241*E2241^2*G2241,0.976)</f>
        <v>8.9436571598845358</v>
      </c>
      <c r="K2241" s="2">
        <f t="shared" si="348"/>
        <v>2.50422400476767</v>
      </c>
      <c r="L2241" s="2">
        <f t="shared" si="349"/>
        <v>11.447881164652205</v>
      </c>
      <c r="M2241" s="2">
        <f t="shared" ref="M2241:M2304" si="355">0.725*L2241</f>
        <v>8.2997138443728495</v>
      </c>
      <c r="N2241" s="2">
        <f t="shared" ref="N2241:N2304" si="356">0.5*M2241</f>
        <v>4.1498569221864248</v>
      </c>
      <c r="O2241" s="2">
        <f t="shared" ref="O2241:O2304" si="357">3.67*N2241</f>
        <v>15.229974904424179</v>
      </c>
      <c r="P2241" s="2">
        <v>72.552813999999998</v>
      </c>
      <c r="Q2241" s="2">
        <v>23.037832000000002</v>
      </c>
    </row>
    <row r="2242" spans="1:17" x14ac:dyDescent="0.25">
      <c r="A2242" s="2">
        <v>2425</v>
      </c>
      <c r="B2242" s="2" t="s">
        <v>18</v>
      </c>
      <c r="C2242" s="2">
        <v>22</v>
      </c>
      <c r="D2242" s="2">
        <f t="shared" si="350"/>
        <v>55.88</v>
      </c>
      <c r="E2242" s="2">
        <f t="shared" si="351"/>
        <v>17.787156439950223</v>
      </c>
      <c r="F2242" s="2">
        <f t="shared" si="352"/>
        <v>7.0028174960433951</v>
      </c>
      <c r="G2242" s="2">
        <v>4.5325699999999998</v>
      </c>
      <c r="H2242" s="2">
        <f t="shared" si="353"/>
        <v>14.870636958799999</v>
      </c>
      <c r="I2242" s="2">
        <f>INDEX('Wood Density Lookup'!$B$2:$B$152,MATCH(B2242,'Wood Density Lookup'!$A$2:$A$152,0))</f>
        <v>0.65</v>
      </c>
      <c r="J2242" s="2">
        <f t="shared" si="354"/>
        <v>53.237626877029953</v>
      </c>
      <c r="K2242" s="2">
        <f t="shared" si="348"/>
        <v>14.906535525568389</v>
      </c>
      <c r="L2242" s="2">
        <f t="shared" si="349"/>
        <v>68.14416240259834</v>
      </c>
      <c r="M2242" s="2">
        <f t="shared" si="355"/>
        <v>49.404517741883794</v>
      </c>
      <c r="N2242" s="2">
        <f t="shared" si="356"/>
        <v>24.702258870941897</v>
      </c>
      <c r="O2242" s="2">
        <f t="shared" si="357"/>
        <v>90.657290056356757</v>
      </c>
      <c r="P2242" s="2">
        <v>72.552814999999995</v>
      </c>
      <c r="Q2242" s="2">
        <v>23.035461000000002</v>
      </c>
    </row>
    <row r="2243" spans="1:17" x14ac:dyDescent="0.25">
      <c r="A2243" s="2">
        <v>2426</v>
      </c>
      <c r="B2243" s="2" t="s">
        <v>114</v>
      </c>
      <c r="C2243" s="2">
        <v>8</v>
      </c>
      <c r="D2243" s="2">
        <f t="shared" si="350"/>
        <v>20.32</v>
      </c>
      <c r="E2243" s="2">
        <f t="shared" si="351"/>
        <v>6.4680568872546269</v>
      </c>
      <c r="F2243" s="2">
        <f t="shared" si="352"/>
        <v>2.5464790894703255</v>
      </c>
      <c r="G2243" s="2">
        <v>15.419549999999999</v>
      </c>
      <c r="H2243" s="2">
        <f t="shared" si="353"/>
        <v>50.589076421999998</v>
      </c>
      <c r="I2243" s="2">
        <f>INDEX('Wood Density Lookup'!$B$2:$B$152,MATCH(B2243,'Wood Density Lookup'!$A$2:$A$152,0))</f>
        <v>0.55000000000000004</v>
      </c>
      <c r="J2243" s="2">
        <f t="shared" si="354"/>
        <v>20.739464850116178</v>
      </c>
      <c r="K2243" s="2">
        <f t="shared" ref="K2243:K2306" si="358">0.28*J2243</f>
        <v>5.8070501580325304</v>
      </c>
      <c r="L2243" s="2">
        <f t="shared" ref="L2243:L2306" si="359">J2243+K2243</f>
        <v>26.54651500814871</v>
      </c>
      <c r="M2243" s="2">
        <f t="shared" si="355"/>
        <v>19.246223380907814</v>
      </c>
      <c r="N2243" s="2">
        <f t="shared" si="356"/>
        <v>9.6231116904539071</v>
      </c>
      <c r="O2243" s="2">
        <f t="shared" si="357"/>
        <v>35.316819903965836</v>
      </c>
      <c r="P2243" s="2">
        <v>72.552816000000007</v>
      </c>
      <c r="Q2243" s="2">
        <v>23.035371999999999</v>
      </c>
    </row>
    <row r="2244" spans="1:17" x14ac:dyDescent="0.25">
      <c r="A2244" s="2">
        <v>2427</v>
      </c>
      <c r="B2244" s="2" t="s">
        <v>102</v>
      </c>
      <c r="C2244" s="2">
        <v>2</v>
      </c>
      <c r="D2244" s="2">
        <f t="shared" si="350"/>
        <v>5.08</v>
      </c>
      <c r="E2244" s="2">
        <f t="shared" si="351"/>
        <v>1.6170142218136567</v>
      </c>
      <c r="F2244" s="2">
        <f t="shared" si="352"/>
        <v>0.63661977236758138</v>
      </c>
      <c r="G2244" s="2">
        <v>1.01871</v>
      </c>
      <c r="H2244" s="2">
        <f t="shared" si="353"/>
        <v>3.3422245164</v>
      </c>
      <c r="I2244" s="2">
        <f>INDEX('Wood Density Lookup'!$B$2:$B$152,MATCH(B2244,'Wood Density Lookup'!$A$2:$A$152,0))</f>
        <v>0.45</v>
      </c>
      <c r="J2244" s="2">
        <f t="shared" si="354"/>
        <v>8.031880683434553E-2</v>
      </c>
      <c r="K2244" s="2">
        <f t="shared" si="358"/>
        <v>2.248926591361675E-2</v>
      </c>
      <c r="L2244" s="2">
        <f t="shared" si="359"/>
        <v>0.10280807274796228</v>
      </c>
      <c r="M2244" s="2">
        <f t="shared" si="355"/>
        <v>7.4535852742272646E-2</v>
      </c>
      <c r="N2244" s="2">
        <f t="shared" si="356"/>
        <v>3.7267926371136323E-2</v>
      </c>
      <c r="O2244" s="2">
        <f t="shared" si="357"/>
        <v>0.13677328978207029</v>
      </c>
      <c r="P2244" s="2">
        <v>72.552817000000005</v>
      </c>
      <c r="Q2244" s="2">
        <v>23.037189000000001</v>
      </c>
    </row>
    <row r="2245" spans="1:17" x14ac:dyDescent="0.25">
      <c r="A2245" s="2">
        <v>2428</v>
      </c>
      <c r="B2245" s="2" t="s">
        <v>148</v>
      </c>
      <c r="C2245" s="2">
        <v>8</v>
      </c>
      <c r="D2245" s="2">
        <f t="shared" si="350"/>
        <v>20.32</v>
      </c>
      <c r="E2245" s="2">
        <f t="shared" si="351"/>
        <v>6.4680568872546269</v>
      </c>
      <c r="F2245" s="2">
        <f t="shared" si="352"/>
        <v>2.5464790894703255</v>
      </c>
      <c r="G2245" s="2">
        <v>12.565064</v>
      </c>
      <c r="H2245" s="2">
        <f t="shared" si="353"/>
        <v>41.22396457376</v>
      </c>
      <c r="I2245" s="2">
        <f>INDEX('Wood Density Lookup'!$B$2:$B$152,MATCH(B2245,'Wood Density Lookup'!$A$2:$A$152,0))</f>
        <v>0.5</v>
      </c>
      <c r="J2245" s="2">
        <f t="shared" si="354"/>
        <v>15.474800487871212</v>
      </c>
      <c r="K2245" s="2">
        <f t="shared" si="358"/>
        <v>4.3329441366039401</v>
      </c>
      <c r="L2245" s="2">
        <f t="shared" si="359"/>
        <v>19.807744624475152</v>
      </c>
      <c r="M2245" s="2">
        <f t="shared" si="355"/>
        <v>14.360614852744485</v>
      </c>
      <c r="N2245" s="2">
        <f t="shared" si="356"/>
        <v>7.1803074263722424</v>
      </c>
      <c r="O2245" s="2">
        <f t="shared" si="357"/>
        <v>26.351728254786128</v>
      </c>
      <c r="P2245" s="2">
        <v>72.552818000000002</v>
      </c>
      <c r="Q2245" s="2">
        <v>23.034927</v>
      </c>
    </row>
    <row r="2246" spans="1:17" x14ac:dyDescent="0.25">
      <c r="A2246" s="2">
        <v>2429</v>
      </c>
      <c r="B2246" s="2" t="s">
        <v>65</v>
      </c>
      <c r="C2246" s="2">
        <v>32</v>
      </c>
      <c r="D2246" s="2">
        <f t="shared" si="350"/>
        <v>81.28</v>
      </c>
      <c r="E2246" s="2">
        <f t="shared" si="351"/>
        <v>25.872227549018508</v>
      </c>
      <c r="F2246" s="2">
        <f t="shared" si="352"/>
        <v>10.185916357881302</v>
      </c>
      <c r="G2246" s="2">
        <v>8.2279780000000002</v>
      </c>
      <c r="H2246" s="2">
        <f t="shared" si="353"/>
        <v>26.994679341520001</v>
      </c>
      <c r="I2246" s="2">
        <f>INDEX('Wood Density Lookup'!$B$2:$B$152,MATCH(B2246,'Wood Density Lookup'!$A$2:$A$152,0))</f>
        <v>0.7</v>
      </c>
      <c r="J2246" s="2">
        <f t="shared" si="354"/>
        <v>212.81804982601221</v>
      </c>
      <c r="K2246" s="2">
        <f t="shared" si="358"/>
        <v>59.589053951283425</v>
      </c>
      <c r="L2246" s="2">
        <f t="shared" si="359"/>
        <v>272.40710377729562</v>
      </c>
      <c r="M2246" s="2">
        <f t="shared" si="355"/>
        <v>197.49515023853931</v>
      </c>
      <c r="N2246" s="2">
        <f t="shared" si="356"/>
        <v>98.747575119269655</v>
      </c>
      <c r="O2246" s="2">
        <f t="shared" si="357"/>
        <v>362.40360068771963</v>
      </c>
      <c r="P2246" s="2">
        <v>72.552819999999997</v>
      </c>
      <c r="Q2246" s="2">
        <v>23.034765</v>
      </c>
    </row>
    <row r="2247" spans="1:17" x14ac:dyDescent="0.25">
      <c r="A2247" s="2">
        <v>2430</v>
      </c>
      <c r="B2247" s="2" t="s">
        <v>62</v>
      </c>
      <c r="C2247" s="2">
        <v>38</v>
      </c>
      <c r="D2247" s="2">
        <f t="shared" si="350"/>
        <v>96.52</v>
      </c>
      <c r="E2247" s="2">
        <f t="shared" si="351"/>
        <v>30.723270214459475</v>
      </c>
      <c r="F2247" s="2">
        <f t="shared" si="352"/>
        <v>12.095775674984045</v>
      </c>
      <c r="G2247" s="2">
        <v>10.247157</v>
      </c>
      <c r="H2247" s="2">
        <f t="shared" si="353"/>
        <v>33.619282571879999</v>
      </c>
      <c r="I2247" s="2">
        <f>INDEX('Wood Density Lookup'!$B$2:$B$152,MATCH(B2247,'Wood Density Lookup'!$A$2:$A$152,0))</f>
        <v>0.47</v>
      </c>
      <c r="J2247" s="2">
        <f t="shared" si="354"/>
        <v>249.95850953274751</v>
      </c>
      <c r="K2247" s="2">
        <f t="shared" si="358"/>
        <v>69.988382669169312</v>
      </c>
      <c r="L2247" s="2">
        <f t="shared" si="359"/>
        <v>319.94689220191685</v>
      </c>
      <c r="M2247" s="2">
        <f t="shared" si="355"/>
        <v>231.96149684638971</v>
      </c>
      <c r="N2247" s="2">
        <f t="shared" si="356"/>
        <v>115.98074842319485</v>
      </c>
      <c r="O2247" s="2">
        <f t="shared" si="357"/>
        <v>425.64934671312511</v>
      </c>
      <c r="P2247" s="2">
        <v>72.552820999999994</v>
      </c>
      <c r="Q2247" s="2">
        <v>23.036877</v>
      </c>
    </row>
    <row r="2248" spans="1:17" x14ac:dyDescent="0.25">
      <c r="A2248" s="2">
        <v>2431</v>
      </c>
      <c r="B2248" s="2" t="s">
        <v>50</v>
      </c>
      <c r="C2248" s="2">
        <v>4</v>
      </c>
      <c r="D2248" s="2">
        <f t="shared" si="350"/>
        <v>10.16</v>
      </c>
      <c r="E2248" s="2">
        <f t="shared" si="351"/>
        <v>3.2340284436273135</v>
      </c>
      <c r="F2248" s="2">
        <f t="shared" si="352"/>
        <v>1.2732395447351628</v>
      </c>
      <c r="G2248" s="2">
        <v>1.1245000000000001</v>
      </c>
      <c r="H2248" s="2">
        <f t="shared" si="353"/>
        <v>3.6893045799999999</v>
      </c>
      <c r="I2248" s="2">
        <f>INDEX('Wood Density Lookup'!$B$2:$B$152,MATCH(B2248,'Wood Density Lookup'!$A$2:$A$152,0))</f>
        <v>0.5</v>
      </c>
      <c r="J2248" s="2">
        <f t="shared" si="354"/>
        <v>0.37928545421038412</v>
      </c>
      <c r="K2248" s="2">
        <f t="shared" si="358"/>
        <v>0.10619992717890757</v>
      </c>
      <c r="L2248" s="2">
        <f t="shared" si="359"/>
        <v>0.4854853813892917</v>
      </c>
      <c r="M2248" s="2">
        <f t="shared" si="355"/>
        <v>0.35197690150723648</v>
      </c>
      <c r="N2248" s="2">
        <f t="shared" si="356"/>
        <v>0.17598845075361824</v>
      </c>
      <c r="O2248" s="2">
        <f t="shared" si="357"/>
        <v>0.64587761426577894</v>
      </c>
      <c r="P2248" s="2">
        <v>72.552820999999994</v>
      </c>
      <c r="Q2248" s="2">
        <v>23.03772</v>
      </c>
    </row>
    <row r="2249" spans="1:17" x14ac:dyDescent="0.25">
      <c r="A2249" s="2">
        <v>2432</v>
      </c>
      <c r="B2249" s="2" t="s">
        <v>114</v>
      </c>
      <c r="C2249" s="2">
        <v>8</v>
      </c>
      <c r="D2249" s="2">
        <f t="shared" si="350"/>
        <v>20.32</v>
      </c>
      <c r="E2249" s="2">
        <f t="shared" si="351"/>
        <v>6.4680568872546269</v>
      </c>
      <c r="F2249" s="2">
        <f t="shared" si="352"/>
        <v>2.5464790894703255</v>
      </c>
      <c r="G2249" s="2">
        <v>12.941399000000001</v>
      </c>
      <c r="H2249" s="2">
        <f t="shared" si="353"/>
        <v>42.458659495159999</v>
      </c>
      <c r="I2249" s="2">
        <f>INDEX('Wood Density Lookup'!$B$2:$B$152,MATCH(B2249,'Wood Density Lookup'!$A$2:$A$152,0))</f>
        <v>0.55000000000000004</v>
      </c>
      <c r="J2249" s="2">
        <f t="shared" si="354"/>
        <v>17.479670629499445</v>
      </c>
      <c r="K2249" s="2">
        <f t="shared" si="358"/>
        <v>4.8943077762598453</v>
      </c>
      <c r="L2249" s="2">
        <f t="shared" si="359"/>
        <v>22.373978405759289</v>
      </c>
      <c r="M2249" s="2">
        <f t="shared" si="355"/>
        <v>16.221134344175482</v>
      </c>
      <c r="N2249" s="2">
        <f t="shared" si="356"/>
        <v>8.110567172087741</v>
      </c>
      <c r="O2249" s="2">
        <f t="shared" si="357"/>
        <v>29.765781521562008</v>
      </c>
      <c r="P2249" s="2">
        <v>72.552822000000006</v>
      </c>
      <c r="Q2249" s="2">
        <v>23.035623000000001</v>
      </c>
    </row>
    <row r="2250" spans="1:17" x14ac:dyDescent="0.25">
      <c r="A2250" s="2">
        <v>2433</v>
      </c>
      <c r="B2250" s="2" t="s">
        <v>114</v>
      </c>
      <c r="C2250" s="2">
        <v>16</v>
      </c>
      <c r="D2250" s="2">
        <f t="shared" si="350"/>
        <v>40.64</v>
      </c>
      <c r="E2250" s="2">
        <f t="shared" si="351"/>
        <v>12.936113774509254</v>
      </c>
      <c r="F2250" s="2">
        <f t="shared" si="352"/>
        <v>5.0929581789406511</v>
      </c>
      <c r="G2250" s="2">
        <v>13.079140000000001</v>
      </c>
      <c r="H2250" s="2">
        <f t="shared" si="353"/>
        <v>42.910565677600005</v>
      </c>
      <c r="I2250" s="2">
        <f>INDEX('Wood Density Lookup'!$B$2:$B$152,MATCH(B2250,'Wood Density Lookup'!$A$2:$A$152,0))</f>
        <v>0.55000000000000004</v>
      </c>
      <c r="J2250" s="2">
        <f t="shared" si="354"/>
        <v>68.333144571442347</v>
      </c>
      <c r="K2250" s="2">
        <f t="shared" si="358"/>
        <v>19.133280480003858</v>
      </c>
      <c r="L2250" s="2">
        <f t="shared" si="359"/>
        <v>87.466425051446208</v>
      </c>
      <c r="M2250" s="2">
        <f t="shared" si="355"/>
        <v>63.413158162298501</v>
      </c>
      <c r="N2250" s="2">
        <f t="shared" si="356"/>
        <v>31.70657908114925</v>
      </c>
      <c r="O2250" s="2">
        <f t="shared" si="357"/>
        <v>116.36314522781775</v>
      </c>
      <c r="P2250" s="2">
        <v>72.552823000000004</v>
      </c>
      <c r="Q2250" s="2">
        <v>23.034935999999998</v>
      </c>
    </row>
    <row r="2251" spans="1:17" x14ac:dyDescent="0.25">
      <c r="A2251" s="2">
        <v>2434</v>
      </c>
      <c r="B2251" s="2" t="s">
        <v>50</v>
      </c>
      <c r="C2251" s="2">
        <v>4</v>
      </c>
      <c r="D2251" s="2">
        <f t="shared" si="350"/>
        <v>10.16</v>
      </c>
      <c r="E2251" s="2">
        <f t="shared" si="351"/>
        <v>3.2340284436273135</v>
      </c>
      <c r="F2251" s="2">
        <f t="shared" si="352"/>
        <v>1.2732395447351628</v>
      </c>
      <c r="G2251" s="2">
        <v>1.010616</v>
      </c>
      <c r="H2251" s="2">
        <f t="shared" si="353"/>
        <v>3.3156693974399998</v>
      </c>
      <c r="I2251" s="2">
        <f>INDEX('Wood Density Lookup'!$B$2:$B$152,MATCH(B2251,'Wood Density Lookup'!$A$2:$A$152,0))</f>
        <v>0.5</v>
      </c>
      <c r="J2251" s="2">
        <f t="shared" si="354"/>
        <v>0.34174790150645529</v>
      </c>
      <c r="K2251" s="2">
        <f t="shared" si="358"/>
        <v>9.5689412421807493E-2</v>
      </c>
      <c r="L2251" s="2">
        <f t="shared" si="359"/>
        <v>0.43743731392826279</v>
      </c>
      <c r="M2251" s="2">
        <f t="shared" si="355"/>
        <v>0.3171420525979905</v>
      </c>
      <c r="N2251" s="2">
        <f t="shared" si="356"/>
        <v>0.15857102629899525</v>
      </c>
      <c r="O2251" s="2">
        <f t="shared" si="357"/>
        <v>0.58195566651731256</v>
      </c>
      <c r="P2251" s="2">
        <v>72.552823000000004</v>
      </c>
      <c r="Q2251" s="2">
        <v>23.037806</v>
      </c>
    </row>
    <row r="2252" spans="1:17" x14ac:dyDescent="0.25">
      <c r="A2252" s="2">
        <v>2435</v>
      </c>
      <c r="B2252" s="2" t="s">
        <v>15</v>
      </c>
      <c r="C2252" s="2">
        <v>22</v>
      </c>
      <c r="D2252" s="2">
        <f t="shared" si="350"/>
        <v>55.88</v>
      </c>
      <c r="E2252" s="2">
        <f t="shared" si="351"/>
        <v>17.787156439950223</v>
      </c>
      <c r="F2252" s="2">
        <f t="shared" si="352"/>
        <v>7.0028174960433951</v>
      </c>
      <c r="G2252" s="2">
        <v>7.526929</v>
      </c>
      <c r="H2252" s="2">
        <f t="shared" si="353"/>
        <v>24.694649740359999</v>
      </c>
      <c r="I2252" s="2">
        <f>INDEX('Wood Density Lookup'!$B$2:$B$152,MATCH(B2252,'Wood Density Lookup'!$A$2:$A$152,0))</f>
        <v>0.75</v>
      </c>
      <c r="J2252" s="2">
        <f t="shared" si="354"/>
        <v>100.42961212392061</v>
      </c>
      <c r="K2252" s="2">
        <f t="shared" si="358"/>
        <v>28.120291394697773</v>
      </c>
      <c r="L2252" s="2">
        <f t="shared" si="359"/>
        <v>128.54990351861838</v>
      </c>
      <c r="M2252" s="2">
        <f t="shared" si="355"/>
        <v>93.19868005099832</v>
      </c>
      <c r="N2252" s="2">
        <f t="shared" si="356"/>
        <v>46.59934002549916</v>
      </c>
      <c r="O2252" s="2">
        <f t="shared" si="357"/>
        <v>171.01957789358192</v>
      </c>
      <c r="P2252" s="2">
        <v>72.552824000000001</v>
      </c>
      <c r="Q2252" s="2">
        <v>23.036664999999999</v>
      </c>
    </row>
    <row r="2253" spans="1:17" x14ac:dyDescent="0.25">
      <c r="A2253" s="2">
        <v>2436</v>
      </c>
      <c r="B2253" s="2" t="s">
        <v>15</v>
      </c>
      <c r="C2253" s="2">
        <v>111</v>
      </c>
      <c r="D2253" s="2">
        <f t="shared" si="350"/>
        <v>281.94</v>
      </c>
      <c r="E2253" s="2">
        <f t="shared" si="351"/>
        <v>89.744289310657948</v>
      </c>
      <c r="F2253" s="2">
        <f t="shared" si="352"/>
        <v>35.332397366400762</v>
      </c>
      <c r="G2253" s="2">
        <v>15.018068</v>
      </c>
      <c r="H2253" s="2">
        <f t="shared" si="353"/>
        <v>49.271878217119998</v>
      </c>
      <c r="I2253" s="2">
        <f>INDEX('Wood Density Lookup'!$B$2:$B$152,MATCH(B2253,'Wood Density Lookup'!$A$2:$A$152,0))</f>
        <v>0.75</v>
      </c>
      <c r="J2253" s="2">
        <f t="shared" si="354"/>
        <v>4642.1535757480833</v>
      </c>
      <c r="K2253" s="2">
        <f t="shared" si="358"/>
        <v>1299.8030012094634</v>
      </c>
      <c r="L2253" s="2">
        <f t="shared" si="359"/>
        <v>5941.9565769575465</v>
      </c>
      <c r="M2253" s="2">
        <f t="shared" si="355"/>
        <v>4307.918518294221</v>
      </c>
      <c r="N2253" s="2">
        <f t="shared" si="356"/>
        <v>2153.9592591471105</v>
      </c>
      <c r="O2253" s="2">
        <f t="shared" si="357"/>
        <v>7905.0304810698954</v>
      </c>
      <c r="P2253" s="2">
        <v>72.552826999999994</v>
      </c>
      <c r="Q2253" s="2">
        <v>23.036797</v>
      </c>
    </row>
    <row r="2254" spans="1:17" x14ac:dyDescent="0.25">
      <c r="A2254" s="2">
        <v>2437</v>
      </c>
      <c r="B2254" s="2" t="s">
        <v>72</v>
      </c>
      <c r="C2254" s="2">
        <v>14</v>
      </c>
      <c r="D2254" s="2">
        <f t="shared" si="350"/>
        <v>35.56</v>
      </c>
      <c r="E2254" s="2">
        <f t="shared" si="351"/>
        <v>11.319099552695597</v>
      </c>
      <c r="F2254" s="2">
        <f t="shared" si="352"/>
        <v>4.45633840657307</v>
      </c>
      <c r="G2254" s="2">
        <v>3.9613339999999999</v>
      </c>
      <c r="H2254" s="2">
        <f t="shared" si="353"/>
        <v>12.99650304056</v>
      </c>
      <c r="I2254" s="2">
        <f>INDEX('Wood Density Lookup'!$B$2:$B$152,MATCH(B2254,'Wood Density Lookup'!$A$2:$A$152,0))</f>
        <v>0.65</v>
      </c>
      <c r="J2254" s="2">
        <f t="shared" si="354"/>
        <v>19.317572716449931</v>
      </c>
      <c r="K2254" s="2">
        <f t="shared" si="358"/>
        <v>5.4089203606059808</v>
      </c>
      <c r="L2254" s="2">
        <f t="shared" si="359"/>
        <v>24.726493077055913</v>
      </c>
      <c r="M2254" s="2">
        <f t="shared" si="355"/>
        <v>17.926707480865538</v>
      </c>
      <c r="N2254" s="2">
        <f t="shared" si="356"/>
        <v>8.963353740432769</v>
      </c>
      <c r="O2254" s="2">
        <f t="shared" si="357"/>
        <v>32.895508227388262</v>
      </c>
      <c r="P2254" s="2">
        <v>72.552830999999998</v>
      </c>
      <c r="Q2254" s="2">
        <v>23.035568000000001</v>
      </c>
    </row>
    <row r="2255" spans="1:17" x14ac:dyDescent="0.25">
      <c r="A2255" s="2">
        <v>2438</v>
      </c>
      <c r="B2255" s="2" t="s">
        <v>124</v>
      </c>
      <c r="C2255" s="2">
        <v>6</v>
      </c>
      <c r="D2255" s="2">
        <f t="shared" si="350"/>
        <v>15.24</v>
      </c>
      <c r="E2255" s="2">
        <f t="shared" si="351"/>
        <v>4.8510426654409704</v>
      </c>
      <c r="F2255" s="2">
        <f t="shared" si="352"/>
        <v>1.909859317102744</v>
      </c>
      <c r="G2255" s="2">
        <v>1.0593109999999999</v>
      </c>
      <c r="H2255" s="2">
        <f t="shared" si="353"/>
        <v>3.4754299012399996</v>
      </c>
      <c r="I2255" s="2">
        <f>INDEX('Wood Density Lookup'!$B$2:$B$152,MATCH(B2255,'Wood Density Lookup'!$A$2:$A$152,0))</f>
        <v>0.55000000000000004</v>
      </c>
      <c r="J2255" s="2">
        <f t="shared" si="354"/>
        <v>0.86652694488085935</v>
      </c>
      <c r="K2255" s="2">
        <f t="shared" si="358"/>
        <v>0.24262754456664065</v>
      </c>
      <c r="L2255" s="2">
        <f t="shared" si="359"/>
        <v>1.1091544894475001</v>
      </c>
      <c r="M2255" s="2">
        <f t="shared" si="355"/>
        <v>0.80413700484943751</v>
      </c>
      <c r="N2255" s="2">
        <f t="shared" si="356"/>
        <v>0.40206850242471875</v>
      </c>
      <c r="O2255" s="2">
        <f t="shared" si="357"/>
        <v>1.4755914038987179</v>
      </c>
      <c r="P2255" s="2">
        <v>72.552833000000007</v>
      </c>
      <c r="Q2255" s="2">
        <v>23.037141999999999</v>
      </c>
    </row>
    <row r="2256" spans="1:17" x14ac:dyDescent="0.25">
      <c r="A2256" s="2">
        <v>2439</v>
      </c>
      <c r="B2256" s="2" t="s">
        <v>57</v>
      </c>
      <c r="C2256" s="2">
        <v>2</v>
      </c>
      <c r="D2256" s="2">
        <f t="shared" si="350"/>
        <v>5.08</v>
      </c>
      <c r="E2256" s="2">
        <f t="shared" si="351"/>
        <v>1.6170142218136567</v>
      </c>
      <c r="F2256" s="2">
        <f t="shared" si="352"/>
        <v>0.63661977236758138</v>
      </c>
      <c r="G2256" s="2">
        <v>10.023915000000001</v>
      </c>
      <c r="H2256" s="2">
        <f t="shared" si="353"/>
        <v>32.886861288600002</v>
      </c>
      <c r="I2256" s="2">
        <f>INDEX('Wood Density Lookup'!$B$2:$B$152,MATCH(B2256,'Wood Density Lookup'!$A$2:$A$152,0))</f>
        <v>0.6</v>
      </c>
      <c r="J2256" s="2">
        <f t="shared" si="354"/>
        <v>0.99063251335941349</v>
      </c>
      <c r="K2256" s="2">
        <f t="shared" si="358"/>
        <v>0.27737710374063579</v>
      </c>
      <c r="L2256" s="2">
        <f t="shared" si="359"/>
        <v>1.2680096171000492</v>
      </c>
      <c r="M2256" s="2">
        <f t="shared" si="355"/>
        <v>0.91930697239753567</v>
      </c>
      <c r="N2256" s="2">
        <f t="shared" si="356"/>
        <v>0.45965348619876784</v>
      </c>
      <c r="O2256" s="2">
        <f t="shared" si="357"/>
        <v>1.6869282943494779</v>
      </c>
      <c r="P2256" s="2">
        <v>72.552834000000004</v>
      </c>
      <c r="Q2256" s="2">
        <v>23.035057999999999</v>
      </c>
    </row>
    <row r="2257" spans="1:17" x14ac:dyDescent="0.25">
      <c r="A2257" s="2">
        <v>2440</v>
      </c>
      <c r="B2257" s="2" t="s">
        <v>104</v>
      </c>
      <c r="C2257" s="2">
        <v>16</v>
      </c>
      <c r="D2257" s="2">
        <f t="shared" si="350"/>
        <v>40.64</v>
      </c>
      <c r="E2257" s="2">
        <f t="shared" si="351"/>
        <v>12.936113774509254</v>
      </c>
      <c r="F2257" s="2">
        <f t="shared" si="352"/>
        <v>5.0929581789406511</v>
      </c>
      <c r="G2257" s="2">
        <v>5.879931</v>
      </c>
      <c r="H2257" s="2">
        <f t="shared" si="353"/>
        <v>19.291112822039999</v>
      </c>
      <c r="I2257" s="2">
        <f>INDEX('Wood Density Lookup'!$B$2:$B$152,MATCH(B2257,'Wood Density Lookup'!$A$2:$A$152,0))</f>
        <v>0.6</v>
      </c>
      <c r="J2257" s="2">
        <f t="shared" si="354"/>
        <v>34.090945806926911</v>
      </c>
      <c r="K2257" s="2">
        <f t="shared" si="358"/>
        <v>9.5454648259395363</v>
      </c>
      <c r="L2257" s="2">
        <f t="shared" si="359"/>
        <v>43.636410632866443</v>
      </c>
      <c r="M2257" s="2">
        <f t="shared" si="355"/>
        <v>31.63639770882817</v>
      </c>
      <c r="N2257" s="2">
        <f t="shared" si="356"/>
        <v>15.818198854414085</v>
      </c>
      <c r="O2257" s="2">
        <f t="shared" si="357"/>
        <v>58.052789795699688</v>
      </c>
      <c r="P2257" s="2">
        <v>72.552834000000004</v>
      </c>
      <c r="Q2257" s="2">
        <v>23.035537000000001</v>
      </c>
    </row>
    <row r="2258" spans="1:17" x14ac:dyDescent="0.25">
      <c r="A2258" s="2">
        <v>2441</v>
      </c>
      <c r="B2258" s="2" t="s">
        <v>15</v>
      </c>
      <c r="C2258" s="2">
        <v>28</v>
      </c>
      <c r="D2258" s="2">
        <f t="shared" si="350"/>
        <v>71.12</v>
      </c>
      <c r="E2258" s="2">
        <f t="shared" si="351"/>
        <v>22.638199105391195</v>
      </c>
      <c r="F2258" s="2">
        <f t="shared" si="352"/>
        <v>8.91267681314614</v>
      </c>
      <c r="G2258" s="2">
        <v>11.885964</v>
      </c>
      <c r="H2258" s="2">
        <f t="shared" si="353"/>
        <v>38.99594612976</v>
      </c>
      <c r="I2258" s="2">
        <f>INDEX('Wood Density Lookup'!$B$2:$B$152,MATCH(B2258,'Wood Density Lookup'!$A$2:$A$152,0))</f>
        <v>0.75</v>
      </c>
      <c r="J2258" s="2">
        <f t="shared" si="354"/>
        <v>251.16538310356916</v>
      </c>
      <c r="K2258" s="2">
        <f t="shared" si="358"/>
        <v>70.326307268999372</v>
      </c>
      <c r="L2258" s="2">
        <f t="shared" si="359"/>
        <v>321.49169037256854</v>
      </c>
      <c r="M2258" s="2">
        <f t="shared" si="355"/>
        <v>233.08147552011218</v>
      </c>
      <c r="N2258" s="2">
        <f t="shared" si="356"/>
        <v>116.54073776005609</v>
      </c>
      <c r="O2258" s="2">
        <f t="shared" si="357"/>
        <v>427.70450757940586</v>
      </c>
      <c r="P2258" s="2">
        <v>72.552835000000002</v>
      </c>
      <c r="Q2258" s="2">
        <v>23.035121</v>
      </c>
    </row>
    <row r="2259" spans="1:17" x14ac:dyDescent="0.25">
      <c r="A2259" s="2">
        <v>2442</v>
      </c>
      <c r="B2259" s="2" t="s">
        <v>144</v>
      </c>
      <c r="C2259" s="2">
        <v>43</v>
      </c>
      <c r="D2259" s="2">
        <f t="shared" si="350"/>
        <v>109.22</v>
      </c>
      <c r="E2259" s="2">
        <f t="shared" si="351"/>
        <v>34.765805768993616</v>
      </c>
      <c r="F2259" s="2">
        <f t="shared" si="352"/>
        <v>13.687325105903</v>
      </c>
      <c r="G2259" s="2">
        <v>14.971753</v>
      </c>
      <c r="H2259" s="2">
        <f t="shared" si="353"/>
        <v>49.119926112519998</v>
      </c>
      <c r="I2259" s="2">
        <f>INDEX('Wood Density Lookup'!$B$2:$B$152,MATCH(B2259,'Wood Density Lookup'!$A$2:$A$152,0))</f>
        <v>0.65</v>
      </c>
      <c r="J2259" s="2">
        <f t="shared" si="354"/>
        <v>632.14091231304724</v>
      </c>
      <c r="K2259" s="2">
        <f t="shared" si="358"/>
        <v>176.99945544765325</v>
      </c>
      <c r="L2259" s="2">
        <f t="shared" si="359"/>
        <v>809.14036776070043</v>
      </c>
      <c r="M2259" s="2">
        <f t="shared" si="355"/>
        <v>586.62676662650779</v>
      </c>
      <c r="N2259" s="2">
        <f t="shared" si="356"/>
        <v>293.31338331325389</v>
      </c>
      <c r="O2259" s="2">
        <f t="shared" si="357"/>
        <v>1076.4601167596418</v>
      </c>
      <c r="P2259" s="2">
        <v>72.552836999999997</v>
      </c>
      <c r="Q2259" s="2">
        <v>23.03539</v>
      </c>
    </row>
    <row r="2260" spans="1:17" x14ac:dyDescent="0.25">
      <c r="A2260" s="2">
        <v>2443</v>
      </c>
      <c r="B2260" s="2" t="s">
        <v>73</v>
      </c>
      <c r="C2260" s="2">
        <v>8</v>
      </c>
      <c r="D2260" s="2">
        <f t="shared" si="350"/>
        <v>20.32</v>
      </c>
      <c r="E2260" s="2">
        <f t="shared" si="351"/>
        <v>6.4680568872546269</v>
      </c>
      <c r="F2260" s="2">
        <f t="shared" si="352"/>
        <v>2.5464790894703255</v>
      </c>
      <c r="G2260" s="2">
        <v>6.6272679999999999</v>
      </c>
      <c r="H2260" s="2">
        <f t="shared" si="353"/>
        <v>21.74300594512</v>
      </c>
      <c r="I2260" s="2">
        <f>INDEX('Wood Density Lookup'!$B$2:$B$152,MATCH(B2260,'Wood Density Lookup'!$A$2:$A$152,0))</f>
        <v>0.7</v>
      </c>
      <c r="J2260" s="2">
        <f t="shared" si="354"/>
        <v>11.510223955048431</v>
      </c>
      <c r="K2260" s="2">
        <f t="shared" si="358"/>
        <v>3.2228627074135612</v>
      </c>
      <c r="L2260" s="2">
        <f t="shared" si="359"/>
        <v>14.733086662461993</v>
      </c>
      <c r="M2260" s="2">
        <f t="shared" si="355"/>
        <v>10.681487830284945</v>
      </c>
      <c r="N2260" s="2">
        <f t="shared" si="356"/>
        <v>5.3407439151424727</v>
      </c>
      <c r="O2260" s="2">
        <f t="shared" si="357"/>
        <v>19.600530168572874</v>
      </c>
      <c r="P2260" s="2">
        <v>72.552836999999997</v>
      </c>
      <c r="Q2260" s="2">
        <v>23.035549</v>
      </c>
    </row>
    <row r="2261" spans="1:17" x14ac:dyDescent="0.25">
      <c r="A2261" s="2">
        <v>2444</v>
      </c>
      <c r="B2261" s="2" t="s">
        <v>50</v>
      </c>
      <c r="C2261" s="2">
        <v>3</v>
      </c>
      <c r="D2261" s="2">
        <f t="shared" si="350"/>
        <v>7.62</v>
      </c>
      <c r="E2261" s="2">
        <f t="shared" si="351"/>
        <v>2.4255213327204852</v>
      </c>
      <c r="F2261" s="2">
        <f t="shared" si="352"/>
        <v>0.95492965855137202</v>
      </c>
      <c r="G2261" s="2">
        <v>1.1438029999999999</v>
      </c>
      <c r="H2261" s="2">
        <f t="shared" si="353"/>
        <v>3.7526346345199997</v>
      </c>
      <c r="I2261" s="2">
        <f>INDEX('Wood Density Lookup'!$B$2:$B$152,MATCH(B2261,'Wood Density Lookup'!$A$2:$A$152,0))</f>
        <v>0.5</v>
      </c>
      <c r="J2261" s="2">
        <f t="shared" si="354"/>
        <v>0.21993793480361781</v>
      </c>
      <c r="K2261" s="2">
        <f t="shared" si="358"/>
        <v>6.1582621745012993E-2</v>
      </c>
      <c r="L2261" s="2">
        <f t="shared" si="359"/>
        <v>0.28152055654863078</v>
      </c>
      <c r="M2261" s="2">
        <f t="shared" si="355"/>
        <v>0.20410240349775732</v>
      </c>
      <c r="N2261" s="2">
        <f t="shared" si="356"/>
        <v>0.10205120174887866</v>
      </c>
      <c r="O2261" s="2">
        <f t="shared" si="357"/>
        <v>0.37452791041838468</v>
      </c>
      <c r="P2261" s="2">
        <v>72.552836999999997</v>
      </c>
      <c r="Q2261" s="2">
        <v>23.03772</v>
      </c>
    </row>
    <row r="2262" spans="1:17" x14ac:dyDescent="0.25">
      <c r="A2262" s="2">
        <v>2446</v>
      </c>
      <c r="B2262" s="2" t="s">
        <v>80</v>
      </c>
      <c r="C2262" s="2">
        <v>4</v>
      </c>
      <c r="D2262" s="2">
        <f t="shared" si="350"/>
        <v>10.16</v>
      </c>
      <c r="E2262" s="2">
        <f t="shared" si="351"/>
        <v>3.2340284436273135</v>
      </c>
      <c r="F2262" s="2">
        <f t="shared" si="352"/>
        <v>1.2732395447351628</v>
      </c>
      <c r="G2262" s="2">
        <v>4.2359799999999996</v>
      </c>
      <c r="H2262" s="2">
        <f t="shared" si="353"/>
        <v>13.897572623199999</v>
      </c>
      <c r="I2262" s="2">
        <f>INDEX('Wood Density Lookup'!$B$2:$B$152,MATCH(B2262,'Wood Density Lookup'!$A$2:$A$152,0))</f>
        <v>0.65</v>
      </c>
      <c r="J2262" s="2">
        <f t="shared" si="354"/>
        <v>1.7879092613956404</v>
      </c>
      <c r="K2262" s="2">
        <f t="shared" si="358"/>
        <v>0.50061459319077939</v>
      </c>
      <c r="L2262" s="2">
        <f t="shared" si="359"/>
        <v>2.2885238545864199</v>
      </c>
      <c r="M2262" s="2">
        <f t="shared" si="355"/>
        <v>1.6591797945751543</v>
      </c>
      <c r="N2262" s="2">
        <f t="shared" si="356"/>
        <v>0.82958989728757715</v>
      </c>
      <c r="O2262" s="2">
        <f t="shared" si="357"/>
        <v>3.0445949230454081</v>
      </c>
      <c r="P2262" s="2">
        <v>72.552846000000002</v>
      </c>
      <c r="Q2262" s="2">
        <v>23.035563</v>
      </c>
    </row>
    <row r="2263" spans="1:17" x14ac:dyDescent="0.25">
      <c r="A2263" s="2">
        <v>2447</v>
      </c>
      <c r="B2263" s="2" t="s">
        <v>111</v>
      </c>
      <c r="C2263" s="2">
        <v>2</v>
      </c>
      <c r="D2263" s="2">
        <f t="shared" si="350"/>
        <v>5.08</v>
      </c>
      <c r="E2263" s="2">
        <f t="shared" si="351"/>
        <v>1.6170142218136567</v>
      </c>
      <c r="F2263" s="2">
        <f t="shared" si="352"/>
        <v>0.63661977236758138</v>
      </c>
      <c r="G2263" s="2">
        <v>2.0281020000000001</v>
      </c>
      <c r="H2263" s="2">
        <f t="shared" si="353"/>
        <v>6.6538781656800001</v>
      </c>
      <c r="I2263" s="2">
        <f>INDEX('Wood Density Lookup'!$B$2:$B$152,MATCH(B2263,'Wood Density Lookup'!$A$2:$A$152,0))</f>
        <v>0.4</v>
      </c>
      <c r="J2263" s="2">
        <f t="shared" si="354"/>
        <v>0.1402021484947947</v>
      </c>
      <c r="K2263" s="2">
        <f t="shared" si="358"/>
        <v>3.9256601578542522E-2</v>
      </c>
      <c r="L2263" s="2">
        <f t="shared" si="359"/>
        <v>0.17945875007333723</v>
      </c>
      <c r="M2263" s="2">
        <f t="shared" si="355"/>
        <v>0.1301075938031695</v>
      </c>
      <c r="N2263" s="2">
        <f t="shared" si="356"/>
        <v>6.5053796901584748E-2</v>
      </c>
      <c r="O2263" s="2">
        <f t="shared" si="357"/>
        <v>0.23874743462881604</v>
      </c>
      <c r="P2263" s="2">
        <v>72.552847999999997</v>
      </c>
      <c r="Q2263" s="2">
        <v>23.038208000000001</v>
      </c>
    </row>
    <row r="2264" spans="1:17" x14ac:dyDescent="0.25">
      <c r="A2264" s="2">
        <v>2448</v>
      </c>
      <c r="B2264" s="2" t="s">
        <v>120</v>
      </c>
      <c r="C2264" s="2">
        <v>9</v>
      </c>
      <c r="D2264" s="2">
        <f t="shared" si="350"/>
        <v>22.86</v>
      </c>
      <c r="E2264" s="2">
        <f t="shared" si="351"/>
        <v>7.2765639981614552</v>
      </c>
      <c r="F2264" s="2">
        <f t="shared" si="352"/>
        <v>2.8647889756541161</v>
      </c>
      <c r="G2264" s="2">
        <v>2.9366180000000002</v>
      </c>
      <c r="H2264" s="2">
        <f t="shared" si="353"/>
        <v>9.63457379912</v>
      </c>
      <c r="I2264" s="2">
        <f>INDEX('Wood Density Lookup'!$B$2:$B$152,MATCH(B2264,'Wood Density Lookup'!$A$2:$A$152,0))</f>
        <v>0.8</v>
      </c>
      <c r="J2264" s="2">
        <f t="shared" si="354"/>
        <v>7.4564180795141874</v>
      </c>
      <c r="K2264" s="2">
        <f t="shared" si="358"/>
        <v>2.0877970622639728</v>
      </c>
      <c r="L2264" s="2">
        <f t="shared" si="359"/>
        <v>9.5442151417781602</v>
      </c>
      <c r="M2264" s="2">
        <f t="shared" si="355"/>
        <v>6.919555977789166</v>
      </c>
      <c r="N2264" s="2">
        <f t="shared" si="356"/>
        <v>3.459777988894583</v>
      </c>
      <c r="O2264" s="2">
        <f t="shared" si="357"/>
        <v>12.697385219243118</v>
      </c>
      <c r="P2264" s="2">
        <v>72.552850000000007</v>
      </c>
      <c r="Q2264" s="2">
        <v>23.037806</v>
      </c>
    </row>
    <row r="2265" spans="1:17" x14ac:dyDescent="0.25">
      <c r="A2265" s="2">
        <v>2449</v>
      </c>
      <c r="B2265" s="2" t="s">
        <v>147</v>
      </c>
      <c r="C2265" s="2">
        <v>5</v>
      </c>
      <c r="D2265" s="2">
        <f t="shared" si="350"/>
        <v>12.7</v>
      </c>
      <c r="E2265" s="2">
        <f t="shared" si="351"/>
        <v>4.0425355545341413</v>
      </c>
      <c r="F2265" s="2">
        <f t="shared" si="352"/>
        <v>1.5915494309189535</v>
      </c>
      <c r="G2265" s="2">
        <v>2.0782790000000002</v>
      </c>
      <c r="H2265" s="2">
        <f t="shared" si="353"/>
        <v>6.8185008743600006</v>
      </c>
      <c r="I2265" s="2">
        <f>INDEX('Wood Density Lookup'!$B$2:$B$152,MATCH(B2265,'Wood Density Lookup'!$A$2:$A$152,0))</f>
        <v>0.65</v>
      </c>
      <c r="J2265" s="2">
        <f t="shared" si="354"/>
        <v>1.379385857711221</v>
      </c>
      <c r="K2265" s="2">
        <f t="shared" si="358"/>
        <v>0.38622804015914192</v>
      </c>
      <c r="L2265" s="2">
        <f t="shared" si="359"/>
        <v>1.765613897870363</v>
      </c>
      <c r="M2265" s="2">
        <f t="shared" si="355"/>
        <v>1.2800700759560131</v>
      </c>
      <c r="N2265" s="2">
        <f t="shared" si="356"/>
        <v>0.64003503797800654</v>
      </c>
      <c r="O2265" s="2">
        <f t="shared" si="357"/>
        <v>2.3489285893792839</v>
      </c>
      <c r="P2265" s="2">
        <v>72.552850000000007</v>
      </c>
      <c r="Q2265" s="2">
        <v>23.037890000000001</v>
      </c>
    </row>
    <row r="2266" spans="1:17" x14ac:dyDescent="0.25">
      <c r="A2266" s="2">
        <v>2450</v>
      </c>
      <c r="B2266" s="2" t="s">
        <v>6</v>
      </c>
      <c r="C2266" s="2">
        <v>6</v>
      </c>
      <c r="D2266" s="2">
        <f t="shared" si="350"/>
        <v>15.24</v>
      </c>
      <c r="E2266" s="2">
        <f t="shared" si="351"/>
        <v>4.8510426654409704</v>
      </c>
      <c r="F2266" s="2">
        <f t="shared" si="352"/>
        <v>1.909859317102744</v>
      </c>
      <c r="G2266" s="2">
        <v>1.0221910000000001</v>
      </c>
      <c r="H2266" s="2">
        <f t="shared" si="353"/>
        <v>3.3536451204400004</v>
      </c>
      <c r="I2266" s="2">
        <f>INDEX('Wood Density Lookup'!$B$2:$B$152,MATCH(B2266,'Wood Density Lookup'!$A$2:$A$152,0))</f>
        <v>0.28000000000000003</v>
      </c>
      <c r="J2266" s="2">
        <f t="shared" si="354"/>
        <v>0.43300677392613912</v>
      </c>
      <c r="K2266" s="2">
        <f t="shared" si="358"/>
        <v>0.12124189669931897</v>
      </c>
      <c r="L2266" s="2">
        <f t="shared" si="359"/>
        <v>0.55424867062545813</v>
      </c>
      <c r="M2266" s="2">
        <f t="shared" si="355"/>
        <v>0.40183028620345712</v>
      </c>
      <c r="N2266" s="2">
        <f t="shared" si="356"/>
        <v>0.20091514310172856</v>
      </c>
      <c r="O2266" s="2">
        <f t="shared" si="357"/>
        <v>0.7373585751833438</v>
      </c>
      <c r="P2266" s="2">
        <v>72.552850000000007</v>
      </c>
      <c r="Q2266" s="2">
        <v>23.038081999999999</v>
      </c>
    </row>
    <row r="2267" spans="1:17" x14ac:dyDescent="0.25">
      <c r="A2267" s="2">
        <v>2451</v>
      </c>
      <c r="B2267" s="2" t="s">
        <v>46</v>
      </c>
      <c r="C2267" s="2">
        <v>3</v>
      </c>
      <c r="D2267" s="2">
        <f t="shared" si="350"/>
        <v>7.62</v>
      </c>
      <c r="E2267" s="2">
        <f t="shared" si="351"/>
        <v>2.4255213327204852</v>
      </c>
      <c r="F2267" s="2">
        <f t="shared" si="352"/>
        <v>0.95492965855137202</v>
      </c>
      <c r="G2267" s="2">
        <v>2.5401090000000002</v>
      </c>
      <c r="H2267" s="2">
        <f t="shared" si="353"/>
        <v>8.3336912115599997</v>
      </c>
      <c r="I2267" s="2">
        <f>INDEX('Wood Density Lookup'!$B$2:$B$152,MATCH(B2267,'Wood Density Lookup'!$A$2:$A$152,0))</f>
        <v>0.6</v>
      </c>
      <c r="J2267" s="2">
        <f t="shared" si="354"/>
        <v>0.57248766536381657</v>
      </c>
      <c r="K2267" s="2">
        <f t="shared" si="358"/>
        <v>0.16029654630186865</v>
      </c>
      <c r="L2267" s="2">
        <f t="shared" si="359"/>
        <v>0.73278421166568519</v>
      </c>
      <c r="M2267" s="2">
        <f t="shared" si="355"/>
        <v>0.5312685534576217</v>
      </c>
      <c r="N2267" s="2">
        <f t="shared" si="356"/>
        <v>0.26563427672881085</v>
      </c>
      <c r="O2267" s="2">
        <f t="shared" si="357"/>
        <v>0.97487779559473575</v>
      </c>
      <c r="P2267" s="2">
        <v>72.552850000000007</v>
      </c>
      <c r="Q2267" s="2">
        <v>23.038046000000001</v>
      </c>
    </row>
    <row r="2268" spans="1:17" x14ac:dyDescent="0.25">
      <c r="A2268" s="2">
        <v>2452</v>
      </c>
      <c r="B2268" s="2" t="s">
        <v>136</v>
      </c>
      <c r="C2268" s="2">
        <v>4</v>
      </c>
      <c r="D2268" s="2">
        <f t="shared" si="350"/>
        <v>10.16</v>
      </c>
      <c r="E2268" s="2">
        <f t="shared" si="351"/>
        <v>3.2340284436273135</v>
      </c>
      <c r="F2268" s="2">
        <f t="shared" si="352"/>
        <v>1.2732395447351628</v>
      </c>
      <c r="G2268" s="2">
        <v>1.0467280000000001</v>
      </c>
      <c r="H2268" s="2">
        <f t="shared" si="353"/>
        <v>3.4341470915200003</v>
      </c>
      <c r="I2268" s="2">
        <f>INDEX('Wood Density Lookup'!$B$2:$B$152,MATCH(B2268,'Wood Density Lookup'!$A$2:$A$152,0))</f>
        <v>0.7</v>
      </c>
      <c r="J2268" s="2">
        <f t="shared" si="354"/>
        <v>0.49114366558503864</v>
      </c>
      <c r="K2268" s="2">
        <f t="shared" si="358"/>
        <v>0.13752022636381084</v>
      </c>
      <c r="L2268" s="2">
        <f t="shared" si="359"/>
        <v>0.62866389194884942</v>
      </c>
      <c r="M2268" s="2">
        <f t="shared" si="355"/>
        <v>0.45578132166291579</v>
      </c>
      <c r="N2268" s="2">
        <f t="shared" si="356"/>
        <v>0.2278906608314579</v>
      </c>
      <c r="O2268" s="2">
        <f t="shared" si="357"/>
        <v>0.8363587252514505</v>
      </c>
      <c r="P2268" s="2">
        <v>72.552852000000001</v>
      </c>
      <c r="Q2268" s="2">
        <v>23.037928999999998</v>
      </c>
    </row>
    <row r="2269" spans="1:17" x14ac:dyDescent="0.25">
      <c r="A2269" s="2">
        <v>2453</v>
      </c>
      <c r="B2269" s="2" t="s">
        <v>50</v>
      </c>
      <c r="C2269" s="2">
        <v>2</v>
      </c>
      <c r="D2269" s="2">
        <f t="shared" si="350"/>
        <v>5.08</v>
      </c>
      <c r="E2269" s="2">
        <f t="shared" si="351"/>
        <v>1.6170142218136567</v>
      </c>
      <c r="F2269" s="2">
        <f t="shared" si="352"/>
        <v>0.63661977236758138</v>
      </c>
      <c r="G2269" s="2">
        <v>1.250443</v>
      </c>
      <c r="H2269" s="2">
        <f t="shared" si="353"/>
        <v>4.1025034121199999</v>
      </c>
      <c r="I2269" s="2">
        <f>INDEX('Wood Density Lookup'!$B$2:$B$152,MATCH(B2269,'Wood Density Lookup'!$A$2:$A$152,0))</f>
        <v>0.5</v>
      </c>
      <c r="J2269" s="2">
        <f t="shared" si="354"/>
        <v>0.10873104686461114</v>
      </c>
      <c r="K2269" s="2">
        <f t="shared" si="358"/>
        <v>3.0444693122091124E-2</v>
      </c>
      <c r="L2269" s="2">
        <f t="shared" si="359"/>
        <v>0.13917573998670227</v>
      </c>
      <c r="M2269" s="2">
        <f t="shared" si="355"/>
        <v>0.10090241149035914</v>
      </c>
      <c r="N2269" s="2">
        <f t="shared" si="356"/>
        <v>5.045120574517957E-2</v>
      </c>
      <c r="O2269" s="2">
        <f t="shared" si="357"/>
        <v>0.18515592508480902</v>
      </c>
      <c r="P2269" s="2">
        <v>72.552852000000001</v>
      </c>
      <c r="Q2269" s="2">
        <v>23.03772</v>
      </c>
    </row>
    <row r="2270" spans="1:17" x14ac:dyDescent="0.25">
      <c r="A2270" s="2">
        <v>2454</v>
      </c>
      <c r="B2270" s="2" t="s">
        <v>107</v>
      </c>
      <c r="C2270" s="2">
        <v>6</v>
      </c>
      <c r="D2270" s="2">
        <f t="shared" si="350"/>
        <v>15.24</v>
      </c>
      <c r="E2270" s="2">
        <f t="shared" si="351"/>
        <v>4.8510426654409704</v>
      </c>
      <c r="F2270" s="2">
        <f t="shared" si="352"/>
        <v>1.909859317102744</v>
      </c>
      <c r="G2270" s="2">
        <v>2.0879249999999998</v>
      </c>
      <c r="H2270" s="2">
        <f t="shared" si="353"/>
        <v>6.8501478569999996</v>
      </c>
      <c r="I2270" s="2">
        <f>INDEX('Wood Density Lookup'!$B$2:$B$152,MATCH(B2270,'Wood Density Lookup'!$A$2:$A$152,0))</f>
        <v>0.65</v>
      </c>
      <c r="J2270" s="2">
        <f t="shared" si="354"/>
        <v>1.9779273753591855</v>
      </c>
      <c r="K2270" s="2">
        <f t="shared" si="358"/>
        <v>0.55381966510057201</v>
      </c>
      <c r="L2270" s="2">
        <f t="shared" si="359"/>
        <v>2.5317470404597575</v>
      </c>
      <c r="M2270" s="2">
        <f t="shared" si="355"/>
        <v>1.8355166043333242</v>
      </c>
      <c r="N2270" s="2">
        <f t="shared" si="356"/>
        <v>0.9177583021666621</v>
      </c>
      <c r="O2270" s="2">
        <f t="shared" si="357"/>
        <v>3.36817296895165</v>
      </c>
      <c r="P2270" s="2">
        <v>72.552852999999999</v>
      </c>
      <c r="Q2270" s="2">
        <v>23.038173</v>
      </c>
    </row>
    <row r="2271" spans="1:17" x14ac:dyDescent="0.25">
      <c r="A2271" s="2">
        <v>2455</v>
      </c>
      <c r="B2271" s="2" t="s">
        <v>11</v>
      </c>
      <c r="C2271" s="2">
        <v>8</v>
      </c>
      <c r="D2271" s="2">
        <f t="shared" si="350"/>
        <v>20.32</v>
      </c>
      <c r="E2271" s="2">
        <f t="shared" si="351"/>
        <v>6.4680568872546269</v>
      </c>
      <c r="F2271" s="2">
        <f t="shared" si="352"/>
        <v>2.5464790894703255</v>
      </c>
      <c r="G2271" s="2">
        <v>2.0144319999999998</v>
      </c>
      <c r="H2271" s="2">
        <f t="shared" si="353"/>
        <v>6.6090290828799994</v>
      </c>
      <c r="I2271" s="2">
        <f>INDEX('Wood Density Lookup'!$B$2:$B$152,MATCH(B2271,'Wood Density Lookup'!$A$2:$A$152,0))</f>
        <v>0.45</v>
      </c>
      <c r="J2271" s="2">
        <f t="shared" si="354"/>
        <v>2.3390200505561234</v>
      </c>
      <c r="K2271" s="2">
        <f t="shared" si="358"/>
        <v>0.6549256141557146</v>
      </c>
      <c r="L2271" s="2">
        <f t="shared" si="359"/>
        <v>2.9939456647118381</v>
      </c>
      <c r="M2271" s="2">
        <f t="shared" si="355"/>
        <v>2.1706106069160827</v>
      </c>
      <c r="N2271" s="2">
        <f t="shared" si="356"/>
        <v>1.0853053034580413</v>
      </c>
      <c r="O2271" s="2">
        <f t="shared" si="357"/>
        <v>3.9830704636910115</v>
      </c>
      <c r="P2271" s="2">
        <v>72.552852999999999</v>
      </c>
      <c r="Q2271" s="2">
        <v>23.036674999999999</v>
      </c>
    </row>
    <row r="2272" spans="1:17" x14ac:dyDescent="0.25">
      <c r="A2272" s="2">
        <v>2456</v>
      </c>
      <c r="B2272" s="2" t="s">
        <v>145</v>
      </c>
      <c r="C2272" s="2">
        <v>4</v>
      </c>
      <c r="D2272" s="2">
        <f t="shared" si="350"/>
        <v>10.16</v>
      </c>
      <c r="E2272" s="2">
        <f t="shared" si="351"/>
        <v>3.2340284436273135</v>
      </c>
      <c r="F2272" s="2">
        <f t="shared" si="352"/>
        <v>1.2732395447351628</v>
      </c>
      <c r="G2272" s="2">
        <v>4.0069730000000003</v>
      </c>
      <c r="H2272" s="2">
        <f t="shared" si="353"/>
        <v>13.146237297320001</v>
      </c>
      <c r="I2272" s="2">
        <f>INDEX('Wood Density Lookup'!$B$2:$B$152,MATCH(B2272,'Wood Density Lookup'!$A$2:$A$152,0))</f>
        <v>0.55000000000000004</v>
      </c>
      <c r="J2272" s="2">
        <f t="shared" si="354"/>
        <v>1.4387251572571487</v>
      </c>
      <c r="K2272" s="2">
        <f t="shared" si="358"/>
        <v>0.40284304403200166</v>
      </c>
      <c r="L2272" s="2">
        <f t="shared" si="359"/>
        <v>1.8415682012891503</v>
      </c>
      <c r="M2272" s="2">
        <f t="shared" si="355"/>
        <v>1.3351369459346341</v>
      </c>
      <c r="N2272" s="2">
        <f t="shared" si="356"/>
        <v>0.66756847296731703</v>
      </c>
      <c r="O2272" s="2">
        <f t="shared" si="357"/>
        <v>2.4499762957900533</v>
      </c>
      <c r="P2272" s="2">
        <v>72.552852999999999</v>
      </c>
      <c r="Q2272" s="2">
        <v>23.037846999999999</v>
      </c>
    </row>
    <row r="2273" spans="1:17" x14ac:dyDescent="0.25">
      <c r="A2273" s="2">
        <v>2457</v>
      </c>
      <c r="B2273" s="2" t="s">
        <v>49</v>
      </c>
      <c r="C2273" s="2">
        <v>8</v>
      </c>
      <c r="D2273" s="2">
        <f t="shared" si="350"/>
        <v>20.32</v>
      </c>
      <c r="E2273" s="2">
        <f t="shared" si="351"/>
        <v>6.4680568872546269</v>
      </c>
      <c r="F2273" s="2">
        <f t="shared" si="352"/>
        <v>2.5464790894703255</v>
      </c>
      <c r="G2273" s="2">
        <v>4.8802810000000001</v>
      </c>
      <c r="H2273" s="2">
        <f t="shared" si="353"/>
        <v>16.011421116040001</v>
      </c>
      <c r="I2273" s="2">
        <f>INDEX('Wood Density Lookup'!$B$2:$B$152,MATCH(B2273,'Wood Density Lookup'!$A$2:$A$152,0))</f>
        <v>0.78</v>
      </c>
      <c r="J2273" s="2">
        <f t="shared" si="354"/>
        <v>9.4896909128307225</v>
      </c>
      <c r="K2273" s="2">
        <f t="shared" si="358"/>
        <v>2.6571134555926026</v>
      </c>
      <c r="L2273" s="2">
        <f t="shared" si="359"/>
        <v>12.146804368423325</v>
      </c>
      <c r="M2273" s="2">
        <f t="shared" si="355"/>
        <v>8.8064331671069098</v>
      </c>
      <c r="N2273" s="2">
        <f t="shared" si="356"/>
        <v>4.4032165835534549</v>
      </c>
      <c r="O2273" s="2">
        <f t="shared" si="357"/>
        <v>16.159804861641181</v>
      </c>
      <c r="P2273" s="2">
        <v>72.552853999999996</v>
      </c>
      <c r="Q2273" s="2">
        <v>23.037970999999999</v>
      </c>
    </row>
    <row r="2274" spans="1:17" x14ac:dyDescent="0.25">
      <c r="A2274" s="2">
        <v>2458</v>
      </c>
      <c r="B2274" s="2" t="s">
        <v>15</v>
      </c>
      <c r="C2274" s="2">
        <v>4</v>
      </c>
      <c r="D2274" s="2">
        <f t="shared" si="350"/>
        <v>10.16</v>
      </c>
      <c r="E2274" s="2">
        <f t="shared" si="351"/>
        <v>3.2340284436273135</v>
      </c>
      <c r="F2274" s="2">
        <f t="shared" si="352"/>
        <v>1.2732395447351628</v>
      </c>
      <c r="G2274" s="2">
        <v>1.021488</v>
      </c>
      <c r="H2274" s="2">
        <f t="shared" si="353"/>
        <v>3.3513386899199999</v>
      </c>
      <c r="I2274" s="2">
        <f>INDEX('Wood Density Lookup'!$B$2:$B$152,MATCH(B2274,'Wood Density Lookup'!$A$2:$A$152,0))</f>
        <v>0.75</v>
      </c>
      <c r="J2274" s="2">
        <f t="shared" si="354"/>
        <v>0.51298715932750494</v>
      </c>
      <c r="K2274" s="2">
        <f t="shared" si="358"/>
        <v>0.14363640461170141</v>
      </c>
      <c r="L2274" s="2">
        <f t="shared" si="359"/>
        <v>0.6566235639392064</v>
      </c>
      <c r="M2274" s="2">
        <f t="shared" si="355"/>
        <v>0.47605208385592462</v>
      </c>
      <c r="N2274" s="2">
        <f t="shared" si="356"/>
        <v>0.23802604192796231</v>
      </c>
      <c r="O2274" s="2">
        <f t="shared" si="357"/>
        <v>0.87355557387562166</v>
      </c>
      <c r="P2274" s="2">
        <v>72.552853999999996</v>
      </c>
      <c r="Q2274" s="2">
        <v>23.038768000000001</v>
      </c>
    </row>
    <row r="2275" spans="1:17" x14ac:dyDescent="0.25">
      <c r="A2275" s="2">
        <v>2459</v>
      </c>
      <c r="B2275" s="2" t="s">
        <v>143</v>
      </c>
      <c r="C2275" s="2">
        <v>12</v>
      </c>
      <c r="D2275" s="2">
        <f t="shared" si="350"/>
        <v>30.48</v>
      </c>
      <c r="E2275" s="2">
        <f t="shared" si="351"/>
        <v>9.7020853308819408</v>
      </c>
      <c r="F2275" s="2">
        <f t="shared" si="352"/>
        <v>3.8197186342054881</v>
      </c>
      <c r="G2275" s="2">
        <v>7.6361150000000002</v>
      </c>
      <c r="H2275" s="2">
        <f t="shared" si="353"/>
        <v>25.052871536600001</v>
      </c>
      <c r="I2275" s="2">
        <f>INDEX('Wood Density Lookup'!$B$2:$B$152,MATCH(B2275,'Wood Density Lookup'!$A$2:$A$152,0))</f>
        <v>0.75</v>
      </c>
      <c r="J2275" s="2">
        <f t="shared" si="354"/>
        <v>31.197445458787016</v>
      </c>
      <c r="K2275" s="2">
        <f t="shared" si="358"/>
        <v>8.7352847284603659</v>
      </c>
      <c r="L2275" s="2">
        <f t="shared" si="359"/>
        <v>39.93273018724738</v>
      </c>
      <c r="M2275" s="2">
        <f t="shared" si="355"/>
        <v>28.951229385754349</v>
      </c>
      <c r="N2275" s="2">
        <f t="shared" si="356"/>
        <v>14.475614692877175</v>
      </c>
      <c r="O2275" s="2">
        <f t="shared" si="357"/>
        <v>53.125505922859226</v>
      </c>
      <c r="P2275" s="2">
        <v>72.552854999999994</v>
      </c>
      <c r="Q2275" s="2">
        <v>23.038129000000001</v>
      </c>
    </row>
    <row r="2276" spans="1:17" x14ac:dyDescent="0.25">
      <c r="A2276" s="2">
        <v>2460</v>
      </c>
      <c r="B2276" s="2" t="s">
        <v>72</v>
      </c>
      <c r="C2276" s="2">
        <v>38</v>
      </c>
      <c r="D2276" s="2">
        <f t="shared" si="350"/>
        <v>96.52</v>
      </c>
      <c r="E2276" s="2">
        <f t="shared" si="351"/>
        <v>30.723270214459475</v>
      </c>
      <c r="F2276" s="2">
        <f t="shared" si="352"/>
        <v>12.095775674984045</v>
      </c>
      <c r="G2276" s="2">
        <v>11.000461</v>
      </c>
      <c r="H2276" s="2">
        <f t="shared" si="353"/>
        <v>36.090752467240002</v>
      </c>
      <c r="I2276" s="2">
        <f>INDEX('Wood Density Lookup'!$B$2:$B$152,MATCH(B2276,'Wood Density Lookup'!$A$2:$A$152,0))</f>
        <v>0.65</v>
      </c>
      <c r="J2276" s="2">
        <f t="shared" si="354"/>
        <v>367.5970086770721</v>
      </c>
      <c r="K2276" s="2">
        <f t="shared" si="358"/>
        <v>102.92716242958019</v>
      </c>
      <c r="L2276" s="2">
        <f t="shared" si="359"/>
        <v>470.52417110665226</v>
      </c>
      <c r="M2276" s="2">
        <f t="shared" si="355"/>
        <v>341.13002405232288</v>
      </c>
      <c r="N2276" s="2">
        <f t="shared" si="356"/>
        <v>170.56501202616144</v>
      </c>
      <c r="O2276" s="2">
        <f t="shared" si="357"/>
        <v>625.97359413601248</v>
      </c>
      <c r="P2276" s="2">
        <v>72.552854999999994</v>
      </c>
      <c r="Q2276" s="2">
        <v>23.036016</v>
      </c>
    </row>
    <row r="2277" spans="1:17" x14ac:dyDescent="0.25">
      <c r="A2277" s="2">
        <v>2461</v>
      </c>
      <c r="B2277" s="2" t="s">
        <v>152</v>
      </c>
      <c r="C2277" s="2">
        <v>31</v>
      </c>
      <c r="D2277" s="2">
        <f t="shared" si="350"/>
        <v>78.739999999999995</v>
      </c>
      <c r="E2277" s="2">
        <f t="shared" si="351"/>
        <v>25.063720438111677</v>
      </c>
      <c r="F2277" s="2">
        <f t="shared" si="352"/>
        <v>9.8676064716975116</v>
      </c>
      <c r="G2277" s="2">
        <v>2.427</v>
      </c>
      <c r="H2277" s="2">
        <f t="shared" si="353"/>
        <v>7.9625986800000002</v>
      </c>
      <c r="I2277" s="2">
        <f>INDEX('Wood Density Lookup'!$B$2:$B$152,MATCH(B2277,'Wood Density Lookup'!$A$2:$A$152,0))</f>
        <v>0.8</v>
      </c>
      <c r="J2277" s="2">
        <f t="shared" si="354"/>
        <v>69.214308275472831</v>
      </c>
      <c r="K2277" s="2">
        <f t="shared" si="358"/>
        <v>19.380006317132395</v>
      </c>
      <c r="L2277" s="2">
        <f t="shared" si="359"/>
        <v>88.59431459260523</v>
      </c>
      <c r="M2277" s="2">
        <f t="shared" si="355"/>
        <v>64.230878079638785</v>
      </c>
      <c r="N2277" s="2">
        <f t="shared" si="356"/>
        <v>32.115439039819393</v>
      </c>
      <c r="O2277" s="2">
        <f t="shared" si="357"/>
        <v>117.86366127613717</v>
      </c>
      <c r="P2277" s="2">
        <v>72.552858000000001</v>
      </c>
      <c r="Q2277" s="2">
        <v>23.038753</v>
      </c>
    </row>
    <row r="2278" spans="1:17" x14ac:dyDescent="0.25">
      <c r="A2278" s="2">
        <v>2462</v>
      </c>
      <c r="B2278" s="2" t="s">
        <v>57</v>
      </c>
      <c r="C2278" s="2">
        <v>2</v>
      </c>
      <c r="D2278" s="2">
        <f t="shared" si="350"/>
        <v>5.08</v>
      </c>
      <c r="E2278" s="2">
        <f t="shared" si="351"/>
        <v>1.6170142218136567</v>
      </c>
      <c r="F2278" s="2">
        <f t="shared" si="352"/>
        <v>0.63661977236758138</v>
      </c>
      <c r="G2278" s="2">
        <v>12.733143</v>
      </c>
      <c r="H2278" s="2">
        <f t="shared" si="353"/>
        <v>41.77540488012</v>
      </c>
      <c r="I2278" s="2">
        <f>INDEX('Wood Density Lookup'!$B$2:$B$152,MATCH(B2278,'Wood Density Lookup'!$A$2:$A$152,0))</f>
        <v>0.6</v>
      </c>
      <c r="J2278" s="2">
        <f t="shared" si="354"/>
        <v>1.2511727041168377</v>
      </c>
      <c r="K2278" s="2">
        <f t="shared" si="358"/>
        <v>0.3503283571527146</v>
      </c>
      <c r="L2278" s="2">
        <f t="shared" si="359"/>
        <v>1.6015010612695524</v>
      </c>
      <c r="M2278" s="2">
        <f t="shared" si="355"/>
        <v>1.1610882694204254</v>
      </c>
      <c r="N2278" s="2">
        <f t="shared" si="356"/>
        <v>0.58054413471021271</v>
      </c>
      <c r="O2278" s="2">
        <f t="shared" si="357"/>
        <v>2.1305969743864805</v>
      </c>
      <c r="P2278" s="2">
        <v>72.552862000000005</v>
      </c>
      <c r="Q2278" s="2">
        <v>23.03511</v>
      </c>
    </row>
    <row r="2279" spans="1:17" x14ac:dyDescent="0.25">
      <c r="A2279" s="2">
        <v>2463</v>
      </c>
      <c r="B2279" s="2" t="s">
        <v>102</v>
      </c>
      <c r="C2279" s="2">
        <v>1</v>
      </c>
      <c r="D2279" s="2">
        <f t="shared" si="350"/>
        <v>2.54</v>
      </c>
      <c r="E2279" s="2">
        <f t="shared" si="351"/>
        <v>0.80850711090682836</v>
      </c>
      <c r="F2279" s="2">
        <f t="shared" si="352"/>
        <v>0.31830988618379069</v>
      </c>
      <c r="G2279" s="2">
        <v>1.0291410000000001</v>
      </c>
      <c r="H2279" s="2">
        <f t="shared" si="353"/>
        <v>3.3764469584400003</v>
      </c>
      <c r="I2279" s="2">
        <f>INDEX('Wood Density Lookup'!$B$2:$B$152,MATCH(B2279,'Wood Density Lookup'!$A$2:$A$152,0))</f>
        <v>0.45</v>
      </c>
      <c r="J2279" s="2">
        <f t="shared" si="354"/>
        <v>2.0966446212385446E-2</v>
      </c>
      <c r="K2279" s="2">
        <f t="shared" si="358"/>
        <v>5.8706049394679251E-3</v>
      </c>
      <c r="L2279" s="2">
        <f t="shared" si="359"/>
        <v>2.6837051151853371E-2</v>
      </c>
      <c r="M2279" s="2">
        <f t="shared" si="355"/>
        <v>1.9456862085093694E-2</v>
      </c>
      <c r="N2279" s="2">
        <f t="shared" si="356"/>
        <v>9.7284310425468472E-3</v>
      </c>
      <c r="O2279" s="2">
        <f t="shared" si="357"/>
        <v>3.570334192614693E-2</v>
      </c>
      <c r="P2279" s="2">
        <v>72.552862000000005</v>
      </c>
      <c r="Q2279" s="2">
        <v>23.037198</v>
      </c>
    </row>
    <row r="2280" spans="1:17" x14ac:dyDescent="0.25">
      <c r="A2280" s="2">
        <v>2464</v>
      </c>
      <c r="B2280" s="2" t="s">
        <v>50</v>
      </c>
      <c r="C2280" s="2">
        <v>2</v>
      </c>
      <c r="D2280" s="2">
        <f t="shared" si="350"/>
        <v>5.08</v>
      </c>
      <c r="E2280" s="2">
        <f t="shared" si="351"/>
        <v>1.6170142218136567</v>
      </c>
      <c r="F2280" s="2">
        <f t="shared" si="352"/>
        <v>0.63661977236758138</v>
      </c>
      <c r="G2280" s="2">
        <v>1.1069230000000001</v>
      </c>
      <c r="H2280" s="2">
        <f t="shared" si="353"/>
        <v>3.6316372553200003</v>
      </c>
      <c r="I2280" s="2">
        <f>INDEX('Wood Density Lookup'!$B$2:$B$152,MATCH(B2280,'Wood Density Lookup'!$A$2:$A$152,0))</f>
        <v>0.5</v>
      </c>
      <c r="J2280" s="2">
        <f t="shared" si="354"/>
        <v>9.6533443161057553E-2</v>
      </c>
      <c r="K2280" s="2">
        <f t="shared" si="358"/>
        <v>2.7029364085096118E-2</v>
      </c>
      <c r="L2280" s="2">
        <f t="shared" si="359"/>
        <v>0.12356280724615368</v>
      </c>
      <c r="M2280" s="2">
        <f t="shared" si="355"/>
        <v>8.958303525346141E-2</v>
      </c>
      <c r="N2280" s="2">
        <f t="shared" si="356"/>
        <v>4.4791517626730705E-2</v>
      </c>
      <c r="O2280" s="2">
        <f t="shared" si="357"/>
        <v>0.16438486969010169</v>
      </c>
      <c r="P2280" s="2">
        <v>72.552863000000002</v>
      </c>
      <c r="Q2280" s="2">
        <v>23.037804000000001</v>
      </c>
    </row>
    <row r="2281" spans="1:17" x14ac:dyDescent="0.25">
      <c r="A2281" s="2">
        <v>2465</v>
      </c>
      <c r="B2281" s="2" t="s">
        <v>65</v>
      </c>
      <c r="C2281" s="2">
        <v>29</v>
      </c>
      <c r="D2281" s="2">
        <f t="shared" si="350"/>
        <v>73.66</v>
      </c>
      <c r="E2281" s="2">
        <f t="shared" si="351"/>
        <v>23.446706216298022</v>
      </c>
      <c r="F2281" s="2">
        <f t="shared" si="352"/>
        <v>9.2309866993299305</v>
      </c>
      <c r="G2281" s="2">
        <v>3.8548049999999998</v>
      </c>
      <c r="H2281" s="2">
        <f t="shared" si="353"/>
        <v>12.646998436199999</v>
      </c>
      <c r="I2281" s="2">
        <f>INDEX('Wood Density Lookup'!$B$2:$B$152,MATCH(B2281,'Wood Density Lookup'!$A$2:$A$152,0))</f>
        <v>0.7</v>
      </c>
      <c r="J2281" s="2">
        <f t="shared" si="354"/>
        <v>83.785499327167187</v>
      </c>
      <c r="K2281" s="2">
        <f t="shared" si="358"/>
        <v>23.459939811606816</v>
      </c>
      <c r="L2281" s="2">
        <f t="shared" si="359"/>
        <v>107.245439138774</v>
      </c>
      <c r="M2281" s="2">
        <f t="shared" si="355"/>
        <v>77.752943375611153</v>
      </c>
      <c r="N2281" s="2">
        <f t="shared" si="356"/>
        <v>38.876471687805576</v>
      </c>
      <c r="O2281" s="2">
        <f t="shared" si="357"/>
        <v>142.67665109424647</v>
      </c>
      <c r="P2281" s="2">
        <v>72.552868000000004</v>
      </c>
      <c r="Q2281" s="2">
        <v>23.034879</v>
      </c>
    </row>
    <row r="2282" spans="1:17" x14ac:dyDescent="0.25">
      <c r="A2282" s="2">
        <v>2466</v>
      </c>
      <c r="B2282" s="2" t="s">
        <v>114</v>
      </c>
      <c r="C2282" s="2">
        <v>14</v>
      </c>
      <c r="D2282" s="2">
        <f t="shared" si="350"/>
        <v>35.56</v>
      </c>
      <c r="E2282" s="2">
        <f t="shared" si="351"/>
        <v>11.319099552695597</v>
      </c>
      <c r="F2282" s="2">
        <f t="shared" si="352"/>
        <v>4.45633840657307</v>
      </c>
      <c r="G2282" s="2">
        <v>12.452057</v>
      </c>
      <c r="H2282" s="2">
        <f t="shared" si="353"/>
        <v>40.853206687879997</v>
      </c>
      <c r="I2282" s="2">
        <f>INDEX('Wood Density Lookup'!$B$2:$B$152,MATCH(B2282,'Wood Density Lookup'!$A$2:$A$152,0))</f>
        <v>0.55000000000000004</v>
      </c>
      <c r="J2282" s="2">
        <f t="shared" si="354"/>
        <v>50.188608144691862</v>
      </c>
      <c r="K2282" s="2">
        <f t="shared" si="358"/>
        <v>14.052810280513723</v>
      </c>
      <c r="L2282" s="2">
        <f t="shared" si="359"/>
        <v>64.24141842520558</v>
      </c>
      <c r="M2282" s="2">
        <f t="shared" si="355"/>
        <v>46.575028358274047</v>
      </c>
      <c r="N2282" s="2">
        <f t="shared" si="356"/>
        <v>23.287514179137023</v>
      </c>
      <c r="O2282" s="2">
        <f t="shared" si="357"/>
        <v>85.465177037432881</v>
      </c>
      <c r="P2282" s="2">
        <v>72.552868000000004</v>
      </c>
      <c r="Q2282" s="2">
        <v>23.036837999999999</v>
      </c>
    </row>
    <row r="2283" spans="1:17" x14ac:dyDescent="0.25">
      <c r="A2283" s="2">
        <v>2467</v>
      </c>
      <c r="B2283" s="2" t="s">
        <v>104</v>
      </c>
      <c r="C2283" s="2">
        <v>5</v>
      </c>
      <c r="D2283" s="2">
        <f t="shared" si="350"/>
        <v>12.7</v>
      </c>
      <c r="E2283" s="2">
        <f t="shared" si="351"/>
        <v>4.0425355545341413</v>
      </c>
      <c r="F2283" s="2">
        <f t="shared" si="352"/>
        <v>1.5915494309189535</v>
      </c>
      <c r="G2283" s="2">
        <v>5.1283570000000003</v>
      </c>
      <c r="H2283" s="2">
        <f t="shared" si="353"/>
        <v>16.82531877988</v>
      </c>
      <c r="I2283" s="2">
        <f>INDEX('Wood Density Lookup'!$B$2:$B$152,MATCH(B2283,'Wood Density Lookup'!$A$2:$A$152,0))</f>
        <v>0.6</v>
      </c>
      <c r="J2283" s="2">
        <f t="shared" si="354"/>
        <v>3.0804755668202604</v>
      </c>
      <c r="K2283" s="2">
        <f t="shared" si="358"/>
        <v>0.86253315870967295</v>
      </c>
      <c r="L2283" s="2">
        <f t="shared" si="359"/>
        <v>3.9430087255299333</v>
      </c>
      <c r="M2283" s="2">
        <f t="shared" si="355"/>
        <v>2.8586813260092017</v>
      </c>
      <c r="N2283" s="2">
        <f t="shared" si="356"/>
        <v>1.4293406630046008</v>
      </c>
      <c r="O2283" s="2">
        <f t="shared" si="357"/>
        <v>5.245680233226885</v>
      </c>
      <c r="P2283" s="2">
        <v>72.552869999999999</v>
      </c>
      <c r="Q2283" s="2">
        <v>23.03529</v>
      </c>
    </row>
    <row r="2284" spans="1:17" x14ac:dyDescent="0.25">
      <c r="A2284" s="2">
        <v>2468</v>
      </c>
      <c r="B2284" s="2" t="s">
        <v>15</v>
      </c>
      <c r="C2284" s="2">
        <v>21</v>
      </c>
      <c r="D2284" s="2">
        <f t="shared" si="350"/>
        <v>53.34</v>
      </c>
      <c r="E2284" s="2">
        <f t="shared" si="351"/>
        <v>16.978649329043396</v>
      </c>
      <c r="F2284" s="2">
        <f t="shared" si="352"/>
        <v>6.6845076098596046</v>
      </c>
      <c r="G2284" s="2">
        <v>7.7941010000000004</v>
      </c>
      <c r="H2284" s="2">
        <f t="shared" si="353"/>
        <v>25.571198324840001</v>
      </c>
      <c r="I2284" s="2">
        <f>INDEX('Wood Density Lookup'!$B$2:$B$152,MATCH(B2284,'Wood Density Lookup'!$A$2:$A$152,0))</f>
        <v>0.75</v>
      </c>
      <c r="J2284" s="2">
        <f t="shared" si="354"/>
        <v>94.887592666088082</v>
      </c>
      <c r="K2284" s="2">
        <f t="shared" si="358"/>
        <v>26.568525946504664</v>
      </c>
      <c r="L2284" s="2">
        <f t="shared" si="359"/>
        <v>121.45611861259275</v>
      </c>
      <c r="M2284" s="2">
        <f t="shared" si="355"/>
        <v>88.055685994129732</v>
      </c>
      <c r="N2284" s="2">
        <f t="shared" si="356"/>
        <v>44.027842997064866</v>
      </c>
      <c r="O2284" s="2">
        <f t="shared" si="357"/>
        <v>161.58218379922806</v>
      </c>
      <c r="P2284" s="2">
        <v>72.552870999999996</v>
      </c>
      <c r="Q2284" s="2">
        <v>23.035663</v>
      </c>
    </row>
    <row r="2285" spans="1:17" x14ac:dyDescent="0.25">
      <c r="A2285" s="2">
        <v>2469</v>
      </c>
      <c r="B2285" s="2" t="s">
        <v>50</v>
      </c>
      <c r="C2285" s="2">
        <v>3</v>
      </c>
      <c r="D2285" s="2">
        <f t="shared" si="350"/>
        <v>7.62</v>
      </c>
      <c r="E2285" s="2">
        <f t="shared" si="351"/>
        <v>2.4255213327204852</v>
      </c>
      <c r="F2285" s="2">
        <f t="shared" si="352"/>
        <v>0.95492965855137202</v>
      </c>
      <c r="G2285" s="2">
        <v>1.276462</v>
      </c>
      <c r="H2285" s="2">
        <f t="shared" si="353"/>
        <v>4.1878675880799996</v>
      </c>
      <c r="I2285" s="2">
        <f>INDEX('Wood Density Lookup'!$B$2:$B$152,MATCH(B2285,'Wood Density Lookup'!$A$2:$A$152,0))</f>
        <v>0.5</v>
      </c>
      <c r="J2285" s="2">
        <f t="shared" si="354"/>
        <v>0.24480091802521045</v>
      </c>
      <c r="K2285" s="2">
        <f t="shared" si="358"/>
        <v>6.8544257047058937E-2</v>
      </c>
      <c r="L2285" s="2">
        <f t="shared" si="359"/>
        <v>0.31334517507226939</v>
      </c>
      <c r="M2285" s="2">
        <f t="shared" si="355"/>
        <v>0.22717525192739529</v>
      </c>
      <c r="N2285" s="2">
        <f t="shared" si="356"/>
        <v>0.11358762596369765</v>
      </c>
      <c r="O2285" s="2">
        <f t="shared" si="357"/>
        <v>0.41686658728677034</v>
      </c>
      <c r="P2285" s="2">
        <v>72.552871999999994</v>
      </c>
      <c r="Q2285" s="2">
        <v>23.03772</v>
      </c>
    </row>
    <row r="2286" spans="1:17" x14ac:dyDescent="0.25">
      <c r="A2286" s="2">
        <v>2470</v>
      </c>
      <c r="B2286" s="2" t="s">
        <v>57</v>
      </c>
      <c r="C2286" s="2">
        <v>3</v>
      </c>
      <c r="D2286" s="2">
        <f t="shared" si="350"/>
        <v>7.62</v>
      </c>
      <c r="E2286" s="2">
        <f t="shared" si="351"/>
        <v>2.4255213327204852</v>
      </c>
      <c r="F2286" s="2">
        <f t="shared" si="352"/>
        <v>0.95492965855137202</v>
      </c>
      <c r="G2286" s="2">
        <v>9.8461219999999994</v>
      </c>
      <c r="H2286" s="2">
        <f t="shared" si="353"/>
        <v>32.303550902479998</v>
      </c>
      <c r="I2286" s="2">
        <f>INDEX('Wood Density Lookup'!$B$2:$B$152,MATCH(B2286,'Wood Density Lookup'!$A$2:$A$152,0))</f>
        <v>0.6</v>
      </c>
      <c r="J2286" s="2">
        <f t="shared" si="354"/>
        <v>2.1481128087217272</v>
      </c>
      <c r="K2286" s="2">
        <f t="shared" si="358"/>
        <v>0.60147158644208365</v>
      </c>
      <c r="L2286" s="2">
        <f t="shared" si="359"/>
        <v>2.7495843951638106</v>
      </c>
      <c r="M2286" s="2">
        <f t="shared" si="355"/>
        <v>1.9934486864937626</v>
      </c>
      <c r="N2286" s="2">
        <f t="shared" si="356"/>
        <v>0.99672434324688131</v>
      </c>
      <c r="O2286" s="2">
        <f t="shared" si="357"/>
        <v>3.6579783397160544</v>
      </c>
      <c r="P2286" s="2">
        <v>72.552874000000003</v>
      </c>
      <c r="Q2286" s="2">
        <v>23.035056000000001</v>
      </c>
    </row>
    <row r="2287" spans="1:17" x14ac:dyDescent="0.25">
      <c r="A2287" s="2">
        <v>2471</v>
      </c>
      <c r="B2287" s="2" t="s">
        <v>57</v>
      </c>
      <c r="C2287" s="2">
        <v>2</v>
      </c>
      <c r="D2287" s="2">
        <f t="shared" si="350"/>
        <v>5.08</v>
      </c>
      <c r="E2287" s="2">
        <f t="shared" si="351"/>
        <v>1.6170142218136567</v>
      </c>
      <c r="F2287" s="2">
        <f t="shared" si="352"/>
        <v>0.63661977236758138</v>
      </c>
      <c r="G2287" s="2">
        <v>13.998450999999999</v>
      </c>
      <c r="H2287" s="2">
        <f t="shared" si="353"/>
        <v>45.926677978839997</v>
      </c>
      <c r="I2287" s="2">
        <f>INDEX('Wood Density Lookup'!$B$2:$B$152,MATCH(B2287,'Wood Density Lookup'!$A$2:$A$152,0))</f>
        <v>0.6</v>
      </c>
      <c r="J2287" s="2">
        <f t="shared" si="354"/>
        <v>1.3723793079578335</v>
      </c>
      <c r="K2287" s="2">
        <f t="shared" si="358"/>
        <v>0.38426620622819341</v>
      </c>
      <c r="L2287" s="2">
        <f t="shared" si="359"/>
        <v>1.7566455141860269</v>
      </c>
      <c r="M2287" s="2">
        <f t="shared" si="355"/>
        <v>1.2735679977848695</v>
      </c>
      <c r="N2287" s="2">
        <f t="shared" si="356"/>
        <v>0.63678399889243475</v>
      </c>
      <c r="O2287" s="2">
        <f t="shared" si="357"/>
        <v>2.3369972759352353</v>
      </c>
      <c r="P2287" s="2">
        <v>72.552875</v>
      </c>
      <c r="Q2287" s="2">
        <v>23.035153999999999</v>
      </c>
    </row>
    <row r="2288" spans="1:17" x14ac:dyDescent="0.25">
      <c r="A2288" s="2">
        <v>2472</v>
      </c>
      <c r="B2288" s="2" t="s">
        <v>15</v>
      </c>
      <c r="C2288" s="2">
        <v>5</v>
      </c>
      <c r="D2288" s="2">
        <f t="shared" si="350"/>
        <v>12.7</v>
      </c>
      <c r="E2288" s="2">
        <f t="shared" si="351"/>
        <v>4.0425355545341413</v>
      </c>
      <c r="F2288" s="2">
        <f t="shared" si="352"/>
        <v>1.5915494309189535</v>
      </c>
      <c r="G2288" s="2">
        <v>2.106557</v>
      </c>
      <c r="H2288" s="2">
        <f t="shared" si="353"/>
        <v>6.9112764678799996</v>
      </c>
      <c r="I2288" s="2">
        <f>INDEX('Wood Density Lookup'!$B$2:$B$152,MATCH(B2288,'Wood Density Lookup'!$A$2:$A$152,0))</f>
        <v>0.75</v>
      </c>
      <c r="J2288" s="2">
        <f t="shared" si="354"/>
        <v>1.607202602070537</v>
      </c>
      <c r="K2288" s="2">
        <f t="shared" si="358"/>
        <v>0.45001672857975039</v>
      </c>
      <c r="L2288" s="2">
        <f t="shared" si="359"/>
        <v>2.0572193306502875</v>
      </c>
      <c r="M2288" s="2">
        <f t="shared" si="355"/>
        <v>1.4914840147214583</v>
      </c>
      <c r="N2288" s="2">
        <f t="shared" si="356"/>
        <v>0.74574200736072915</v>
      </c>
      <c r="O2288" s="2">
        <f t="shared" si="357"/>
        <v>2.7368731670138757</v>
      </c>
      <c r="P2288" s="2">
        <v>72.552875</v>
      </c>
      <c r="Q2288" s="2">
        <v>23.036678999999999</v>
      </c>
    </row>
    <row r="2289" spans="1:17" x14ac:dyDescent="0.25">
      <c r="A2289" s="2">
        <v>2473</v>
      </c>
      <c r="B2289" s="2" t="s">
        <v>65</v>
      </c>
      <c r="C2289" s="2">
        <v>13</v>
      </c>
      <c r="D2289" s="2">
        <f t="shared" si="350"/>
        <v>33.020000000000003</v>
      </c>
      <c r="E2289" s="2">
        <f t="shared" si="351"/>
        <v>10.51059244178877</v>
      </c>
      <c r="F2289" s="2">
        <f t="shared" si="352"/>
        <v>4.1380285203892786</v>
      </c>
      <c r="G2289" s="2">
        <v>8.0188369999999995</v>
      </c>
      <c r="H2289" s="2">
        <f t="shared" si="353"/>
        <v>26.30852118308</v>
      </c>
      <c r="I2289" s="2">
        <f>INDEX('Wood Density Lookup'!$B$2:$B$152,MATCH(B2289,'Wood Density Lookup'!$A$2:$A$152,0))</f>
        <v>0.7</v>
      </c>
      <c r="J2289" s="2">
        <f t="shared" si="354"/>
        <v>35.765125281549622</v>
      </c>
      <c r="K2289" s="2">
        <f t="shared" si="358"/>
        <v>10.014235078833895</v>
      </c>
      <c r="L2289" s="2">
        <f t="shared" si="359"/>
        <v>45.779360360383521</v>
      </c>
      <c r="M2289" s="2">
        <f t="shared" si="355"/>
        <v>33.190036261278053</v>
      </c>
      <c r="N2289" s="2">
        <f t="shared" si="356"/>
        <v>16.595018130639026</v>
      </c>
      <c r="O2289" s="2">
        <f t="shared" si="357"/>
        <v>60.903716539445227</v>
      </c>
      <c r="P2289" s="2">
        <v>72.552875999999998</v>
      </c>
      <c r="Q2289" s="2">
        <v>23.034758</v>
      </c>
    </row>
    <row r="2290" spans="1:17" x14ac:dyDescent="0.25">
      <c r="A2290" s="2">
        <v>2474</v>
      </c>
      <c r="B2290" s="2" t="s">
        <v>50</v>
      </c>
      <c r="C2290" s="2">
        <v>2</v>
      </c>
      <c r="D2290" s="2">
        <f t="shared" si="350"/>
        <v>5.08</v>
      </c>
      <c r="E2290" s="2">
        <f t="shared" si="351"/>
        <v>1.6170142218136567</v>
      </c>
      <c r="F2290" s="2">
        <f t="shared" si="352"/>
        <v>0.63661977236758138</v>
      </c>
      <c r="G2290" s="2">
        <v>1.0427390000000001</v>
      </c>
      <c r="H2290" s="2">
        <f t="shared" si="353"/>
        <v>3.42105982076</v>
      </c>
      <c r="I2290" s="2">
        <f>INDEX('Wood Density Lookup'!$B$2:$B$152,MATCH(B2290,'Wood Density Lookup'!$A$2:$A$152,0))</f>
        <v>0.5</v>
      </c>
      <c r="J2290" s="2">
        <f t="shared" si="354"/>
        <v>9.106649164872993E-2</v>
      </c>
      <c r="K2290" s="2">
        <f t="shared" si="358"/>
        <v>2.5498617661644383E-2</v>
      </c>
      <c r="L2290" s="2">
        <f t="shared" si="359"/>
        <v>0.11656510931037431</v>
      </c>
      <c r="M2290" s="2">
        <f t="shared" si="355"/>
        <v>8.450970425002137E-2</v>
      </c>
      <c r="N2290" s="2">
        <f t="shared" si="356"/>
        <v>4.2254852125010685E-2</v>
      </c>
      <c r="O2290" s="2">
        <f t="shared" si="357"/>
        <v>0.15507530729878921</v>
      </c>
      <c r="P2290" s="2">
        <v>72.552875999999998</v>
      </c>
      <c r="Q2290" s="2">
        <v>23.037804999999999</v>
      </c>
    </row>
    <row r="2291" spans="1:17" x14ac:dyDescent="0.25">
      <c r="A2291" s="2">
        <v>2475</v>
      </c>
      <c r="B2291" s="2" t="s">
        <v>124</v>
      </c>
      <c r="C2291" s="2">
        <v>5</v>
      </c>
      <c r="D2291" s="2">
        <f t="shared" si="350"/>
        <v>12.7</v>
      </c>
      <c r="E2291" s="2">
        <f t="shared" si="351"/>
        <v>4.0425355545341413</v>
      </c>
      <c r="F2291" s="2">
        <f t="shared" si="352"/>
        <v>1.5915494309189535</v>
      </c>
      <c r="G2291" s="2">
        <v>1.103113</v>
      </c>
      <c r="H2291" s="2">
        <f t="shared" si="353"/>
        <v>3.61913725492</v>
      </c>
      <c r="I2291" s="2">
        <f>INDEX('Wood Density Lookup'!$B$2:$B$152,MATCH(B2291,'Wood Density Lookup'!$A$2:$A$152,0))</f>
        <v>0.55000000000000004</v>
      </c>
      <c r="J2291" s="2">
        <f t="shared" si="354"/>
        <v>0.63153072365895202</v>
      </c>
      <c r="K2291" s="2">
        <f t="shared" si="358"/>
        <v>0.17682860262450659</v>
      </c>
      <c r="L2291" s="2">
        <f t="shared" si="359"/>
        <v>0.80835932628345863</v>
      </c>
      <c r="M2291" s="2">
        <f t="shared" si="355"/>
        <v>0.58606051155550754</v>
      </c>
      <c r="N2291" s="2">
        <f t="shared" si="356"/>
        <v>0.29303025577775377</v>
      </c>
      <c r="O2291" s="2">
        <f t="shared" si="357"/>
        <v>1.0754210387043563</v>
      </c>
      <c r="P2291" s="2">
        <v>72.552879000000004</v>
      </c>
      <c r="Q2291" s="2">
        <v>23.03715</v>
      </c>
    </row>
    <row r="2292" spans="1:17" x14ac:dyDescent="0.25">
      <c r="A2292" s="2">
        <v>2476</v>
      </c>
      <c r="B2292" s="2" t="s">
        <v>6</v>
      </c>
      <c r="C2292" s="2">
        <v>7</v>
      </c>
      <c r="D2292" s="2">
        <f t="shared" si="350"/>
        <v>17.78</v>
      </c>
      <c r="E2292" s="2">
        <f t="shared" si="351"/>
        <v>5.6595497763477987</v>
      </c>
      <c r="F2292" s="2">
        <f t="shared" si="352"/>
        <v>2.228169203286535</v>
      </c>
      <c r="G2292" s="2">
        <v>1.0473520000000001</v>
      </c>
      <c r="H2292" s="2">
        <f t="shared" si="353"/>
        <v>3.4361943356800002</v>
      </c>
      <c r="I2292" s="2">
        <f>INDEX('Wood Density Lookup'!$B$2:$B$152,MATCH(B2292,'Wood Density Lookup'!$A$2:$A$152,0))</f>
        <v>0.28000000000000003</v>
      </c>
      <c r="J2292" s="2">
        <f t="shared" si="354"/>
        <v>0.59907608451843808</v>
      </c>
      <c r="K2292" s="2">
        <f t="shared" si="358"/>
        <v>0.16774130366516268</v>
      </c>
      <c r="L2292" s="2">
        <f t="shared" si="359"/>
        <v>0.76681738818360079</v>
      </c>
      <c r="M2292" s="2">
        <f t="shared" si="355"/>
        <v>0.55594260643311055</v>
      </c>
      <c r="N2292" s="2">
        <f t="shared" si="356"/>
        <v>0.27797130321655528</v>
      </c>
      <c r="O2292" s="2">
        <f t="shared" si="357"/>
        <v>1.0201546828047579</v>
      </c>
      <c r="P2292" s="2">
        <v>72.552881999999997</v>
      </c>
      <c r="Q2292" s="2">
        <v>23.0381</v>
      </c>
    </row>
    <row r="2293" spans="1:17" x14ac:dyDescent="0.25">
      <c r="A2293" s="2">
        <v>2477</v>
      </c>
      <c r="B2293" s="2" t="s">
        <v>143</v>
      </c>
      <c r="C2293" s="2">
        <v>8</v>
      </c>
      <c r="D2293" s="2">
        <f t="shared" si="350"/>
        <v>20.32</v>
      </c>
      <c r="E2293" s="2">
        <f t="shared" si="351"/>
        <v>6.4680568872546269</v>
      </c>
      <c r="F2293" s="2">
        <f t="shared" si="352"/>
        <v>2.5464790894703255</v>
      </c>
      <c r="G2293" s="2">
        <v>4.2143759999999997</v>
      </c>
      <c r="H2293" s="2">
        <f t="shared" si="353"/>
        <v>13.826693355839998</v>
      </c>
      <c r="I2293" s="2">
        <f>INDEX('Wood Density Lookup'!$B$2:$B$152,MATCH(B2293,'Wood Density Lookup'!$A$2:$A$152,0))</f>
        <v>0.75</v>
      </c>
      <c r="J2293" s="2">
        <f t="shared" si="354"/>
        <v>7.9148931550114821</v>
      </c>
      <c r="K2293" s="2">
        <f t="shared" si="358"/>
        <v>2.216170083403215</v>
      </c>
      <c r="L2293" s="2">
        <f t="shared" si="359"/>
        <v>10.131063238414697</v>
      </c>
      <c r="M2293" s="2">
        <f t="shared" si="355"/>
        <v>7.3450208478506553</v>
      </c>
      <c r="N2293" s="2">
        <f t="shared" si="356"/>
        <v>3.6725104239253277</v>
      </c>
      <c r="O2293" s="2">
        <f t="shared" si="357"/>
        <v>13.478113255805953</v>
      </c>
      <c r="P2293" s="2">
        <v>72.552882999999994</v>
      </c>
      <c r="Q2293" s="2">
        <v>23.038049000000001</v>
      </c>
    </row>
    <row r="2294" spans="1:17" x14ac:dyDescent="0.25">
      <c r="A2294" s="2">
        <v>2478</v>
      </c>
      <c r="B2294" s="2" t="s">
        <v>61</v>
      </c>
      <c r="C2294" s="2">
        <v>2</v>
      </c>
      <c r="D2294" s="2">
        <f t="shared" si="350"/>
        <v>5.08</v>
      </c>
      <c r="E2294" s="2">
        <f t="shared" si="351"/>
        <v>1.6170142218136567</v>
      </c>
      <c r="F2294" s="2">
        <f t="shared" si="352"/>
        <v>0.63661977236758138</v>
      </c>
      <c r="G2294" s="2">
        <v>1.0703720000000001</v>
      </c>
      <c r="H2294" s="2">
        <f t="shared" si="353"/>
        <v>3.5117192724800002</v>
      </c>
      <c r="I2294" s="2">
        <f>INDEX('Wood Density Lookup'!$B$2:$B$152,MATCH(B2294,'Wood Density Lookup'!$A$2:$A$152,0))</f>
        <v>0.5</v>
      </c>
      <c r="J2294" s="2">
        <f t="shared" si="354"/>
        <v>9.3421128554269539E-2</v>
      </c>
      <c r="K2294" s="2">
        <f t="shared" si="358"/>
        <v>2.6157915995195475E-2</v>
      </c>
      <c r="L2294" s="2">
        <f t="shared" si="359"/>
        <v>0.11957904454946501</v>
      </c>
      <c r="M2294" s="2">
        <f t="shared" si="355"/>
        <v>8.6694807298362125E-2</v>
      </c>
      <c r="N2294" s="2">
        <f t="shared" si="356"/>
        <v>4.3347403649181063E-2</v>
      </c>
      <c r="O2294" s="2">
        <f t="shared" si="357"/>
        <v>0.1590849713924945</v>
      </c>
      <c r="P2294" s="2">
        <v>72.552882999999994</v>
      </c>
      <c r="Q2294" s="2">
        <v>23.035824000000002</v>
      </c>
    </row>
    <row r="2295" spans="1:17" x14ac:dyDescent="0.25">
      <c r="A2295" s="2">
        <v>2479</v>
      </c>
      <c r="B2295" s="2" t="s">
        <v>115</v>
      </c>
      <c r="C2295" s="2">
        <v>6</v>
      </c>
      <c r="D2295" s="2">
        <f t="shared" si="350"/>
        <v>15.24</v>
      </c>
      <c r="E2295" s="2">
        <f t="shared" si="351"/>
        <v>4.8510426654409704</v>
      </c>
      <c r="F2295" s="2">
        <f t="shared" si="352"/>
        <v>1.909859317102744</v>
      </c>
      <c r="G2295" s="2">
        <v>3.10473</v>
      </c>
      <c r="H2295" s="2">
        <f t="shared" si="353"/>
        <v>10.1861223732</v>
      </c>
      <c r="I2295" s="2">
        <f>INDEX('Wood Density Lookup'!$B$2:$B$152,MATCH(B2295,'Wood Density Lookup'!$A$2:$A$152,0))</f>
        <v>0.65</v>
      </c>
      <c r="J2295" s="2">
        <f t="shared" si="354"/>
        <v>2.9132910216991843</v>
      </c>
      <c r="K2295" s="2">
        <f t="shared" si="358"/>
        <v>0.81572148607577166</v>
      </c>
      <c r="L2295" s="2">
        <f t="shared" si="359"/>
        <v>3.7290125077749559</v>
      </c>
      <c r="M2295" s="2">
        <f t="shared" si="355"/>
        <v>2.7035340681368427</v>
      </c>
      <c r="N2295" s="2">
        <f t="shared" si="356"/>
        <v>1.3517670340684214</v>
      </c>
      <c r="O2295" s="2">
        <f t="shared" si="357"/>
        <v>4.9609850150311061</v>
      </c>
      <c r="P2295" s="2">
        <v>72.552886999999998</v>
      </c>
      <c r="Q2295" s="2">
        <v>23.038</v>
      </c>
    </row>
    <row r="2296" spans="1:17" x14ac:dyDescent="0.25">
      <c r="A2296" s="2">
        <v>2480</v>
      </c>
      <c r="B2296" s="2" t="s">
        <v>50</v>
      </c>
      <c r="C2296" s="2">
        <v>3</v>
      </c>
      <c r="D2296" s="2">
        <f t="shared" si="350"/>
        <v>7.62</v>
      </c>
      <c r="E2296" s="2">
        <f t="shared" si="351"/>
        <v>2.4255213327204852</v>
      </c>
      <c r="F2296" s="2">
        <f t="shared" si="352"/>
        <v>0.95492965855137202</v>
      </c>
      <c r="G2296" s="2">
        <v>1.1894499999999999</v>
      </c>
      <c r="H2296" s="2">
        <f t="shared" si="353"/>
        <v>3.9023951379999997</v>
      </c>
      <c r="I2296" s="2">
        <f>INDEX('Wood Density Lookup'!$B$2:$B$152,MATCH(B2296,'Wood Density Lookup'!$A$2:$A$152,0))</f>
        <v>0.5</v>
      </c>
      <c r="J2296" s="2">
        <f t="shared" si="354"/>
        <v>0.228500535970865</v>
      </c>
      <c r="K2296" s="2">
        <f t="shared" si="358"/>
        <v>6.3980150071842212E-2</v>
      </c>
      <c r="L2296" s="2">
        <f t="shared" si="359"/>
        <v>0.29248068604270722</v>
      </c>
      <c r="M2296" s="2">
        <f t="shared" si="355"/>
        <v>0.21204849738096274</v>
      </c>
      <c r="N2296" s="2">
        <f t="shared" si="356"/>
        <v>0.10602424869048137</v>
      </c>
      <c r="O2296" s="2">
        <f t="shared" si="357"/>
        <v>0.38910899269406662</v>
      </c>
      <c r="P2296" s="2">
        <v>72.552886999999998</v>
      </c>
      <c r="Q2296" s="2">
        <v>23.03772</v>
      </c>
    </row>
    <row r="2297" spans="1:17" x14ac:dyDescent="0.25">
      <c r="A2297" s="2">
        <v>2481</v>
      </c>
      <c r="B2297" s="2" t="s">
        <v>104</v>
      </c>
      <c r="C2297" s="2">
        <v>8</v>
      </c>
      <c r="D2297" s="2">
        <f t="shared" si="350"/>
        <v>20.32</v>
      </c>
      <c r="E2297" s="2">
        <f t="shared" si="351"/>
        <v>6.4680568872546269</v>
      </c>
      <c r="F2297" s="2">
        <f t="shared" si="352"/>
        <v>2.5464790894703255</v>
      </c>
      <c r="G2297" s="2">
        <v>12.501037</v>
      </c>
      <c r="H2297" s="2">
        <f t="shared" si="353"/>
        <v>41.013902231080003</v>
      </c>
      <c r="I2297" s="2">
        <f>INDEX('Wood Density Lookup'!$B$2:$B$152,MATCH(B2297,'Wood Density Lookup'!$A$2:$A$152,0))</f>
        <v>0.6</v>
      </c>
      <c r="J2297" s="2">
        <f t="shared" si="354"/>
        <v>18.396725920374703</v>
      </c>
      <c r="K2297" s="2">
        <f t="shared" si="358"/>
        <v>5.1510832577049168</v>
      </c>
      <c r="L2297" s="2">
        <f t="shared" si="359"/>
        <v>23.547809178079618</v>
      </c>
      <c r="M2297" s="2">
        <f t="shared" si="355"/>
        <v>17.072161654107724</v>
      </c>
      <c r="N2297" s="2">
        <f t="shared" si="356"/>
        <v>8.536080827053862</v>
      </c>
      <c r="O2297" s="2">
        <f t="shared" si="357"/>
        <v>31.327416635287673</v>
      </c>
      <c r="P2297" s="2">
        <v>72.552887999999996</v>
      </c>
      <c r="Q2297" s="2">
        <v>23.035519000000001</v>
      </c>
    </row>
    <row r="2298" spans="1:17" x14ac:dyDescent="0.25">
      <c r="A2298" s="2">
        <v>2482</v>
      </c>
      <c r="B2298" s="2" t="s">
        <v>57</v>
      </c>
      <c r="C2298" s="2">
        <v>12</v>
      </c>
      <c r="D2298" s="2">
        <f t="shared" si="350"/>
        <v>30.48</v>
      </c>
      <c r="E2298" s="2">
        <f t="shared" si="351"/>
        <v>9.7020853308819408</v>
      </c>
      <c r="F2298" s="2">
        <f t="shared" si="352"/>
        <v>3.8197186342054881</v>
      </c>
      <c r="G2298" s="2">
        <v>4.0454790000000003</v>
      </c>
      <c r="H2298" s="2">
        <f t="shared" si="353"/>
        <v>13.272569322360001</v>
      </c>
      <c r="I2298" s="2">
        <f>INDEX('Wood Density Lookup'!$B$2:$B$152,MATCH(B2298,'Wood Density Lookup'!$A$2:$A$152,0))</f>
        <v>0.6</v>
      </c>
      <c r="J2298" s="2">
        <f t="shared" si="354"/>
        <v>13.497521020623317</v>
      </c>
      <c r="K2298" s="2">
        <f t="shared" si="358"/>
        <v>3.7793058857745292</v>
      </c>
      <c r="L2298" s="2">
        <f t="shared" si="359"/>
        <v>17.276826906397847</v>
      </c>
      <c r="M2298" s="2">
        <f t="shared" si="355"/>
        <v>12.525699507138439</v>
      </c>
      <c r="N2298" s="2">
        <f t="shared" si="356"/>
        <v>6.2628497535692196</v>
      </c>
      <c r="O2298" s="2">
        <f t="shared" si="357"/>
        <v>22.984658595599036</v>
      </c>
      <c r="P2298" s="2">
        <v>72.552887999999996</v>
      </c>
      <c r="Q2298" s="2">
        <v>23.035810000000001</v>
      </c>
    </row>
    <row r="2299" spans="1:17" x14ac:dyDescent="0.25">
      <c r="A2299" s="2">
        <v>2483</v>
      </c>
      <c r="B2299" s="2" t="s">
        <v>136</v>
      </c>
      <c r="C2299" s="2">
        <v>4</v>
      </c>
      <c r="D2299" s="2">
        <f t="shared" si="350"/>
        <v>10.16</v>
      </c>
      <c r="E2299" s="2">
        <f t="shared" si="351"/>
        <v>3.2340284436273135</v>
      </c>
      <c r="F2299" s="2">
        <f t="shared" si="352"/>
        <v>1.2732395447351628</v>
      </c>
      <c r="G2299" s="2">
        <v>2.0314839999999998</v>
      </c>
      <c r="H2299" s="2">
        <f t="shared" si="353"/>
        <v>6.6649739665599999</v>
      </c>
      <c r="I2299" s="2">
        <f>INDEX('Wood Density Lookup'!$B$2:$B$152,MATCH(B2299,'Wood Density Lookup'!$A$2:$A$152,0))</f>
        <v>0.7</v>
      </c>
      <c r="J2299" s="2">
        <f t="shared" si="354"/>
        <v>0.93815933026933196</v>
      </c>
      <c r="K2299" s="2">
        <f t="shared" si="358"/>
        <v>0.26268461247541297</v>
      </c>
      <c r="L2299" s="2">
        <f t="shared" si="359"/>
        <v>1.2008439427447448</v>
      </c>
      <c r="M2299" s="2">
        <f t="shared" si="355"/>
        <v>0.87061185848993994</v>
      </c>
      <c r="N2299" s="2">
        <f t="shared" si="356"/>
        <v>0.43530592924496997</v>
      </c>
      <c r="O2299" s="2">
        <f t="shared" si="357"/>
        <v>1.5975727603290397</v>
      </c>
      <c r="P2299" s="2">
        <v>72.552887999999996</v>
      </c>
      <c r="Q2299" s="2">
        <v>23.037887999999999</v>
      </c>
    </row>
    <row r="2300" spans="1:17" x14ac:dyDescent="0.25">
      <c r="A2300" s="2">
        <v>2485</v>
      </c>
      <c r="B2300" s="2" t="s">
        <v>50</v>
      </c>
      <c r="C2300" s="2">
        <v>4</v>
      </c>
      <c r="D2300" s="2">
        <f t="shared" si="350"/>
        <v>10.16</v>
      </c>
      <c r="E2300" s="2">
        <f t="shared" si="351"/>
        <v>3.2340284436273135</v>
      </c>
      <c r="F2300" s="2">
        <f t="shared" si="352"/>
        <v>1.2732395447351628</v>
      </c>
      <c r="G2300" s="2">
        <v>1.0019880000000001</v>
      </c>
      <c r="H2300" s="2">
        <f t="shared" si="353"/>
        <v>3.2873623099200002</v>
      </c>
      <c r="I2300" s="2">
        <f>INDEX('Wood Density Lookup'!$B$2:$B$152,MATCH(B2300,'Wood Density Lookup'!$A$2:$A$152,0))</f>
        <v>0.5</v>
      </c>
      <c r="J2300" s="2">
        <f t="shared" si="354"/>
        <v>0.33890000461467207</v>
      </c>
      <c r="K2300" s="2">
        <f t="shared" si="358"/>
        <v>9.4892001292108188E-2</v>
      </c>
      <c r="L2300" s="2">
        <f t="shared" si="359"/>
        <v>0.43379200590678024</v>
      </c>
      <c r="M2300" s="2">
        <f t="shared" si="355"/>
        <v>0.31449920428241568</v>
      </c>
      <c r="N2300" s="2">
        <f t="shared" si="356"/>
        <v>0.15724960214120784</v>
      </c>
      <c r="O2300" s="2">
        <f t="shared" si="357"/>
        <v>0.57710603985823272</v>
      </c>
      <c r="P2300" s="2">
        <v>72.552890000000005</v>
      </c>
      <c r="Q2300" s="2">
        <v>23.037849999999999</v>
      </c>
    </row>
    <row r="2301" spans="1:17" x14ac:dyDescent="0.25">
      <c r="A2301" s="2">
        <v>2486</v>
      </c>
      <c r="B2301" s="2" t="s">
        <v>15</v>
      </c>
      <c r="C2301" s="2">
        <v>74</v>
      </c>
      <c r="D2301" s="2">
        <f t="shared" si="350"/>
        <v>187.96</v>
      </c>
      <c r="E2301" s="2">
        <f t="shared" si="351"/>
        <v>59.829526207105296</v>
      </c>
      <c r="F2301" s="2">
        <f t="shared" si="352"/>
        <v>23.554931577600509</v>
      </c>
      <c r="G2301" s="2">
        <v>14.865145999999999</v>
      </c>
      <c r="H2301" s="2">
        <f t="shared" si="353"/>
        <v>48.770165602639999</v>
      </c>
      <c r="I2301" s="2">
        <f>INDEX('Wood Density Lookup'!$B$2:$B$152,MATCH(B2301,'Wood Density Lookup'!$A$2:$A$152,0))</f>
        <v>0.75</v>
      </c>
      <c r="J2301" s="2">
        <f t="shared" si="354"/>
        <v>2082.817204103997</v>
      </c>
      <c r="K2301" s="2">
        <f t="shared" si="358"/>
        <v>583.18881714911925</v>
      </c>
      <c r="L2301" s="2">
        <f t="shared" si="359"/>
        <v>2666.0060212531162</v>
      </c>
      <c r="M2301" s="2">
        <f t="shared" si="355"/>
        <v>1932.8543654085092</v>
      </c>
      <c r="N2301" s="2">
        <f t="shared" si="356"/>
        <v>966.42718270425462</v>
      </c>
      <c r="O2301" s="2">
        <f t="shared" si="357"/>
        <v>3546.7877605246144</v>
      </c>
      <c r="P2301" s="2">
        <v>72.552892999999997</v>
      </c>
      <c r="Q2301" s="2">
        <v>23.035722</v>
      </c>
    </row>
    <row r="2302" spans="1:17" x14ac:dyDescent="0.25">
      <c r="A2302" s="2">
        <v>2487</v>
      </c>
      <c r="B2302" s="2" t="s">
        <v>59</v>
      </c>
      <c r="C2302" s="2">
        <v>4</v>
      </c>
      <c r="D2302" s="2">
        <f t="shared" si="350"/>
        <v>10.16</v>
      </c>
      <c r="E2302" s="2">
        <f t="shared" si="351"/>
        <v>3.2340284436273135</v>
      </c>
      <c r="F2302" s="2">
        <f t="shared" si="352"/>
        <v>1.2732395447351628</v>
      </c>
      <c r="G2302" s="2">
        <v>1.8183309999999999</v>
      </c>
      <c r="H2302" s="2">
        <f t="shared" si="353"/>
        <v>5.9656530780399999</v>
      </c>
      <c r="I2302" s="2">
        <f>INDEX('Wood Density Lookup'!$B$2:$B$152,MATCH(B2302,'Wood Density Lookup'!$A$2:$A$152,0))</f>
        <v>0.45</v>
      </c>
      <c r="J2302" s="2">
        <f t="shared" si="354"/>
        <v>0.54703011584395167</v>
      </c>
      <c r="K2302" s="2">
        <f t="shared" si="358"/>
        <v>0.15316843243630648</v>
      </c>
      <c r="L2302" s="2">
        <f t="shared" si="359"/>
        <v>0.70019854828025818</v>
      </c>
      <c r="M2302" s="2">
        <f t="shared" si="355"/>
        <v>0.5076439475031872</v>
      </c>
      <c r="N2302" s="2">
        <f t="shared" si="356"/>
        <v>0.2538219737515936</v>
      </c>
      <c r="O2302" s="2">
        <f t="shared" si="357"/>
        <v>0.93152664366834848</v>
      </c>
      <c r="P2302" s="2">
        <v>72.552893999999995</v>
      </c>
      <c r="Q2302" s="2">
        <v>23.037804000000001</v>
      </c>
    </row>
    <row r="2303" spans="1:17" x14ac:dyDescent="0.25">
      <c r="A2303" s="2">
        <v>2488</v>
      </c>
      <c r="B2303" s="2" t="s">
        <v>26</v>
      </c>
      <c r="C2303" s="2">
        <v>6</v>
      </c>
      <c r="D2303" s="2">
        <f t="shared" si="350"/>
        <v>15.24</v>
      </c>
      <c r="E2303" s="2">
        <f t="shared" si="351"/>
        <v>4.8510426654409704</v>
      </c>
      <c r="F2303" s="2">
        <f t="shared" si="352"/>
        <v>1.909859317102744</v>
      </c>
      <c r="G2303" s="2">
        <v>8.2793530000000004</v>
      </c>
      <c r="H2303" s="2">
        <f t="shared" si="353"/>
        <v>27.163232496520003</v>
      </c>
      <c r="I2303" s="2">
        <f>INDEX('Wood Density Lookup'!$B$2:$B$152,MATCH(B2303,'Wood Density Lookup'!$A$2:$A$152,0))</f>
        <v>0.7</v>
      </c>
      <c r="J2303" s="2">
        <f t="shared" si="354"/>
        <v>8.1572794671472533</v>
      </c>
      <c r="K2303" s="2">
        <f t="shared" si="358"/>
        <v>2.2840382508012311</v>
      </c>
      <c r="L2303" s="2">
        <f t="shared" si="359"/>
        <v>10.441317717948484</v>
      </c>
      <c r="M2303" s="2">
        <f t="shared" si="355"/>
        <v>7.5699553455126507</v>
      </c>
      <c r="N2303" s="2">
        <f t="shared" si="356"/>
        <v>3.7849776727563254</v>
      </c>
      <c r="O2303" s="2">
        <f t="shared" si="357"/>
        <v>13.890868059015714</v>
      </c>
      <c r="P2303" s="2">
        <v>72.552893999999995</v>
      </c>
      <c r="Q2303" s="2">
        <v>23.034761</v>
      </c>
    </row>
    <row r="2304" spans="1:17" x14ac:dyDescent="0.25">
      <c r="A2304" s="2">
        <v>2489</v>
      </c>
      <c r="B2304" s="2" t="s">
        <v>37</v>
      </c>
      <c r="C2304" s="2">
        <v>10</v>
      </c>
      <c r="D2304" s="2">
        <f t="shared" si="350"/>
        <v>25.4</v>
      </c>
      <c r="E2304" s="2">
        <f t="shared" si="351"/>
        <v>8.0850711090682825</v>
      </c>
      <c r="F2304" s="2">
        <f t="shared" si="352"/>
        <v>3.183098861837907</v>
      </c>
      <c r="G2304" s="2">
        <v>3.0667840000000002</v>
      </c>
      <c r="H2304" s="2">
        <f t="shared" si="353"/>
        <v>10.061627618560001</v>
      </c>
      <c r="I2304" s="2">
        <f>INDEX('Wood Density Lookup'!$B$2:$B$152,MATCH(B2304,'Wood Density Lookup'!$A$2:$A$152,0))</f>
        <v>0.27</v>
      </c>
      <c r="J2304" s="2">
        <f t="shared" si="354"/>
        <v>3.309998169852292</v>
      </c>
      <c r="K2304" s="2">
        <f t="shared" si="358"/>
        <v>0.92679948755864183</v>
      </c>
      <c r="L2304" s="2">
        <f t="shared" si="359"/>
        <v>4.2367976574109338</v>
      </c>
      <c r="M2304" s="2">
        <f t="shared" si="355"/>
        <v>3.071678301622927</v>
      </c>
      <c r="N2304" s="2">
        <f t="shared" si="356"/>
        <v>1.5358391508114635</v>
      </c>
      <c r="O2304" s="2">
        <f t="shared" si="357"/>
        <v>5.6365296834780709</v>
      </c>
      <c r="P2304" s="2">
        <v>72.552895000000007</v>
      </c>
      <c r="Q2304" s="2">
        <v>23.037969</v>
      </c>
    </row>
    <row r="2305" spans="1:17" x14ac:dyDescent="0.25">
      <c r="A2305" s="2">
        <v>2490</v>
      </c>
      <c r="B2305" s="2" t="s">
        <v>31</v>
      </c>
      <c r="C2305" s="2">
        <v>4</v>
      </c>
      <c r="D2305" s="2">
        <f t="shared" ref="D2305:D2368" si="360">C2305*2.54</f>
        <v>10.16</v>
      </c>
      <c r="E2305" s="2">
        <f t="shared" ref="E2305:E2368" si="361">D2305/PI()</f>
        <v>3.2340284436273135</v>
      </c>
      <c r="F2305" s="2">
        <f t="shared" ref="F2305:F2368" si="362">C2305/PI()</f>
        <v>1.2732395447351628</v>
      </c>
      <c r="G2305" s="2">
        <v>6.1727449999999999</v>
      </c>
      <c r="H2305" s="2">
        <f t="shared" ref="H2305:H2368" si="363">G2305*3.28084</f>
        <v>20.251788705799999</v>
      </c>
      <c r="I2305" s="2">
        <f>INDEX('Wood Density Lookup'!$B$2:$B$152,MATCH(B2305,'Wood Density Lookup'!$A$2:$A$152,0))</f>
        <v>0.78</v>
      </c>
      <c r="J2305" s="2">
        <f t="shared" ref="J2305:J2368" si="364">0.0673*POWER(I2305*E2305^2*G2305,0.976)</f>
        <v>3.0847943668022562</v>
      </c>
      <c r="K2305" s="2">
        <f t="shared" si="358"/>
        <v>0.86374242270463186</v>
      </c>
      <c r="L2305" s="2">
        <f t="shared" si="359"/>
        <v>3.9485367895068881</v>
      </c>
      <c r="M2305" s="2">
        <f t="shared" ref="M2305:M2368" si="365">0.725*L2305</f>
        <v>2.8626891723924937</v>
      </c>
      <c r="N2305" s="2">
        <f t="shared" ref="N2305:N2368" si="366">0.5*M2305</f>
        <v>1.4313445861962468</v>
      </c>
      <c r="O2305" s="2">
        <f t="shared" ref="O2305:O2368" si="367">3.67*N2305</f>
        <v>5.2530346313402259</v>
      </c>
      <c r="P2305" s="2">
        <v>72.552896000000004</v>
      </c>
      <c r="Q2305" s="2">
        <v>23.036341</v>
      </c>
    </row>
    <row r="2306" spans="1:17" x14ac:dyDescent="0.25">
      <c r="A2306" s="2">
        <v>2491</v>
      </c>
      <c r="B2306" s="2" t="s">
        <v>114</v>
      </c>
      <c r="C2306" s="2">
        <v>16</v>
      </c>
      <c r="D2306" s="2">
        <f t="shared" si="360"/>
        <v>40.64</v>
      </c>
      <c r="E2306" s="2">
        <f t="shared" si="361"/>
        <v>12.936113774509254</v>
      </c>
      <c r="F2306" s="2">
        <f t="shared" si="362"/>
        <v>5.0929581789406511</v>
      </c>
      <c r="G2306" s="2">
        <v>12.904178999999999</v>
      </c>
      <c r="H2306" s="2">
        <f t="shared" si="363"/>
        <v>42.336546630359997</v>
      </c>
      <c r="I2306" s="2">
        <f>INDEX('Wood Density Lookup'!$B$2:$B$152,MATCH(B2306,'Wood Density Lookup'!$A$2:$A$152,0))</f>
        <v>0.55000000000000004</v>
      </c>
      <c r="J2306" s="2">
        <f t="shared" si="364"/>
        <v>67.440839588705231</v>
      </c>
      <c r="K2306" s="2">
        <f t="shared" si="358"/>
        <v>18.883435084837465</v>
      </c>
      <c r="L2306" s="2">
        <f t="shared" si="359"/>
        <v>86.324274673542703</v>
      </c>
      <c r="M2306" s="2">
        <f t="shared" si="365"/>
        <v>62.585099138318455</v>
      </c>
      <c r="N2306" s="2">
        <f t="shared" si="366"/>
        <v>31.292549569159227</v>
      </c>
      <c r="O2306" s="2">
        <f t="shared" si="367"/>
        <v>114.84365691881436</v>
      </c>
      <c r="P2306" s="2">
        <v>72.552896000000004</v>
      </c>
      <c r="Q2306" s="2">
        <v>23.036874000000001</v>
      </c>
    </row>
    <row r="2307" spans="1:17" x14ac:dyDescent="0.25">
      <c r="A2307" s="2">
        <v>2492</v>
      </c>
      <c r="B2307" s="2" t="s">
        <v>129</v>
      </c>
      <c r="C2307" s="2">
        <v>7</v>
      </c>
      <c r="D2307" s="2">
        <f t="shared" si="360"/>
        <v>17.78</v>
      </c>
      <c r="E2307" s="2">
        <f t="shared" si="361"/>
        <v>5.6595497763477987</v>
      </c>
      <c r="F2307" s="2">
        <f t="shared" si="362"/>
        <v>2.228169203286535</v>
      </c>
      <c r="G2307" s="2">
        <v>1.0244139999999999</v>
      </c>
      <c r="H2307" s="2">
        <f t="shared" si="363"/>
        <v>3.3609384277599998</v>
      </c>
      <c r="I2307" s="2">
        <f>INDEX('Wood Density Lookup'!$B$2:$B$152,MATCH(B2307,'Wood Density Lookup'!$A$2:$A$152,0))</f>
        <v>0.4</v>
      </c>
      <c r="J2307" s="2">
        <f t="shared" si="364"/>
        <v>0.83038586161597883</v>
      </c>
      <c r="K2307" s="2">
        <f t="shared" ref="K2307:K2370" si="368">0.28*J2307</f>
        <v>0.2325080412524741</v>
      </c>
      <c r="L2307" s="2">
        <f t="shared" ref="L2307:L2370" si="369">J2307+K2307</f>
        <v>1.062893902868453</v>
      </c>
      <c r="M2307" s="2">
        <f t="shared" si="365"/>
        <v>0.77059807957962834</v>
      </c>
      <c r="N2307" s="2">
        <f t="shared" si="366"/>
        <v>0.38529903978981417</v>
      </c>
      <c r="O2307" s="2">
        <f t="shared" si="367"/>
        <v>1.4140474760286179</v>
      </c>
      <c r="P2307" s="2">
        <v>72.552897000000002</v>
      </c>
      <c r="Q2307" s="2">
        <v>23.037928999999998</v>
      </c>
    </row>
    <row r="2308" spans="1:17" x14ac:dyDescent="0.25">
      <c r="A2308" s="2">
        <v>2493</v>
      </c>
      <c r="B2308" s="2" t="s">
        <v>8</v>
      </c>
      <c r="C2308" s="2">
        <v>23</v>
      </c>
      <c r="D2308" s="2">
        <f t="shared" si="360"/>
        <v>58.42</v>
      </c>
      <c r="E2308" s="2">
        <f t="shared" si="361"/>
        <v>18.595663550857051</v>
      </c>
      <c r="F2308" s="2">
        <f t="shared" si="362"/>
        <v>7.3211273822271856</v>
      </c>
      <c r="G2308" s="2">
        <v>8.4311969999999992</v>
      </c>
      <c r="H2308" s="2">
        <f t="shared" si="363"/>
        <v>27.661408365479996</v>
      </c>
      <c r="I2308" s="2">
        <f>INDEX('Wood Density Lookup'!$B$2:$B$152,MATCH(B2308,'Wood Density Lookup'!$A$2:$A$152,0))</f>
        <v>0.75</v>
      </c>
      <c r="J2308" s="2">
        <f t="shared" si="364"/>
        <v>122.35855846828724</v>
      </c>
      <c r="K2308" s="2">
        <f t="shared" si="368"/>
        <v>34.260396371120429</v>
      </c>
      <c r="L2308" s="2">
        <f t="shared" si="369"/>
        <v>156.61895483940768</v>
      </c>
      <c r="M2308" s="2">
        <f t="shared" si="365"/>
        <v>113.54874225857057</v>
      </c>
      <c r="N2308" s="2">
        <f t="shared" si="366"/>
        <v>56.774371129285285</v>
      </c>
      <c r="O2308" s="2">
        <f t="shared" si="367"/>
        <v>208.36194204447699</v>
      </c>
      <c r="P2308" s="2">
        <v>72.552899999999994</v>
      </c>
      <c r="Q2308" s="2">
        <v>23.034815999999999</v>
      </c>
    </row>
    <row r="2309" spans="1:17" x14ac:dyDescent="0.25">
      <c r="A2309" s="2">
        <v>2494</v>
      </c>
      <c r="B2309" s="2" t="s">
        <v>57</v>
      </c>
      <c r="C2309" s="2">
        <v>1</v>
      </c>
      <c r="D2309" s="2">
        <f t="shared" si="360"/>
        <v>2.54</v>
      </c>
      <c r="E2309" s="2">
        <f t="shared" si="361"/>
        <v>0.80850711090682836</v>
      </c>
      <c r="F2309" s="2">
        <f t="shared" si="362"/>
        <v>0.31830988618379069</v>
      </c>
      <c r="G2309" s="2">
        <v>11.379294</v>
      </c>
      <c r="H2309" s="2">
        <f t="shared" si="363"/>
        <v>37.333642926959996</v>
      </c>
      <c r="I2309" s="2">
        <f>INDEX('Wood Density Lookup'!$B$2:$B$152,MATCH(B2309,'Wood Density Lookup'!$A$2:$A$152,0))</f>
        <v>0.6</v>
      </c>
      <c r="J2309" s="2">
        <f t="shared" si="364"/>
        <v>0.28977312106686454</v>
      </c>
      <c r="K2309" s="2">
        <f t="shared" si="368"/>
        <v>8.1136473898722083E-2</v>
      </c>
      <c r="L2309" s="2">
        <f t="shared" si="369"/>
        <v>0.37090959496558662</v>
      </c>
      <c r="M2309" s="2">
        <f t="shared" si="365"/>
        <v>0.26890945635005031</v>
      </c>
      <c r="N2309" s="2">
        <f t="shared" si="366"/>
        <v>0.13445472817502516</v>
      </c>
      <c r="O2309" s="2">
        <f t="shared" si="367"/>
        <v>0.49344885240234232</v>
      </c>
      <c r="P2309" s="2">
        <v>72.552901000000006</v>
      </c>
      <c r="Q2309" s="2">
        <v>23.035029000000002</v>
      </c>
    </row>
    <row r="2310" spans="1:17" x14ac:dyDescent="0.25">
      <c r="A2310" s="2">
        <v>2495</v>
      </c>
      <c r="B2310" s="2" t="s">
        <v>102</v>
      </c>
      <c r="C2310" s="2">
        <v>2</v>
      </c>
      <c r="D2310" s="2">
        <f t="shared" si="360"/>
        <v>5.08</v>
      </c>
      <c r="E2310" s="2">
        <f t="shared" si="361"/>
        <v>1.6170142218136567</v>
      </c>
      <c r="F2310" s="2">
        <f t="shared" si="362"/>
        <v>0.63661977236758138</v>
      </c>
      <c r="G2310" s="2">
        <v>1.063733</v>
      </c>
      <c r="H2310" s="2">
        <f t="shared" si="363"/>
        <v>3.4899377757200001</v>
      </c>
      <c r="I2310" s="2">
        <f>INDEX('Wood Density Lookup'!$B$2:$B$152,MATCH(B2310,'Wood Density Lookup'!$A$2:$A$152,0))</f>
        <v>0.45</v>
      </c>
      <c r="J2310" s="2">
        <f t="shared" si="364"/>
        <v>8.3781579148824059E-2</v>
      </c>
      <c r="K2310" s="2">
        <f t="shared" si="368"/>
        <v>2.345884216167074E-2</v>
      </c>
      <c r="L2310" s="2">
        <f t="shared" si="369"/>
        <v>0.1072404213104948</v>
      </c>
      <c r="M2310" s="2">
        <f t="shared" si="365"/>
        <v>7.7749305450108733E-2</v>
      </c>
      <c r="N2310" s="2">
        <f t="shared" si="366"/>
        <v>3.8874652725054366E-2</v>
      </c>
      <c r="O2310" s="2">
        <f t="shared" si="367"/>
        <v>0.14266997550094951</v>
      </c>
      <c r="P2310" s="2">
        <v>72.552901000000006</v>
      </c>
      <c r="Q2310" s="2">
        <v>23.037203999999999</v>
      </c>
    </row>
    <row r="2311" spans="1:17" x14ac:dyDescent="0.25">
      <c r="A2311" s="2">
        <v>2496</v>
      </c>
      <c r="B2311" s="2" t="s">
        <v>15</v>
      </c>
      <c r="C2311" s="2">
        <v>57</v>
      </c>
      <c r="D2311" s="2">
        <f t="shared" si="360"/>
        <v>144.78</v>
      </c>
      <c r="E2311" s="2">
        <f t="shared" si="361"/>
        <v>46.084905321689213</v>
      </c>
      <c r="F2311" s="2">
        <f t="shared" si="362"/>
        <v>18.143663512476071</v>
      </c>
      <c r="G2311" s="2">
        <v>9.6260530000000006</v>
      </c>
      <c r="H2311" s="2">
        <f t="shared" si="363"/>
        <v>31.581539724520002</v>
      </c>
      <c r="I2311" s="2">
        <f>INDEX('Wood Density Lookup'!$B$2:$B$152,MATCH(B2311,'Wood Density Lookup'!$A$2:$A$152,0))</f>
        <v>0.75</v>
      </c>
      <c r="J2311" s="2">
        <f t="shared" si="364"/>
        <v>818.81714840560608</v>
      </c>
      <c r="K2311" s="2">
        <f t="shared" si="368"/>
        <v>229.26880155356972</v>
      </c>
      <c r="L2311" s="2">
        <f t="shared" si="369"/>
        <v>1048.0859499591759</v>
      </c>
      <c r="M2311" s="2">
        <f t="shared" si="365"/>
        <v>759.86231372040254</v>
      </c>
      <c r="N2311" s="2">
        <f t="shared" si="366"/>
        <v>379.93115686020127</v>
      </c>
      <c r="O2311" s="2">
        <f t="shared" si="367"/>
        <v>1394.3473456769386</v>
      </c>
      <c r="P2311" s="2">
        <v>72.552904999999996</v>
      </c>
      <c r="Q2311" s="2">
        <v>23.036301000000002</v>
      </c>
    </row>
    <row r="2312" spans="1:17" x14ac:dyDescent="0.25">
      <c r="A2312" s="2">
        <v>2497</v>
      </c>
      <c r="B2312" s="2" t="s">
        <v>15</v>
      </c>
      <c r="C2312" s="2">
        <v>118</v>
      </c>
      <c r="D2312" s="2">
        <f t="shared" si="360"/>
        <v>299.72000000000003</v>
      </c>
      <c r="E2312" s="2">
        <f t="shared" si="361"/>
        <v>95.40383908700575</v>
      </c>
      <c r="F2312" s="2">
        <f t="shared" si="362"/>
        <v>37.560566569687303</v>
      </c>
      <c r="G2312" s="2">
        <v>15.89987</v>
      </c>
      <c r="H2312" s="2">
        <f t="shared" si="363"/>
        <v>52.164929490799999</v>
      </c>
      <c r="I2312" s="2">
        <f>INDEX('Wood Density Lookup'!$B$2:$B$152,MATCH(B2312,'Wood Density Lookup'!$A$2:$A$152,0))</f>
        <v>0.75</v>
      </c>
      <c r="J2312" s="2">
        <f t="shared" si="364"/>
        <v>5530.2851733467287</v>
      </c>
      <c r="K2312" s="2">
        <f t="shared" si="368"/>
        <v>1548.4798485370841</v>
      </c>
      <c r="L2312" s="2">
        <f t="shared" si="369"/>
        <v>7078.7650218838126</v>
      </c>
      <c r="M2312" s="2">
        <f t="shared" si="365"/>
        <v>5132.1046408657639</v>
      </c>
      <c r="N2312" s="2">
        <f t="shared" si="366"/>
        <v>2566.052320432882</v>
      </c>
      <c r="O2312" s="2">
        <f t="shared" si="367"/>
        <v>9417.412015988677</v>
      </c>
      <c r="P2312" s="2">
        <v>72.552907000000005</v>
      </c>
      <c r="Q2312" s="2">
        <v>23.035499000000002</v>
      </c>
    </row>
    <row r="2313" spans="1:17" x14ac:dyDescent="0.25">
      <c r="A2313" s="2">
        <v>2498</v>
      </c>
      <c r="B2313" s="2" t="s">
        <v>72</v>
      </c>
      <c r="C2313" s="2">
        <v>29</v>
      </c>
      <c r="D2313" s="2">
        <f t="shared" si="360"/>
        <v>73.66</v>
      </c>
      <c r="E2313" s="2">
        <f t="shared" si="361"/>
        <v>23.446706216298022</v>
      </c>
      <c r="F2313" s="2">
        <f t="shared" si="362"/>
        <v>9.2309866993299305</v>
      </c>
      <c r="G2313" s="2">
        <v>11.97706</v>
      </c>
      <c r="H2313" s="2">
        <f t="shared" si="363"/>
        <v>39.294817530399996</v>
      </c>
      <c r="I2313" s="2">
        <f>INDEX('Wood Density Lookup'!$B$2:$B$152,MATCH(B2313,'Wood Density Lookup'!$A$2:$A$152,0))</f>
        <v>0.65</v>
      </c>
      <c r="J2313" s="2">
        <f t="shared" si="364"/>
        <v>235.66119486364934</v>
      </c>
      <c r="K2313" s="2">
        <f t="shared" si="368"/>
        <v>65.985134561821823</v>
      </c>
      <c r="L2313" s="2">
        <f t="shared" si="369"/>
        <v>301.64632942547115</v>
      </c>
      <c r="M2313" s="2">
        <f t="shared" si="365"/>
        <v>218.69358883346658</v>
      </c>
      <c r="N2313" s="2">
        <f t="shared" si="366"/>
        <v>109.34679441673329</v>
      </c>
      <c r="O2313" s="2">
        <f t="shared" si="367"/>
        <v>401.30273550941115</v>
      </c>
      <c r="P2313" s="2">
        <v>72.552908000000002</v>
      </c>
      <c r="Q2313" s="2">
        <v>23.038702000000001</v>
      </c>
    </row>
    <row r="2314" spans="1:17" x14ac:dyDescent="0.25">
      <c r="A2314" s="2">
        <v>2499</v>
      </c>
      <c r="B2314" s="2" t="s">
        <v>115</v>
      </c>
      <c r="C2314" s="2">
        <v>65</v>
      </c>
      <c r="D2314" s="2">
        <f t="shared" si="360"/>
        <v>165.1</v>
      </c>
      <c r="E2314" s="2">
        <f t="shared" si="361"/>
        <v>52.552962208943839</v>
      </c>
      <c r="F2314" s="2">
        <f t="shared" si="362"/>
        <v>20.690142601946395</v>
      </c>
      <c r="G2314" s="2">
        <v>8.7181909999999991</v>
      </c>
      <c r="H2314" s="2">
        <f t="shared" si="363"/>
        <v>28.602989760439996</v>
      </c>
      <c r="I2314" s="2">
        <f>INDEX('Wood Density Lookup'!$B$2:$B$152,MATCH(B2314,'Wood Density Lookup'!$A$2:$A$152,0))</f>
        <v>0.65</v>
      </c>
      <c r="J2314" s="2">
        <f t="shared" si="364"/>
        <v>835.37289948321404</v>
      </c>
      <c r="K2314" s="2">
        <f t="shared" si="368"/>
        <v>233.90441185529994</v>
      </c>
      <c r="L2314" s="2">
        <f t="shared" si="369"/>
        <v>1069.277311338514</v>
      </c>
      <c r="M2314" s="2">
        <f t="shared" si="365"/>
        <v>775.22605072042256</v>
      </c>
      <c r="N2314" s="2">
        <f t="shared" si="366"/>
        <v>387.61302536021128</v>
      </c>
      <c r="O2314" s="2">
        <f t="shared" si="367"/>
        <v>1422.5398030719755</v>
      </c>
      <c r="P2314" s="2">
        <v>72.552909</v>
      </c>
      <c r="Q2314" s="2">
        <v>23.038639</v>
      </c>
    </row>
    <row r="2315" spans="1:17" x14ac:dyDescent="0.25">
      <c r="A2315" s="2">
        <v>2500</v>
      </c>
      <c r="B2315" s="2" t="s">
        <v>114</v>
      </c>
      <c r="C2315" s="2">
        <v>3</v>
      </c>
      <c r="D2315" s="2">
        <f t="shared" si="360"/>
        <v>7.62</v>
      </c>
      <c r="E2315" s="2">
        <f t="shared" si="361"/>
        <v>2.4255213327204852</v>
      </c>
      <c r="F2315" s="2">
        <f t="shared" si="362"/>
        <v>0.95492965855137202</v>
      </c>
      <c r="G2315" s="2">
        <v>14.345067999999999</v>
      </c>
      <c r="H2315" s="2">
        <f t="shared" si="363"/>
        <v>47.06387289712</v>
      </c>
      <c r="I2315" s="2">
        <f>INDEX('Wood Density Lookup'!$B$2:$B$152,MATCH(B2315,'Wood Density Lookup'!$A$2:$A$152,0))</f>
        <v>0.55000000000000004</v>
      </c>
      <c r="J2315" s="2">
        <f t="shared" si="364"/>
        <v>2.8489862310572356</v>
      </c>
      <c r="K2315" s="2">
        <f t="shared" si="368"/>
        <v>0.79771614469602603</v>
      </c>
      <c r="L2315" s="2">
        <f t="shared" si="369"/>
        <v>3.6467023757532617</v>
      </c>
      <c r="M2315" s="2">
        <f t="shared" si="365"/>
        <v>2.6438592224211148</v>
      </c>
      <c r="N2315" s="2">
        <f t="shared" si="366"/>
        <v>1.3219296112105574</v>
      </c>
      <c r="O2315" s="2">
        <f t="shared" si="367"/>
        <v>4.8514816731427457</v>
      </c>
      <c r="P2315" s="2">
        <v>72.552909</v>
      </c>
      <c r="Q2315" s="2">
        <v>23.035451999999999</v>
      </c>
    </row>
    <row r="2316" spans="1:17" x14ac:dyDescent="0.25">
      <c r="A2316" s="2">
        <v>2501</v>
      </c>
      <c r="B2316" s="2" t="s">
        <v>15</v>
      </c>
      <c r="C2316" s="2">
        <v>23</v>
      </c>
      <c r="D2316" s="2">
        <f t="shared" si="360"/>
        <v>58.42</v>
      </c>
      <c r="E2316" s="2">
        <f t="shared" si="361"/>
        <v>18.595663550857051</v>
      </c>
      <c r="F2316" s="2">
        <f t="shared" si="362"/>
        <v>7.3211273822271856</v>
      </c>
      <c r="G2316" s="2">
        <v>2.8053119999999998</v>
      </c>
      <c r="H2316" s="2">
        <f t="shared" si="363"/>
        <v>9.2037798220799996</v>
      </c>
      <c r="I2316" s="2">
        <f>INDEX('Wood Density Lookup'!$B$2:$B$152,MATCH(B2316,'Wood Density Lookup'!$A$2:$A$152,0))</f>
        <v>0.75</v>
      </c>
      <c r="J2316" s="2">
        <f t="shared" si="364"/>
        <v>41.801905385318456</v>
      </c>
      <c r="K2316" s="2">
        <f t="shared" si="368"/>
        <v>11.704533507889169</v>
      </c>
      <c r="L2316" s="2">
        <f t="shared" si="369"/>
        <v>53.506438893207623</v>
      </c>
      <c r="M2316" s="2">
        <f t="shared" si="365"/>
        <v>38.792168197575528</v>
      </c>
      <c r="N2316" s="2">
        <f t="shared" si="366"/>
        <v>19.396084098787764</v>
      </c>
      <c r="O2316" s="2">
        <f t="shared" si="367"/>
        <v>71.183628642551085</v>
      </c>
      <c r="P2316" s="2">
        <v>72.552910999999995</v>
      </c>
      <c r="Q2316" s="2">
        <v>23.036681000000002</v>
      </c>
    </row>
    <row r="2317" spans="1:17" x14ac:dyDescent="0.25">
      <c r="A2317" s="2">
        <v>2502</v>
      </c>
      <c r="B2317" s="2" t="s">
        <v>115</v>
      </c>
      <c r="C2317" s="2">
        <v>18</v>
      </c>
      <c r="D2317" s="2">
        <f t="shared" si="360"/>
        <v>45.72</v>
      </c>
      <c r="E2317" s="2">
        <f t="shared" si="361"/>
        <v>14.55312799632291</v>
      </c>
      <c r="F2317" s="2">
        <f t="shared" si="362"/>
        <v>5.7295779513082321</v>
      </c>
      <c r="G2317" s="2">
        <v>10.592560000000001</v>
      </c>
      <c r="H2317" s="2">
        <f t="shared" si="363"/>
        <v>34.752494550400002</v>
      </c>
      <c r="I2317" s="2">
        <f>INDEX('Wood Density Lookup'!$B$2:$B$152,MATCH(B2317,'Wood Density Lookup'!$A$2:$A$152,0))</f>
        <v>0.65</v>
      </c>
      <c r="J2317" s="2">
        <f t="shared" si="364"/>
        <v>82.396773123614935</v>
      </c>
      <c r="K2317" s="2">
        <f t="shared" si="368"/>
        <v>23.071096474612183</v>
      </c>
      <c r="L2317" s="2">
        <f t="shared" si="369"/>
        <v>105.46786959822711</v>
      </c>
      <c r="M2317" s="2">
        <f t="shared" si="365"/>
        <v>76.464205458714659</v>
      </c>
      <c r="N2317" s="2">
        <f t="shared" si="366"/>
        <v>38.232102729357329</v>
      </c>
      <c r="O2317" s="2">
        <f t="shared" si="367"/>
        <v>140.3118170167414</v>
      </c>
      <c r="P2317" s="2">
        <v>72.552914000000001</v>
      </c>
      <c r="Q2317" s="2">
        <v>23.038716000000001</v>
      </c>
    </row>
    <row r="2318" spans="1:17" x14ac:dyDescent="0.25">
      <c r="A2318" s="2">
        <v>2503</v>
      </c>
      <c r="B2318" s="2" t="s">
        <v>57</v>
      </c>
      <c r="C2318" s="2">
        <v>5</v>
      </c>
      <c r="D2318" s="2">
        <f t="shared" si="360"/>
        <v>12.7</v>
      </c>
      <c r="E2318" s="2">
        <f t="shared" si="361"/>
        <v>4.0425355545341413</v>
      </c>
      <c r="F2318" s="2">
        <f t="shared" si="362"/>
        <v>1.5915494309189535</v>
      </c>
      <c r="G2318" s="2">
        <v>10.184861</v>
      </c>
      <c r="H2318" s="2">
        <f t="shared" si="363"/>
        <v>33.414899363239996</v>
      </c>
      <c r="I2318" s="2">
        <f>INDEX('Wood Density Lookup'!$B$2:$B$152,MATCH(B2318,'Wood Density Lookup'!$A$2:$A$152,0))</f>
        <v>0.6</v>
      </c>
      <c r="J2318" s="2">
        <f t="shared" si="364"/>
        <v>6.0178752430081976</v>
      </c>
      <c r="K2318" s="2">
        <f t="shared" si="368"/>
        <v>1.6850050680422954</v>
      </c>
      <c r="L2318" s="2">
        <f t="shared" si="369"/>
        <v>7.7028803110504933</v>
      </c>
      <c r="M2318" s="2">
        <f t="shared" si="365"/>
        <v>5.5845882255116077</v>
      </c>
      <c r="N2318" s="2">
        <f t="shared" si="366"/>
        <v>2.7922941127558039</v>
      </c>
      <c r="O2318" s="2">
        <f t="shared" si="367"/>
        <v>10.247719393813799</v>
      </c>
      <c r="P2318" s="2">
        <v>72.552914999999999</v>
      </c>
      <c r="Q2318" s="2">
        <v>23.035128</v>
      </c>
    </row>
    <row r="2319" spans="1:17" x14ac:dyDescent="0.25">
      <c r="A2319" s="2">
        <v>2504</v>
      </c>
      <c r="B2319" s="2" t="s">
        <v>50</v>
      </c>
      <c r="C2319" s="2">
        <v>2</v>
      </c>
      <c r="D2319" s="2">
        <f t="shared" si="360"/>
        <v>5.08</v>
      </c>
      <c r="E2319" s="2">
        <f t="shared" si="361"/>
        <v>1.6170142218136567</v>
      </c>
      <c r="F2319" s="2">
        <f t="shared" si="362"/>
        <v>0.63661977236758138</v>
      </c>
      <c r="G2319" s="2">
        <v>2.0582310000000001</v>
      </c>
      <c r="H2319" s="2">
        <f t="shared" si="363"/>
        <v>6.7527265940400003</v>
      </c>
      <c r="I2319" s="2">
        <f>INDEX('Wood Density Lookup'!$B$2:$B$152,MATCH(B2319,'Wood Density Lookup'!$A$2:$A$152,0))</f>
        <v>0.5</v>
      </c>
      <c r="J2319" s="2">
        <f t="shared" si="364"/>
        <v>0.17684364575317985</v>
      </c>
      <c r="K2319" s="2">
        <f t="shared" si="368"/>
        <v>4.9516220810890361E-2</v>
      </c>
      <c r="L2319" s="2">
        <f t="shared" si="369"/>
        <v>0.2263598665640702</v>
      </c>
      <c r="M2319" s="2">
        <f t="shared" si="365"/>
        <v>0.16411090325895089</v>
      </c>
      <c r="N2319" s="2">
        <f t="shared" si="366"/>
        <v>8.2055451629475445E-2</v>
      </c>
      <c r="O2319" s="2">
        <f t="shared" si="367"/>
        <v>0.30114350748017488</v>
      </c>
      <c r="P2319" s="2">
        <v>72.552918000000005</v>
      </c>
      <c r="Q2319" s="2">
        <v>23.037806</v>
      </c>
    </row>
    <row r="2320" spans="1:17" x14ac:dyDescent="0.25">
      <c r="A2320" s="2">
        <v>2505</v>
      </c>
      <c r="B2320" s="2" t="s">
        <v>50</v>
      </c>
      <c r="C2320" s="2">
        <v>2</v>
      </c>
      <c r="D2320" s="2">
        <f t="shared" si="360"/>
        <v>5.08</v>
      </c>
      <c r="E2320" s="2">
        <f t="shared" si="361"/>
        <v>1.6170142218136567</v>
      </c>
      <c r="F2320" s="2">
        <f t="shared" si="362"/>
        <v>0.63661977236758138</v>
      </c>
      <c r="G2320" s="2">
        <v>1.1821729999999999</v>
      </c>
      <c r="H2320" s="2">
        <f t="shared" si="363"/>
        <v>3.8785204653199998</v>
      </c>
      <c r="I2320" s="2">
        <f>INDEX('Wood Density Lookup'!$B$2:$B$152,MATCH(B2320,'Wood Density Lookup'!$A$2:$A$152,0))</f>
        <v>0.5</v>
      </c>
      <c r="J2320" s="2">
        <f t="shared" si="364"/>
        <v>0.10293329959913174</v>
      </c>
      <c r="K2320" s="2">
        <f t="shared" si="368"/>
        <v>2.8821323887756888E-2</v>
      </c>
      <c r="L2320" s="2">
        <f t="shared" si="369"/>
        <v>0.13175462348688863</v>
      </c>
      <c r="M2320" s="2">
        <f t="shared" si="365"/>
        <v>9.5522102027994257E-2</v>
      </c>
      <c r="N2320" s="2">
        <f t="shared" si="366"/>
        <v>4.7761051013997129E-2</v>
      </c>
      <c r="O2320" s="2">
        <f t="shared" si="367"/>
        <v>0.17528305722136947</v>
      </c>
      <c r="P2320" s="2">
        <v>72.55292</v>
      </c>
      <c r="Q2320" s="2">
        <v>23.03772</v>
      </c>
    </row>
    <row r="2321" spans="1:17" x14ac:dyDescent="0.25">
      <c r="A2321" s="2">
        <v>2506</v>
      </c>
      <c r="B2321" s="2" t="s">
        <v>84</v>
      </c>
      <c r="C2321" s="2">
        <v>6</v>
      </c>
      <c r="D2321" s="2">
        <f t="shared" si="360"/>
        <v>15.24</v>
      </c>
      <c r="E2321" s="2">
        <f t="shared" si="361"/>
        <v>4.8510426654409704</v>
      </c>
      <c r="F2321" s="2">
        <f t="shared" si="362"/>
        <v>1.909859317102744</v>
      </c>
      <c r="G2321" s="2">
        <v>5.1608609999999997</v>
      </c>
      <c r="H2321" s="2">
        <f t="shared" si="363"/>
        <v>16.931959203239998</v>
      </c>
      <c r="I2321" s="2">
        <f>INDEX('Wood Density Lookup'!$B$2:$B$152,MATCH(B2321,'Wood Density Lookup'!$A$2:$A$152,0))</f>
        <v>0.9</v>
      </c>
      <c r="J2321" s="2">
        <f t="shared" si="364"/>
        <v>6.5723803389020077</v>
      </c>
      <c r="K2321" s="2">
        <f t="shared" si="368"/>
        <v>1.8402664948925622</v>
      </c>
      <c r="L2321" s="2">
        <f t="shared" si="369"/>
        <v>8.4126468337945699</v>
      </c>
      <c r="M2321" s="2">
        <f t="shared" si="365"/>
        <v>6.0991689545010628</v>
      </c>
      <c r="N2321" s="2">
        <f t="shared" si="366"/>
        <v>3.0495844772505314</v>
      </c>
      <c r="O2321" s="2">
        <f t="shared" si="367"/>
        <v>11.19197503150945</v>
      </c>
      <c r="P2321" s="2">
        <v>72.552921999999995</v>
      </c>
      <c r="Q2321" s="2">
        <v>23.035405999999998</v>
      </c>
    </row>
    <row r="2322" spans="1:17" x14ac:dyDescent="0.25">
      <c r="A2322" s="2">
        <v>2507</v>
      </c>
      <c r="B2322" s="2" t="s">
        <v>22</v>
      </c>
      <c r="C2322" s="2">
        <v>5</v>
      </c>
      <c r="D2322" s="2">
        <f t="shared" si="360"/>
        <v>12.7</v>
      </c>
      <c r="E2322" s="2">
        <f t="shared" si="361"/>
        <v>4.0425355545341413</v>
      </c>
      <c r="F2322" s="2">
        <f t="shared" si="362"/>
        <v>1.5915494309189535</v>
      </c>
      <c r="G2322" s="2">
        <v>12.846359</v>
      </c>
      <c r="H2322" s="2">
        <f t="shared" si="363"/>
        <v>42.146848461559998</v>
      </c>
      <c r="I2322" s="2">
        <f>INDEX('Wood Density Lookup'!$B$2:$B$152,MATCH(B2322,'Wood Density Lookup'!$A$2:$A$152,0))</f>
        <v>0.37</v>
      </c>
      <c r="J2322" s="2">
        <f t="shared" si="364"/>
        <v>4.7090965184357456</v>
      </c>
      <c r="K2322" s="2">
        <f t="shared" si="368"/>
        <v>1.3185470251620088</v>
      </c>
      <c r="L2322" s="2">
        <f t="shared" si="369"/>
        <v>6.0276435435977547</v>
      </c>
      <c r="M2322" s="2">
        <f t="shared" si="365"/>
        <v>4.3700415691083716</v>
      </c>
      <c r="N2322" s="2">
        <f t="shared" si="366"/>
        <v>2.1850207845541858</v>
      </c>
      <c r="O2322" s="2">
        <f t="shared" si="367"/>
        <v>8.0190262793138611</v>
      </c>
      <c r="P2322" s="2">
        <v>72.552921999999995</v>
      </c>
      <c r="Q2322" s="2">
        <v>23.035433999999999</v>
      </c>
    </row>
    <row r="2323" spans="1:17" x14ac:dyDescent="0.25">
      <c r="A2323" s="2">
        <v>2508</v>
      </c>
      <c r="B2323" s="2" t="s">
        <v>62</v>
      </c>
      <c r="C2323" s="2">
        <v>4</v>
      </c>
      <c r="D2323" s="2">
        <f t="shared" si="360"/>
        <v>10.16</v>
      </c>
      <c r="E2323" s="2">
        <f t="shared" si="361"/>
        <v>3.2340284436273135</v>
      </c>
      <c r="F2323" s="2">
        <f t="shared" si="362"/>
        <v>1.2732395447351628</v>
      </c>
      <c r="G2323" s="2">
        <v>6.4132689999999997</v>
      </c>
      <c r="H2323" s="2">
        <f t="shared" si="363"/>
        <v>21.040909465959999</v>
      </c>
      <c r="I2323" s="2">
        <f>INDEX('Wood Density Lookup'!$B$2:$B$152,MATCH(B2323,'Wood Density Lookup'!$A$2:$A$152,0))</f>
        <v>0.47</v>
      </c>
      <c r="J2323" s="2">
        <f t="shared" si="364"/>
        <v>1.9530442784182735</v>
      </c>
      <c r="K2323" s="2">
        <f t="shared" si="368"/>
        <v>0.5468523979571166</v>
      </c>
      <c r="L2323" s="2">
        <f t="shared" si="369"/>
        <v>2.49989667637539</v>
      </c>
      <c r="M2323" s="2">
        <f t="shared" si="365"/>
        <v>1.8124250903721577</v>
      </c>
      <c r="N2323" s="2">
        <f t="shared" si="366"/>
        <v>0.90621254518607885</v>
      </c>
      <c r="O2323" s="2">
        <f t="shared" si="367"/>
        <v>3.3258000408329091</v>
      </c>
      <c r="P2323" s="2">
        <v>72.552925000000002</v>
      </c>
      <c r="Q2323" s="2">
        <v>23.038025999999999</v>
      </c>
    </row>
    <row r="2324" spans="1:17" x14ac:dyDescent="0.25">
      <c r="A2324" s="2">
        <v>2509</v>
      </c>
      <c r="B2324" s="2" t="s">
        <v>50</v>
      </c>
      <c r="C2324" s="2">
        <v>3</v>
      </c>
      <c r="D2324" s="2">
        <f t="shared" si="360"/>
        <v>7.62</v>
      </c>
      <c r="E2324" s="2">
        <f t="shared" si="361"/>
        <v>2.4255213327204852</v>
      </c>
      <c r="F2324" s="2">
        <f t="shared" si="362"/>
        <v>0.95492965855137202</v>
      </c>
      <c r="G2324" s="2">
        <v>1.0526150000000001</v>
      </c>
      <c r="H2324" s="2">
        <f t="shared" si="363"/>
        <v>3.4534613966000003</v>
      </c>
      <c r="I2324" s="2">
        <f>INDEX('Wood Density Lookup'!$B$2:$B$152,MATCH(B2324,'Wood Density Lookup'!$A$2:$A$152,0))</f>
        <v>0.5</v>
      </c>
      <c r="J2324" s="2">
        <f t="shared" si="364"/>
        <v>0.20280769364418116</v>
      </c>
      <c r="K2324" s="2">
        <f t="shared" si="368"/>
        <v>5.6786154220370734E-2</v>
      </c>
      <c r="L2324" s="2">
        <f t="shared" si="369"/>
        <v>0.25959384786455192</v>
      </c>
      <c r="M2324" s="2">
        <f t="shared" si="365"/>
        <v>0.18820553970180012</v>
      </c>
      <c r="N2324" s="2">
        <f t="shared" si="366"/>
        <v>9.4102769850900062E-2</v>
      </c>
      <c r="O2324" s="2">
        <f t="shared" si="367"/>
        <v>0.3453571653528032</v>
      </c>
      <c r="P2324" s="2">
        <v>72.552925999999999</v>
      </c>
      <c r="Q2324" s="2">
        <v>23.037806</v>
      </c>
    </row>
    <row r="2325" spans="1:17" x14ac:dyDescent="0.25">
      <c r="A2325" s="2">
        <v>2510</v>
      </c>
      <c r="B2325" s="2" t="s">
        <v>124</v>
      </c>
      <c r="C2325" s="2">
        <v>4</v>
      </c>
      <c r="D2325" s="2">
        <f t="shared" si="360"/>
        <v>10.16</v>
      </c>
      <c r="E2325" s="2">
        <f t="shared" si="361"/>
        <v>3.2340284436273135</v>
      </c>
      <c r="F2325" s="2">
        <f t="shared" si="362"/>
        <v>1.2732395447351628</v>
      </c>
      <c r="G2325" s="2">
        <v>1.0325040000000001</v>
      </c>
      <c r="H2325" s="2">
        <f t="shared" si="363"/>
        <v>3.3874804233600004</v>
      </c>
      <c r="I2325" s="2">
        <f>INDEX('Wood Density Lookup'!$B$2:$B$152,MATCH(B2325,'Wood Density Lookup'!$A$2:$A$152,0))</f>
        <v>0.55000000000000004</v>
      </c>
      <c r="J2325" s="2">
        <f t="shared" si="364"/>
        <v>0.38298993125041714</v>
      </c>
      <c r="K2325" s="2">
        <f t="shared" si="368"/>
        <v>0.1072371807501168</v>
      </c>
      <c r="L2325" s="2">
        <f t="shared" si="369"/>
        <v>0.49022711200053393</v>
      </c>
      <c r="M2325" s="2">
        <f t="shared" si="365"/>
        <v>0.35541465620038709</v>
      </c>
      <c r="N2325" s="2">
        <f t="shared" si="366"/>
        <v>0.17770732810019355</v>
      </c>
      <c r="O2325" s="2">
        <f t="shared" si="367"/>
        <v>0.65218589412771033</v>
      </c>
      <c r="P2325" s="2">
        <v>72.552926999999997</v>
      </c>
      <c r="Q2325" s="2">
        <v>23.037158999999999</v>
      </c>
    </row>
    <row r="2326" spans="1:17" x14ac:dyDescent="0.25">
      <c r="A2326" s="2">
        <v>2511</v>
      </c>
      <c r="B2326" s="2" t="s">
        <v>15</v>
      </c>
      <c r="C2326" s="2">
        <v>29</v>
      </c>
      <c r="D2326" s="2">
        <f t="shared" si="360"/>
        <v>73.66</v>
      </c>
      <c r="E2326" s="2">
        <f t="shared" si="361"/>
        <v>23.446706216298022</v>
      </c>
      <c r="F2326" s="2">
        <f t="shared" si="362"/>
        <v>9.2309866993299305</v>
      </c>
      <c r="G2326" s="2">
        <v>16.301217000000001</v>
      </c>
      <c r="H2326" s="2">
        <f t="shared" si="363"/>
        <v>53.481684782280006</v>
      </c>
      <c r="I2326" s="2">
        <f>INDEX('Wood Density Lookup'!$B$2:$B$152,MATCH(B2326,'Wood Density Lookup'!$A$2:$A$152,0))</f>
        <v>0.75</v>
      </c>
      <c r="J2326" s="2">
        <f t="shared" si="364"/>
        <v>366.1013754901652</v>
      </c>
      <c r="K2326" s="2">
        <f t="shared" si="368"/>
        <v>102.50838513724626</v>
      </c>
      <c r="L2326" s="2">
        <f t="shared" si="369"/>
        <v>468.60976062741145</v>
      </c>
      <c r="M2326" s="2">
        <f t="shared" si="365"/>
        <v>339.74207645487331</v>
      </c>
      <c r="N2326" s="2">
        <f t="shared" si="366"/>
        <v>169.87103822743666</v>
      </c>
      <c r="O2326" s="2">
        <f t="shared" si="367"/>
        <v>623.4267102946925</v>
      </c>
      <c r="P2326" s="2">
        <v>72.552927999999994</v>
      </c>
      <c r="Q2326" s="2">
        <v>23.034946000000001</v>
      </c>
    </row>
    <row r="2327" spans="1:17" x14ac:dyDescent="0.25">
      <c r="A2327" s="2">
        <v>2512</v>
      </c>
      <c r="B2327" s="2" t="s">
        <v>49</v>
      </c>
      <c r="C2327" s="2">
        <v>5</v>
      </c>
      <c r="D2327" s="2">
        <f t="shared" si="360"/>
        <v>12.7</v>
      </c>
      <c r="E2327" s="2">
        <f t="shared" si="361"/>
        <v>4.0425355545341413</v>
      </c>
      <c r="F2327" s="2">
        <f t="shared" si="362"/>
        <v>1.5915494309189535</v>
      </c>
      <c r="G2327" s="2">
        <v>1.849648</v>
      </c>
      <c r="H2327" s="2">
        <f t="shared" si="363"/>
        <v>6.0683991443199998</v>
      </c>
      <c r="I2327" s="2">
        <f>INDEX('Wood Density Lookup'!$B$2:$B$152,MATCH(B2327,'Wood Density Lookup'!$A$2:$A$152,0))</f>
        <v>0.78</v>
      </c>
      <c r="J2327" s="2">
        <f t="shared" si="364"/>
        <v>1.4708441495369029</v>
      </c>
      <c r="K2327" s="2">
        <f t="shared" si="368"/>
        <v>0.41183636187033285</v>
      </c>
      <c r="L2327" s="2">
        <f t="shared" si="369"/>
        <v>1.8826805114072358</v>
      </c>
      <c r="M2327" s="2">
        <f t="shared" si="365"/>
        <v>1.3649433707702459</v>
      </c>
      <c r="N2327" s="2">
        <f t="shared" si="366"/>
        <v>0.68247168538512293</v>
      </c>
      <c r="O2327" s="2">
        <f t="shared" si="367"/>
        <v>2.5046710853634009</v>
      </c>
      <c r="P2327" s="2">
        <v>72.552927999999994</v>
      </c>
      <c r="Q2327" s="2">
        <v>23.038142000000001</v>
      </c>
    </row>
    <row r="2328" spans="1:17" x14ac:dyDescent="0.25">
      <c r="A2328" s="2">
        <v>2513</v>
      </c>
      <c r="B2328" s="2" t="s">
        <v>111</v>
      </c>
      <c r="C2328" s="2">
        <v>3</v>
      </c>
      <c r="D2328" s="2">
        <f t="shared" si="360"/>
        <v>7.62</v>
      </c>
      <c r="E2328" s="2">
        <f t="shared" si="361"/>
        <v>2.4255213327204852</v>
      </c>
      <c r="F2328" s="2">
        <f t="shared" si="362"/>
        <v>0.95492965855137202</v>
      </c>
      <c r="G2328" s="2">
        <v>2.0031880000000002</v>
      </c>
      <c r="H2328" s="2">
        <f t="shared" si="363"/>
        <v>6.5721393179200005</v>
      </c>
      <c r="I2328" s="2">
        <f>INDEX('Wood Density Lookup'!$B$2:$B$152,MATCH(B2328,'Wood Density Lookup'!$A$2:$A$152,0))</f>
        <v>0.4</v>
      </c>
      <c r="J2328" s="2">
        <f t="shared" si="364"/>
        <v>0.30566489039431777</v>
      </c>
      <c r="K2328" s="2">
        <f t="shared" si="368"/>
        <v>8.558616931040898E-2</v>
      </c>
      <c r="L2328" s="2">
        <f t="shared" si="369"/>
        <v>0.39125105970472673</v>
      </c>
      <c r="M2328" s="2">
        <f t="shared" si="365"/>
        <v>0.28365701828592688</v>
      </c>
      <c r="N2328" s="2">
        <f t="shared" si="366"/>
        <v>0.14182850914296344</v>
      </c>
      <c r="O2328" s="2">
        <f t="shared" si="367"/>
        <v>0.52051062855467578</v>
      </c>
      <c r="P2328" s="2">
        <v>72.552927999999994</v>
      </c>
      <c r="Q2328" s="2">
        <v>23.038174000000001</v>
      </c>
    </row>
    <row r="2329" spans="1:17" x14ac:dyDescent="0.25">
      <c r="A2329" s="2">
        <v>2514</v>
      </c>
      <c r="B2329" s="2" t="s">
        <v>74</v>
      </c>
      <c r="C2329" s="2">
        <v>7</v>
      </c>
      <c r="D2329" s="2">
        <f t="shared" si="360"/>
        <v>17.78</v>
      </c>
      <c r="E2329" s="2">
        <f t="shared" si="361"/>
        <v>5.6595497763477987</v>
      </c>
      <c r="F2329" s="2">
        <f t="shared" si="362"/>
        <v>2.228169203286535</v>
      </c>
      <c r="G2329" s="2">
        <v>6.9600229999999996</v>
      </c>
      <c r="H2329" s="2">
        <f t="shared" si="363"/>
        <v>22.834721859319998</v>
      </c>
      <c r="I2329" s="2">
        <f>INDEX('Wood Density Lookup'!$B$2:$B$152,MATCH(B2329,'Wood Density Lookup'!$A$2:$A$152,0))</f>
        <v>0.5</v>
      </c>
      <c r="J2329" s="2">
        <f t="shared" si="364"/>
        <v>6.6992786849289763</v>
      </c>
      <c r="K2329" s="2">
        <f t="shared" si="368"/>
        <v>1.8757980317801135</v>
      </c>
      <c r="L2329" s="2">
        <f t="shared" si="369"/>
        <v>8.5750767167090896</v>
      </c>
      <c r="M2329" s="2">
        <f t="shared" si="365"/>
        <v>6.2169306196140894</v>
      </c>
      <c r="N2329" s="2">
        <f t="shared" si="366"/>
        <v>3.1084653098070447</v>
      </c>
      <c r="O2329" s="2">
        <f t="shared" si="367"/>
        <v>11.408067686991854</v>
      </c>
      <c r="P2329" s="2">
        <v>72.552930000000003</v>
      </c>
      <c r="Q2329" s="2">
        <v>23.038101999999999</v>
      </c>
    </row>
    <row r="2330" spans="1:17" x14ac:dyDescent="0.25">
      <c r="A2330" s="2">
        <v>2515</v>
      </c>
      <c r="B2330" s="2" t="s">
        <v>105</v>
      </c>
      <c r="C2330" s="2">
        <v>16</v>
      </c>
      <c r="D2330" s="2">
        <f t="shared" si="360"/>
        <v>40.64</v>
      </c>
      <c r="E2330" s="2">
        <f t="shared" si="361"/>
        <v>12.936113774509254</v>
      </c>
      <c r="F2330" s="2">
        <f t="shared" si="362"/>
        <v>5.0929581789406511</v>
      </c>
      <c r="G2330" s="2">
        <v>2.6962480000000002</v>
      </c>
      <c r="H2330" s="2">
        <f t="shared" si="363"/>
        <v>8.8459582883200003</v>
      </c>
      <c r="I2330" s="2">
        <f>INDEX('Wood Density Lookup'!$B$2:$B$152,MATCH(B2330,'Wood Density Lookup'!$A$2:$A$152,0))</f>
        <v>0.65</v>
      </c>
      <c r="J2330" s="2">
        <f t="shared" si="364"/>
        <v>17.221904225227657</v>
      </c>
      <c r="K2330" s="2">
        <f t="shared" si="368"/>
        <v>4.8221331830637446</v>
      </c>
      <c r="L2330" s="2">
        <f t="shared" si="369"/>
        <v>22.044037408291402</v>
      </c>
      <c r="M2330" s="2">
        <f t="shared" si="365"/>
        <v>15.981927121011266</v>
      </c>
      <c r="N2330" s="2">
        <f t="shared" si="366"/>
        <v>7.9909635605056328</v>
      </c>
      <c r="O2330" s="2">
        <f t="shared" si="367"/>
        <v>29.326836267055672</v>
      </c>
      <c r="P2330" s="2">
        <v>72.552932999999996</v>
      </c>
      <c r="Q2330" s="2">
        <v>23.037963000000001</v>
      </c>
    </row>
    <row r="2331" spans="1:17" x14ac:dyDescent="0.25">
      <c r="A2331" s="2">
        <v>2516</v>
      </c>
      <c r="B2331" s="2" t="s">
        <v>15</v>
      </c>
      <c r="C2331" s="2">
        <v>105</v>
      </c>
      <c r="D2331" s="2">
        <f t="shared" si="360"/>
        <v>266.7</v>
      </c>
      <c r="E2331" s="2">
        <f t="shared" si="361"/>
        <v>84.893246645216976</v>
      </c>
      <c r="F2331" s="2">
        <f t="shared" si="362"/>
        <v>33.422538049298019</v>
      </c>
      <c r="G2331" s="2">
        <v>10.189389</v>
      </c>
      <c r="H2331" s="2">
        <f t="shared" si="363"/>
        <v>33.429755006759997</v>
      </c>
      <c r="I2331" s="2">
        <f>INDEX('Wood Density Lookup'!$B$2:$B$152,MATCH(B2331,'Wood Density Lookup'!$A$2:$A$152,0))</f>
        <v>0.75</v>
      </c>
      <c r="J2331" s="2">
        <f t="shared" si="364"/>
        <v>2852.251515795906</v>
      </c>
      <c r="K2331" s="2">
        <f t="shared" si="368"/>
        <v>798.63042442285371</v>
      </c>
      <c r="L2331" s="2">
        <f t="shared" si="369"/>
        <v>3650.8819402187596</v>
      </c>
      <c r="M2331" s="2">
        <f t="shared" si="365"/>
        <v>2646.8894066586008</v>
      </c>
      <c r="N2331" s="2">
        <f t="shared" si="366"/>
        <v>1323.4447033293004</v>
      </c>
      <c r="O2331" s="2">
        <f t="shared" si="367"/>
        <v>4857.0420612185326</v>
      </c>
      <c r="P2331" s="2">
        <v>72.552932999999996</v>
      </c>
      <c r="Q2331" s="2">
        <v>23.038277000000001</v>
      </c>
    </row>
    <row r="2332" spans="1:17" x14ac:dyDescent="0.25">
      <c r="A2332" s="2">
        <v>2517</v>
      </c>
      <c r="B2332" s="2" t="s">
        <v>65</v>
      </c>
      <c r="C2332" s="2">
        <v>6</v>
      </c>
      <c r="D2332" s="2">
        <f t="shared" si="360"/>
        <v>15.24</v>
      </c>
      <c r="E2332" s="2">
        <f t="shared" si="361"/>
        <v>4.8510426654409704</v>
      </c>
      <c r="F2332" s="2">
        <f t="shared" si="362"/>
        <v>1.909859317102744</v>
      </c>
      <c r="G2332" s="2">
        <v>5.1099059999999996</v>
      </c>
      <c r="H2332" s="2">
        <f t="shared" si="363"/>
        <v>16.764784001039999</v>
      </c>
      <c r="I2332" s="2">
        <f>INDEX('Wood Density Lookup'!$B$2:$B$152,MATCH(B2332,'Wood Density Lookup'!$A$2:$A$152,0))</f>
        <v>0.7</v>
      </c>
      <c r="J2332" s="2">
        <f t="shared" si="364"/>
        <v>5.0932132073316563</v>
      </c>
      <c r="K2332" s="2">
        <f t="shared" si="368"/>
        <v>1.426099698052864</v>
      </c>
      <c r="L2332" s="2">
        <f t="shared" si="369"/>
        <v>6.5193129053845205</v>
      </c>
      <c r="M2332" s="2">
        <f t="shared" si="365"/>
        <v>4.7265018564037771</v>
      </c>
      <c r="N2332" s="2">
        <f t="shared" si="366"/>
        <v>2.3632509282018885</v>
      </c>
      <c r="O2332" s="2">
        <f t="shared" si="367"/>
        <v>8.6731309065009299</v>
      </c>
      <c r="P2332" s="2">
        <v>72.552932999999996</v>
      </c>
      <c r="Q2332" s="2">
        <v>23.034770999999999</v>
      </c>
    </row>
    <row r="2333" spans="1:17" x14ac:dyDescent="0.25">
      <c r="A2333" s="2">
        <v>2518</v>
      </c>
      <c r="B2333" s="2" t="s">
        <v>50</v>
      </c>
      <c r="C2333" s="2">
        <v>2</v>
      </c>
      <c r="D2333" s="2">
        <f t="shared" si="360"/>
        <v>5.08</v>
      </c>
      <c r="E2333" s="2">
        <f t="shared" si="361"/>
        <v>1.6170142218136567</v>
      </c>
      <c r="F2333" s="2">
        <f t="shared" si="362"/>
        <v>0.63661977236758138</v>
      </c>
      <c r="G2333" s="2">
        <v>1.0982909999999999</v>
      </c>
      <c r="H2333" s="2">
        <f t="shared" si="363"/>
        <v>3.6033170444399998</v>
      </c>
      <c r="I2333" s="2">
        <f>INDEX('Wood Density Lookup'!$B$2:$B$152,MATCH(B2333,'Wood Density Lookup'!$A$2:$A$152,0))</f>
        <v>0.5</v>
      </c>
      <c r="J2333" s="2">
        <f t="shared" si="364"/>
        <v>9.5798654607934339E-2</v>
      </c>
      <c r="K2333" s="2">
        <f t="shared" si="368"/>
        <v>2.6823623290221619E-2</v>
      </c>
      <c r="L2333" s="2">
        <f t="shared" si="369"/>
        <v>0.12262227789815595</v>
      </c>
      <c r="M2333" s="2">
        <f t="shared" si="365"/>
        <v>8.8901151476163065E-2</v>
      </c>
      <c r="N2333" s="2">
        <f t="shared" si="366"/>
        <v>4.4450575738081533E-2</v>
      </c>
      <c r="O2333" s="2">
        <f t="shared" si="367"/>
        <v>0.16313361295875922</v>
      </c>
      <c r="P2333" s="2">
        <v>72.552932999999996</v>
      </c>
      <c r="Q2333" s="2">
        <v>23.037804999999999</v>
      </c>
    </row>
    <row r="2334" spans="1:17" x14ac:dyDescent="0.25">
      <c r="A2334" s="2">
        <v>2519</v>
      </c>
      <c r="B2334" s="2" t="s">
        <v>33</v>
      </c>
      <c r="C2334" s="2">
        <v>6</v>
      </c>
      <c r="D2334" s="2">
        <f t="shared" si="360"/>
        <v>15.24</v>
      </c>
      <c r="E2334" s="2">
        <f t="shared" si="361"/>
        <v>4.8510426654409704</v>
      </c>
      <c r="F2334" s="2">
        <f t="shared" si="362"/>
        <v>1.909859317102744</v>
      </c>
      <c r="G2334" s="2">
        <v>7.8031969999999999</v>
      </c>
      <c r="H2334" s="2">
        <f t="shared" si="363"/>
        <v>25.60104084548</v>
      </c>
      <c r="I2334" s="2">
        <f>INDEX('Wood Density Lookup'!$B$2:$B$152,MATCH(B2334,'Wood Density Lookup'!$A$2:$A$152,0))</f>
        <v>0.65</v>
      </c>
      <c r="J2334" s="2">
        <f t="shared" si="364"/>
        <v>7.1618733047115803</v>
      </c>
      <c r="K2334" s="2">
        <f t="shared" si="368"/>
        <v>2.0053245253192427</v>
      </c>
      <c r="L2334" s="2">
        <f t="shared" si="369"/>
        <v>9.1671978300308226</v>
      </c>
      <c r="M2334" s="2">
        <f t="shared" si="365"/>
        <v>6.6462184267723465</v>
      </c>
      <c r="N2334" s="2">
        <f t="shared" si="366"/>
        <v>3.3231092133861733</v>
      </c>
      <c r="O2334" s="2">
        <f t="shared" si="367"/>
        <v>12.195810813127256</v>
      </c>
      <c r="P2334" s="2">
        <v>72.552933999999993</v>
      </c>
      <c r="Q2334" s="2">
        <v>23.037890999999998</v>
      </c>
    </row>
    <row r="2335" spans="1:17" x14ac:dyDescent="0.25">
      <c r="A2335" s="2">
        <v>2520</v>
      </c>
      <c r="B2335" s="2" t="s">
        <v>72</v>
      </c>
      <c r="C2335" s="2">
        <v>22</v>
      </c>
      <c r="D2335" s="2">
        <f t="shared" si="360"/>
        <v>55.88</v>
      </c>
      <c r="E2335" s="2">
        <f t="shared" si="361"/>
        <v>17.787156439950223</v>
      </c>
      <c r="F2335" s="2">
        <f t="shared" si="362"/>
        <v>7.0028174960433951</v>
      </c>
      <c r="G2335" s="2">
        <v>10.860441</v>
      </c>
      <c r="H2335" s="2">
        <f t="shared" si="363"/>
        <v>35.631369250440002</v>
      </c>
      <c r="I2335" s="2">
        <f>INDEX('Wood Density Lookup'!$B$2:$B$152,MATCH(B2335,'Wood Density Lookup'!$A$2:$A$152,0))</f>
        <v>0.65</v>
      </c>
      <c r="J2335" s="2">
        <f t="shared" si="364"/>
        <v>124.91470255473514</v>
      </c>
      <c r="K2335" s="2">
        <f t="shared" si="368"/>
        <v>34.976116715325844</v>
      </c>
      <c r="L2335" s="2">
        <f t="shared" si="369"/>
        <v>159.890819270061</v>
      </c>
      <c r="M2335" s="2">
        <f t="shared" si="365"/>
        <v>115.92084397079422</v>
      </c>
      <c r="N2335" s="2">
        <f t="shared" si="366"/>
        <v>57.960421985397112</v>
      </c>
      <c r="O2335" s="2">
        <f t="shared" si="367"/>
        <v>212.7147486864074</v>
      </c>
      <c r="P2335" s="2">
        <v>72.552937</v>
      </c>
      <c r="Q2335" s="2">
        <v>23.036864999999999</v>
      </c>
    </row>
    <row r="2336" spans="1:17" x14ac:dyDescent="0.25">
      <c r="A2336" s="2">
        <v>2521</v>
      </c>
      <c r="B2336" s="2" t="s">
        <v>15</v>
      </c>
      <c r="C2336" s="2">
        <v>42</v>
      </c>
      <c r="D2336" s="2">
        <f t="shared" si="360"/>
        <v>106.68</v>
      </c>
      <c r="E2336" s="2">
        <f t="shared" si="361"/>
        <v>33.957298658086792</v>
      </c>
      <c r="F2336" s="2">
        <f t="shared" si="362"/>
        <v>13.369015219719209</v>
      </c>
      <c r="G2336" s="2">
        <v>14.678293</v>
      </c>
      <c r="H2336" s="2">
        <f t="shared" si="363"/>
        <v>48.157130806120001</v>
      </c>
      <c r="I2336" s="2">
        <f>INDEX('Wood Density Lookup'!$B$2:$B$152,MATCH(B2336,'Wood Density Lookup'!$A$2:$A$152,0))</f>
        <v>0.75</v>
      </c>
      <c r="J2336" s="2">
        <f t="shared" si="364"/>
        <v>680.97579414996835</v>
      </c>
      <c r="K2336" s="2">
        <f t="shared" si="368"/>
        <v>190.67322236199115</v>
      </c>
      <c r="L2336" s="2">
        <f t="shared" si="369"/>
        <v>871.64901651195953</v>
      </c>
      <c r="M2336" s="2">
        <f t="shared" si="365"/>
        <v>631.94553697117067</v>
      </c>
      <c r="N2336" s="2">
        <f t="shared" si="366"/>
        <v>315.97276848558533</v>
      </c>
      <c r="O2336" s="2">
        <f t="shared" si="367"/>
        <v>1159.6200603420982</v>
      </c>
      <c r="P2336" s="2">
        <v>72.552937999999997</v>
      </c>
      <c r="Q2336" s="2">
        <v>23.035353000000001</v>
      </c>
    </row>
    <row r="2337" spans="1:17" x14ac:dyDescent="0.25">
      <c r="A2337" s="2">
        <v>2522</v>
      </c>
      <c r="B2337" s="2" t="s">
        <v>50</v>
      </c>
      <c r="C2337" s="2">
        <v>4</v>
      </c>
      <c r="D2337" s="2">
        <f t="shared" si="360"/>
        <v>10.16</v>
      </c>
      <c r="E2337" s="2">
        <f t="shared" si="361"/>
        <v>3.2340284436273135</v>
      </c>
      <c r="F2337" s="2">
        <f t="shared" si="362"/>
        <v>1.2732395447351628</v>
      </c>
      <c r="G2337" s="2">
        <v>1.17845</v>
      </c>
      <c r="H2337" s="2">
        <f t="shared" si="363"/>
        <v>3.8663058979999998</v>
      </c>
      <c r="I2337" s="2">
        <f>INDEX('Wood Density Lookup'!$B$2:$B$152,MATCH(B2337,'Wood Density Lookup'!$A$2:$A$152,0))</f>
        <v>0.5</v>
      </c>
      <c r="J2337" s="2">
        <f t="shared" si="364"/>
        <v>0.39703559857726539</v>
      </c>
      <c r="K2337" s="2">
        <f t="shared" si="368"/>
        <v>0.11116996760163432</v>
      </c>
      <c r="L2337" s="2">
        <f t="shared" si="369"/>
        <v>0.50820556617889967</v>
      </c>
      <c r="M2337" s="2">
        <f t="shared" si="365"/>
        <v>0.36844903547970226</v>
      </c>
      <c r="N2337" s="2">
        <f t="shared" si="366"/>
        <v>0.18422451773985113</v>
      </c>
      <c r="O2337" s="2">
        <f t="shared" si="367"/>
        <v>0.67610398010525363</v>
      </c>
      <c r="P2337" s="2">
        <v>72.552938999999995</v>
      </c>
      <c r="Q2337" s="2">
        <v>23.037721999999999</v>
      </c>
    </row>
    <row r="2338" spans="1:17" x14ac:dyDescent="0.25">
      <c r="A2338" s="2">
        <v>2523</v>
      </c>
      <c r="B2338" s="2" t="s">
        <v>57</v>
      </c>
      <c r="C2338" s="2">
        <v>3</v>
      </c>
      <c r="D2338" s="2">
        <f t="shared" si="360"/>
        <v>7.62</v>
      </c>
      <c r="E2338" s="2">
        <f t="shared" si="361"/>
        <v>2.4255213327204852</v>
      </c>
      <c r="F2338" s="2">
        <f t="shared" si="362"/>
        <v>0.95492965855137202</v>
      </c>
      <c r="G2338" s="2">
        <v>6.8932200000000003</v>
      </c>
      <c r="H2338" s="2">
        <f t="shared" si="363"/>
        <v>22.6155519048</v>
      </c>
      <c r="I2338" s="2">
        <f>INDEX('Wood Density Lookup'!$B$2:$B$152,MATCH(B2338,'Wood Density Lookup'!$A$2:$A$152,0))</f>
        <v>0.6</v>
      </c>
      <c r="J2338" s="2">
        <f t="shared" si="364"/>
        <v>1.5168067239636414</v>
      </c>
      <c r="K2338" s="2">
        <f t="shared" si="368"/>
        <v>0.42470588270981963</v>
      </c>
      <c r="L2338" s="2">
        <f t="shared" si="369"/>
        <v>1.9415126066734609</v>
      </c>
      <c r="M2338" s="2">
        <f t="shared" si="365"/>
        <v>1.4075966398382591</v>
      </c>
      <c r="N2338" s="2">
        <f t="shared" si="366"/>
        <v>0.70379831991912956</v>
      </c>
      <c r="O2338" s="2">
        <f t="shared" si="367"/>
        <v>2.5829398341032053</v>
      </c>
      <c r="P2338" s="2">
        <v>72.552940000000007</v>
      </c>
      <c r="Q2338" s="2">
        <v>23.035039999999999</v>
      </c>
    </row>
    <row r="2339" spans="1:17" x14ac:dyDescent="0.25">
      <c r="A2339" s="2">
        <v>2524</v>
      </c>
      <c r="B2339" s="2" t="s">
        <v>57</v>
      </c>
      <c r="C2339" s="2">
        <v>9</v>
      </c>
      <c r="D2339" s="2">
        <f t="shared" si="360"/>
        <v>22.86</v>
      </c>
      <c r="E2339" s="2">
        <f t="shared" si="361"/>
        <v>7.2765639981614552</v>
      </c>
      <c r="F2339" s="2">
        <f t="shared" si="362"/>
        <v>2.8647889756541161</v>
      </c>
      <c r="G2339" s="2">
        <v>1.1463220000000001</v>
      </c>
      <c r="H2339" s="2">
        <f t="shared" si="363"/>
        <v>3.7608990704800003</v>
      </c>
      <c r="I2339" s="2">
        <f>INDEX('Wood Density Lookup'!$B$2:$B$152,MATCH(B2339,'Wood Density Lookup'!$A$2:$A$152,0))</f>
        <v>0.6</v>
      </c>
      <c r="J2339" s="2">
        <f t="shared" si="364"/>
        <v>2.248299659456114</v>
      </c>
      <c r="K2339" s="2">
        <f t="shared" si="368"/>
        <v>0.62952390464771202</v>
      </c>
      <c r="L2339" s="2">
        <f t="shared" si="369"/>
        <v>2.8778235641038261</v>
      </c>
      <c r="M2339" s="2">
        <f t="shared" si="365"/>
        <v>2.0864220839752741</v>
      </c>
      <c r="N2339" s="2">
        <f t="shared" si="366"/>
        <v>1.043211041987637</v>
      </c>
      <c r="O2339" s="2">
        <f t="shared" si="367"/>
        <v>3.8285845240946279</v>
      </c>
      <c r="P2339" s="2">
        <v>72.552942999999999</v>
      </c>
      <c r="Q2339" s="2">
        <v>23.035816000000001</v>
      </c>
    </row>
    <row r="2340" spans="1:17" x14ac:dyDescent="0.25">
      <c r="A2340" s="2">
        <v>2525</v>
      </c>
      <c r="B2340" s="2" t="s">
        <v>102</v>
      </c>
      <c r="C2340" s="2">
        <v>2</v>
      </c>
      <c r="D2340" s="2">
        <f t="shared" si="360"/>
        <v>5.08</v>
      </c>
      <c r="E2340" s="2">
        <f t="shared" si="361"/>
        <v>1.6170142218136567</v>
      </c>
      <c r="F2340" s="2">
        <f t="shared" si="362"/>
        <v>0.63661977236758138</v>
      </c>
      <c r="G2340" s="2">
        <v>1.0067330000000001</v>
      </c>
      <c r="H2340" s="2">
        <f t="shared" si="363"/>
        <v>3.3029298957200002</v>
      </c>
      <c r="I2340" s="2">
        <f>INDEX('Wood Density Lookup'!$B$2:$B$152,MATCH(B2340,'Wood Density Lookup'!$A$2:$A$152,0))</f>
        <v>0.45</v>
      </c>
      <c r="J2340" s="2">
        <f t="shared" si="364"/>
        <v>7.9397029423102297E-2</v>
      </c>
      <c r="K2340" s="2">
        <f t="shared" si="368"/>
        <v>2.2231168238468647E-2</v>
      </c>
      <c r="L2340" s="2">
        <f t="shared" si="369"/>
        <v>0.10162819766157094</v>
      </c>
      <c r="M2340" s="2">
        <f t="shared" si="365"/>
        <v>7.3680443304638923E-2</v>
      </c>
      <c r="N2340" s="2">
        <f t="shared" si="366"/>
        <v>3.6840221652319462E-2</v>
      </c>
      <c r="O2340" s="2">
        <f t="shared" si="367"/>
        <v>0.13520361346401241</v>
      </c>
      <c r="P2340" s="2">
        <v>72.552943999999997</v>
      </c>
      <c r="Q2340" s="2">
        <v>23.037213000000001</v>
      </c>
    </row>
    <row r="2341" spans="1:17" x14ac:dyDescent="0.25">
      <c r="A2341" s="2">
        <v>2526</v>
      </c>
      <c r="B2341" s="2" t="s">
        <v>26</v>
      </c>
      <c r="C2341" s="2">
        <v>12</v>
      </c>
      <c r="D2341" s="2">
        <f t="shared" si="360"/>
        <v>30.48</v>
      </c>
      <c r="E2341" s="2">
        <f t="shared" si="361"/>
        <v>9.7020853308819408</v>
      </c>
      <c r="F2341" s="2">
        <f t="shared" si="362"/>
        <v>3.8197186342054881</v>
      </c>
      <c r="G2341" s="2">
        <v>16.916</v>
      </c>
      <c r="H2341" s="2">
        <f t="shared" si="363"/>
        <v>55.49868944</v>
      </c>
      <c r="I2341" s="2">
        <f>INDEX('Wood Density Lookup'!$B$2:$B$152,MATCH(B2341,'Wood Density Lookup'!$A$2:$A$152,0))</f>
        <v>0.7</v>
      </c>
      <c r="J2341" s="2">
        <f t="shared" si="364"/>
        <v>63.38842179928789</v>
      </c>
      <c r="K2341" s="2">
        <f t="shared" si="368"/>
        <v>17.748758103800611</v>
      </c>
      <c r="L2341" s="2">
        <f t="shared" si="369"/>
        <v>81.137179903088509</v>
      </c>
      <c r="M2341" s="2">
        <f t="shared" si="365"/>
        <v>58.824455429739167</v>
      </c>
      <c r="N2341" s="2">
        <f t="shared" si="366"/>
        <v>29.412227714869584</v>
      </c>
      <c r="O2341" s="2">
        <f t="shared" si="367"/>
        <v>107.94287571357137</v>
      </c>
      <c r="P2341" s="2">
        <v>72.552946000000006</v>
      </c>
      <c r="Q2341" s="2">
        <v>23.035240000000002</v>
      </c>
    </row>
    <row r="2342" spans="1:17" x14ac:dyDescent="0.25">
      <c r="A2342" s="2">
        <v>2527</v>
      </c>
      <c r="B2342" s="2" t="s">
        <v>57</v>
      </c>
      <c r="C2342" s="2">
        <v>3</v>
      </c>
      <c r="D2342" s="2">
        <f t="shared" si="360"/>
        <v>7.62</v>
      </c>
      <c r="E2342" s="2">
        <f t="shared" si="361"/>
        <v>2.4255213327204852</v>
      </c>
      <c r="F2342" s="2">
        <f t="shared" si="362"/>
        <v>0.95492965855137202</v>
      </c>
      <c r="G2342" s="2">
        <v>4.8512420000000001</v>
      </c>
      <c r="H2342" s="2">
        <f t="shared" si="363"/>
        <v>15.91614880328</v>
      </c>
      <c r="I2342" s="2">
        <f>INDEX('Wood Density Lookup'!$B$2:$B$152,MATCH(B2342,'Wood Density Lookup'!$A$2:$A$152,0))</f>
        <v>0.6</v>
      </c>
      <c r="J2342" s="2">
        <f t="shared" si="364"/>
        <v>1.0765214958236085</v>
      </c>
      <c r="K2342" s="2">
        <f t="shared" si="368"/>
        <v>0.30142601883061038</v>
      </c>
      <c r="L2342" s="2">
        <f t="shared" si="369"/>
        <v>1.3779475146542188</v>
      </c>
      <c r="M2342" s="2">
        <f t="shared" si="365"/>
        <v>0.9990119481243086</v>
      </c>
      <c r="N2342" s="2">
        <f t="shared" si="366"/>
        <v>0.4995059740621543</v>
      </c>
      <c r="O2342" s="2">
        <f t="shared" si="367"/>
        <v>1.8331869248081063</v>
      </c>
      <c r="P2342" s="2">
        <v>72.552947000000003</v>
      </c>
      <c r="Q2342" s="2">
        <v>23.035063000000001</v>
      </c>
    </row>
    <row r="2343" spans="1:17" x14ac:dyDescent="0.25">
      <c r="A2343" s="2">
        <v>2528</v>
      </c>
      <c r="B2343" s="2" t="s">
        <v>50</v>
      </c>
      <c r="C2343" s="2">
        <v>2</v>
      </c>
      <c r="D2343" s="2">
        <f t="shared" si="360"/>
        <v>5.08</v>
      </c>
      <c r="E2343" s="2">
        <f t="shared" si="361"/>
        <v>1.6170142218136567</v>
      </c>
      <c r="F2343" s="2">
        <f t="shared" si="362"/>
        <v>0.63661977236758138</v>
      </c>
      <c r="G2343" s="2">
        <v>7.4599250000000001</v>
      </c>
      <c r="H2343" s="2">
        <f t="shared" si="363"/>
        <v>24.474820337000001</v>
      </c>
      <c r="I2343" s="2">
        <f>INDEX('Wood Density Lookup'!$B$2:$B$152,MATCH(B2343,'Wood Density Lookup'!$A$2:$A$152,0))</f>
        <v>0.5</v>
      </c>
      <c r="J2343" s="2">
        <f t="shared" si="364"/>
        <v>0.62145264028055192</v>
      </c>
      <c r="K2343" s="2">
        <f t="shared" si="368"/>
        <v>0.17400673927855456</v>
      </c>
      <c r="L2343" s="2">
        <f t="shared" si="369"/>
        <v>0.79545937955910651</v>
      </c>
      <c r="M2343" s="2">
        <f t="shared" si="365"/>
        <v>0.57670805018035221</v>
      </c>
      <c r="N2343" s="2">
        <f t="shared" si="366"/>
        <v>0.2883540250901761</v>
      </c>
      <c r="O2343" s="2">
        <f t="shared" si="367"/>
        <v>1.0582592720809463</v>
      </c>
      <c r="P2343" s="2">
        <v>72.552947000000003</v>
      </c>
      <c r="Q2343" s="2">
        <v>23.037807000000001</v>
      </c>
    </row>
    <row r="2344" spans="1:17" x14ac:dyDescent="0.25">
      <c r="A2344" s="2">
        <v>2529</v>
      </c>
      <c r="B2344" s="2" t="s">
        <v>15</v>
      </c>
      <c r="C2344" s="2">
        <v>52</v>
      </c>
      <c r="D2344" s="2">
        <f t="shared" si="360"/>
        <v>132.08000000000001</v>
      </c>
      <c r="E2344" s="2">
        <f t="shared" si="361"/>
        <v>42.04236976715508</v>
      </c>
      <c r="F2344" s="2">
        <f t="shared" si="362"/>
        <v>16.552114081557114</v>
      </c>
      <c r="G2344" s="2">
        <v>12.375869</v>
      </c>
      <c r="H2344" s="2">
        <f t="shared" si="363"/>
        <v>40.603246049959999</v>
      </c>
      <c r="I2344" s="2">
        <f>INDEX('Wood Density Lookup'!$B$2:$B$152,MATCH(B2344,'Wood Density Lookup'!$A$2:$A$152,0))</f>
        <v>0.75</v>
      </c>
      <c r="J2344" s="2">
        <f t="shared" si="364"/>
        <v>874.71411403565776</v>
      </c>
      <c r="K2344" s="2">
        <f t="shared" si="368"/>
        <v>244.91995192998419</v>
      </c>
      <c r="L2344" s="2">
        <f t="shared" si="369"/>
        <v>1119.6340659656419</v>
      </c>
      <c r="M2344" s="2">
        <f t="shared" si="365"/>
        <v>811.73469782509028</v>
      </c>
      <c r="N2344" s="2">
        <f t="shared" si="366"/>
        <v>405.86734891254514</v>
      </c>
      <c r="O2344" s="2">
        <f t="shared" si="367"/>
        <v>1489.5331705090407</v>
      </c>
      <c r="P2344" s="2">
        <v>72.552948000000001</v>
      </c>
      <c r="Q2344" s="2">
        <v>23.038395000000001</v>
      </c>
    </row>
    <row r="2345" spans="1:17" x14ac:dyDescent="0.25">
      <c r="A2345" s="2">
        <v>2530</v>
      </c>
      <c r="B2345" s="2" t="s">
        <v>87</v>
      </c>
      <c r="C2345" s="2">
        <v>21</v>
      </c>
      <c r="D2345" s="2">
        <f t="shared" si="360"/>
        <v>53.34</v>
      </c>
      <c r="E2345" s="2">
        <f t="shared" si="361"/>
        <v>16.978649329043396</v>
      </c>
      <c r="F2345" s="2">
        <f t="shared" si="362"/>
        <v>6.6845076098596046</v>
      </c>
      <c r="G2345" s="2">
        <v>14.125391</v>
      </c>
      <c r="H2345" s="2">
        <f t="shared" si="363"/>
        <v>46.343147808440001</v>
      </c>
      <c r="I2345" s="2">
        <f>INDEX('Wood Density Lookup'!$B$2:$B$152,MATCH(B2345,'Wood Density Lookup'!$A$2:$A$152,0))</f>
        <v>0.9</v>
      </c>
      <c r="J2345" s="2">
        <f t="shared" si="364"/>
        <v>202.54762111264364</v>
      </c>
      <c r="K2345" s="2">
        <f t="shared" si="368"/>
        <v>56.713333911540225</v>
      </c>
      <c r="L2345" s="2">
        <f t="shared" si="369"/>
        <v>259.26095502418389</v>
      </c>
      <c r="M2345" s="2">
        <f t="shared" si="365"/>
        <v>187.96419239253331</v>
      </c>
      <c r="N2345" s="2">
        <f t="shared" si="366"/>
        <v>93.982096196266653</v>
      </c>
      <c r="O2345" s="2">
        <f t="shared" si="367"/>
        <v>344.91429304029862</v>
      </c>
      <c r="P2345" s="2">
        <v>72.552949999999996</v>
      </c>
      <c r="Q2345" s="2">
        <v>23.034905999999999</v>
      </c>
    </row>
    <row r="2346" spans="1:17" x14ac:dyDescent="0.25">
      <c r="A2346" s="2">
        <v>2531</v>
      </c>
      <c r="B2346" s="2" t="s">
        <v>50</v>
      </c>
      <c r="C2346" s="2">
        <v>3</v>
      </c>
      <c r="D2346" s="2">
        <f t="shared" si="360"/>
        <v>7.62</v>
      </c>
      <c r="E2346" s="2">
        <f t="shared" si="361"/>
        <v>2.4255213327204852</v>
      </c>
      <c r="F2346" s="2">
        <f t="shared" si="362"/>
        <v>0.95492965855137202</v>
      </c>
      <c r="G2346" s="2">
        <v>1.169791</v>
      </c>
      <c r="H2346" s="2">
        <f t="shared" si="363"/>
        <v>3.8378971044400001</v>
      </c>
      <c r="I2346" s="2">
        <f>INDEX('Wood Density Lookup'!$B$2:$B$152,MATCH(B2346,'Wood Density Lookup'!$A$2:$A$152,0))</f>
        <v>0.5</v>
      </c>
      <c r="J2346" s="2">
        <f t="shared" si="364"/>
        <v>0.22481382671403199</v>
      </c>
      <c r="K2346" s="2">
        <f t="shared" si="368"/>
        <v>6.294787147992896E-2</v>
      </c>
      <c r="L2346" s="2">
        <f t="shared" si="369"/>
        <v>0.28776169819396097</v>
      </c>
      <c r="M2346" s="2">
        <f t="shared" si="365"/>
        <v>0.20862723119062171</v>
      </c>
      <c r="N2346" s="2">
        <f t="shared" si="366"/>
        <v>0.10431361559531085</v>
      </c>
      <c r="O2346" s="2">
        <f t="shared" si="367"/>
        <v>0.38283096923479082</v>
      </c>
      <c r="P2346" s="2">
        <v>72.552949999999996</v>
      </c>
      <c r="Q2346" s="2">
        <v>23.037721000000001</v>
      </c>
    </row>
    <row r="2347" spans="1:17" x14ac:dyDescent="0.25">
      <c r="A2347" s="2">
        <v>2532</v>
      </c>
      <c r="B2347" s="2" t="s">
        <v>57</v>
      </c>
      <c r="C2347" s="2">
        <v>4</v>
      </c>
      <c r="D2347" s="2">
        <f t="shared" si="360"/>
        <v>10.16</v>
      </c>
      <c r="E2347" s="2">
        <f t="shared" si="361"/>
        <v>3.2340284436273135</v>
      </c>
      <c r="F2347" s="2">
        <f t="shared" si="362"/>
        <v>1.2732395447351628</v>
      </c>
      <c r="G2347" s="2">
        <v>9.712529</v>
      </c>
      <c r="H2347" s="2">
        <f t="shared" si="363"/>
        <v>31.865253644359999</v>
      </c>
      <c r="I2347" s="2">
        <f>INDEX('Wood Density Lookup'!$B$2:$B$152,MATCH(B2347,'Wood Density Lookup'!$A$2:$A$152,0))</f>
        <v>0.6</v>
      </c>
      <c r="J2347" s="2">
        <f t="shared" si="364"/>
        <v>3.7166101077180187</v>
      </c>
      <c r="K2347" s="2">
        <f t="shared" si="368"/>
        <v>1.0406508301610453</v>
      </c>
      <c r="L2347" s="2">
        <f t="shared" si="369"/>
        <v>4.7572609378790638</v>
      </c>
      <c r="M2347" s="2">
        <f t="shared" si="365"/>
        <v>3.4490141799623211</v>
      </c>
      <c r="N2347" s="2">
        <f t="shared" si="366"/>
        <v>1.7245070899811605</v>
      </c>
      <c r="O2347" s="2">
        <f t="shared" si="367"/>
        <v>6.3289410202308591</v>
      </c>
      <c r="P2347" s="2">
        <v>72.552952000000005</v>
      </c>
      <c r="Q2347" s="2">
        <v>23.035129999999999</v>
      </c>
    </row>
    <row r="2348" spans="1:17" x14ac:dyDescent="0.25">
      <c r="A2348" s="2">
        <v>2533</v>
      </c>
      <c r="B2348" s="2" t="s">
        <v>15</v>
      </c>
      <c r="C2348" s="2">
        <v>17</v>
      </c>
      <c r="D2348" s="2">
        <f t="shared" si="360"/>
        <v>43.18</v>
      </c>
      <c r="E2348" s="2">
        <f t="shared" si="361"/>
        <v>13.744620885416081</v>
      </c>
      <c r="F2348" s="2">
        <f t="shared" si="362"/>
        <v>5.4112680651244416</v>
      </c>
      <c r="G2348" s="2">
        <v>2.0315479999999999</v>
      </c>
      <c r="H2348" s="2">
        <f t="shared" si="363"/>
        <v>6.6651839403199995</v>
      </c>
      <c r="I2348" s="2">
        <f>INDEX('Wood Density Lookup'!$B$2:$B$152,MATCH(B2348,'Wood Density Lookup'!$A$2:$A$152,0))</f>
        <v>0.75</v>
      </c>
      <c r="J2348" s="2">
        <f t="shared" si="364"/>
        <v>16.910219816671081</v>
      </c>
      <c r="K2348" s="2">
        <f t="shared" si="368"/>
        <v>4.7348615486679027</v>
      </c>
      <c r="L2348" s="2">
        <f t="shared" si="369"/>
        <v>21.645081365338982</v>
      </c>
      <c r="M2348" s="2">
        <f t="shared" si="365"/>
        <v>15.692683989870762</v>
      </c>
      <c r="N2348" s="2">
        <f t="shared" si="366"/>
        <v>7.846341994935381</v>
      </c>
      <c r="O2348" s="2">
        <f t="shared" si="367"/>
        <v>28.796075121412848</v>
      </c>
      <c r="P2348" s="2">
        <v>72.552953000000002</v>
      </c>
      <c r="Q2348" s="2">
        <v>23.036686</v>
      </c>
    </row>
    <row r="2349" spans="1:17" x14ac:dyDescent="0.25">
      <c r="A2349" s="2">
        <v>2534</v>
      </c>
      <c r="B2349" s="2" t="s">
        <v>15</v>
      </c>
      <c r="C2349" s="2">
        <v>47</v>
      </c>
      <c r="D2349" s="2">
        <f t="shared" si="360"/>
        <v>119.38</v>
      </c>
      <c r="E2349" s="2">
        <f t="shared" si="361"/>
        <v>37.999834212620932</v>
      </c>
      <c r="F2349" s="2">
        <f t="shared" si="362"/>
        <v>14.960564650638162</v>
      </c>
      <c r="G2349" s="2">
        <v>12.12879</v>
      </c>
      <c r="H2349" s="2">
        <f t="shared" si="363"/>
        <v>39.792619383599998</v>
      </c>
      <c r="I2349" s="2">
        <f>INDEX('Wood Density Lookup'!$B$2:$B$152,MATCH(B2349,'Wood Density Lookup'!$A$2:$A$152,0))</f>
        <v>0.75</v>
      </c>
      <c r="J2349" s="2">
        <f t="shared" si="364"/>
        <v>704.06798466420582</v>
      </c>
      <c r="K2349" s="2">
        <f t="shared" si="368"/>
        <v>197.13903570597765</v>
      </c>
      <c r="L2349" s="2">
        <f t="shared" si="369"/>
        <v>901.2070203701835</v>
      </c>
      <c r="M2349" s="2">
        <f t="shared" si="365"/>
        <v>653.37508976838296</v>
      </c>
      <c r="N2349" s="2">
        <f t="shared" si="366"/>
        <v>326.68754488419148</v>
      </c>
      <c r="O2349" s="2">
        <f t="shared" si="367"/>
        <v>1198.9432897249826</v>
      </c>
      <c r="P2349" s="2">
        <v>72.552955999999995</v>
      </c>
      <c r="Q2349" s="2">
        <v>23.036014999999999</v>
      </c>
    </row>
    <row r="2350" spans="1:17" x14ac:dyDescent="0.25">
      <c r="A2350" s="2">
        <v>2535</v>
      </c>
      <c r="B2350" s="2" t="s">
        <v>109</v>
      </c>
      <c r="C2350" s="2">
        <v>3</v>
      </c>
      <c r="D2350" s="2">
        <f t="shared" si="360"/>
        <v>7.62</v>
      </c>
      <c r="E2350" s="2">
        <f t="shared" si="361"/>
        <v>2.4255213327204852</v>
      </c>
      <c r="F2350" s="2">
        <f t="shared" si="362"/>
        <v>0.95492965855137202</v>
      </c>
      <c r="G2350" s="2">
        <v>16.780902999999999</v>
      </c>
      <c r="H2350" s="2">
        <f t="shared" si="363"/>
        <v>55.055457798519996</v>
      </c>
      <c r="I2350" s="2">
        <f>INDEX('Wood Density Lookup'!$B$2:$B$152,MATCH(B2350,'Wood Density Lookup'!$A$2:$A$152,0))</f>
        <v>0.7</v>
      </c>
      <c r="J2350" s="2">
        <f t="shared" si="364"/>
        <v>4.2013616124298245</v>
      </c>
      <c r="K2350" s="2">
        <f t="shared" si="368"/>
        <v>1.1763812514803509</v>
      </c>
      <c r="L2350" s="2">
        <f t="shared" si="369"/>
        <v>5.377742863910175</v>
      </c>
      <c r="M2350" s="2">
        <f t="shared" si="365"/>
        <v>3.8988635763348767</v>
      </c>
      <c r="N2350" s="2">
        <f t="shared" si="366"/>
        <v>1.9494317881674383</v>
      </c>
      <c r="O2350" s="2">
        <f t="shared" si="367"/>
        <v>7.1544146625744984</v>
      </c>
      <c r="P2350" s="2">
        <v>72.552958000000004</v>
      </c>
      <c r="Q2350" s="2">
        <v>23.035319000000001</v>
      </c>
    </row>
    <row r="2351" spans="1:17" x14ac:dyDescent="0.25">
      <c r="A2351" s="2">
        <v>2536</v>
      </c>
      <c r="B2351" s="2" t="s">
        <v>15</v>
      </c>
      <c r="C2351" s="2">
        <v>23</v>
      </c>
      <c r="D2351" s="2">
        <f t="shared" si="360"/>
        <v>58.42</v>
      </c>
      <c r="E2351" s="2">
        <f t="shared" si="361"/>
        <v>18.595663550857051</v>
      </c>
      <c r="F2351" s="2">
        <f t="shared" si="362"/>
        <v>7.3211273822271856</v>
      </c>
      <c r="G2351" s="2">
        <v>8.6252949999999995</v>
      </c>
      <c r="H2351" s="2">
        <f t="shared" si="363"/>
        <v>28.298212847799999</v>
      </c>
      <c r="I2351" s="2">
        <f>INDEX('Wood Density Lookup'!$B$2:$B$152,MATCH(B2351,'Wood Density Lookup'!$A$2:$A$152,0))</f>
        <v>0.75</v>
      </c>
      <c r="J2351" s="2">
        <f t="shared" si="364"/>
        <v>125.10706600209046</v>
      </c>
      <c r="K2351" s="2">
        <f t="shared" si="368"/>
        <v>35.029978480585335</v>
      </c>
      <c r="L2351" s="2">
        <f t="shared" si="369"/>
        <v>160.1370444826758</v>
      </c>
      <c r="M2351" s="2">
        <f t="shared" si="365"/>
        <v>116.09935724993996</v>
      </c>
      <c r="N2351" s="2">
        <f t="shared" si="366"/>
        <v>58.049678624969978</v>
      </c>
      <c r="O2351" s="2">
        <f t="shared" si="367"/>
        <v>213.04232055363983</v>
      </c>
      <c r="P2351" s="2">
        <v>72.552959999999999</v>
      </c>
      <c r="Q2351" s="2">
        <v>23.034842999999999</v>
      </c>
    </row>
    <row r="2352" spans="1:17" x14ac:dyDescent="0.25">
      <c r="A2352" s="2">
        <v>2537</v>
      </c>
      <c r="B2352" s="2" t="s">
        <v>15</v>
      </c>
      <c r="C2352" s="2">
        <v>64</v>
      </c>
      <c r="D2352" s="2">
        <f t="shared" si="360"/>
        <v>162.56</v>
      </c>
      <c r="E2352" s="2">
        <f t="shared" si="361"/>
        <v>51.744455098037015</v>
      </c>
      <c r="F2352" s="2">
        <f t="shared" si="362"/>
        <v>20.371832715762604</v>
      </c>
      <c r="G2352" s="2">
        <v>9.4503579999999996</v>
      </c>
      <c r="H2352" s="2">
        <f t="shared" si="363"/>
        <v>31.005112540719999</v>
      </c>
      <c r="I2352" s="2">
        <f>INDEX('Wood Density Lookup'!$B$2:$B$152,MATCH(B2352,'Wood Density Lookup'!$A$2:$A$152,0))</f>
        <v>0.75</v>
      </c>
      <c r="J2352" s="2">
        <f t="shared" si="364"/>
        <v>1008.2646301305512</v>
      </c>
      <c r="K2352" s="2">
        <f t="shared" si="368"/>
        <v>282.31409643655434</v>
      </c>
      <c r="L2352" s="2">
        <f t="shared" si="369"/>
        <v>1290.5787265671056</v>
      </c>
      <c r="M2352" s="2">
        <f t="shared" si="365"/>
        <v>935.66957676115157</v>
      </c>
      <c r="N2352" s="2">
        <f t="shared" si="366"/>
        <v>467.83478838057579</v>
      </c>
      <c r="O2352" s="2">
        <f t="shared" si="367"/>
        <v>1716.9536733567131</v>
      </c>
      <c r="P2352" s="2">
        <v>72.552961999999994</v>
      </c>
      <c r="Q2352" s="2">
        <v>23.038095999999999</v>
      </c>
    </row>
    <row r="2353" spans="1:17" x14ac:dyDescent="0.25">
      <c r="A2353" s="2">
        <v>2538</v>
      </c>
      <c r="B2353" s="2" t="s">
        <v>50</v>
      </c>
      <c r="C2353" s="2">
        <v>3</v>
      </c>
      <c r="D2353" s="2">
        <f t="shared" si="360"/>
        <v>7.62</v>
      </c>
      <c r="E2353" s="2">
        <f t="shared" si="361"/>
        <v>2.4255213327204852</v>
      </c>
      <c r="F2353" s="2">
        <f t="shared" si="362"/>
        <v>0.95492965855137202</v>
      </c>
      <c r="G2353" s="2">
        <v>9.674804</v>
      </c>
      <c r="H2353" s="2">
        <f t="shared" si="363"/>
        <v>31.74148395536</v>
      </c>
      <c r="I2353" s="2">
        <f>INDEX('Wood Density Lookup'!$B$2:$B$152,MATCH(B2353,'Wood Density Lookup'!$A$2:$A$152,0))</f>
        <v>0.5</v>
      </c>
      <c r="J2353" s="2">
        <f t="shared" si="364"/>
        <v>1.767405101782481</v>
      </c>
      <c r="K2353" s="2">
        <f t="shared" si="368"/>
        <v>0.49487342849909471</v>
      </c>
      <c r="L2353" s="2">
        <f t="shared" si="369"/>
        <v>2.2622785302815758</v>
      </c>
      <c r="M2353" s="2">
        <f t="shared" si="365"/>
        <v>1.6401519344541424</v>
      </c>
      <c r="N2353" s="2">
        <f t="shared" si="366"/>
        <v>0.82007596722707121</v>
      </c>
      <c r="O2353" s="2">
        <f t="shared" si="367"/>
        <v>3.0096787997233512</v>
      </c>
      <c r="P2353" s="2">
        <v>72.552963000000005</v>
      </c>
      <c r="Q2353" s="2">
        <v>23.037807000000001</v>
      </c>
    </row>
    <row r="2354" spans="1:17" x14ac:dyDescent="0.25">
      <c r="A2354" s="2">
        <v>2539</v>
      </c>
      <c r="B2354" s="2" t="s">
        <v>50</v>
      </c>
      <c r="C2354" s="2">
        <v>2</v>
      </c>
      <c r="D2354" s="2">
        <f t="shared" si="360"/>
        <v>5.08</v>
      </c>
      <c r="E2354" s="2">
        <f t="shared" si="361"/>
        <v>1.6170142218136567</v>
      </c>
      <c r="F2354" s="2">
        <f t="shared" si="362"/>
        <v>0.63661977236758138</v>
      </c>
      <c r="G2354" s="2">
        <v>7.0743220000000004</v>
      </c>
      <c r="H2354" s="2">
        <f t="shared" si="363"/>
        <v>23.209718590480001</v>
      </c>
      <c r="I2354" s="2">
        <f>INDEX('Wood Density Lookup'!$B$2:$B$152,MATCH(B2354,'Wood Density Lookup'!$A$2:$A$152,0))</f>
        <v>0.5</v>
      </c>
      <c r="J2354" s="2">
        <f t="shared" si="364"/>
        <v>0.59008094583162984</v>
      </c>
      <c r="K2354" s="2">
        <f t="shared" si="368"/>
        <v>0.16522266483285636</v>
      </c>
      <c r="L2354" s="2">
        <f t="shared" si="369"/>
        <v>0.75530361066448615</v>
      </c>
      <c r="M2354" s="2">
        <f t="shared" si="365"/>
        <v>0.5475951177317524</v>
      </c>
      <c r="N2354" s="2">
        <f t="shared" si="366"/>
        <v>0.2737975588658762</v>
      </c>
      <c r="O2354" s="2">
        <f t="shared" si="367"/>
        <v>1.0048370410377656</v>
      </c>
      <c r="P2354" s="2">
        <v>72.552970000000002</v>
      </c>
      <c r="Q2354" s="2">
        <v>23.037721999999999</v>
      </c>
    </row>
    <row r="2355" spans="1:17" x14ac:dyDescent="0.25">
      <c r="A2355" s="2">
        <v>2540</v>
      </c>
      <c r="B2355" s="2" t="s">
        <v>50</v>
      </c>
      <c r="C2355" s="2">
        <v>3</v>
      </c>
      <c r="D2355" s="2">
        <f t="shared" si="360"/>
        <v>7.62</v>
      </c>
      <c r="E2355" s="2">
        <f t="shared" si="361"/>
        <v>2.4255213327204852</v>
      </c>
      <c r="F2355" s="2">
        <f t="shared" si="362"/>
        <v>0.95492965855137202</v>
      </c>
      <c r="G2355" s="2">
        <v>11.259259999999999</v>
      </c>
      <c r="H2355" s="2">
        <f t="shared" si="363"/>
        <v>36.939830578399999</v>
      </c>
      <c r="I2355" s="2">
        <f>INDEX('Wood Density Lookup'!$B$2:$B$152,MATCH(B2355,'Wood Density Lookup'!$A$2:$A$152,0))</f>
        <v>0.5</v>
      </c>
      <c r="J2355" s="2">
        <f t="shared" si="364"/>
        <v>2.0493821663932388</v>
      </c>
      <c r="K2355" s="2">
        <f t="shared" si="368"/>
        <v>0.57382700659010688</v>
      </c>
      <c r="L2355" s="2">
        <f t="shared" si="369"/>
        <v>2.6232091729833455</v>
      </c>
      <c r="M2355" s="2">
        <f t="shared" si="365"/>
        <v>1.9018266504129255</v>
      </c>
      <c r="N2355" s="2">
        <f t="shared" si="366"/>
        <v>0.95091332520646277</v>
      </c>
      <c r="O2355" s="2">
        <f t="shared" si="367"/>
        <v>3.4898519035077182</v>
      </c>
      <c r="P2355" s="2">
        <v>72.552974000000006</v>
      </c>
      <c r="Q2355" s="2">
        <v>23.037807000000001</v>
      </c>
    </row>
    <row r="2356" spans="1:17" x14ac:dyDescent="0.25">
      <c r="A2356" s="2">
        <v>2541</v>
      </c>
      <c r="B2356" s="2" t="s">
        <v>15</v>
      </c>
      <c r="C2356" s="2">
        <v>82</v>
      </c>
      <c r="D2356" s="2">
        <f t="shared" si="360"/>
        <v>208.28</v>
      </c>
      <c r="E2356" s="2">
        <f t="shared" si="361"/>
        <v>66.297583094359922</v>
      </c>
      <c r="F2356" s="2">
        <f t="shared" si="362"/>
        <v>26.101410667070837</v>
      </c>
      <c r="G2356" s="2">
        <v>13.859208000000001</v>
      </c>
      <c r="H2356" s="2">
        <f t="shared" si="363"/>
        <v>45.46984397472</v>
      </c>
      <c r="I2356" s="2">
        <f>INDEX('Wood Density Lookup'!$B$2:$B$152,MATCH(B2356,'Wood Density Lookup'!$A$2:$A$152,0))</f>
        <v>0.75</v>
      </c>
      <c r="J2356" s="2">
        <f t="shared" si="364"/>
        <v>2376.7037495107384</v>
      </c>
      <c r="K2356" s="2">
        <f t="shared" si="368"/>
        <v>665.47704986300676</v>
      </c>
      <c r="L2356" s="2">
        <f t="shared" si="369"/>
        <v>3042.1807993737452</v>
      </c>
      <c r="M2356" s="2">
        <f t="shared" si="365"/>
        <v>2205.5810795459652</v>
      </c>
      <c r="N2356" s="2">
        <f t="shared" si="366"/>
        <v>1102.7905397729826</v>
      </c>
      <c r="O2356" s="2">
        <f t="shared" si="367"/>
        <v>4047.2412809668458</v>
      </c>
      <c r="P2356" s="2">
        <v>72.552977999999996</v>
      </c>
      <c r="Q2356" s="2">
        <v>23.037485</v>
      </c>
    </row>
    <row r="2357" spans="1:17" x14ac:dyDescent="0.25">
      <c r="A2357" s="2">
        <v>2542</v>
      </c>
      <c r="B2357" s="2" t="s">
        <v>15</v>
      </c>
      <c r="C2357" s="2">
        <v>92</v>
      </c>
      <c r="D2357" s="2">
        <f t="shared" si="360"/>
        <v>233.68</v>
      </c>
      <c r="E2357" s="2">
        <f t="shared" si="361"/>
        <v>74.382654203428203</v>
      </c>
      <c r="F2357" s="2">
        <f t="shared" si="362"/>
        <v>29.284509528908742</v>
      </c>
      <c r="G2357" s="2">
        <v>11.486255999999999</v>
      </c>
      <c r="H2357" s="2">
        <f t="shared" si="363"/>
        <v>37.684568135039996</v>
      </c>
      <c r="I2357" s="2">
        <f>INDEX('Wood Density Lookup'!$B$2:$B$152,MATCH(B2357,'Wood Density Lookup'!$A$2:$A$152,0))</f>
        <v>0.75</v>
      </c>
      <c r="J2357" s="2">
        <f t="shared" si="364"/>
        <v>2476.975820860649</v>
      </c>
      <c r="K2357" s="2">
        <f t="shared" si="368"/>
        <v>693.55322984098177</v>
      </c>
      <c r="L2357" s="2">
        <f t="shared" si="369"/>
        <v>3170.5290507016307</v>
      </c>
      <c r="M2357" s="2">
        <f t="shared" si="365"/>
        <v>2298.6335617586824</v>
      </c>
      <c r="N2357" s="2">
        <f t="shared" si="366"/>
        <v>1149.3167808793412</v>
      </c>
      <c r="O2357" s="2">
        <f t="shared" si="367"/>
        <v>4217.9925858271818</v>
      </c>
      <c r="P2357" s="2">
        <v>72.552977999999996</v>
      </c>
      <c r="Q2357" s="2">
        <v>23.038539</v>
      </c>
    </row>
    <row r="2358" spans="1:17" x14ac:dyDescent="0.25">
      <c r="A2358" s="2">
        <v>2543</v>
      </c>
      <c r="B2358" s="2" t="s">
        <v>15</v>
      </c>
      <c r="C2358" s="2">
        <v>96</v>
      </c>
      <c r="D2358" s="2">
        <f t="shared" si="360"/>
        <v>243.84</v>
      </c>
      <c r="E2358" s="2">
        <f t="shared" si="361"/>
        <v>77.616682647055526</v>
      </c>
      <c r="F2358" s="2">
        <f t="shared" si="362"/>
        <v>30.557749073643905</v>
      </c>
      <c r="G2358" s="2">
        <v>11.139832999999999</v>
      </c>
      <c r="H2358" s="2">
        <f t="shared" si="363"/>
        <v>36.548009699719998</v>
      </c>
      <c r="I2358" s="2">
        <f>INDEX('Wood Density Lookup'!$B$2:$B$152,MATCH(B2358,'Wood Density Lookup'!$A$2:$A$152,0))</f>
        <v>0.75</v>
      </c>
      <c r="J2358" s="2">
        <f t="shared" si="364"/>
        <v>2612.2862198881139</v>
      </c>
      <c r="K2358" s="2">
        <f t="shared" si="368"/>
        <v>731.44014156867195</v>
      </c>
      <c r="L2358" s="2">
        <f t="shared" si="369"/>
        <v>3343.726361456786</v>
      </c>
      <c r="M2358" s="2">
        <f t="shared" si="365"/>
        <v>2424.2016120561698</v>
      </c>
      <c r="N2358" s="2">
        <f t="shared" si="366"/>
        <v>1212.1008060280849</v>
      </c>
      <c r="O2358" s="2">
        <f t="shared" si="367"/>
        <v>4448.4099581230712</v>
      </c>
      <c r="P2358" s="2">
        <v>72.552977999999996</v>
      </c>
      <c r="Q2358" s="2">
        <v>23.038474000000001</v>
      </c>
    </row>
    <row r="2359" spans="1:17" x14ac:dyDescent="0.25">
      <c r="A2359" s="2">
        <v>2544</v>
      </c>
      <c r="B2359" s="2" t="s">
        <v>86</v>
      </c>
      <c r="C2359" s="2">
        <v>28</v>
      </c>
      <c r="D2359" s="2">
        <f t="shared" si="360"/>
        <v>71.12</v>
      </c>
      <c r="E2359" s="2">
        <f t="shared" si="361"/>
        <v>22.638199105391195</v>
      </c>
      <c r="F2359" s="2">
        <f t="shared" si="362"/>
        <v>8.91267681314614</v>
      </c>
      <c r="G2359" s="2">
        <v>9.862114</v>
      </c>
      <c r="H2359" s="2">
        <f t="shared" si="363"/>
        <v>32.35601809576</v>
      </c>
      <c r="I2359" s="2">
        <f>INDEX('Wood Density Lookup'!$B$2:$B$152,MATCH(B2359,'Wood Density Lookup'!$A$2:$A$152,0))</f>
        <v>0.95</v>
      </c>
      <c r="J2359" s="2">
        <f t="shared" si="364"/>
        <v>263.65704570473071</v>
      </c>
      <c r="K2359" s="2">
        <f t="shared" si="368"/>
        <v>73.8239727973246</v>
      </c>
      <c r="L2359" s="2">
        <f t="shared" si="369"/>
        <v>337.48101850205529</v>
      </c>
      <c r="M2359" s="2">
        <f t="shared" si="365"/>
        <v>244.67373841399007</v>
      </c>
      <c r="N2359" s="2">
        <f t="shared" si="366"/>
        <v>122.33686920699503</v>
      </c>
      <c r="O2359" s="2">
        <f t="shared" si="367"/>
        <v>448.97630998967173</v>
      </c>
      <c r="P2359" s="2">
        <v>72.552981000000003</v>
      </c>
      <c r="Q2359" s="2">
        <v>23.035073000000001</v>
      </c>
    </row>
    <row r="2360" spans="1:17" x14ac:dyDescent="0.25">
      <c r="A2360" s="2">
        <v>2545</v>
      </c>
      <c r="B2360" s="2" t="s">
        <v>102</v>
      </c>
      <c r="C2360" s="2">
        <v>1</v>
      </c>
      <c r="D2360" s="2">
        <f t="shared" si="360"/>
        <v>2.54</v>
      </c>
      <c r="E2360" s="2">
        <f t="shared" si="361"/>
        <v>0.80850711090682836</v>
      </c>
      <c r="F2360" s="2">
        <f t="shared" si="362"/>
        <v>0.31830988618379069</v>
      </c>
      <c r="G2360" s="2">
        <v>1.05457</v>
      </c>
      <c r="H2360" s="2">
        <f t="shared" si="363"/>
        <v>3.4598754388000001</v>
      </c>
      <c r="I2360" s="2">
        <f>INDEX('Wood Density Lookup'!$B$2:$B$152,MATCH(B2360,'Wood Density Lookup'!$A$2:$A$152,0))</f>
        <v>0.45</v>
      </c>
      <c r="J2360" s="2">
        <f t="shared" si="364"/>
        <v>2.1471923126720523E-2</v>
      </c>
      <c r="K2360" s="2">
        <f t="shared" si="368"/>
        <v>6.0121384754817471E-3</v>
      </c>
      <c r="L2360" s="2">
        <f t="shared" si="369"/>
        <v>2.7484061602202271E-2</v>
      </c>
      <c r="M2360" s="2">
        <f t="shared" si="365"/>
        <v>1.9925944661596647E-2</v>
      </c>
      <c r="N2360" s="2">
        <f t="shared" si="366"/>
        <v>9.9629723307983233E-3</v>
      </c>
      <c r="O2360" s="2">
        <f t="shared" si="367"/>
        <v>3.6564108454029846E-2</v>
      </c>
      <c r="P2360" s="2">
        <v>72.552983999999995</v>
      </c>
      <c r="Q2360" s="2">
        <v>23.037219</v>
      </c>
    </row>
    <row r="2361" spans="1:17" x14ac:dyDescent="0.25">
      <c r="A2361" s="2">
        <v>2546</v>
      </c>
      <c r="B2361" s="2" t="s">
        <v>115</v>
      </c>
      <c r="C2361" s="2">
        <v>17</v>
      </c>
      <c r="D2361" s="2">
        <f t="shared" si="360"/>
        <v>43.18</v>
      </c>
      <c r="E2361" s="2">
        <f t="shared" si="361"/>
        <v>13.744620885416081</v>
      </c>
      <c r="F2361" s="2">
        <f t="shared" si="362"/>
        <v>5.4112680651244416</v>
      </c>
      <c r="G2361" s="2">
        <v>14.171037</v>
      </c>
      <c r="H2361" s="2">
        <f t="shared" si="363"/>
        <v>46.492905031079999</v>
      </c>
      <c r="I2361" s="2">
        <f>INDEX('Wood Density Lookup'!$B$2:$B$152,MATCH(B2361,'Wood Density Lookup'!$A$2:$A$152,0))</f>
        <v>0.65</v>
      </c>
      <c r="J2361" s="2">
        <f t="shared" si="364"/>
        <v>97.908782690727676</v>
      </c>
      <c r="K2361" s="2">
        <f t="shared" si="368"/>
        <v>27.414459153403751</v>
      </c>
      <c r="L2361" s="2">
        <f t="shared" si="369"/>
        <v>125.32324184413143</v>
      </c>
      <c r="M2361" s="2">
        <f t="shared" si="365"/>
        <v>90.859350336995291</v>
      </c>
      <c r="N2361" s="2">
        <f t="shared" si="366"/>
        <v>45.429675168497646</v>
      </c>
      <c r="O2361" s="2">
        <f t="shared" si="367"/>
        <v>166.72690786838635</v>
      </c>
      <c r="P2361" s="2">
        <v>72.552987999999999</v>
      </c>
      <c r="Q2361" s="2">
        <v>23.036878000000002</v>
      </c>
    </row>
    <row r="2362" spans="1:17" x14ac:dyDescent="0.25">
      <c r="A2362" s="2">
        <v>2547</v>
      </c>
      <c r="B2362" s="2" t="s">
        <v>15</v>
      </c>
      <c r="C2362" s="2">
        <v>42</v>
      </c>
      <c r="D2362" s="2">
        <f t="shared" si="360"/>
        <v>106.68</v>
      </c>
      <c r="E2362" s="2">
        <f t="shared" si="361"/>
        <v>33.957298658086792</v>
      </c>
      <c r="F2362" s="2">
        <f t="shared" si="362"/>
        <v>13.369015219719209</v>
      </c>
      <c r="G2362" s="2">
        <v>11.363771</v>
      </c>
      <c r="H2362" s="2">
        <f t="shared" si="363"/>
        <v>37.282714447639997</v>
      </c>
      <c r="I2362" s="2">
        <f>INDEX('Wood Density Lookup'!$B$2:$B$152,MATCH(B2362,'Wood Density Lookup'!$A$2:$A$152,0))</f>
        <v>0.75</v>
      </c>
      <c r="J2362" s="2">
        <f t="shared" si="364"/>
        <v>530.45221774616982</v>
      </c>
      <c r="K2362" s="2">
        <f t="shared" si="368"/>
        <v>148.52662096892757</v>
      </c>
      <c r="L2362" s="2">
        <f t="shared" si="369"/>
        <v>678.97883871509737</v>
      </c>
      <c r="M2362" s="2">
        <f t="shared" si="365"/>
        <v>492.25965806844556</v>
      </c>
      <c r="N2362" s="2">
        <f t="shared" si="366"/>
        <v>246.12982903422278</v>
      </c>
      <c r="O2362" s="2">
        <f t="shared" si="367"/>
        <v>903.29647255559757</v>
      </c>
      <c r="P2362" s="2">
        <v>72.552988999999997</v>
      </c>
      <c r="Q2362" s="2">
        <v>23.03781</v>
      </c>
    </row>
    <row r="2363" spans="1:17" x14ac:dyDescent="0.25">
      <c r="A2363" s="2">
        <v>2548</v>
      </c>
      <c r="B2363" s="2" t="s">
        <v>15</v>
      </c>
      <c r="C2363" s="2">
        <v>19</v>
      </c>
      <c r="D2363" s="2">
        <f t="shared" si="360"/>
        <v>48.26</v>
      </c>
      <c r="E2363" s="2">
        <f t="shared" si="361"/>
        <v>15.361635107229738</v>
      </c>
      <c r="F2363" s="2">
        <f t="shared" si="362"/>
        <v>6.0478878374920226</v>
      </c>
      <c r="G2363" s="2">
        <v>7.8662669999999997</v>
      </c>
      <c r="H2363" s="2">
        <f t="shared" si="363"/>
        <v>25.80796342428</v>
      </c>
      <c r="I2363" s="2">
        <f>INDEX('Wood Density Lookup'!$B$2:$B$152,MATCH(B2363,'Wood Density Lookup'!$A$2:$A$152,0))</f>
        <v>0.75</v>
      </c>
      <c r="J2363" s="2">
        <f t="shared" si="364"/>
        <v>78.753703207895299</v>
      </c>
      <c r="K2363" s="2">
        <f t="shared" si="368"/>
        <v>22.051036898210686</v>
      </c>
      <c r="L2363" s="2">
        <f t="shared" si="369"/>
        <v>100.80474010610598</v>
      </c>
      <c r="M2363" s="2">
        <f t="shared" si="365"/>
        <v>73.083436576926829</v>
      </c>
      <c r="N2363" s="2">
        <f t="shared" si="366"/>
        <v>36.541718288463414</v>
      </c>
      <c r="O2363" s="2">
        <f t="shared" si="367"/>
        <v>134.10810611866071</v>
      </c>
      <c r="P2363" s="2">
        <v>72.552989999999994</v>
      </c>
      <c r="Q2363" s="2">
        <v>23.03669</v>
      </c>
    </row>
    <row r="2364" spans="1:17" x14ac:dyDescent="0.25">
      <c r="A2364" s="2">
        <v>2549</v>
      </c>
      <c r="B2364" s="2" t="s">
        <v>15</v>
      </c>
      <c r="C2364" s="2">
        <v>122</v>
      </c>
      <c r="D2364" s="2">
        <f t="shared" si="360"/>
        <v>309.88</v>
      </c>
      <c r="E2364" s="2">
        <f t="shared" si="361"/>
        <v>98.637867530633059</v>
      </c>
      <c r="F2364" s="2">
        <f t="shared" si="362"/>
        <v>38.833806114422465</v>
      </c>
      <c r="G2364" s="2">
        <v>13.228235</v>
      </c>
      <c r="H2364" s="2">
        <f t="shared" si="363"/>
        <v>43.399722517400001</v>
      </c>
      <c r="I2364" s="2">
        <f>INDEX('Wood Density Lookup'!$B$2:$B$152,MATCH(B2364,'Wood Density Lookup'!$A$2:$A$152,0))</f>
        <v>0.75</v>
      </c>
      <c r="J2364" s="2">
        <f t="shared" si="364"/>
        <v>4932.1237643948025</v>
      </c>
      <c r="K2364" s="2">
        <f t="shared" si="368"/>
        <v>1380.9946540305448</v>
      </c>
      <c r="L2364" s="2">
        <f t="shared" si="369"/>
        <v>6313.118418425347</v>
      </c>
      <c r="M2364" s="2">
        <f t="shared" si="365"/>
        <v>4577.0108533583762</v>
      </c>
      <c r="N2364" s="2">
        <f t="shared" si="366"/>
        <v>2288.5054266791881</v>
      </c>
      <c r="O2364" s="2">
        <f t="shared" si="367"/>
        <v>8398.8149159126206</v>
      </c>
      <c r="P2364" s="2">
        <v>72.552989999999994</v>
      </c>
      <c r="Q2364" s="2">
        <v>23.036816999999999</v>
      </c>
    </row>
    <row r="2365" spans="1:17" x14ac:dyDescent="0.25">
      <c r="A2365" s="2">
        <v>2550</v>
      </c>
      <c r="B2365" s="2" t="s">
        <v>50</v>
      </c>
      <c r="C2365" s="2">
        <v>3</v>
      </c>
      <c r="D2365" s="2">
        <f t="shared" si="360"/>
        <v>7.62</v>
      </c>
      <c r="E2365" s="2">
        <f t="shared" si="361"/>
        <v>2.4255213327204852</v>
      </c>
      <c r="F2365" s="2">
        <f t="shared" si="362"/>
        <v>0.95492965855137202</v>
      </c>
      <c r="G2365" s="2">
        <v>11.095941</v>
      </c>
      <c r="H2365" s="2">
        <f t="shared" si="363"/>
        <v>36.404007070440002</v>
      </c>
      <c r="I2365" s="2">
        <f>INDEX('Wood Density Lookup'!$B$2:$B$152,MATCH(B2365,'Wood Density Lookup'!$A$2:$A$152,0))</f>
        <v>0.5</v>
      </c>
      <c r="J2365" s="2">
        <f t="shared" si="364"/>
        <v>2.0203636236161993</v>
      </c>
      <c r="K2365" s="2">
        <f t="shared" si="368"/>
        <v>0.56570181461253588</v>
      </c>
      <c r="L2365" s="2">
        <f t="shared" si="369"/>
        <v>2.5860654382287351</v>
      </c>
      <c r="M2365" s="2">
        <f t="shared" si="365"/>
        <v>1.8748974427158329</v>
      </c>
      <c r="N2365" s="2">
        <f t="shared" si="366"/>
        <v>0.93744872135791646</v>
      </c>
      <c r="O2365" s="2">
        <f t="shared" si="367"/>
        <v>3.4404368073835534</v>
      </c>
      <c r="P2365" s="2">
        <v>72.552991000000006</v>
      </c>
      <c r="Q2365" s="2">
        <v>23.037723</v>
      </c>
    </row>
    <row r="2366" spans="1:17" x14ac:dyDescent="0.25">
      <c r="A2366" s="2">
        <v>2551</v>
      </c>
      <c r="B2366" s="2" t="s">
        <v>15</v>
      </c>
      <c r="C2366" s="2">
        <v>74</v>
      </c>
      <c r="D2366" s="2">
        <f t="shared" si="360"/>
        <v>187.96</v>
      </c>
      <c r="E2366" s="2">
        <f t="shared" si="361"/>
        <v>59.829526207105296</v>
      </c>
      <c r="F2366" s="2">
        <f t="shared" si="362"/>
        <v>23.554931577600509</v>
      </c>
      <c r="G2366" s="2">
        <v>12.146114000000001</v>
      </c>
      <c r="H2366" s="2">
        <f t="shared" si="363"/>
        <v>39.849456655760001</v>
      </c>
      <c r="I2366" s="2">
        <f>INDEX('Wood Density Lookup'!$B$2:$B$152,MATCH(B2366,'Wood Density Lookup'!$A$2:$A$152,0))</f>
        <v>0.75</v>
      </c>
      <c r="J2366" s="2">
        <f t="shared" si="364"/>
        <v>1710.1133371291005</v>
      </c>
      <c r="K2366" s="2">
        <f t="shared" si="368"/>
        <v>478.83173439614819</v>
      </c>
      <c r="L2366" s="2">
        <f t="shared" si="369"/>
        <v>2188.9450715252487</v>
      </c>
      <c r="M2366" s="2">
        <f t="shared" si="365"/>
        <v>1586.9851768558053</v>
      </c>
      <c r="N2366" s="2">
        <f t="shared" si="366"/>
        <v>793.49258842790266</v>
      </c>
      <c r="O2366" s="2">
        <f t="shared" si="367"/>
        <v>2912.1177995304029</v>
      </c>
      <c r="P2366" s="2">
        <v>72.552993999999998</v>
      </c>
      <c r="Q2366" s="2">
        <v>23.037890999999998</v>
      </c>
    </row>
    <row r="2367" spans="1:17" x14ac:dyDescent="0.25">
      <c r="A2367" s="2">
        <v>2552</v>
      </c>
      <c r="B2367" s="2" t="s">
        <v>31</v>
      </c>
      <c r="C2367" s="2">
        <v>14</v>
      </c>
      <c r="D2367" s="2">
        <f t="shared" si="360"/>
        <v>35.56</v>
      </c>
      <c r="E2367" s="2">
        <f t="shared" si="361"/>
        <v>11.319099552695597</v>
      </c>
      <c r="F2367" s="2">
        <f t="shared" si="362"/>
        <v>4.45633840657307</v>
      </c>
      <c r="G2367" s="2">
        <v>1.027849</v>
      </c>
      <c r="H2367" s="2">
        <f t="shared" si="363"/>
        <v>3.3722081131600001</v>
      </c>
      <c r="I2367" s="2">
        <f>INDEX('Wood Density Lookup'!$B$2:$B$152,MATCH(B2367,'Wood Density Lookup'!$A$2:$A$152,0))</f>
        <v>0.78</v>
      </c>
      <c r="J2367" s="2">
        <f t="shared" si="364"/>
        <v>6.1856194722385691</v>
      </c>
      <c r="K2367" s="2">
        <f t="shared" si="368"/>
        <v>1.7319734522267995</v>
      </c>
      <c r="L2367" s="2">
        <f t="shared" si="369"/>
        <v>7.9175929244653691</v>
      </c>
      <c r="M2367" s="2">
        <f t="shared" si="365"/>
        <v>5.7402548702373926</v>
      </c>
      <c r="N2367" s="2">
        <f t="shared" si="366"/>
        <v>2.8701274351186963</v>
      </c>
      <c r="O2367" s="2">
        <f t="shared" si="367"/>
        <v>10.533367686885615</v>
      </c>
      <c r="P2367" s="2">
        <v>72.552995999999993</v>
      </c>
      <c r="Q2367" s="2">
        <v>23.035844999999998</v>
      </c>
    </row>
    <row r="2368" spans="1:17" x14ac:dyDescent="0.25">
      <c r="A2368" s="2">
        <v>2553</v>
      </c>
      <c r="B2368" s="2" t="s">
        <v>15</v>
      </c>
      <c r="C2368" s="2">
        <v>49</v>
      </c>
      <c r="D2368" s="2">
        <f t="shared" si="360"/>
        <v>124.46000000000001</v>
      </c>
      <c r="E2368" s="2">
        <f t="shared" si="361"/>
        <v>39.616848434434594</v>
      </c>
      <c r="F2368" s="2">
        <f t="shared" si="362"/>
        <v>15.597184423005743</v>
      </c>
      <c r="G2368" s="2">
        <v>9.2162089999999992</v>
      </c>
      <c r="H2368" s="2">
        <f t="shared" si="363"/>
        <v>30.236907135559996</v>
      </c>
      <c r="I2368" s="2">
        <f>INDEX('Wood Density Lookup'!$B$2:$B$152,MATCH(B2368,'Wood Density Lookup'!$A$2:$A$152,0))</f>
        <v>0.75</v>
      </c>
      <c r="J2368" s="2">
        <f t="shared" si="364"/>
        <v>584.17037409717614</v>
      </c>
      <c r="K2368" s="2">
        <f t="shared" si="368"/>
        <v>163.56770474720935</v>
      </c>
      <c r="L2368" s="2">
        <f t="shared" si="369"/>
        <v>747.73807884438543</v>
      </c>
      <c r="M2368" s="2">
        <f t="shared" si="365"/>
        <v>542.11010716217947</v>
      </c>
      <c r="N2368" s="2">
        <f t="shared" si="366"/>
        <v>271.05505358108974</v>
      </c>
      <c r="O2368" s="2">
        <f t="shared" si="367"/>
        <v>994.77204664259932</v>
      </c>
      <c r="P2368" s="2">
        <v>72.552998000000002</v>
      </c>
      <c r="Q2368" s="2">
        <v>23.038008999999999</v>
      </c>
    </row>
    <row r="2369" spans="1:17" x14ac:dyDescent="0.25">
      <c r="A2369" s="2">
        <v>2554</v>
      </c>
      <c r="B2369" s="2" t="s">
        <v>95</v>
      </c>
      <c r="C2369" s="2">
        <v>38</v>
      </c>
      <c r="D2369" s="2">
        <f t="shared" ref="D2369:D2432" si="370">C2369*2.54</f>
        <v>96.52</v>
      </c>
      <c r="E2369" s="2">
        <f t="shared" ref="E2369:E2432" si="371">D2369/PI()</f>
        <v>30.723270214459475</v>
      </c>
      <c r="F2369" s="2">
        <f t="shared" ref="F2369:F2432" si="372">C2369/PI()</f>
        <v>12.095775674984045</v>
      </c>
      <c r="G2369" s="2">
        <v>11.946904999999999</v>
      </c>
      <c r="H2369" s="2">
        <f t="shared" ref="H2369:H2432" si="373">G2369*3.28084</f>
        <v>39.195883800199994</v>
      </c>
      <c r="I2369" s="2">
        <f>INDEX('Wood Density Lookup'!$B$2:$B$152,MATCH(B2369,'Wood Density Lookup'!$A$2:$A$152,0))</f>
        <v>0.3</v>
      </c>
      <c r="J2369" s="2">
        <f t="shared" ref="J2369:J2432" si="374">0.0673*POWER(I2369*E2369^2*G2369,0.976)</f>
        <v>187.33681537535293</v>
      </c>
      <c r="K2369" s="2">
        <f t="shared" si="368"/>
        <v>52.454308305098827</v>
      </c>
      <c r="L2369" s="2">
        <f t="shared" si="369"/>
        <v>239.79112368045176</v>
      </c>
      <c r="M2369" s="2">
        <f t="shared" ref="M2369:M2432" si="375">0.725*L2369</f>
        <v>173.84856466832753</v>
      </c>
      <c r="N2369" s="2">
        <f t="shared" ref="N2369:N2432" si="376">0.5*M2369</f>
        <v>86.924282334163763</v>
      </c>
      <c r="O2369" s="2">
        <f t="shared" ref="O2369:O2432" si="377">3.67*N2369</f>
        <v>319.01211616638102</v>
      </c>
      <c r="P2369" s="2">
        <v>72.552998000000002</v>
      </c>
      <c r="Q2369" s="2">
        <v>23.034904000000001</v>
      </c>
    </row>
    <row r="2370" spans="1:17" x14ac:dyDescent="0.25">
      <c r="A2370" s="2">
        <v>2555</v>
      </c>
      <c r="B2370" s="2" t="s">
        <v>114</v>
      </c>
      <c r="C2370" s="2">
        <v>17</v>
      </c>
      <c r="D2370" s="2">
        <f t="shared" si="370"/>
        <v>43.18</v>
      </c>
      <c r="E2370" s="2">
        <f t="shared" si="371"/>
        <v>13.744620885416081</v>
      </c>
      <c r="F2370" s="2">
        <f t="shared" si="372"/>
        <v>5.4112680651244416</v>
      </c>
      <c r="G2370" s="2">
        <v>16.175431</v>
      </c>
      <c r="H2370" s="2">
        <f t="shared" si="373"/>
        <v>53.06900104204</v>
      </c>
      <c r="I2370" s="2">
        <f>INDEX('Wood Density Lookup'!$B$2:$B$152,MATCH(B2370,'Wood Density Lookup'!$A$2:$A$152,0))</f>
        <v>0.55000000000000004</v>
      </c>
      <c r="J2370" s="2">
        <f t="shared" si="374"/>
        <v>94.642788540216685</v>
      </c>
      <c r="K2370" s="2">
        <f t="shared" si="368"/>
        <v>26.499980791260676</v>
      </c>
      <c r="L2370" s="2">
        <f t="shared" si="369"/>
        <v>121.14276933147735</v>
      </c>
      <c r="M2370" s="2">
        <f t="shared" si="375"/>
        <v>87.828507765321078</v>
      </c>
      <c r="N2370" s="2">
        <f t="shared" si="376"/>
        <v>43.914253882660539</v>
      </c>
      <c r="O2370" s="2">
        <f t="shared" si="377"/>
        <v>161.16531174936418</v>
      </c>
      <c r="P2370" s="2">
        <v>72.552999999999997</v>
      </c>
      <c r="Q2370" s="2">
        <v>23.036850000000001</v>
      </c>
    </row>
    <row r="2371" spans="1:17" x14ac:dyDescent="0.25">
      <c r="A2371" s="2">
        <v>2556</v>
      </c>
      <c r="B2371" s="2" t="s">
        <v>114</v>
      </c>
      <c r="C2371" s="2">
        <v>33</v>
      </c>
      <c r="D2371" s="2">
        <f t="shared" si="370"/>
        <v>83.820000000000007</v>
      </c>
      <c r="E2371" s="2">
        <f t="shared" si="371"/>
        <v>26.680734659925339</v>
      </c>
      <c r="F2371" s="2">
        <f t="shared" si="372"/>
        <v>10.504226244065093</v>
      </c>
      <c r="G2371" s="2">
        <v>16.083922000000001</v>
      </c>
      <c r="H2371" s="2">
        <f t="shared" si="373"/>
        <v>52.768774654480005</v>
      </c>
      <c r="I2371" s="2">
        <f>INDEX('Wood Density Lookup'!$B$2:$B$152,MATCH(B2371,'Wood Density Lookup'!$A$2:$A$152,0))</f>
        <v>0.55000000000000004</v>
      </c>
      <c r="J2371" s="2">
        <f t="shared" si="374"/>
        <v>343.5466155564161</v>
      </c>
      <c r="K2371" s="2">
        <f t="shared" ref="K2371:K2434" si="378">0.28*J2371</f>
        <v>96.19305235579651</v>
      </c>
      <c r="L2371" s="2">
        <f t="shared" ref="L2371:L2434" si="379">J2371+K2371</f>
        <v>439.73966791221261</v>
      </c>
      <c r="M2371" s="2">
        <f t="shared" si="375"/>
        <v>318.81125923635415</v>
      </c>
      <c r="N2371" s="2">
        <f t="shared" si="376"/>
        <v>159.40562961817707</v>
      </c>
      <c r="O2371" s="2">
        <f t="shared" si="377"/>
        <v>585.01866069870982</v>
      </c>
      <c r="P2371" s="2">
        <v>72.553000999999995</v>
      </c>
      <c r="Q2371" s="2">
        <v>23.035761000000001</v>
      </c>
    </row>
    <row r="2372" spans="1:17" x14ac:dyDescent="0.25">
      <c r="A2372" s="2">
        <v>2557</v>
      </c>
      <c r="B2372" s="2" t="s">
        <v>63</v>
      </c>
      <c r="C2372" s="2">
        <v>47</v>
      </c>
      <c r="D2372" s="2">
        <f t="shared" si="370"/>
        <v>119.38</v>
      </c>
      <c r="E2372" s="2">
        <f t="shared" si="371"/>
        <v>37.999834212620932</v>
      </c>
      <c r="F2372" s="2">
        <f t="shared" si="372"/>
        <v>14.960564650638162</v>
      </c>
      <c r="G2372" s="2">
        <v>6.5411599999999996</v>
      </c>
      <c r="H2372" s="2">
        <f t="shared" si="373"/>
        <v>21.460499374399998</v>
      </c>
      <c r="I2372" s="2">
        <f>INDEX('Wood Density Lookup'!$B$2:$B$152,MATCH(B2372,'Wood Density Lookup'!$A$2:$A$152,0))</f>
        <v>0.5</v>
      </c>
      <c r="J2372" s="2">
        <f t="shared" si="374"/>
        <v>259.43151288906955</v>
      </c>
      <c r="K2372" s="2">
        <f t="shared" si="378"/>
        <v>72.640823608939485</v>
      </c>
      <c r="L2372" s="2">
        <f t="shared" si="379"/>
        <v>332.07233649800901</v>
      </c>
      <c r="M2372" s="2">
        <f t="shared" si="375"/>
        <v>240.75244396105651</v>
      </c>
      <c r="N2372" s="2">
        <f t="shared" si="376"/>
        <v>120.37622198052826</v>
      </c>
      <c r="O2372" s="2">
        <f t="shared" si="377"/>
        <v>441.78073466853868</v>
      </c>
      <c r="P2372" s="2">
        <v>72.553005999999996</v>
      </c>
      <c r="Q2372" s="2">
        <v>23.038674</v>
      </c>
    </row>
    <row r="2373" spans="1:17" x14ac:dyDescent="0.25">
      <c r="A2373" s="2">
        <v>2558</v>
      </c>
      <c r="B2373" s="2" t="s">
        <v>26</v>
      </c>
      <c r="C2373" s="2">
        <v>3</v>
      </c>
      <c r="D2373" s="2">
        <f t="shared" si="370"/>
        <v>7.62</v>
      </c>
      <c r="E2373" s="2">
        <f t="shared" si="371"/>
        <v>2.4255213327204852</v>
      </c>
      <c r="F2373" s="2">
        <f t="shared" si="372"/>
        <v>0.95492965855137202</v>
      </c>
      <c r="G2373" s="2">
        <v>3.1124679999999998</v>
      </c>
      <c r="H2373" s="2">
        <f t="shared" si="373"/>
        <v>10.211509513119999</v>
      </c>
      <c r="I2373" s="2">
        <f>INDEX('Wood Density Lookup'!$B$2:$B$152,MATCH(B2373,'Wood Density Lookup'!$A$2:$A$152,0))</f>
        <v>0.7</v>
      </c>
      <c r="J2373" s="2">
        <f t="shared" si="374"/>
        <v>0.81141060843176593</v>
      </c>
      <c r="K2373" s="2">
        <f t="shared" si="378"/>
        <v>0.22719497036089448</v>
      </c>
      <c r="L2373" s="2">
        <f t="shared" si="379"/>
        <v>1.0386055787926605</v>
      </c>
      <c r="M2373" s="2">
        <f t="shared" si="375"/>
        <v>0.75298904462467886</v>
      </c>
      <c r="N2373" s="2">
        <f t="shared" si="376"/>
        <v>0.37649452231233943</v>
      </c>
      <c r="O2373" s="2">
        <f t="shared" si="377"/>
        <v>1.3817348968862857</v>
      </c>
      <c r="P2373" s="2">
        <v>72.553005999999996</v>
      </c>
      <c r="Q2373" s="2">
        <v>23.037582</v>
      </c>
    </row>
    <row r="2374" spans="1:17" x14ac:dyDescent="0.25">
      <c r="A2374" s="2">
        <v>2559</v>
      </c>
      <c r="B2374" s="2" t="s">
        <v>26</v>
      </c>
      <c r="C2374" s="2">
        <v>37</v>
      </c>
      <c r="D2374" s="2">
        <f t="shared" si="370"/>
        <v>93.98</v>
      </c>
      <c r="E2374" s="2">
        <f t="shared" si="371"/>
        <v>29.914763103552648</v>
      </c>
      <c r="F2374" s="2">
        <f t="shared" si="372"/>
        <v>11.777465788800255</v>
      </c>
      <c r="G2374" s="2">
        <v>3.6914709999999999</v>
      </c>
      <c r="H2374" s="2">
        <f t="shared" si="373"/>
        <v>12.11112571564</v>
      </c>
      <c r="I2374" s="2">
        <f>INDEX('Wood Density Lookup'!$B$2:$B$152,MATCH(B2374,'Wood Density Lookup'!$A$2:$A$152,0))</f>
        <v>0.7</v>
      </c>
      <c r="J2374" s="2">
        <f t="shared" si="374"/>
        <v>129.22485511453903</v>
      </c>
      <c r="K2374" s="2">
        <f t="shared" si="378"/>
        <v>36.18295943207093</v>
      </c>
      <c r="L2374" s="2">
        <f t="shared" si="379"/>
        <v>165.40781454660996</v>
      </c>
      <c r="M2374" s="2">
        <f t="shared" si="375"/>
        <v>119.92066554629221</v>
      </c>
      <c r="N2374" s="2">
        <f t="shared" si="376"/>
        <v>59.960332773146106</v>
      </c>
      <c r="O2374" s="2">
        <f t="shared" si="377"/>
        <v>220.05442127744621</v>
      </c>
      <c r="P2374" s="2">
        <v>72.553006999999994</v>
      </c>
      <c r="Q2374" s="2">
        <v>23.034799</v>
      </c>
    </row>
    <row r="2375" spans="1:17" x14ac:dyDescent="0.25">
      <c r="A2375" s="2">
        <v>2560</v>
      </c>
      <c r="B2375" s="2" t="s">
        <v>26</v>
      </c>
      <c r="C2375" s="2">
        <v>2</v>
      </c>
      <c r="D2375" s="2">
        <f t="shared" si="370"/>
        <v>5.08</v>
      </c>
      <c r="E2375" s="2">
        <f t="shared" si="371"/>
        <v>1.6170142218136567</v>
      </c>
      <c r="F2375" s="2">
        <f t="shared" si="372"/>
        <v>0.63661977236758138</v>
      </c>
      <c r="G2375" s="2">
        <v>3.4376289999999998</v>
      </c>
      <c r="H2375" s="2">
        <f t="shared" si="373"/>
        <v>11.278310728359999</v>
      </c>
      <c r="I2375" s="2">
        <f>INDEX('Wood Density Lookup'!$B$2:$B$152,MATCH(B2375,'Wood Density Lookup'!$A$2:$A$152,0))</f>
        <v>0.7</v>
      </c>
      <c r="J2375" s="2">
        <f t="shared" si="374"/>
        <v>0.40516223154886966</v>
      </c>
      <c r="K2375" s="2">
        <f t="shared" si="378"/>
        <v>0.11344542483368351</v>
      </c>
      <c r="L2375" s="2">
        <f t="shared" si="379"/>
        <v>0.51860765638255313</v>
      </c>
      <c r="M2375" s="2">
        <f t="shared" si="375"/>
        <v>0.375990550877351</v>
      </c>
      <c r="N2375" s="2">
        <f t="shared" si="376"/>
        <v>0.1879952754386755</v>
      </c>
      <c r="O2375" s="2">
        <f t="shared" si="377"/>
        <v>0.68994266085993905</v>
      </c>
      <c r="P2375" s="2">
        <v>72.553006999999994</v>
      </c>
      <c r="Q2375" s="2">
        <v>23.037572000000001</v>
      </c>
    </row>
    <row r="2376" spans="1:17" x14ac:dyDescent="0.25">
      <c r="A2376" s="2">
        <v>2561</v>
      </c>
      <c r="B2376" s="2" t="s">
        <v>26</v>
      </c>
      <c r="C2376" s="2">
        <v>2</v>
      </c>
      <c r="D2376" s="2">
        <f t="shared" si="370"/>
        <v>5.08</v>
      </c>
      <c r="E2376" s="2">
        <f t="shared" si="371"/>
        <v>1.6170142218136567</v>
      </c>
      <c r="F2376" s="2">
        <f t="shared" si="372"/>
        <v>0.63661977236758138</v>
      </c>
      <c r="G2376" s="2">
        <v>8.7039709999999992</v>
      </c>
      <c r="H2376" s="2">
        <f t="shared" si="373"/>
        <v>28.556336215639998</v>
      </c>
      <c r="I2376" s="2">
        <f>INDEX('Wood Density Lookup'!$B$2:$B$152,MATCH(B2376,'Wood Density Lookup'!$A$2:$A$152,0))</f>
        <v>0.7</v>
      </c>
      <c r="J2376" s="2">
        <f t="shared" si="374"/>
        <v>1.003238945623439</v>
      </c>
      <c r="K2376" s="2">
        <f t="shared" si="378"/>
        <v>0.28090690477456293</v>
      </c>
      <c r="L2376" s="2">
        <f t="shared" si="379"/>
        <v>1.2841458503980019</v>
      </c>
      <c r="M2376" s="2">
        <f t="shared" si="375"/>
        <v>0.93100574153855131</v>
      </c>
      <c r="N2376" s="2">
        <f t="shared" si="376"/>
        <v>0.46550287076927566</v>
      </c>
      <c r="O2376" s="2">
        <f t="shared" si="377"/>
        <v>1.7083955357232417</v>
      </c>
      <c r="P2376" s="2">
        <v>72.553006999999994</v>
      </c>
      <c r="Q2376" s="2">
        <v>23.037599</v>
      </c>
    </row>
    <row r="2377" spans="1:17" x14ac:dyDescent="0.25">
      <c r="A2377" s="2">
        <v>2562</v>
      </c>
      <c r="B2377" s="2" t="s">
        <v>26</v>
      </c>
      <c r="C2377" s="2">
        <v>3</v>
      </c>
      <c r="D2377" s="2">
        <f t="shared" si="370"/>
        <v>7.62</v>
      </c>
      <c r="E2377" s="2">
        <f t="shared" si="371"/>
        <v>2.4255213327204852</v>
      </c>
      <c r="F2377" s="2">
        <f t="shared" si="372"/>
        <v>0.95492965855137202</v>
      </c>
      <c r="G2377" s="2">
        <v>4.7104150000000002</v>
      </c>
      <c r="H2377" s="2">
        <f t="shared" si="373"/>
        <v>15.4541179486</v>
      </c>
      <c r="I2377" s="2">
        <f>INDEX('Wood Density Lookup'!$B$2:$B$152,MATCH(B2377,'Wood Density Lookup'!$A$2:$A$152,0))</f>
        <v>0.7</v>
      </c>
      <c r="J2377" s="2">
        <f t="shared" si="374"/>
        <v>1.2158389581709557</v>
      </c>
      <c r="K2377" s="2">
        <f t="shared" si="378"/>
        <v>0.3404349082878676</v>
      </c>
      <c r="L2377" s="2">
        <f t="shared" si="379"/>
        <v>1.5562738664588234</v>
      </c>
      <c r="M2377" s="2">
        <f t="shared" si="375"/>
        <v>1.1282985531826468</v>
      </c>
      <c r="N2377" s="2">
        <f t="shared" si="376"/>
        <v>0.56414927659132341</v>
      </c>
      <c r="O2377" s="2">
        <f t="shared" si="377"/>
        <v>2.070427845090157</v>
      </c>
      <c r="P2377" s="2">
        <v>72.553008000000005</v>
      </c>
      <c r="Q2377" s="2">
        <v>23.037562000000001</v>
      </c>
    </row>
    <row r="2378" spans="1:17" x14ac:dyDescent="0.25">
      <c r="A2378" s="2">
        <v>2563</v>
      </c>
      <c r="B2378" s="2" t="s">
        <v>26</v>
      </c>
      <c r="C2378" s="2">
        <v>3</v>
      </c>
      <c r="D2378" s="2">
        <f t="shared" si="370"/>
        <v>7.62</v>
      </c>
      <c r="E2378" s="2">
        <f t="shared" si="371"/>
        <v>2.4255213327204852</v>
      </c>
      <c r="F2378" s="2">
        <f t="shared" si="372"/>
        <v>0.95492965855137202</v>
      </c>
      <c r="G2378" s="2">
        <v>9.5042340000000003</v>
      </c>
      <c r="H2378" s="2">
        <f t="shared" si="373"/>
        <v>31.18187107656</v>
      </c>
      <c r="I2378" s="2">
        <f>INDEX('Wood Density Lookup'!$B$2:$B$152,MATCH(B2378,'Wood Density Lookup'!$A$2:$A$152,0))</f>
        <v>0.7</v>
      </c>
      <c r="J2378" s="2">
        <f t="shared" si="374"/>
        <v>2.4122227737250834</v>
      </c>
      <c r="K2378" s="2">
        <f t="shared" si="378"/>
        <v>0.6754223766430234</v>
      </c>
      <c r="L2378" s="2">
        <f t="shared" si="379"/>
        <v>3.0876451503681066</v>
      </c>
      <c r="M2378" s="2">
        <f t="shared" si="375"/>
        <v>2.2385427340168773</v>
      </c>
      <c r="N2378" s="2">
        <f t="shared" si="376"/>
        <v>1.1192713670084387</v>
      </c>
      <c r="O2378" s="2">
        <f t="shared" si="377"/>
        <v>4.1077259169209697</v>
      </c>
      <c r="P2378" s="2">
        <v>72.553009000000003</v>
      </c>
      <c r="Q2378" s="2">
        <v>23.037616</v>
      </c>
    </row>
    <row r="2379" spans="1:17" x14ac:dyDescent="0.25">
      <c r="A2379" s="2">
        <v>2564</v>
      </c>
      <c r="B2379" s="2" t="s">
        <v>26</v>
      </c>
      <c r="C2379" s="2">
        <v>3</v>
      </c>
      <c r="D2379" s="2">
        <f t="shared" si="370"/>
        <v>7.62</v>
      </c>
      <c r="E2379" s="2">
        <f t="shared" si="371"/>
        <v>2.4255213327204852</v>
      </c>
      <c r="F2379" s="2">
        <f t="shared" si="372"/>
        <v>0.95492965855137202</v>
      </c>
      <c r="G2379" s="2">
        <v>10.280073</v>
      </c>
      <c r="H2379" s="2">
        <f t="shared" si="373"/>
        <v>33.727274701319999</v>
      </c>
      <c r="I2379" s="2">
        <f>INDEX('Wood Density Lookup'!$B$2:$B$152,MATCH(B2379,'Wood Density Lookup'!$A$2:$A$152,0))</f>
        <v>0.7</v>
      </c>
      <c r="J2379" s="2">
        <f t="shared" si="374"/>
        <v>2.6042255396356349</v>
      </c>
      <c r="K2379" s="2">
        <f t="shared" si="378"/>
        <v>0.72918315109797782</v>
      </c>
      <c r="L2379" s="2">
        <f t="shared" si="379"/>
        <v>3.3334086907336129</v>
      </c>
      <c r="M2379" s="2">
        <f t="shared" si="375"/>
        <v>2.4167213007818691</v>
      </c>
      <c r="N2379" s="2">
        <f t="shared" si="376"/>
        <v>1.2083606503909345</v>
      </c>
      <c r="O2379" s="2">
        <f t="shared" si="377"/>
        <v>4.4346835869347299</v>
      </c>
      <c r="P2379" s="2">
        <v>72.553009000000003</v>
      </c>
      <c r="Q2379" s="2">
        <v>23.037531999999999</v>
      </c>
    </row>
    <row r="2380" spans="1:17" x14ac:dyDescent="0.25">
      <c r="A2380" s="2">
        <v>2565</v>
      </c>
      <c r="B2380" s="2" t="s">
        <v>26</v>
      </c>
      <c r="C2380" s="2">
        <v>3</v>
      </c>
      <c r="D2380" s="2">
        <f t="shared" si="370"/>
        <v>7.62</v>
      </c>
      <c r="E2380" s="2">
        <f t="shared" si="371"/>
        <v>2.4255213327204852</v>
      </c>
      <c r="F2380" s="2">
        <f t="shared" si="372"/>
        <v>0.95492965855137202</v>
      </c>
      <c r="G2380" s="2">
        <v>12.293941</v>
      </c>
      <c r="H2380" s="2">
        <f t="shared" si="373"/>
        <v>40.334453390440004</v>
      </c>
      <c r="I2380" s="2">
        <f>INDEX('Wood Density Lookup'!$B$2:$B$152,MATCH(B2380,'Wood Density Lookup'!$A$2:$A$152,0))</f>
        <v>0.7</v>
      </c>
      <c r="J2380" s="2">
        <f t="shared" si="374"/>
        <v>3.1010505193565709</v>
      </c>
      <c r="K2380" s="2">
        <f t="shared" si="378"/>
        <v>0.86829414541983996</v>
      </c>
      <c r="L2380" s="2">
        <f t="shared" si="379"/>
        <v>3.9693446647764108</v>
      </c>
      <c r="M2380" s="2">
        <f t="shared" si="375"/>
        <v>2.8777748819628979</v>
      </c>
      <c r="N2380" s="2">
        <f t="shared" si="376"/>
        <v>1.4388874409814489</v>
      </c>
      <c r="O2380" s="2">
        <f t="shared" si="377"/>
        <v>5.2807169084019172</v>
      </c>
      <c r="P2380" s="2">
        <v>72.553009000000003</v>
      </c>
      <c r="Q2380" s="2">
        <v>23.037666999999999</v>
      </c>
    </row>
    <row r="2381" spans="1:17" x14ac:dyDescent="0.25">
      <c r="A2381" s="2">
        <v>2566</v>
      </c>
      <c r="B2381" s="2" t="s">
        <v>26</v>
      </c>
      <c r="C2381" s="2">
        <v>3</v>
      </c>
      <c r="D2381" s="2">
        <f t="shared" si="370"/>
        <v>7.62</v>
      </c>
      <c r="E2381" s="2">
        <f t="shared" si="371"/>
        <v>2.4255213327204852</v>
      </c>
      <c r="F2381" s="2">
        <f t="shared" si="372"/>
        <v>0.95492965855137202</v>
      </c>
      <c r="G2381" s="2">
        <v>6.7844870000000004</v>
      </c>
      <c r="H2381" s="2">
        <f t="shared" si="373"/>
        <v>22.258816329080002</v>
      </c>
      <c r="I2381" s="2">
        <f>INDEX('Wood Density Lookup'!$B$2:$B$152,MATCH(B2381,'Wood Density Lookup'!$A$2:$A$152,0))</f>
        <v>0.7</v>
      </c>
      <c r="J2381" s="2">
        <f t="shared" si="374"/>
        <v>1.7359248097571764</v>
      </c>
      <c r="K2381" s="2">
        <f t="shared" si="378"/>
        <v>0.48605894673200944</v>
      </c>
      <c r="L2381" s="2">
        <f t="shared" si="379"/>
        <v>2.2219837564891858</v>
      </c>
      <c r="M2381" s="2">
        <f t="shared" si="375"/>
        <v>1.6109382234546596</v>
      </c>
      <c r="N2381" s="2">
        <f t="shared" si="376"/>
        <v>0.80546911172732982</v>
      </c>
      <c r="O2381" s="2">
        <f t="shared" si="377"/>
        <v>2.9560716400393003</v>
      </c>
      <c r="P2381" s="2">
        <v>72.553009000000003</v>
      </c>
      <c r="Q2381" s="2">
        <v>23.037590999999999</v>
      </c>
    </row>
    <row r="2382" spans="1:17" x14ac:dyDescent="0.25">
      <c r="A2382" s="2">
        <v>2567</v>
      </c>
      <c r="B2382" s="2" t="s">
        <v>26</v>
      </c>
      <c r="C2382" s="2">
        <v>3</v>
      </c>
      <c r="D2382" s="2">
        <f t="shared" si="370"/>
        <v>7.62</v>
      </c>
      <c r="E2382" s="2">
        <f t="shared" si="371"/>
        <v>2.4255213327204852</v>
      </c>
      <c r="F2382" s="2">
        <f t="shared" si="372"/>
        <v>0.95492965855137202</v>
      </c>
      <c r="G2382" s="2">
        <v>9.8101489999999991</v>
      </c>
      <c r="H2382" s="2">
        <f t="shared" si="373"/>
        <v>32.185529245159998</v>
      </c>
      <c r="I2382" s="2">
        <f>INDEX('Wood Density Lookup'!$B$2:$B$152,MATCH(B2382,'Wood Density Lookup'!$A$2:$A$152,0))</f>
        <v>0.7</v>
      </c>
      <c r="J2382" s="2">
        <f t="shared" si="374"/>
        <v>2.4879731718836111</v>
      </c>
      <c r="K2382" s="2">
        <f t="shared" si="378"/>
        <v>0.69663248812741119</v>
      </c>
      <c r="L2382" s="2">
        <f t="shared" si="379"/>
        <v>3.1846056600110222</v>
      </c>
      <c r="M2382" s="2">
        <f t="shared" si="375"/>
        <v>2.3088391035079909</v>
      </c>
      <c r="N2382" s="2">
        <f t="shared" si="376"/>
        <v>1.1544195517539955</v>
      </c>
      <c r="O2382" s="2">
        <f t="shared" si="377"/>
        <v>4.2367197549371634</v>
      </c>
      <c r="P2382" s="2">
        <v>72.553009000000003</v>
      </c>
      <c r="Q2382" s="2">
        <v>23.037545999999999</v>
      </c>
    </row>
    <row r="2383" spans="1:17" x14ac:dyDescent="0.25">
      <c r="A2383" s="2">
        <v>2568</v>
      </c>
      <c r="B2383" s="2" t="s">
        <v>26</v>
      </c>
      <c r="C2383" s="2">
        <v>3</v>
      </c>
      <c r="D2383" s="2">
        <f t="shared" si="370"/>
        <v>7.62</v>
      </c>
      <c r="E2383" s="2">
        <f t="shared" si="371"/>
        <v>2.4255213327204852</v>
      </c>
      <c r="F2383" s="2">
        <f t="shared" si="372"/>
        <v>0.95492965855137202</v>
      </c>
      <c r="G2383" s="2">
        <v>12.125418</v>
      </c>
      <c r="H2383" s="2">
        <f t="shared" si="373"/>
        <v>39.781556391119999</v>
      </c>
      <c r="I2383" s="2">
        <f>INDEX('Wood Density Lookup'!$B$2:$B$152,MATCH(B2383,'Wood Density Lookup'!$A$2:$A$152,0))</f>
        <v>0.7</v>
      </c>
      <c r="J2383" s="2">
        <f t="shared" si="374"/>
        <v>3.0595552597886697</v>
      </c>
      <c r="K2383" s="2">
        <f t="shared" si="378"/>
        <v>0.85667547274082756</v>
      </c>
      <c r="L2383" s="2">
        <f t="shared" si="379"/>
        <v>3.9162307325294972</v>
      </c>
      <c r="M2383" s="2">
        <f t="shared" si="375"/>
        <v>2.8392672810838855</v>
      </c>
      <c r="N2383" s="2">
        <f t="shared" si="376"/>
        <v>1.4196336405419427</v>
      </c>
      <c r="O2383" s="2">
        <f t="shared" si="377"/>
        <v>5.2100554607889293</v>
      </c>
      <c r="P2383" s="2">
        <v>72.55301</v>
      </c>
      <c r="Q2383" s="2">
        <v>23.037682</v>
      </c>
    </row>
    <row r="2384" spans="1:17" x14ac:dyDescent="0.25">
      <c r="A2384" s="2">
        <v>2569</v>
      </c>
      <c r="B2384" s="2" t="s">
        <v>26</v>
      </c>
      <c r="C2384" s="2">
        <v>3</v>
      </c>
      <c r="D2384" s="2">
        <f t="shared" si="370"/>
        <v>7.62</v>
      </c>
      <c r="E2384" s="2">
        <f t="shared" si="371"/>
        <v>2.4255213327204852</v>
      </c>
      <c r="F2384" s="2">
        <f t="shared" si="372"/>
        <v>0.95492965855137202</v>
      </c>
      <c r="G2384" s="2">
        <v>12.235938000000001</v>
      </c>
      <c r="H2384" s="2">
        <f t="shared" si="373"/>
        <v>40.144154827920005</v>
      </c>
      <c r="I2384" s="2">
        <f>INDEX('Wood Density Lookup'!$B$2:$B$152,MATCH(B2384,'Wood Density Lookup'!$A$2:$A$152,0))</f>
        <v>0.7</v>
      </c>
      <c r="J2384" s="2">
        <f t="shared" si="374"/>
        <v>3.0867700455133655</v>
      </c>
      <c r="K2384" s="2">
        <f t="shared" si="378"/>
        <v>0.86429561274374245</v>
      </c>
      <c r="L2384" s="2">
        <f t="shared" si="379"/>
        <v>3.9510656582571082</v>
      </c>
      <c r="M2384" s="2">
        <f t="shared" si="375"/>
        <v>2.8645226022364034</v>
      </c>
      <c r="N2384" s="2">
        <f t="shared" si="376"/>
        <v>1.4322613011182017</v>
      </c>
      <c r="O2384" s="2">
        <f t="shared" si="377"/>
        <v>5.2563989751038003</v>
      </c>
      <c r="P2384" s="2">
        <v>72.55301</v>
      </c>
      <c r="Q2384" s="2">
        <v>23.037687999999999</v>
      </c>
    </row>
    <row r="2385" spans="1:17" x14ac:dyDescent="0.25">
      <c r="A2385" s="2">
        <v>2570</v>
      </c>
      <c r="B2385" s="2" t="s">
        <v>26</v>
      </c>
      <c r="C2385" s="2">
        <v>1</v>
      </c>
      <c r="D2385" s="2">
        <f t="shared" si="370"/>
        <v>2.54</v>
      </c>
      <c r="E2385" s="2">
        <f t="shared" si="371"/>
        <v>0.80850711090682836</v>
      </c>
      <c r="F2385" s="2">
        <f t="shared" si="372"/>
        <v>0.31830988618379069</v>
      </c>
      <c r="G2385" s="2">
        <v>12.213339</v>
      </c>
      <c r="H2385" s="2">
        <f t="shared" si="373"/>
        <v>40.070011124760001</v>
      </c>
      <c r="I2385" s="2">
        <f>INDEX('Wood Density Lookup'!$B$2:$B$152,MATCH(B2385,'Wood Density Lookup'!$A$2:$A$152,0))</f>
        <v>0.7</v>
      </c>
      <c r="J2385" s="2">
        <f t="shared" si="374"/>
        <v>0.36089428146208991</v>
      </c>
      <c r="K2385" s="2">
        <f t="shared" si="378"/>
        <v>0.10105039880938518</v>
      </c>
      <c r="L2385" s="2">
        <f t="shared" si="379"/>
        <v>0.46194468027147506</v>
      </c>
      <c r="M2385" s="2">
        <f t="shared" si="375"/>
        <v>0.33490989319681941</v>
      </c>
      <c r="N2385" s="2">
        <f t="shared" si="376"/>
        <v>0.1674549465984097</v>
      </c>
      <c r="O2385" s="2">
        <f t="shared" si="377"/>
        <v>0.61455965401616364</v>
      </c>
      <c r="P2385" s="2">
        <v>72.55301</v>
      </c>
      <c r="Q2385" s="2">
        <v>23.037692</v>
      </c>
    </row>
    <row r="2386" spans="1:17" x14ac:dyDescent="0.25">
      <c r="A2386" s="2">
        <v>2571</v>
      </c>
      <c r="B2386" s="2" t="s">
        <v>26</v>
      </c>
      <c r="C2386" s="2">
        <v>2</v>
      </c>
      <c r="D2386" s="2">
        <f t="shared" si="370"/>
        <v>5.08</v>
      </c>
      <c r="E2386" s="2">
        <f t="shared" si="371"/>
        <v>1.6170142218136567</v>
      </c>
      <c r="F2386" s="2">
        <f t="shared" si="372"/>
        <v>0.63661977236758138</v>
      </c>
      <c r="G2386" s="2">
        <v>11.846463</v>
      </c>
      <c r="H2386" s="2">
        <f t="shared" si="373"/>
        <v>38.866349668920002</v>
      </c>
      <c r="I2386" s="2">
        <f>INDEX('Wood Density Lookup'!$B$2:$B$152,MATCH(B2386,'Wood Density Lookup'!$A$2:$A$152,0))</f>
        <v>0.7</v>
      </c>
      <c r="J2386" s="2">
        <f t="shared" si="374"/>
        <v>1.355385201710678</v>
      </c>
      <c r="K2386" s="2">
        <f t="shared" si="378"/>
        <v>0.37950785647898988</v>
      </c>
      <c r="L2386" s="2">
        <f t="shared" si="379"/>
        <v>1.7348930581896678</v>
      </c>
      <c r="M2386" s="2">
        <f t="shared" si="375"/>
        <v>1.2577974671875092</v>
      </c>
      <c r="N2386" s="2">
        <f t="shared" si="376"/>
        <v>0.62889873359375459</v>
      </c>
      <c r="O2386" s="2">
        <f t="shared" si="377"/>
        <v>2.3080583522890792</v>
      </c>
      <c r="P2386" s="2">
        <v>72.553010999999998</v>
      </c>
      <c r="Q2386" s="2">
        <v>23.037648000000001</v>
      </c>
    </row>
    <row r="2387" spans="1:17" x14ac:dyDescent="0.25">
      <c r="A2387" s="2">
        <v>2572</v>
      </c>
      <c r="B2387" s="2" t="s">
        <v>26</v>
      </c>
      <c r="C2387" s="2">
        <v>1</v>
      </c>
      <c r="D2387" s="2">
        <f t="shared" si="370"/>
        <v>2.54</v>
      </c>
      <c r="E2387" s="2">
        <f t="shared" si="371"/>
        <v>0.80850711090682836</v>
      </c>
      <c r="F2387" s="2">
        <f t="shared" si="372"/>
        <v>0.31830988618379069</v>
      </c>
      <c r="G2387" s="2">
        <v>12.253408</v>
      </c>
      <c r="H2387" s="2">
        <f t="shared" si="373"/>
        <v>40.201471102719999</v>
      </c>
      <c r="I2387" s="2">
        <f>INDEX('Wood Density Lookup'!$B$2:$B$152,MATCH(B2387,'Wood Density Lookup'!$A$2:$A$152,0))</f>
        <v>0.7</v>
      </c>
      <c r="J2387" s="2">
        <f t="shared" si="374"/>
        <v>0.36204982637849337</v>
      </c>
      <c r="K2387" s="2">
        <f t="shared" si="378"/>
        <v>0.10137395138597816</v>
      </c>
      <c r="L2387" s="2">
        <f t="shared" si="379"/>
        <v>0.46342377776447152</v>
      </c>
      <c r="M2387" s="2">
        <f t="shared" si="375"/>
        <v>0.33598223887924183</v>
      </c>
      <c r="N2387" s="2">
        <f t="shared" si="376"/>
        <v>0.16799111943962092</v>
      </c>
      <c r="O2387" s="2">
        <f t="shared" si="377"/>
        <v>0.6165274083434088</v>
      </c>
      <c r="P2387" s="2">
        <v>72.553010999999998</v>
      </c>
      <c r="Q2387" s="2">
        <v>23.037699</v>
      </c>
    </row>
    <row r="2388" spans="1:17" x14ac:dyDescent="0.25">
      <c r="A2388" s="2">
        <v>2573</v>
      </c>
      <c r="B2388" s="2" t="s">
        <v>26</v>
      </c>
      <c r="C2388" s="2">
        <v>3</v>
      </c>
      <c r="D2388" s="2">
        <f t="shared" si="370"/>
        <v>7.62</v>
      </c>
      <c r="E2388" s="2">
        <f t="shared" si="371"/>
        <v>2.4255213327204852</v>
      </c>
      <c r="F2388" s="2">
        <f t="shared" si="372"/>
        <v>0.95492965855137202</v>
      </c>
      <c r="G2388" s="2">
        <v>11.420373</v>
      </c>
      <c r="H2388" s="2">
        <f t="shared" si="373"/>
        <v>37.468416553319997</v>
      </c>
      <c r="I2388" s="2">
        <f>INDEX('Wood Density Lookup'!$B$2:$B$152,MATCH(B2388,'Wood Density Lookup'!$A$2:$A$152,0))</f>
        <v>0.7</v>
      </c>
      <c r="J2388" s="2">
        <f t="shared" si="374"/>
        <v>2.8858002420934112</v>
      </c>
      <c r="K2388" s="2">
        <f t="shared" si="378"/>
        <v>0.80802406778615521</v>
      </c>
      <c r="L2388" s="2">
        <f t="shared" si="379"/>
        <v>3.6938243098795667</v>
      </c>
      <c r="M2388" s="2">
        <f t="shared" si="375"/>
        <v>2.6780226246626859</v>
      </c>
      <c r="N2388" s="2">
        <f t="shared" si="376"/>
        <v>1.339011312331343</v>
      </c>
      <c r="O2388" s="2">
        <f t="shared" si="377"/>
        <v>4.9141715162560287</v>
      </c>
      <c r="P2388" s="2">
        <v>72.553011999999995</v>
      </c>
      <c r="Q2388" s="2">
        <v>23.037642000000002</v>
      </c>
    </row>
    <row r="2389" spans="1:17" x14ac:dyDescent="0.25">
      <c r="A2389" s="2">
        <v>2574</v>
      </c>
      <c r="B2389" s="2" t="s">
        <v>26</v>
      </c>
      <c r="C2389" s="2">
        <v>3</v>
      </c>
      <c r="D2389" s="2">
        <f t="shared" si="370"/>
        <v>7.62</v>
      </c>
      <c r="E2389" s="2">
        <f t="shared" si="371"/>
        <v>2.4255213327204852</v>
      </c>
      <c r="F2389" s="2">
        <f t="shared" si="372"/>
        <v>0.95492965855137202</v>
      </c>
      <c r="G2389" s="2">
        <v>11.706419</v>
      </c>
      <c r="H2389" s="2">
        <f t="shared" si="373"/>
        <v>38.406887711960003</v>
      </c>
      <c r="I2389" s="2">
        <f>INDEX('Wood Density Lookup'!$B$2:$B$152,MATCH(B2389,'Wood Density Lookup'!$A$2:$A$152,0))</f>
        <v>0.7</v>
      </c>
      <c r="J2389" s="2">
        <f t="shared" si="374"/>
        <v>2.9563251005421978</v>
      </c>
      <c r="K2389" s="2">
        <f t="shared" si="378"/>
        <v>0.82777102815181547</v>
      </c>
      <c r="L2389" s="2">
        <f t="shared" si="379"/>
        <v>3.7840961286940131</v>
      </c>
      <c r="M2389" s="2">
        <f t="shared" si="375"/>
        <v>2.7434696933031595</v>
      </c>
      <c r="N2389" s="2">
        <f t="shared" si="376"/>
        <v>1.3717348466515797</v>
      </c>
      <c r="O2389" s="2">
        <f t="shared" si="377"/>
        <v>5.0342668872112979</v>
      </c>
      <c r="P2389" s="2">
        <v>72.553011999999995</v>
      </c>
      <c r="Q2389" s="2">
        <v>23.037655999999998</v>
      </c>
    </row>
    <row r="2390" spans="1:17" x14ac:dyDescent="0.25">
      <c r="A2390" s="2">
        <v>2575</v>
      </c>
      <c r="B2390" s="2" t="s">
        <v>26</v>
      </c>
      <c r="C2390" s="2">
        <v>3</v>
      </c>
      <c r="D2390" s="2">
        <f t="shared" si="370"/>
        <v>7.62</v>
      </c>
      <c r="E2390" s="2">
        <f t="shared" si="371"/>
        <v>2.4255213327204852</v>
      </c>
      <c r="F2390" s="2">
        <f t="shared" si="372"/>
        <v>0.95492965855137202</v>
      </c>
      <c r="G2390" s="2">
        <v>9.6423839999999998</v>
      </c>
      <c r="H2390" s="2">
        <f t="shared" si="373"/>
        <v>31.635119122559999</v>
      </c>
      <c r="I2390" s="2">
        <f>INDEX('Wood Density Lookup'!$B$2:$B$152,MATCH(B2390,'Wood Density Lookup'!$A$2:$A$152,0))</f>
        <v>0.7</v>
      </c>
      <c r="J2390" s="2">
        <f t="shared" si="374"/>
        <v>2.4464384882297505</v>
      </c>
      <c r="K2390" s="2">
        <f t="shared" si="378"/>
        <v>0.68500277670433019</v>
      </c>
      <c r="L2390" s="2">
        <f t="shared" si="379"/>
        <v>3.1314412649340806</v>
      </c>
      <c r="M2390" s="2">
        <f t="shared" si="375"/>
        <v>2.2702949170772082</v>
      </c>
      <c r="N2390" s="2">
        <f t="shared" si="376"/>
        <v>1.1351474585386041</v>
      </c>
      <c r="O2390" s="2">
        <f t="shared" si="377"/>
        <v>4.1659911728366774</v>
      </c>
      <c r="P2390" s="2">
        <v>72.553011999999995</v>
      </c>
      <c r="Q2390" s="2">
        <v>23.037623</v>
      </c>
    </row>
    <row r="2391" spans="1:17" x14ac:dyDescent="0.25">
      <c r="A2391" s="2">
        <v>2576</v>
      </c>
      <c r="B2391" s="2" t="s">
        <v>26</v>
      </c>
      <c r="C2391" s="2">
        <v>3</v>
      </c>
      <c r="D2391" s="2">
        <f t="shared" si="370"/>
        <v>7.62</v>
      </c>
      <c r="E2391" s="2">
        <f t="shared" si="371"/>
        <v>2.4255213327204852</v>
      </c>
      <c r="F2391" s="2">
        <f t="shared" si="372"/>
        <v>0.95492965855137202</v>
      </c>
      <c r="G2391" s="2">
        <v>11.309004</v>
      </c>
      <c r="H2391" s="2">
        <f t="shared" si="373"/>
        <v>37.103032683359999</v>
      </c>
      <c r="I2391" s="2">
        <f>INDEX('Wood Density Lookup'!$B$2:$B$152,MATCH(B2391,'Wood Density Lookup'!$A$2:$A$152,0))</f>
        <v>0.7</v>
      </c>
      <c r="J2391" s="2">
        <f t="shared" si="374"/>
        <v>2.8583307200220007</v>
      </c>
      <c r="K2391" s="2">
        <f t="shared" si="378"/>
        <v>0.80033260160616027</v>
      </c>
      <c r="L2391" s="2">
        <f t="shared" si="379"/>
        <v>3.6586633216281612</v>
      </c>
      <c r="M2391" s="2">
        <f t="shared" si="375"/>
        <v>2.6525309081804167</v>
      </c>
      <c r="N2391" s="2">
        <f t="shared" si="376"/>
        <v>1.3262654540902084</v>
      </c>
      <c r="O2391" s="2">
        <f t="shared" si="377"/>
        <v>4.8673942165110642</v>
      </c>
      <c r="P2391" s="2">
        <v>72.553011999999995</v>
      </c>
      <c r="Q2391" s="2">
        <v>23.037711999999999</v>
      </c>
    </row>
    <row r="2392" spans="1:17" x14ac:dyDescent="0.25">
      <c r="A2392" s="2">
        <v>2577</v>
      </c>
      <c r="B2392" s="2" t="s">
        <v>26</v>
      </c>
      <c r="C2392" s="2">
        <v>2</v>
      </c>
      <c r="D2392" s="2">
        <f t="shared" si="370"/>
        <v>5.08</v>
      </c>
      <c r="E2392" s="2">
        <f t="shared" si="371"/>
        <v>1.6170142218136567</v>
      </c>
      <c r="F2392" s="2">
        <f t="shared" si="372"/>
        <v>0.63661977236758138</v>
      </c>
      <c r="G2392" s="2">
        <v>6.9820609999999999</v>
      </c>
      <c r="H2392" s="2">
        <f t="shared" si="373"/>
        <v>22.907025011239998</v>
      </c>
      <c r="I2392" s="2">
        <f>INDEX('Wood Density Lookup'!$B$2:$B$152,MATCH(B2392,'Wood Density Lookup'!$A$2:$A$152,0))</f>
        <v>0.7</v>
      </c>
      <c r="J2392" s="2">
        <f t="shared" si="374"/>
        <v>0.80903665311021355</v>
      </c>
      <c r="K2392" s="2">
        <f t="shared" si="378"/>
        <v>0.22653026287085981</v>
      </c>
      <c r="L2392" s="2">
        <f t="shared" si="379"/>
        <v>1.0355669159810734</v>
      </c>
      <c r="M2392" s="2">
        <f t="shared" si="375"/>
        <v>0.75078601408627821</v>
      </c>
      <c r="N2392" s="2">
        <f t="shared" si="376"/>
        <v>0.3753930070431391</v>
      </c>
      <c r="O2392" s="2">
        <f t="shared" si="377"/>
        <v>1.3776923358483204</v>
      </c>
      <c r="P2392" s="2">
        <v>72.553011999999995</v>
      </c>
      <c r="Q2392" s="2">
        <v>23.037611999999999</v>
      </c>
    </row>
    <row r="2393" spans="1:17" x14ac:dyDescent="0.25">
      <c r="A2393" s="2">
        <v>2578</v>
      </c>
      <c r="B2393" s="2" t="s">
        <v>26</v>
      </c>
      <c r="C2393" s="2">
        <v>3</v>
      </c>
      <c r="D2393" s="2">
        <f t="shared" si="370"/>
        <v>7.62</v>
      </c>
      <c r="E2393" s="2">
        <f t="shared" si="371"/>
        <v>2.4255213327204852</v>
      </c>
      <c r="F2393" s="2">
        <f t="shared" si="372"/>
        <v>0.95492965855137202</v>
      </c>
      <c r="G2393" s="2">
        <v>10.892113</v>
      </c>
      <c r="H2393" s="2">
        <f t="shared" si="373"/>
        <v>35.735280014920001</v>
      </c>
      <c r="I2393" s="2">
        <f>INDEX('Wood Density Lookup'!$B$2:$B$152,MATCH(B2393,'Wood Density Lookup'!$A$2:$A$152,0))</f>
        <v>0.7</v>
      </c>
      <c r="J2393" s="2">
        <f t="shared" si="374"/>
        <v>2.7554450257801251</v>
      </c>
      <c r="K2393" s="2">
        <f t="shared" si="378"/>
        <v>0.77152460721843508</v>
      </c>
      <c r="L2393" s="2">
        <f t="shared" si="379"/>
        <v>3.52696963299856</v>
      </c>
      <c r="M2393" s="2">
        <f t="shared" si="375"/>
        <v>2.5570529839239557</v>
      </c>
      <c r="N2393" s="2">
        <f t="shared" si="376"/>
        <v>1.2785264919619779</v>
      </c>
      <c r="O2393" s="2">
        <f t="shared" si="377"/>
        <v>4.6921922255004587</v>
      </c>
      <c r="P2393" s="2">
        <v>72.553013000000007</v>
      </c>
      <c r="Q2393" s="2">
        <v>23.037635999999999</v>
      </c>
    </row>
    <row r="2394" spans="1:17" x14ac:dyDescent="0.25">
      <c r="A2394" s="2">
        <v>2579</v>
      </c>
      <c r="B2394" s="2" t="s">
        <v>26</v>
      </c>
      <c r="C2394" s="2">
        <v>3</v>
      </c>
      <c r="D2394" s="2">
        <f t="shared" si="370"/>
        <v>7.62</v>
      </c>
      <c r="E2394" s="2">
        <f t="shared" si="371"/>
        <v>2.4255213327204852</v>
      </c>
      <c r="F2394" s="2">
        <f t="shared" si="372"/>
        <v>0.95492965855137202</v>
      </c>
      <c r="G2394" s="2">
        <v>11.707596000000001</v>
      </c>
      <c r="H2394" s="2">
        <f t="shared" si="373"/>
        <v>38.410749260640003</v>
      </c>
      <c r="I2394" s="2">
        <f>INDEX('Wood Density Lookup'!$B$2:$B$152,MATCH(B2394,'Wood Density Lookup'!$A$2:$A$152,0))</f>
        <v>0.7</v>
      </c>
      <c r="J2394" s="2">
        <f t="shared" si="374"/>
        <v>2.9566152046529939</v>
      </c>
      <c r="K2394" s="2">
        <f t="shared" si="378"/>
        <v>0.8278522573028384</v>
      </c>
      <c r="L2394" s="2">
        <f t="shared" si="379"/>
        <v>3.7844674619558321</v>
      </c>
      <c r="M2394" s="2">
        <f t="shared" si="375"/>
        <v>2.7437389099179783</v>
      </c>
      <c r="N2394" s="2">
        <f t="shared" si="376"/>
        <v>1.3718694549589892</v>
      </c>
      <c r="O2394" s="2">
        <f t="shared" si="377"/>
        <v>5.0347608996994904</v>
      </c>
      <c r="P2394" s="2">
        <v>72.553013000000007</v>
      </c>
      <c r="Q2394" s="2">
        <v>23.037652000000001</v>
      </c>
    </row>
    <row r="2395" spans="1:17" x14ac:dyDescent="0.25">
      <c r="A2395" s="2">
        <v>2580</v>
      </c>
      <c r="B2395" s="2" t="s">
        <v>26</v>
      </c>
      <c r="C2395" s="2">
        <v>3</v>
      </c>
      <c r="D2395" s="2">
        <f t="shared" si="370"/>
        <v>7.62</v>
      </c>
      <c r="E2395" s="2">
        <f t="shared" si="371"/>
        <v>2.4255213327204852</v>
      </c>
      <c r="F2395" s="2">
        <f t="shared" si="372"/>
        <v>0.95492965855137202</v>
      </c>
      <c r="G2395" s="2">
        <v>10.837004</v>
      </c>
      <c r="H2395" s="2">
        <f t="shared" si="373"/>
        <v>35.554476203360004</v>
      </c>
      <c r="I2395" s="2">
        <f>INDEX('Wood Density Lookup'!$B$2:$B$152,MATCH(B2395,'Wood Density Lookup'!$A$2:$A$152,0))</f>
        <v>0.7</v>
      </c>
      <c r="J2395" s="2">
        <f t="shared" si="374"/>
        <v>2.7418375248269893</v>
      </c>
      <c r="K2395" s="2">
        <f t="shared" si="378"/>
        <v>0.76771450695155707</v>
      </c>
      <c r="L2395" s="2">
        <f t="shared" si="379"/>
        <v>3.5095520317785462</v>
      </c>
      <c r="M2395" s="2">
        <f t="shared" si="375"/>
        <v>2.544425223039446</v>
      </c>
      <c r="N2395" s="2">
        <f t="shared" si="376"/>
        <v>1.272212611519723</v>
      </c>
      <c r="O2395" s="2">
        <f t="shared" si="377"/>
        <v>4.6690202842773836</v>
      </c>
      <c r="P2395" s="2">
        <v>72.553013000000007</v>
      </c>
      <c r="Q2395" s="2">
        <v>23.037631999999999</v>
      </c>
    </row>
    <row r="2396" spans="1:17" x14ac:dyDescent="0.25">
      <c r="A2396" s="2">
        <v>2581</v>
      </c>
      <c r="B2396" s="2" t="s">
        <v>26</v>
      </c>
      <c r="C2396" s="2">
        <v>3</v>
      </c>
      <c r="D2396" s="2">
        <f t="shared" si="370"/>
        <v>7.62</v>
      </c>
      <c r="E2396" s="2">
        <f t="shared" si="371"/>
        <v>2.4255213327204852</v>
      </c>
      <c r="F2396" s="2">
        <f t="shared" si="372"/>
        <v>0.95492965855137202</v>
      </c>
      <c r="G2396" s="2">
        <v>12.239132</v>
      </c>
      <c r="H2396" s="2">
        <f t="shared" si="373"/>
        <v>40.154633830880002</v>
      </c>
      <c r="I2396" s="2">
        <f>INDEX('Wood Density Lookup'!$B$2:$B$152,MATCH(B2396,'Wood Density Lookup'!$A$2:$A$152,0))</f>
        <v>0.7</v>
      </c>
      <c r="J2396" s="2">
        <f t="shared" si="374"/>
        <v>3.0875564579601864</v>
      </c>
      <c r="K2396" s="2">
        <f t="shared" si="378"/>
        <v>0.86451580822885232</v>
      </c>
      <c r="L2396" s="2">
        <f t="shared" si="379"/>
        <v>3.9520722661890386</v>
      </c>
      <c r="M2396" s="2">
        <f t="shared" si="375"/>
        <v>2.865252392987053</v>
      </c>
      <c r="N2396" s="2">
        <f t="shared" si="376"/>
        <v>1.4326261964935265</v>
      </c>
      <c r="O2396" s="2">
        <f t="shared" si="377"/>
        <v>5.2577381411312425</v>
      </c>
      <c r="P2396" s="2">
        <v>72.553014000000005</v>
      </c>
      <c r="Q2396" s="2">
        <v>23.037669999999999</v>
      </c>
    </row>
    <row r="2397" spans="1:17" x14ac:dyDescent="0.25">
      <c r="A2397" s="2">
        <v>2582</v>
      </c>
      <c r="B2397" s="2" t="s">
        <v>26</v>
      </c>
      <c r="C2397" s="2">
        <v>3</v>
      </c>
      <c r="D2397" s="2">
        <f t="shared" si="370"/>
        <v>7.62</v>
      </c>
      <c r="E2397" s="2">
        <f t="shared" si="371"/>
        <v>2.4255213327204852</v>
      </c>
      <c r="F2397" s="2">
        <f t="shared" si="372"/>
        <v>0.95492965855137202</v>
      </c>
      <c r="G2397" s="2">
        <v>12.029526000000001</v>
      </c>
      <c r="H2397" s="2">
        <f t="shared" si="373"/>
        <v>39.466950081840004</v>
      </c>
      <c r="I2397" s="2">
        <f>INDEX('Wood Density Lookup'!$B$2:$B$152,MATCH(B2397,'Wood Density Lookup'!$A$2:$A$152,0))</f>
        <v>0.7</v>
      </c>
      <c r="J2397" s="2">
        <f t="shared" si="374"/>
        <v>3.0359376957666719</v>
      </c>
      <c r="K2397" s="2">
        <f t="shared" si="378"/>
        <v>0.85006255481466819</v>
      </c>
      <c r="L2397" s="2">
        <f t="shared" si="379"/>
        <v>3.8860002505813402</v>
      </c>
      <c r="M2397" s="2">
        <f t="shared" si="375"/>
        <v>2.8173501816714714</v>
      </c>
      <c r="N2397" s="2">
        <f t="shared" si="376"/>
        <v>1.4086750908357357</v>
      </c>
      <c r="O2397" s="2">
        <f t="shared" si="377"/>
        <v>5.1698375833671504</v>
      </c>
      <c r="P2397" s="2">
        <v>72.553014000000005</v>
      </c>
      <c r="Q2397" s="2">
        <v>23.037682</v>
      </c>
    </row>
    <row r="2398" spans="1:17" x14ac:dyDescent="0.25">
      <c r="A2398" s="2">
        <v>2583</v>
      </c>
      <c r="B2398" s="2" t="s">
        <v>26</v>
      </c>
      <c r="C2398" s="2">
        <v>2</v>
      </c>
      <c r="D2398" s="2">
        <f t="shared" si="370"/>
        <v>5.08</v>
      </c>
      <c r="E2398" s="2">
        <f t="shared" si="371"/>
        <v>1.6170142218136567</v>
      </c>
      <c r="F2398" s="2">
        <f t="shared" si="372"/>
        <v>0.63661977236758138</v>
      </c>
      <c r="G2398" s="2">
        <v>6.4793599999999998</v>
      </c>
      <c r="H2398" s="2">
        <f t="shared" si="373"/>
        <v>21.257743462400001</v>
      </c>
      <c r="I2398" s="2">
        <f>INDEX('Wood Density Lookup'!$B$2:$B$152,MATCH(B2398,'Wood Density Lookup'!$A$2:$A$152,0))</f>
        <v>0.7</v>
      </c>
      <c r="J2398" s="2">
        <f t="shared" si="374"/>
        <v>0.75213449305488111</v>
      </c>
      <c r="K2398" s="2">
        <f t="shared" si="378"/>
        <v>0.21059765805536673</v>
      </c>
      <c r="L2398" s="2">
        <f t="shared" si="379"/>
        <v>0.96273215111024779</v>
      </c>
      <c r="M2398" s="2">
        <f t="shared" si="375"/>
        <v>0.69798080955492958</v>
      </c>
      <c r="N2398" s="2">
        <f t="shared" si="376"/>
        <v>0.34899040477746479</v>
      </c>
      <c r="O2398" s="2">
        <f t="shared" si="377"/>
        <v>1.2807947855332957</v>
      </c>
      <c r="P2398" s="2">
        <v>72.553014000000005</v>
      </c>
      <c r="Q2398" s="2">
        <v>23.037604000000002</v>
      </c>
    </row>
    <row r="2399" spans="1:17" x14ac:dyDescent="0.25">
      <c r="A2399" s="2">
        <v>2584</v>
      </c>
      <c r="B2399" s="2" t="s">
        <v>26</v>
      </c>
      <c r="C2399" s="2">
        <v>3</v>
      </c>
      <c r="D2399" s="2">
        <f t="shared" si="370"/>
        <v>7.62</v>
      </c>
      <c r="E2399" s="2">
        <f t="shared" si="371"/>
        <v>2.4255213327204852</v>
      </c>
      <c r="F2399" s="2">
        <f t="shared" si="372"/>
        <v>0.95492965855137202</v>
      </c>
      <c r="G2399" s="2">
        <v>12.139841000000001</v>
      </c>
      <c r="H2399" s="2">
        <f t="shared" si="373"/>
        <v>39.82887594644</v>
      </c>
      <c r="I2399" s="2">
        <f>INDEX('Wood Density Lookup'!$B$2:$B$152,MATCH(B2399,'Wood Density Lookup'!$A$2:$A$152,0))</f>
        <v>0.7</v>
      </c>
      <c r="J2399" s="2">
        <f t="shared" si="374"/>
        <v>3.0631071604185345</v>
      </c>
      <c r="K2399" s="2">
        <f t="shared" si="378"/>
        <v>0.8576700049171897</v>
      </c>
      <c r="L2399" s="2">
        <f t="shared" si="379"/>
        <v>3.920777165335724</v>
      </c>
      <c r="M2399" s="2">
        <f t="shared" si="375"/>
        <v>2.8425634448683996</v>
      </c>
      <c r="N2399" s="2">
        <f t="shared" si="376"/>
        <v>1.4212817224341998</v>
      </c>
      <c r="O2399" s="2">
        <f t="shared" si="377"/>
        <v>5.216103921333513</v>
      </c>
      <c r="P2399" s="2">
        <v>72.553015000000002</v>
      </c>
      <c r="Q2399" s="2">
        <v>23.037676000000001</v>
      </c>
    </row>
    <row r="2400" spans="1:17" x14ac:dyDescent="0.25">
      <c r="A2400" s="2">
        <v>2585</v>
      </c>
      <c r="B2400" s="2" t="s">
        <v>26</v>
      </c>
      <c r="C2400" s="2">
        <v>3</v>
      </c>
      <c r="D2400" s="2">
        <f t="shared" si="370"/>
        <v>7.62</v>
      </c>
      <c r="E2400" s="2">
        <f t="shared" si="371"/>
        <v>2.4255213327204852</v>
      </c>
      <c r="F2400" s="2">
        <f t="shared" si="372"/>
        <v>0.95492965855137202</v>
      </c>
      <c r="G2400" s="2">
        <v>10.386805000000001</v>
      </c>
      <c r="H2400" s="2">
        <f t="shared" si="373"/>
        <v>34.077445316200006</v>
      </c>
      <c r="I2400" s="2">
        <f>INDEX('Wood Density Lookup'!$B$2:$B$152,MATCH(B2400,'Wood Density Lookup'!$A$2:$A$152,0))</f>
        <v>0.7</v>
      </c>
      <c r="J2400" s="2">
        <f t="shared" si="374"/>
        <v>2.6306115020435006</v>
      </c>
      <c r="K2400" s="2">
        <f t="shared" si="378"/>
        <v>0.73657122057218027</v>
      </c>
      <c r="L2400" s="2">
        <f t="shared" si="379"/>
        <v>3.3671827226156807</v>
      </c>
      <c r="M2400" s="2">
        <f t="shared" si="375"/>
        <v>2.4412074738963683</v>
      </c>
      <c r="N2400" s="2">
        <f t="shared" si="376"/>
        <v>1.2206037369481841</v>
      </c>
      <c r="O2400" s="2">
        <f t="shared" si="377"/>
        <v>4.4796157145998361</v>
      </c>
      <c r="P2400" s="2">
        <v>72.553015000000002</v>
      </c>
      <c r="Q2400" s="2">
        <v>23.037627000000001</v>
      </c>
    </row>
    <row r="2401" spans="1:17" x14ac:dyDescent="0.25">
      <c r="A2401" s="2">
        <v>2586</v>
      </c>
      <c r="B2401" s="2" t="s">
        <v>26</v>
      </c>
      <c r="C2401" s="2">
        <v>2</v>
      </c>
      <c r="D2401" s="2">
        <f t="shared" si="370"/>
        <v>5.08</v>
      </c>
      <c r="E2401" s="2">
        <f t="shared" si="371"/>
        <v>1.6170142218136567</v>
      </c>
      <c r="F2401" s="2">
        <f t="shared" si="372"/>
        <v>0.63661977236758138</v>
      </c>
      <c r="G2401" s="2">
        <v>3.9233920000000002</v>
      </c>
      <c r="H2401" s="2">
        <f t="shared" si="373"/>
        <v>12.87202140928</v>
      </c>
      <c r="I2401" s="2">
        <f>INDEX('Wood Density Lookup'!$B$2:$B$152,MATCH(B2401,'Wood Density Lookup'!$A$2:$A$152,0))</f>
        <v>0.7</v>
      </c>
      <c r="J2401" s="2">
        <f t="shared" si="374"/>
        <v>0.46095017851365044</v>
      </c>
      <c r="K2401" s="2">
        <f t="shared" si="378"/>
        <v>0.12906604998382212</v>
      </c>
      <c r="L2401" s="2">
        <f t="shared" si="379"/>
        <v>0.59001622849747259</v>
      </c>
      <c r="M2401" s="2">
        <f t="shared" si="375"/>
        <v>0.42776176566066759</v>
      </c>
      <c r="N2401" s="2">
        <f t="shared" si="376"/>
        <v>0.2138808828303338</v>
      </c>
      <c r="O2401" s="2">
        <f t="shared" si="377"/>
        <v>0.78494283998732506</v>
      </c>
      <c r="P2401" s="2">
        <v>72.553015000000002</v>
      </c>
      <c r="Q2401" s="2">
        <v>23.037559000000002</v>
      </c>
    </row>
    <row r="2402" spans="1:17" x14ac:dyDescent="0.25">
      <c r="A2402" s="2">
        <v>2587</v>
      </c>
      <c r="B2402" s="2" t="s">
        <v>26</v>
      </c>
      <c r="C2402" s="2">
        <v>3</v>
      </c>
      <c r="D2402" s="2">
        <f t="shared" si="370"/>
        <v>7.62</v>
      </c>
      <c r="E2402" s="2">
        <f t="shared" si="371"/>
        <v>2.4255213327204852</v>
      </c>
      <c r="F2402" s="2">
        <f t="shared" si="372"/>
        <v>0.95492965855137202</v>
      </c>
      <c r="G2402" s="2">
        <v>1.2609710000000001</v>
      </c>
      <c r="H2402" s="2">
        <f t="shared" si="373"/>
        <v>4.1370440956400003</v>
      </c>
      <c r="I2402" s="2">
        <f>INDEX('Wood Density Lookup'!$B$2:$B$152,MATCH(B2402,'Wood Density Lookup'!$A$2:$A$152,0))</f>
        <v>0.7</v>
      </c>
      <c r="J2402" s="2">
        <f t="shared" si="374"/>
        <v>0.33593749555319768</v>
      </c>
      <c r="K2402" s="2">
        <f t="shared" si="378"/>
        <v>9.4062498754895363E-2</v>
      </c>
      <c r="L2402" s="2">
        <f t="shared" si="379"/>
        <v>0.42999999430809305</v>
      </c>
      <c r="M2402" s="2">
        <f t="shared" si="375"/>
        <v>0.31174999587336744</v>
      </c>
      <c r="N2402" s="2">
        <f t="shared" si="376"/>
        <v>0.15587499793668372</v>
      </c>
      <c r="O2402" s="2">
        <f t="shared" si="377"/>
        <v>0.57206124242762924</v>
      </c>
      <c r="P2402" s="2">
        <v>72.553015000000002</v>
      </c>
      <c r="Q2402" s="2">
        <v>23.037578</v>
      </c>
    </row>
    <row r="2403" spans="1:17" x14ac:dyDescent="0.25">
      <c r="A2403" s="2">
        <v>2588</v>
      </c>
      <c r="B2403" s="2" t="s">
        <v>26</v>
      </c>
      <c r="C2403" s="2">
        <v>3</v>
      </c>
      <c r="D2403" s="2">
        <f t="shared" si="370"/>
        <v>7.62</v>
      </c>
      <c r="E2403" s="2">
        <f t="shared" si="371"/>
        <v>2.4255213327204852</v>
      </c>
      <c r="F2403" s="2">
        <f t="shared" si="372"/>
        <v>0.95492965855137202</v>
      </c>
      <c r="G2403" s="2">
        <v>12.170306</v>
      </c>
      <c r="H2403" s="2">
        <f t="shared" si="373"/>
        <v>39.928826737039998</v>
      </c>
      <c r="I2403" s="2">
        <f>INDEX('Wood Density Lookup'!$B$2:$B$152,MATCH(B2403,'Wood Density Lookup'!$A$2:$A$152,0))</f>
        <v>0.7</v>
      </c>
      <c r="J2403" s="2">
        <f t="shared" si="374"/>
        <v>3.0706093342797791</v>
      </c>
      <c r="K2403" s="2">
        <f t="shared" si="378"/>
        <v>0.85977061359833828</v>
      </c>
      <c r="L2403" s="2">
        <f t="shared" si="379"/>
        <v>3.9303799478781176</v>
      </c>
      <c r="M2403" s="2">
        <f t="shared" si="375"/>
        <v>2.8495254622116351</v>
      </c>
      <c r="N2403" s="2">
        <f t="shared" si="376"/>
        <v>1.4247627311058175</v>
      </c>
      <c r="O2403" s="2">
        <f t="shared" si="377"/>
        <v>5.2288792231583505</v>
      </c>
      <c r="P2403" s="2">
        <v>72.553015000000002</v>
      </c>
      <c r="Q2403" s="2">
        <v>23.037703</v>
      </c>
    </row>
    <row r="2404" spans="1:17" x14ac:dyDescent="0.25">
      <c r="A2404" s="2">
        <v>2589</v>
      </c>
      <c r="B2404" s="2" t="s">
        <v>123</v>
      </c>
      <c r="C2404" s="2">
        <v>34</v>
      </c>
      <c r="D2404" s="2">
        <f t="shared" si="370"/>
        <v>86.36</v>
      </c>
      <c r="E2404" s="2">
        <f t="shared" si="371"/>
        <v>27.489241770832162</v>
      </c>
      <c r="F2404" s="2">
        <f t="shared" si="372"/>
        <v>10.822536130248883</v>
      </c>
      <c r="G2404" s="2">
        <v>12.937715000000001</v>
      </c>
      <c r="H2404" s="2">
        <f t="shared" si="373"/>
        <v>42.446572880600002</v>
      </c>
      <c r="I2404" s="2">
        <f>INDEX('Wood Density Lookup'!$B$2:$B$152,MATCH(B2404,'Wood Density Lookup'!$A$2:$A$152,0))</f>
        <v>0.85</v>
      </c>
      <c r="J2404" s="2">
        <f t="shared" si="374"/>
        <v>450.34634587322495</v>
      </c>
      <c r="K2404" s="2">
        <f t="shared" si="378"/>
        <v>126.096976844503</v>
      </c>
      <c r="L2404" s="2">
        <f t="shared" si="379"/>
        <v>576.44332271772794</v>
      </c>
      <c r="M2404" s="2">
        <f t="shared" si="375"/>
        <v>417.92140897035273</v>
      </c>
      <c r="N2404" s="2">
        <f t="shared" si="376"/>
        <v>208.96070448517636</v>
      </c>
      <c r="O2404" s="2">
        <f t="shared" si="377"/>
        <v>766.88578546059728</v>
      </c>
      <c r="P2404" s="2">
        <v>72.553016</v>
      </c>
      <c r="Q2404" s="2">
        <v>23.035753</v>
      </c>
    </row>
    <row r="2405" spans="1:17" x14ac:dyDescent="0.25">
      <c r="A2405" s="2">
        <v>2590</v>
      </c>
      <c r="B2405" s="2" t="s">
        <v>26</v>
      </c>
      <c r="C2405" s="2">
        <v>2</v>
      </c>
      <c r="D2405" s="2">
        <f t="shared" si="370"/>
        <v>5.08</v>
      </c>
      <c r="E2405" s="2">
        <f t="shared" si="371"/>
        <v>1.6170142218136567</v>
      </c>
      <c r="F2405" s="2">
        <f t="shared" si="372"/>
        <v>0.63661977236758138</v>
      </c>
      <c r="G2405" s="2">
        <v>11.303889</v>
      </c>
      <c r="H2405" s="2">
        <f t="shared" si="373"/>
        <v>37.086251186760002</v>
      </c>
      <c r="I2405" s="2">
        <f>INDEX('Wood Density Lookup'!$B$2:$B$152,MATCH(B2405,'Wood Density Lookup'!$A$2:$A$152,0))</f>
        <v>0.7</v>
      </c>
      <c r="J2405" s="2">
        <f t="shared" si="374"/>
        <v>1.2947638972617581</v>
      </c>
      <c r="K2405" s="2">
        <f t="shared" si="378"/>
        <v>0.36253389123329233</v>
      </c>
      <c r="L2405" s="2">
        <f t="shared" si="379"/>
        <v>1.6572977884950504</v>
      </c>
      <c r="M2405" s="2">
        <f t="shared" si="375"/>
        <v>1.2015408966589114</v>
      </c>
      <c r="N2405" s="2">
        <f t="shared" si="376"/>
        <v>0.6007704483294557</v>
      </c>
      <c r="O2405" s="2">
        <f t="shared" si="377"/>
        <v>2.2048275453691022</v>
      </c>
      <c r="P2405" s="2">
        <v>72.553016</v>
      </c>
      <c r="Q2405" s="2">
        <v>23.03764</v>
      </c>
    </row>
    <row r="2406" spans="1:17" x14ac:dyDescent="0.25">
      <c r="A2406" s="2">
        <v>2591</v>
      </c>
      <c r="B2406" s="2" t="s">
        <v>26</v>
      </c>
      <c r="C2406" s="2">
        <v>1</v>
      </c>
      <c r="D2406" s="2">
        <f t="shared" si="370"/>
        <v>2.54</v>
      </c>
      <c r="E2406" s="2">
        <f t="shared" si="371"/>
        <v>0.80850711090682836</v>
      </c>
      <c r="F2406" s="2">
        <f t="shared" si="372"/>
        <v>0.31830988618379069</v>
      </c>
      <c r="G2406" s="2">
        <v>12.583762999999999</v>
      </c>
      <c r="H2406" s="2">
        <f t="shared" si="373"/>
        <v>41.285313000919999</v>
      </c>
      <c r="I2406" s="2">
        <f>INDEX('Wood Density Lookup'!$B$2:$B$152,MATCH(B2406,'Wood Density Lookup'!$A$2:$A$152,0))</f>
        <v>0.7</v>
      </c>
      <c r="J2406" s="2">
        <f t="shared" si="374"/>
        <v>0.37157346483842563</v>
      </c>
      <c r="K2406" s="2">
        <f t="shared" si="378"/>
        <v>0.10404057015475919</v>
      </c>
      <c r="L2406" s="2">
        <f t="shared" si="379"/>
        <v>0.47561403499318483</v>
      </c>
      <c r="M2406" s="2">
        <f t="shared" si="375"/>
        <v>0.34482017537005899</v>
      </c>
      <c r="N2406" s="2">
        <f t="shared" si="376"/>
        <v>0.17241008768502949</v>
      </c>
      <c r="O2406" s="2">
        <f t="shared" si="377"/>
        <v>0.63274502180405823</v>
      </c>
      <c r="P2406" s="2">
        <v>72.553016</v>
      </c>
      <c r="Q2406" s="2">
        <v>23.037693000000001</v>
      </c>
    </row>
    <row r="2407" spans="1:17" x14ac:dyDescent="0.25">
      <c r="A2407" s="2">
        <v>2592</v>
      </c>
      <c r="B2407" s="2" t="s">
        <v>26</v>
      </c>
      <c r="C2407" s="2">
        <v>2</v>
      </c>
      <c r="D2407" s="2">
        <f t="shared" si="370"/>
        <v>5.08</v>
      </c>
      <c r="E2407" s="2">
        <f t="shared" si="371"/>
        <v>1.6170142218136567</v>
      </c>
      <c r="F2407" s="2">
        <f t="shared" si="372"/>
        <v>0.63661977236758138</v>
      </c>
      <c r="G2407" s="2">
        <v>11.677263</v>
      </c>
      <c r="H2407" s="2">
        <f t="shared" si="373"/>
        <v>38.311231540919998</v>
      </c>
      <c r="I2407" s="2">
        <f>INDEX('Wood Density Lookup'!$B$2:$B$152,MATCH(B2407,'Wood Density Lookup'!$A$2:$A$152,0))</f>
        <v>0.7</v>
      </c>
      <c r="J2407" s="2">
        <f t="shared" si="374"/>
        <v>1.3364879343412026</v>
      </c>
      <c r="K2407" s="2">
        <f t="shared" si="378"/>
        <v>0.37421662161553676</v>
      </c>
      <c r="L2407" s="2">
        <f t="shared" si="379"/>
        <v>1.7107045559567393</v>
      </c>
      <c r="M2407" s="2">
        <f t="shared" si="375"/>
        <v>1.240260803068636</v>
      </c>
      <c r="N2407" s="2">
        <f t="shared" si="376"/>
        <v>0.62013040153431798</v>
      </c>
      <c r="O2407" s="2">
        <f t="shared" si="377"/>
        <v>2.2758785736309468</v>
      </c>
      <c r="P2407" s="2">
        <v>72.553016</v>
      </c>
      <c r="Q2407" s="2">
        <v>23.037709</v>
      </c>
    </row>
    <row r="2408" spans="1:17" x14ac:dyDescent="0.25">
      <c r="A2408" s="2">
        <v>2593</v>
      </c>
      <c r="B2408" s="2" t="s">
        <v>26</v>
      </c>
      <c r="C2408" s="2">
        <v>2</v>
      </c>
      <c r="D2408" s="2">
        <f t="shared" si="370"/>
        <v>5.08</v>
      </c>
      <c r="E2408" s="2">
        <f t="shared" si="371"/>
        <v>1.6170142218136567</v>
      </c>
      <c r="F2408" s="2">
        <f t="shared" si="372"/>
        <v>0.63661977236758138</v>
      </c>
      <c r="G2408" s="2">
        <v>3.9666800000000002</v>
      </c>
      <c r="H2408" s="2">
        <f t="shared" si="373"/>
        <v>13.0140424112</v>
      </c>
      <c r="I2408" s="2">
        <f>INDEX('Wood Density Lookup'!$B$2:$B$152,MATCH(B2408,'Wood Density Lookup'!$A$2:$A$152,0))</f>
        <v>0.7</v>
      </c>
      <c r="J2408" s="2">
        <f t="shared" si="374"/>
        <v>0.46591327061972471</v>
      </c>
      <c r="K2408" s="2">
        <f t="shared" si="378"/>
        <v>0.13045571577352294</v>
      </c>
      <c r="L2408" s="2">
        <f t="shared" si="379"/>
        <v>0.59636898639324765</v>
      </c>
      <c r="M2408" s="2">
        <f t="shared" si="375"/>
        <v>0.43236751513510452</v>
      </c>
      <c r="N2408" s="2">
        <f t="shared" si="376"/>
        <v>0.21618375756755226</v>
      </c>
      <c r="O2408" s="2">
        <f t="shared" si="377"/>
        <v>0.79339439027291681</v>
      </c>
      <c r="P2408" s="2">
        <v>72.553016</v>
      </c>
      <c r="Q2408" s="2">
        <v>23.037610999999998</v>
      </c>
    </row>
    <row r="2409" spans="1:17" x14ac:dyDescent="0.25">
      <c r="A2409" s="2">
        <v>2594</v>
      </c>
      <c r="B2409" s="2" t="s">
        <v>26</v>
      </c>
      <c r="C2409" s="2">
        <v>2</v>
      </c>
      <c r="D2409" s="2">
        <f t="shared" si="370"/>
        <v>5.08</v>
      </c>
      <c r="E2409" s="2">
        <f t="shared" si="371"/>
        <v>1.6170142218136567</v>
      </c>
      <c r="F2409" s="2">
        <f t="shared" si="372"/>
        <v>0.63661977236758138</v>
      </c>
      <c r="G2409" s="2">
        <v>9.2526060000000001</v>
      </c>
      <c r="H2409" s="2">
        <f t="shared" si="373"/>
        <v>30.35631986904</v>
      </c>
      <c r="I2409" s="2">
        <f>INDEX('Wood Density Lookup'!$B$2:$B$152,MATCH(B2409,'Wood Density Lookup'!$A$2:$A$152,0))</f>
        <v>0.7</v>
      </c>
      <c r="J2409" s="2">
        <f t="shared" si="374"/>
        <v>1.0649124333864726</v>
      </c>
      <c r="K2409" s="2">
        <f t="shared" si="378"/>
        <v>0.29817548134821237</v>
      </c>
      <c r="L2409" s="2">
        <f t="shared" si="379"/>
        <v>1.363087914734685</v>
      </c>
      <c r="M2409" s="2">
        <f t="shared" si="375"/>
        <v>0.98823873818264663</v>
      </c>
      <c r="N2409" s="2">
        <f t="shared" si="376"/>
        <v>0.49411936909132331</v>
      </c>
      <c r="O2409" s="2">
        <f t="shared" si="377"/>
        <v>1.8134180845651566</v>
      </c>
      <c r="P2409" s="2">
        <v>72.553016999999997</v>
      </c>
      <c r="Q2409" s="2">
        <v>23.037537</v>
      </c>
    </row>
    <row r="2410" spans="1:17" x14ac:dyDescent="0.25">
      <c r="A2410" s="2">
        <v>2595</v>
      </c>
      <c r="B2410" s="2" t="s">
        <v>26</v>
      </c>
      <c r="C2410" s="2">
        <v>3</v>
      </c>
      <c r="D2410" s="2">
        <f t="shared" si="370"/>
        <v>7.62</v>
      </c>
      <c r="E2410" s="2">
        <f t="shared" si="371"/>
        <v>2.4255213327204852</v>
      </c>
      <c r="F2410" s="2">
        <f t="shared" si="372"/>
        <v>0.95492965855137202</v>
      </c>
      <c r="G2410" s="2">
        <v>11.649468000000001</v>
      </c>
      <c r="H2410" s="2">
        <f t="shared" si="373"/>
        <v>38.220040593120004</v>
      </c>
      <c r="I2410" s="2">
        <f>INDEX('Wood Density Lookup'!$B$2:$B$152,MATCH(B2410,'Wood Density Lookup'!$A$2:$A$152,0))</f>
        <v>0.7</v>
      </c>
      <c r="J2410" s="2">
        <f t="shared" si="374"/>
        <v>2.9422871181467443</v>
      </c>
      <c r="K2410" s="2">
        <f t="shared" si="378"/>
        <v>0.82384039308108847</v>
      </c>
      <c r="L2410" s="2">
        <f t="shared" si="379"/>
        <v>3.7661275112278325</v>
      </c>
      <c r="M2410" s="2">
        <f t="shared" si="375"/>
        <v>2.7304424456401786</v>
      </c>
      <c r="N2410" s="2">
        <f t="shared" si="376"/>
        <v>1.3652212228200893</v>
      </c>
      <c r="O2410" s="2">
        <f t="shared" si="377"/>
        <v>5.0103618877497276</v>
      </c>
      <c r="P2410" s="2">
        <v>72.553016999999997</v>
      </c>
      <c r="Q2410" s="2">
        <v>23.037652000000001</v>
      </c>
    </row>
    <row r="2411" spans="1:17" x14ac:dyDescent="0.25">
      <c r="A2411" s="2">
        <v>2596</v>
      </c>
      <c r="B2411" s="2" t="s">
        <v>26</v>
      </c>
      <c r="C2411" s="2">
        <v>2</v>
      </c>
      <c r="D2411" s="2">
        <f t="shared" si="370"/>
        <v>5.08</v>
      </c>
      <c r="E2411" s="2">
        <f t="shared" si="371"/>
        <v>1.6170142218136567</v>
      </c>
      <c r="F2411" s="2">
        <f t="shared" si="372"/>
        <v>0.63661977236758138</v>
      </c>
      <c r="G2411" s="2">
        <v>12.305648</v>
      </c>
      <c r="H2411" s="2">
        <f t="shared" si="373"/>
        <v>40.372862184319999</v>
      </c>
      <c r="I2411" s="2">
        <f>INDEX('Wood Density Lookup'!$B$2:$B$152,MATCH(B2411,'Wood Density Lookup'!$A$2:$A$152,0))</f>
        <v>0.7</v>
      </c>
      <c r="J2411" s="2">
        <f t="shared" si="374"/>
        <v>1.4066373550935509</v>
      </c>
      <c r="K2411" s="2">
        <f t="shared" si="378"/>
        <v>0.3938584594261943</v>
      </c>
      <c r="L2411" s="2">
        <f t="shared" si="379"/>
        <v>1.8004958145197452</v>
      </c>
      <c r="M2411" s="2">
        <f t="shared" si="375"/>
        <v>1.3053594655268153</v>
      </c>
      <c r="N2411" s="2">
        <f t="shared" si="376"/>
        <v>0.65267973276340763</v>
      </c>
      <c r="O2411" s="2">
        <f t="shared" si="377"/>
        <v>2.395334619241706</v>
      </c>
      <c r="P2411" s="2">
        <v>72.553016999999997</v>
      </c>
      <c r="Q2411" s="2">
        <v>23.037665000000001</v>
      </c>
    </row>
    <row r="2412" spans="1:17" x14ac:dyDescent="0.25">
      <c r="A2412" s="2">
        <v>2597</v>
      </c>
      <c r="B2412" s="2" t="s">
        <v>26</v>
      </c>
      <c r="C2412" s="2">
        <v>3</v>
      </c>
      <c r="D2412" s="2">
        <f t="shared" si="370"/>
        <v>7.62</v>
      </c>
      <c r="E2412" s="2">
        <f t="shared" si="371"/>
        <v>2.4255213327204852</v>
      </c>
      <c r="F2412" s="2">
        <f t="shared" si="372"/>
        <v>0.95492965855137202</v>
      </c>
      <c r="G2412" s="2">
        <v>6.8940530000000004</v>
      </c>
      <c r="H2412" s="2">
        <f t="shared" si="373"/>
        <v>22.618284844520002</v>
      </c>
      <c r="I2412" s="2">
        <f>INDEX('Wood Density Lookup'!$B$2:$B$152,MATCH(B2412,'Wood Density Lookup'!$A$2:$A$152,0))</f>
        <v>0.7</v>
      </c>
      <c r="J2412" s="2">
        <f t="shared" si="374"/>
        <v>1.7632810121718381</v>
      </c>
      <c r="K2412" s="2">
        <f t="shared" si="378"/>
        <v>0.4937186834081147</v>
      </c>
      <c r="L2412" s="2">
        <f t="shared" si="379"/>
        <v>2.2569996955799527</v>
      </c>
      <c r="M2412" s="2">
        <f t="shared" si="375"/>
        <v>1.6363247792954656</v>
      </c>
      <c r="N2412" s="2">
        <f t="shared" si="376"/>
        <v>0.8181623896477328</v>
      </c>
      <c r="O2412" s="2">
        <f t="shared" si="377"/>
        <v>3.0026559700071793</v>
      </c>
      <c r="P2412" s="2">
        <v>72.553016999999997</v>
      </c>
      <c r="Q2412" s="2">
        <v>23.037597999999999</v>
      </c>
    </row>
    <row r="2413" spans="1:17" x14ac:dyDescent="0.25">
      <c r="A2413" s="2">
        <v>2598</v>
      </c>
      <c r="B2413" s="2" t="s">
        <v>26</v>
      </c>
      <c r="C2413" s="2">
        <v>3</v>
      </c>
      <c r="D2413" s="2">
        <f t="shared" si="370"/>
        <v>7.62</v>
      </c>
      <c r="E2413" s="2">
        <f t="shared" si="371"/>
        <v>2.4255213327204852</v>
      </c>
      <c r="F2413" s="2">
        <f t="shared" si="372"/>
        <v>0.95492965855137202</v>
      </c>
      <c r="G2413" s="2">
        <v>9.3605160000000005</v>
      </c>
      <c r="H2413" s="2">
        <f t="shared" si="373"/>
        <v>30.710355313440001</v>
      </c>
      <c r="I2413" s="2">
        <f>INDEX('Wood Density Lookup'!$B$2:$B$152,MATCH(B2413,'Wood Density Lookup'!$A$2:$A$152,0))</f>
        <v>0.7</v>
      </c>
      <c r="J2413" s="2">
        <f t="shared" si="374"/>
        <v>2.3766153556116292</v>
      </c>
      <c r="K2413" s="2">
        <f t="shared" si="378"/>
        <v>0.66545229957125618</v>
      </c>
      <c r="L2413" s="2">
        <f t="shared" si="379"/>
        <v>3.0420676551828851</v>
      </c>
      <c r="M2413" s="2">
        <f t="shared" si="375"/>
        <v>2.2054990500075915</v>
      </c>
      <c r="N2413" s="2">
        <f t="shared" si="376"/>
        <v>1.1027495250037957</v>
      </c>
      <c r="O2413" s="2">
        <f t="shared" si="377"/>
        <v>4.0470907567639305</v>
      </c>
      <c r="P2413" s="2">
        <v>72.553016999999997</v>
      </c>
      <c r="Q2413" s="2">
        <v>23.037524999999999</v>
      </c>
    </row>
    <row r="2414" spans="1:17" x14ac:dyDescent="0.25">
      <c r="A2414" s="2">
        <v>2599</v>
      </c>
      <c r="B2414" s="2" t="s">
        <v>26</v>
      </c>
      <c r="C2414" s="2">
        <v>2</v>
      </c>
      <c r="D2414" s="2">
        <f t="shared" si="370"/>
        <v>5.08</v>
      </c>
      <c r="E2414" s="2">
        <f t="shared" si="371"/>
        <v>1.6170142218136567</v>
      </c>
      <c r="F2414" s="2">
        <f t="shared" si="372"/>
        <v>0.63661977236758138</v>
      </c>
      <c r="G2414" s="2">
        <v>2.646506</v>
      </c>
      <c r="H2414" s="2">
        <f t="shared" si="373"/>
        <v>8.6827627450399998</v>
      </c>
      <c r="I2414" s="2">
        <f>INDEX('Wood Density Lookup'!$B$2:$B$152,MATCH(B2414,'Wood Density Lookup'!$A$2:$A$152,0))</f>
        <v>0.7</v>
      </c>
      <c r="J2414" s="2">
        <f t="shared" si="374"/>
        <v>0.31388379869455346</v>
      </c>
      <c r="K2414" s="2">
        <f t="shared" si="378"/>
        <v>8.7887463634474972E-2</v>
      </c>
      <c r="L2414" s="2">
        <f t="shared" si="379"/>
        <v>0.40177126232902843</v>
      </c>
      <c r="M2414" s="2">
        <f t="shared" si="375"/>
        <v>0.29128416518854561</v>
      </c>
      <c r="N2414" s="2">
        <f t="shared" si="376"/>
        <v>0.1456420825942728</v>
      </c>
      <c r="O2414" s="2">
        <f t="shared" si="377"/>
        <v>0.53450644312098117</v>
      </c>
      <c r="P2414" s="2">
        <v>72.553016999999997</v>
      </c>
      <c r="Q2414" s="2">
        <v>23.037566000000002</v>
      </c>
    </row>
    <row r="2415" spans="1:17" x14ac:dyDescent="0.25">
      <c r="A2415" s="2">
        <v>2600</v>
      </c>
      <c r="B2415" s="2" t="s">
        <v>26</v>
      </c>
      <c r="C2415" s="2">
        <v>3</v>
      </c>
      <c r="D2415" s="2">
        <f t="shared" si="370"/>
        <v>7.62</v>
      </c>
      <c r="E2415" s="2">
        <f t="shared" si="371"/>
        <v>2.4255213327204852</v>
      </c>
      <c r="F2415" s="2">
        <f t="shared" si="372"/>
        <v>0.95492965855137202</v>
      </c>
      <c r="G2415" s="2">
        <v>9.89452</v>
      </c>
      <c r="H2415" s="2">
        <f t="shared" si="373"/>
        <v>32.462336996799998</v>
      </c>
      <c r="I2415" s="2">
        <f>INDEX('Wood Density Lookup'!$B$2:$B$152,MATCH(B2415,'Wood Density Lookup'!$A$2:$A$152,0))</f>
        <v>0.7</v>
      </c>
      <c r="J2415" s="2">
        <f t="shared" si="374"/>
        <v>2.5088549949262231</v>
      </c>
      <c r="K2415" s="2">
        <f t="shared" si="378"/>
        <v>0.7024793985793425</v>
      </c>
      <c r="L2415" s="2">
        <f t="shared" si="379"/>
        <v>3.2113343935055658</v>
      </c>
      <c r="M2415" s="2">
        <f t="shared" si="375"/>
        <v>2.3282174352915352</v>
      </c>
      <c r="N2415" s="2">
        <f t="shared" si="376"/>
        <v>1.1641087176457676</v>
      </c>
      <c r="O2415" s="2">
        <f t="shared" si="377"/>
        <v>4.2722789937599668</v>
      </c>
      <c r="P2415" s="2">
        <v>72.553017999999994</v>
      </c>
      <c r="Q2415" s="2">
        <v>23.03772</v>
      </c>
    </row>
    <row r="2416" spans="1:17" x14ac:dyDescent="0.25">
      <c r="A2416" s="2">
        <v>2601</v>
      </c>
      <c r="B2416" s="2" t="s">
        <v>26</v>
      </c>
      <c r="C2416" s="2">
        <v>2</v>
      </c>
      <c r="D2416" s="2">
        <f t="shared" si="370"/>
        <v>5.08</v>
      </c>
      <c r="E2416" s="2">
        <f t="shared" si="371"/>
        <v>1.6170142218136567</v>
      </c>
      <c r="F2416" s="2">
        <f t="shared" si="372"/>
        <v>0.63661977236758138</v>
      </c>
      <c r="G2416" s="2">
        <v>11.619820000000001</v>
      </c>
      <c r="H2416" s="2">
        <f t="shared" si="373"/>
        <v>38.122770248800002</v>
      </c>
      <c r="I2416" s="2">
        <f>INDEX('Wood Density Lookup'!$B$2:$B$152,MATCH(B2416,'Wood Density Lookup'!$A$2:$A$152,0))</f>
        <v>0.7</v>
      </c>
      <c r="J2416" s="2">
        <f t="shared" si="374"/>
        <v>1.3300708670927022</v>
      </c>
      <c r="K2416" s="2">
        <f t="shared" si="378"/>
        <v>0.37241984278595663</v>
      </c>
      <c r="L2416" s="2">
        <f t="shared" si="379"/>
        <v>1.7024907098786588</v>
      </c>
      <c r="M2416" s="2">
        <f t="shared" si="375"/>
        <v>1.2343057646620277</v>
      </c>
      <c r="N2416" s="2">
        <f t="shared" si="376"/>
        <v>0.61715288233101384</v>
      </c>
      <c r="O2416" s="2">
        <f t="shared" si="377"/>
        <v>2.2649510781548208</v>
      </c>
      <c r="P2416" s="2">
        <v>72.553017999999994</v>
      </c>
      <c r="Q2416" s="2">
        <v>23.037635000000002</v>
      </c>
    </row>
    <row r="2417" spans="1:17" x14ac:dyDescent="0.25">
      <c r="A2417" s="2">
        <v>2602</v>
      </c>
      <c r="B2417" s="2" t="s">
        <v>26</v>
      </c>
      <c r="C2417" s="2">
        <v>3</v>
      </c>
      <c r="D2417" s="2">
        <f t="shared" si="370"/>
        <v>7.62</v>
      </c>
      <c r="E2417" s="2">
        <f t="shared" si="371"/>
        <v>2.4255213327204852</v>
      </c>
      <c r="F2417" s="2">
        <f t="shared" si="372"/>
        <v>0.95492965855137202</v>
      </c>
      <c r="G2417" s="2">
        <v>11.460544000000001</v>
      </c>
      <c r="H2417" s="2">
        <f t="shared" si="373"/>
        <v>37.600211176960002</v>
      </c>
      <c r="I2417" s="2">
        <f>INDEX('Wood Density Lookup'!$B$2:$B$152,MATCH(B2417,'Wood Density Lookup'!$A$2:$A$152,0))</f>
        <v>0.7</v>
      </c>
      <c r="J2417" s="2">
        <f t="shared" si="374"/>
        <v>2.8957069675509888</v>
      </c>
      <c r="K2417" s="2">
        <f t="shared" si="378"/>
        <v>0.81079795091427698</v>
      </c>
      <c r="L2417" s="2">
        <f t="shared" si="379"/>
        <v>3.7065049184652659</v>
      </c>
      <c r="M2417" s="2">
        <f t="shared" si="375"/>
        <v>2.6872160658873177</v>
      </c>
      <c r="N2417" s="2">
        <f t="shared" si="376"/>
        <v>1.3436080329436588</v>
      </c>
      <c r="O2417" s="2">
        <f t="shared" si="377"/>
        <v>4.9310414809032279</v>
      </c>
      <c r="P2417" s="2">
        <v>72.553017999999994</v>
      </c>
      <c r="Q2417" s="2">
        <v>23.037642999999999</v>
      </c>
    </row>
    <row r="2418" spans="1:17" x14ac:dyDescent="0.25">
      <c r="A2418" s="2">
        <v>2603</v>
      </c>
      <c r="B2418" s="2" t="s">
        <v>26</v>
      </c>
      <c r="C2418" s="2">
        <v>3</v>
      </c>
      <c r="D2418" s="2">
        <f t="shared" si="370"/>
        <v>7.62</v>
      </c>
      <c r="E2418" s="2">
        <f t="shared" si="371"/>
        <v>2.4255213327204852</v>
      </c>
      <c r="F2418" s="2">
        <f t="shared" si="372"/>
        <v>0.95492965855137202</v>
      </c>
      <c r="G2418" s="2">
        <v>11.856563</v>
      </c>
      <c r="H2418" s="2">
        <f t="shared" si="373"/>
        <v>38.899486152919998</v>
      </c>
      <c r="I2418" s="2">
        <f>INDEX('Wood Density Lookup'!$B$2:$B$152,MATCH(B2418,'Wood Density Lookup'!$A$2:$A$152,0))</f>
        <v>0.7</v>
      </c>
      <c r="J2418" s="2">
        <f t="shared" si="374"/>
        <v>2.9933266038742414</v>
      </c>
      <c r="K2418" s="2">
        <f t="shared" si="378"/>
        <v>0.83813144908478765</v>
      </c>
      <c r="L2418" s="2">
        <f t="shared" si="379"/>
        <v>3.8314580529590292</v>
      </c>
      <c r="M2418" s="2">
        <f t="shared" si="375"/>
        <v>2.7778070883952961</v>
      </c>
      <c r="N2418" s="2">
        <f t="shared" si="376"/>
        <v>1.3889035441976481</v>
      </c>
      <c r="O2418" s="2">
        <f t="shared" si="377"/>
        <v>5.0972760072053687</v>
      </c>
      <c r="P2418" s="2">
        <v>72.553017999999994</v>
      </c>
      <c r="Q2418" s="2">
        <v>23.037659999999999</v>
      </c>
    </row>
    <row r="2419" spans="1:17" x14ac:dyDescent="0.25">
      <c r="A2419" s="2">
        <v>2604</v>
      </c>
      <c r="B2419" s="2" t="s">
        <v>26</v>
      </c>
      <c r="C2419" s="2">
        <v>3</v>
      </c>
      <c r="D2419" s="2">
        <f t="shared" si="370"/>
        <v>7.62</v>
      </c>
      <c r="E2419" s="2">
        <f t="shared" si="371"/>
        <v>2.4255213327204852</v>
      </c>
      <c r="F2419" s="2">
        <f t="shared" si="372"/>
        <v>0.95492965855137202</v>
      </c>
      <c r="G2419" s="2">
        <v>8.5246589999999998</v>
      </c>
      <c r="H2419" s="2">
        <f t="shared" si="373"/>
        <v>27.968042233559999</v>
      </c>
      <c r="I2419" s="2">
        <f>INDEX('Wood Density Lookup'!$B$2:$B$152,MATCH(B2419,'Wood Density Lookup'!$A$2:$A$152,0))</f>
        <v>0.7</v>
      </c>
      <c r="J2419" s="2">
        <f t="shared" si="374"/>
        <v>2.1692573168906812</v>
      </c>
      <c r="K2419" s="2">
        <f t="shared" si="378"/>
        <v>0.60739204872939079</v>
      </c>
      <c r="L2419" s="2">
        <f t="shared" si="379"/>
        <v>2.7766493656200719</v>
      </c>
      <c r="M2419" s="2">
        <f t="shared" si="375"/>
        <v>2.0130707900745519</v>
      </c>
      <c r="N2419" s="2">
        <f t="shared" si="376"/>
        <v>1.006535395037276</v>
      </c>
      <c r="O2419" s="2">
        <f t="shared" si="377"/>
        <v>3.6939848997868028</v>
      </c>
      <c r="P2419" s="2">
        <v>72.553017999999994</v>
      </c>
      <c r="Q2419" s="2">
        <v>23.037548000000001</v>
      </c>
    </row>
    <row r="2420" spans="1:17" x14ac:dyDescent="0.25">
      <c r="A2420" s="2">
        <v>2605</v>
      </c>
      <c r="B2420" s="2" t="s">
        <v>26</v>
      </c>
      <c r="C2420" s="2">
        <v>2</v>
      </c>
      <c r="D2420" s="2">
        <f t="shared" si="370"/>
        <v>5.08</v>
      </c>
      <c r="E2420" s="2">
        <f t="shared" si="371"/>
        <v>1.6170142218136567</v>
      </c>
      <c r="F2420" s="2">
        <f t="shared" si="372"/>
        <v>0.63661977236758138</v>
      </c>
      <c r="G2420" s="2">
        <v>2.6869510000000001</v>
      </c>
      <c r="H2420" s="2">
        <f t="shared" si="373"/>
        <v>8.8154563188400008</v>
      </c>
      <c r="I2420" s="2">
        <f>INDEX('Wood Density Lookup'!$B$2:$B$152,MATCH(B2420,'Wood Density Lookup'!$A$2:$A$152,0))</f>
        <v>0.7</v>
      </c>
      <c r="J2420" s="2">
        <f t="shared" si="374"/>
        <v>0.3185647210205374</v>
      </c>
      <c r="K2420" s="2">
        <f t="shared" si="378"/>
        <v>8.9198121885750478E-2</v>
      </c>
      <c r="L2420" s="2">
        <f t="shared" si="379"/>
        <v>0.40776284290628789</v>
      </c>
      <c r="M2420" s="2">
        <f t="shared" si="375"/>
        <v>0.29562806110705869</v>
      </c>
      <c r="N2420" s="2">
        <f t="shared" si="376"/>
        <v>0.14781403055352935</v>
      </c>
      <c r="O2420" s="2">
        <f t="shared" si="377"/>
        <v>0.54247749213145269</v>
      </c>
      <c r="P2420" s="2">
        <v>72.553017999999994</v>
      </c>
      <c r="Q2420" s="2">
        <v>23.037589000000001</v>
      </c>
    </row>
    <row r="2421" spans="1:17" x14ac:dyDescent="0.25">
      <c r="A2421" s="2">
        <v>2606</v>
      </c>
      <c r="B2421" s="2" t="s">
        <v>26</v>
      </c>
      <c r="C2421" s="2">
        <v>2</v>
      </c>
      <c r="D2421" s="2">
        <f t="shared" si="370"/>
        <v>5.08</v>
      </c>
      <c r="E2421" s="2">
        <f t="shared" si="371"/>
        <v>1.6170142218136567</v>
      </c>
      <c r="F2421" s="2">
        <f t="shared" si="372"/>
        <v>0.63661977236758138</v>
      </c>
      <c r="G2421" s="2">
        <v>10.005145000000001</v>
      </c>
      <c r="H2421" s="2">
        <f t="shared" si="373"/>
        <v>32.825279921800004</v>
      </c>
      <c r="I2421" s="2">
        <f>INDEX('Wood Density Lookup'!$B$2:$B$152,MATCH(B2421,'Wood Density Lookup'!$A$2:$A$152,0))</f>
        <v>0.7</v>
      </c>
      <c r="J2421" s="2">
        <f t="shared" si="374"/>
        <v>1.1493655924985857</v>
      </c>
      <c r="K2421" s="2">
        <f t="shared" si="378"/>
        <v>0.32182236589960406</v>
      </c>
      <c r="L2421" s="2">
        <f t="shared" si="379"/>
        <v>1.4711879583981897</v>
      </c>
      <c r="M2421" s="2">
        <f t="shared" si="375"/>
        <v>1.0666112698386876</v>
      </c>
      <c r="N2421" s="2">
        <f t="shared" si="376"/>
        <v>0.5333056349193438</v>
      </c>
      <c r="O2421" s="2">
        <f t="shared" si="377"/>
        <v>1.9572316801539917</v>
      </c>
      <c r="P2421" s="2">
        <v>72.553019000000006</v>
      </c>
      <c r="Q2421" s="2">
        <v>23.037624999999998</v>
      </c>
    </row>
    <row r="2422" spans="1:17" x14ac:dyDescent="0.25">
      <c r="A2422" s="2">
        <v>2607</v>
      </c>
      <c r="B2422" s="2" t="s">
        <v>26</v>
      </c>
      <c r="C2422" s="2">
        <v>3</v>
      </c>
      <c r="D2422" s="2">
        <f t="shared" si="370"/>
        <v>7.62</v>
      </c>
      <c r="E2422" s="2">
        <f t="shared" si="371"/>
        <v>2.4255213327204852</v>
      </c>
      <c r="F2422" s="2">
        <f t="shared" si="372"/>
        <v>0.95492965855137202</v>
      </c>
      <c r="G2422" s="2">
        <v>11.27277</v>
      </c>
      <c r="H2422" s="2">
        <f t="shared" si="373"/>
        <v>36.9841547268</v>
      </c>
      <c r="I2422" s="2">
        <f>INDEX('Wood Density Lookup'!$B$2:$B$152,MATCH(B2422,'Wood Density Lookup'!$A$2:$A$152,0))</f>
        <v>0.7</v>
      </c>
      <c r="J2422" s="2">
        <f t="shared" si="374"/>
        <v>2.8493920906009587</v>
      </c>
      <c r="K2422" s="2">
        <f t="shared" si="378"/>
        <v>0.79782978536826854</v>
      </c>
      <c r="L2422" s="2">
        <f t="shared" si="379"/>
        <v>3.647221875969227</v>
      </c>
      <c r="M2422" s="2">
        <f t="shared" si="375"/>
        <v>2.6442358600776896</v>
      </c>
      <c r="N2422" s="2">
        <f t="shared" si="376"/>
        <v>1.3221179300388448</v>
      </c>
      <c r="O2422" s="2">
        <f t="shared" si="377"/>
        <v>4.85217280324256</v>
      </c>
      <c r="P2422" s="2">
        <v>72.553019000000006</v>
      </c>
      <c r="Q2422" s="2">
        <v>23.03763</v>
      </c>
    </row>
    <row r="2423" spans="1:17" x14ac:dyDescent="0.25">
      <c r="A2423" s="2">
        <v>2608</v>
      </c>
      <c r="B2423" s="2" t="s">
        <v>26</v>
      </c>
      <c r="C2423" s="2">
        <v>3</v>
      </c>
      <c r="D2423" s="2">
        <f t="shared" si="370"/>
        <v>7.62</v>
      </c>
      <c r="E2423" s="2">
        <f t="shared" si="371"/>
        <v>2.4255213327204852</v>
      </c>
      <c r="F2423" s="2">
        <f t="shared" si="372"/>
        <v>0.95492965855137202</v>
      </c>
      <c r="G2423" s="2">
        <v>12.087832000000001</v>
      </c>
      <c r="H2423" s="2">
        <f t="shared" si="373"/>
        <v>39.658242738879999</v>
      </c>
      <c r="I2423" s="2">
        <f>INDEX('Wood Density Lookup'!$B$2:$B$152,MATCH(B2423,'Wood Density Lookup'!$A$2:$A$152,0))</f>
        <v>0.7</v>
      </c>
      <c r="J2423" s="2">
        <f t="shared" si="374"/>
        <v>3.050298613242457</v>
      </c>
      <c r="K2423" s="2">
        <f t="shared" si="378"/>
        <v>0.85408361170788805</v>
      </c>
      <c r="L2423" s="2">
        <f t="shared" si="379"/>
        <v>3.904382224950345</v>
      </c>
      <c r="M2423" s="2">
        <f t="shared" si="375"/>
        <v>2.8306771130890001</v>
      </c>
      <c r="N2423" s="2">
        <f t="shared" si="376"/>
        <v>1.4153385565445</v>
      </c>
      <c r="O2423" s="2">
        <f t="shared" si="377"/>
        <v>5.1942925025183149</v>
      </c>
      <c r="P2423" s="2">
        <v>72.553019000000006</v>
      </c>
      <c r="Q2423" s="2">
        <v>23.037682</v>
      </c>
    </row>
    <row r="2424" spans="1:17" x14ac:dyDescent="0.25">
      <c r="A2424" s="2">
        <v>2609</v>
      </c>
      <c r="B2424" s="2" t="s">
        <v>26</v>
      </c>
      <c r="C2424" s="2">
        <v>3</v>
      </c>
      <c r="D2424" s="2">
        <f t="shared" si="370"/>
        <v>7.62</v>
      </c>
      <c r="E2424" s="2">
        <f t="shared" si="371"/>
        <v>2.4255213327204852</v>
      </c>
      <c r="F2424" s="2">
        <f t="shared" si="372"/>
        <v>0.95492965855137202</v>
      </c>
      <c r="G2424" s="2">
        <v>6.7701320000000003</v>
      </c>
      <c r="H2424" s="2">
        <f t="shared" si="373"/>
        <v>22.21171987088</v>
      </c>
      <c r="I2424" s="2">
        <f>INDEX('Wood Density Lookup'!$B$2:$B$152,MATCH(B2424,'Wood Density Lookup'!$A$2:$A$152,0))</f>
        <v>0.7</v>
      </c>
      <c r="J2424" s="2">
        <f t="shared" si="374"/>
        <v>1.732339902335948</v>
      </c>
      <c r="K2424" s="2">
        <f t="shared" si="378"/>
        <v>0.4850551726540655</v>
      </c>
      <c r="L2424" s="2">
        <f t="shared" si="379"/>
        <v>2.2173950749900135</v>
      </c>
      <c r="M2424" s="2">
        <f t="shared" si="375"/>
        <v>1.6076114293677597</v>
      </c>
      <c r="N2424" s="2">
        <f t="shared" si="376"/>
        <v>0.80380571468387985</v>
      </c>
      <c r="O2424" s="2">
        <f t="shared" si="377"/>
        <v>2.9499669728898388</v>
      </c>
      <c r="P2424" s="2">
        <v>72.553019000000006</v>
      </c>
      <c r="Q2424" s="2">
        <v>23.037617999999998</v>
      </c>
    </row>
    <row r="2425" spans="1:17" x14ac:dyDescent="0.25">
      <c r="A2425" s="2">
        <v>2610</v>
      </c>
      <c r="B2425" s="2" t="s">
        <v>26</v>
      </c>
      <c r="C2425" s="2">
        <v>2</v>
      </c>
      <c r="D2425" s="2">
        <f t="shared" si="370"/>
        <v>5.08</v>
      </c>
      <c r="E2425" s="2">
        <f t="shared" si="371"/>
        <v>1.6170142218136567</v>
      </c>
      <c r="F2425" s="2">
        <f t="shared" si="372"/>
        <v>0.63661977236758138</v>
      </c>
      <c r="G2425" s="2">
        <v>12.477379000000001</v>
      </c>
      <c r="H2425" s="2">
        <f t="shared" si="373"/>
        <v>40.93628411836</v>
      </c>
      <c r="I2425" s="2">
        <f>INDEX('Wood Density Lookup'!$B$2:$B$152,MATCH(B2425,'Wood Density Lookup'!$A$2:$A$152,0))</f>
        <v>0.7</v>
      </c>
      <c r="J2425" s="2">
        <f t="shared" si="374"/>
        <v>1.4257933090099542</v>
      </c>
      <c r="K2425" s="2">
        <f t="shared" si="378"/>
        <v>0.39922212652278721</v>
      </c>
      <c r="L2425" s="2">
        <f t="shared" si="379"/>
        <v>1.8250154355327415</v>
      </c>
      <c r="M2425" s="2">
        <f t="shared" si="375"/>
        <v>1.3231361907612376</v>
      </c>
      <c r="N2425" s="2">
        <f t="shared" si="376"/>
        <v>0.66156809538061878</v>
      </c>
      <c r="O2425" s="2">
        <f t="shared" si="377"/>
        <v>2.4279549100468709</v>
      </c>
      <c r="P2425" s="2">
        <v>72.553019000000006</v>
      </c>
      <c r="Q2425" s="2">
        <v>23.037703</v>
      </c>
    </row>
    <row r="2426" spans="1:17" x14ac:dyDescent="0.25">
      <c r="A2426" s="2">
        <v>2611</v>
      </c>
      <c r="B2426" s="2" t="s">
        <v>15</v>
      </c>
      <c r="C2426" s="2">
        <v>86</v>
      </c>
      <c r="D2426" s="2">
        <f t="shared" si="370"/>
        <v>218.44</v>
      </c>
      <c r="E2426" s="2">
        <f t="shared" si="371"/>
        <v>69.531611537987231</v>
      </c>
      <c r="F2426" s="2">
        <f t="shared" si="372"/>
        <v>27.374650211805999</v>
      </c>
      <c r="G2426" s="2">
        <v>12.499648000000001</v>
      </c>
      <c r="H2426" s="2">
        <f t="shared" si="373"/>
        <v>41.009345144320001</v>
      </c>
      <c r="I2426" s="2">
        <f>INDEX('Wood Density Lookup'!$B$2:$B$152,MATCH(B2426,'Wood Density Lookup'!$A$2:$A$152,0))</f>
        <v>0.75</v>
      </c>
      <c r="J2426" s="2">
        <f t="shared" si="374"/>
        <v>2358.2342021450418</v>
      </c>
      <c r="K2426" s="2">
        <f t="shared" si="378"/>
        <v>660.30557660061174</v>
      </c>
      <c r="L2426" s="2">
        <f t="shared" si="379"/>
        <v>3018.5397787456536</v>
      </c>
      <c r="M2426" s="2">
        <f t="shared" si="375"/>
        <v>2188.441339590599</v>
      </c>
      <c r="N2426" s="2">
        <f t="shared" si="376"/>
        <v>1094.2206697952995</v>
      </c>
      <c r="O2426" s="2">
        <f t="shared" si="377"/>
        <v>4015.7898581487489</v>
      </c>
      <c r="P2426" s="2">
        <v>72.553020000000004</v>
      </c>
      <c r="Q2426" s="2">
        <v>23.037697000000001</v>
      </c>
    </row>
    <row r="2427" spans="1:17" x14ac:dyDescent="0.25">
      <c r="A2427" s="2">
        <v>2612</v>
      </c>
      <c r="B2427" s="2" t="s">
        <v>26</v>
      </c>
      <c r="C2427" s="2">
        <v>3</v>
      </c>
      <c r="D2427" s="2">
        <f t="shared" si="370"/>
        <v>7.62</v>
      </c>
      <c r="E2427" s="2">
        <f t="shared" si="371"/>
        <v>2.4255213327204852</v>
      </c>
      <c r="F2427" s="2">
        <f t="shared" si="372"/>
        <v>0.95492965855137202</v>
      </c>
      <c r="G2427" s="2">
        <v>11.268577000000001</v>
      </c>
      <c r="H2427" s="2">
        <f t="shared" si="373"/>
        <v>36.970398164679999</v>
      </c>
      <c r="I2427" s="2">
        <f>INDEX('Wood Density Lookup'!$B$2:$B$152,MATCH(B2427,'Wood Density Lookup'!$A$2:$A$152,0))</f>
        <v>0.7</v>
      </c>
      <c r="J2427" s="2">
        <f t="shared" si="374"/>
        <v>2.8483576675562752</v>
      </c>
      <c r="K2427" s="2">
        <f t="shared" si="378"/>
        <v>0.79754014691575714</v>
      </c>
      <c r="L2427" s="2">
        <f t="shared" si="379"/>
        <v>3.6458978144720322</v>
      </c>
      <c r="M2427" s="2">
        <f t="shared" si="375"/>
        <v>2.6432759154922234</v>
      </c>
      <c r="N2427" s="2">
        <f t="shared" si="376"/>
        <v>1.3216379577461117</v>
      </c>
      <c r="O2427" s="2">
        <f t="shared" si="377"/>
        <v>4.8504113049282296</v>
      </c>
      <c r="P2427" s="2">
        <v>72.553020000000004</v>
      </c>
      <c r="Q2427" s="2">
        <v>23.037648000000001</v>
      </c>
    </row>
    <row r="2428" spans="1:17" x14ac:dyDescent="0.25">
      <c r="A2428" s="2">
        <v>2613</v>
      </c>
      <c r="B2428" s="2" t="s">
        <v>26</v>
      </c>
      <c r="C2428" s="2">
        <v>2</v>
      </c>
      <c r="D2428" s="2">
        <f t="shared" si="370"/>
        <v>5.08</v>
      </c>
      <c r="E2428" s="2">
        <f t="shared" si="371"/>
        <v>1.6170142218136567</v>
      </c>
      <c r="F2428" s="2">
        <f t="shared" si="372"/>
        <v>0.63661977236758138</v>
      </c>
      <c r="G2428" s="2">
        <v>12.223666</v>
      </c>
      <c r="H2428" s="2">
        <f t="shared" si="373"/>
        <v>40.103892359439996</v>
      </c>
      <c r="I2428" s="2">
        <f>INDEX('Wood Density Lookup'!$B$2:$B$152,MATCH(B2428,'Wood Density Lookup'!$A$2:$A$152,0))</f>
        <v>0.7</v>
      </c>
      <c r="J2428" s="2">
        <f t="shared" si="374"/>
        <v>1.3974903107832113</v>
      </c>
      <c r="K2428" s="2">
        <f t="shared" si="378"/>
        <v>0.39129728701929922</v>
      </c>
      <c r="L2428" s="2">
        <f t="shared" si="379"/>
        <v>1.7887875978025105</v>
      </c>
      <c r="M2428" s="2">
        <f t="shared" si="375"/>
        <v>1.29687100840682</v>
      </c>
      <c r="N2428" s="2">
        <f t="shared" si="376"/>
        <v>0.64843550420341001</v>
      </c>
      <c r="O2428" s="2">
        <f t="shared" si="377"/>
        <v>2.3797583004265146</v>
      </c>
      <c r="P2428" s="2">
        <v>72.553020000000004</v>
      </c>
      <c r="Q2428" s="2">
        <v>23.037665000000001</v>
      </c>
    </row>
    <row r="2429" spans="1:17" x14ac:dyDescent="0.25">
      <c r="A2429" s="2">
        <v>2614</v>
      </c>
      <c r="B2429" s="2" t="s">
        <v>26</v>
      </c>
      <c r="C2429" s="2">
        <v>3</v>
      </c>
      <c r="D2429" s="2">
        <f t="shared" si="370"/>
        <v>7.62</v>
      </c>
      <c r="E2429" s="2">
        <f t="shared" si="371"/>
        <v>2.4255213327204852</v>
      </c>
      <c r="F2429" s="2">
        <f t="shared" si="372"/>
        <v>0.95492965855137202</v>
      </c>
      <c r="G2429" s="2">
        <v>11.837937</v>
      </c>
      <c r="H2429" s="2">
        <f t="shared" si="373"/>
        <v>38.838377227080002</v>
      </c>
      <c r="I2429" s="2">
        <f>INDEX('Wood Density Lookup'!$B$2:$B$152,MATCH(B2429,'Wood Density Lookup'!$A$2:$A$152,0))</f>
        <v>0.7</v>
      </c>
      <c r="J2429" s="2">
        <f t="shared" si="374"/>
        <v>2.9887370243435423</v>
      </c>
      <c r="K2429" s="2">
        <f t="shared" si="378"/>
        <v>0.83684636681619196</v>
      </c>
      <c r="L2429" s="2">
        <f t="shared" si="379"/>
        <v>3.8255833911597343</v>
      </c>
      <c r="M2429" s="2">
        <f t="shared" si="375"/>
        <v>2.7735479585908074</v>
      </c>
      <c r="N2429" s="2">
        <f t="shared" si="376"/>
        <v>1.3867739792954037</v>
      </c>
      <c r="O2429" s="2">
        <f t="shared" si="377"/>
        <v>5.0894605040141316</v>
      </c>
      <c r="P2429" s="2">
        <v>72.553020000000004</v>
      </c>
      <c r="Q2429" s="2">
        <v>23.037707999999999</v>
      </c>
    </row>
    <row r="2430" spans="1:17" x14ac:dyDescent="0.25">
      <c r="A2430" s="2">
        <v>2615</v>
      </c>
      <c r="B2430" s="2" t="s">
        <v>26</v>
      </c>
      <c r="C2430" s="2">
        <v>3</v>
      </c>
      <c r="D2430" s="2">
        <f t="shared" si="370"/>
        <v>7.62</v>
      </c>
      <c r="E2430" s="2">
        <f t="shared" si="371"/>
        <v>2.4255213327204852</v>
      </c>
      <c r="F2430" s="2">
        <f t="shared" si="372"/>
        <v>0.95492965855137202</v>
      </c>
      <c r="G2430" s="2">
        <v>11.612075000000001</v>
      </c>
      <c r="H2430" s="2">
        <f t="shared" si="373"/>
        <v>38.097360143000003</v>
      </c>
      <c r="I2430" s="2">
        <f>INDEX('Wood Density Lookup'!$B$2:$B$152,MATCH(B2430,'Wood Density Lookup'!$A$2:$A$152,0))</f>
        <v>0.7</v>
      </c>
      <c r="J2430" s="2">
        <f t="shared" si="374"/>
        <v>2.933069136670583</v>
      </c>
      <c r="K2430" s="2">
        <f t="shared" si="378"/>
        <v>0.82125935826776331</v>
      </c>
      <c r="L2430" s="2">
        <f t="shared" si="379"/>
        <v>3.7543284949383464</v>
      </c>
      <c r="M2430" s="2">
        <f t="shared" si="375"/>
        <v>2.7218881588303012</v>
      </c>
      <c r="N2430" s="2">
        <f t="shared" si="376"/>
        <v>1.3609440794151506</v>
      </c>
      <c r="O2430" s="2">
        <f t="shared" si="377"/>
        <v>4.9946647714536025</v>
      </c>
      <c r="P2430" s="2">
        <v>72.553021000000001</v>
      </c>
      <c r="Q2430" s="2">
        <v>23.037655999999998</v>
      </c>
    </row>
    <row r="2431" spans="1:17" x14ac:dyDescent="0.25">
      <c r="A2431" s="2">
        <v>2616</v>
      </c>
      <c r="B2431" s="2" t="s">
        <v>26</v>
      </c>
      <c r="C2431" s="2">
        <v>2</v>
      </c>
      <c r="D2431" s="2">
        <f t="shared" si="370"/>
        <v>5.08</v>
      </c>
      <c r="E2431" s="2">
        <f t="shared" si="371"/>
        <v>1.6170142218136567</v>
      </c>
      <c r="F2431" s="2">
        <f t="shared" si="372"/>
        <v>0.63661977236758138</v>
      </c>
      <c r="G2431" s="2">
        <v>11.881214</v>
      </c>
      <c r="H2431" s="2">
        <f t="shared" si="373"/>
        <v>38.980362139759997</v>
      </c>
      <c r="I2431" s="2">
        <f>INDEX('Wood Density Lookup'!$B$2:$B$152,MATCH(B2431,'Wood Density Lookup'!$A$2:$A$152,0))</f>
        <v>0.7</v>
      </c>
      <c r="J2431" s="2">
        <f t="shared" si="374"/>
        <v>1.3592655962847435</v>
      </c>
      <c r="K2431" s="2">
        <f t="shared" si="378"/>
        <v>0.3805943669597282</v>
      </c>
      <c r="L2431" s="2">
        <f t="shared" si="379"/>
        <v>1.7398599632444718</v>
      </c>
      <c r="M2431" s="2">
        <f t="shared" si="375"/>
        <v>1.2613984733522421</v>
      </c>
      <c r="N2431" s="2">
        <f t="shared" si="376"/>
        <v>0.63069923667612104</v>
      </c>
      <c r="O2431" s="2">
        <f t="shared" si="377"/>
        <v>2.3146661986013641</v>
      </c>
      <c r="P2431" s="2">
        <v>72.553021000000001</v>
      </c>
      <c r="Q2431" s="2">
        <v>23.037714999999999</v>
      </c>
    </row>
    <row r="2432" spans="1:17" x14ac:dyDescent="0.25">
      <c r="A2432" s="2">
        <v>2617</v>
      </c>
      <c r="B2432" s="2" t="s">
        <v>26</v>
      </c>
      <c r="C2432" s="2">
        <v>3</v>
      </c>
      <c r="D2432" s="2">
        <f t="shared" si="370"/>
        <v>7.62</v>
      </c>
      <c r="E2432" s="2">
        <f t="shared" si="371"/>
        <v>2.4255213327204852</v>
      </c>
      <c r="F2432" s="2">
        <f t="shared" si="372"/>
        <v>0.95492965855137202</v>
      </c>
      <c r="G2432" s="2">
        <v>2.2269109999999999</v>
      </c>
      <c r="H2432" s="2">
        <f t="shared" si="373"/>
        <v>7.3061386852399997</v>
      </c>
      <c r="I2432" s="2">
        <f>INDEX('Wood Density Lookup'!$B$2:$B$152,MATCH(B2432,'Wood Density Lookup'!$A$2:$A$152,0))</f>
        <v>0.7</v>
      </c>
      <c r="J2432" s="2">
        <f t="shared" si="374"/>
        <v>0.58523231091450556</v>
      </c>
      <c r="K2432" s="2">
        <f t="shared" si="378"/>
        <v>0.16386504705606159</v>
      </c>
      <c r="L2432" s="2">
        <f t="shared" si="379"/>
        <v>0.74909735797056709</v>
      </c>
      <c r="M2432" s="2">
        <f t="shared" si="375"/>
        <v>0.54309558452866113</v>
      </c>
      <c r="N2432" s="2">
        <f t="shared" si="376"/>
        <v>0.27154779226433057</v>
      </c>
      <c r="O2432" s="2">
        <f t="shared" si="377"/>
        <v>0.9965803976100932</v>
      </c>
      <c r="P2432" s="2">
        <v>72.553021000000001</v>
      </c>
      <c r="Q2432" s="2">
        <v>23.037607000000001</v>
      </c>
    </row>
    <row r="2433" spans="1:17" x14ac:dyDescent="0.25">
      <c r="A2433" s="2">
        <v>2618</v>
      </c>
      <c r="B2433" s="2" t="s">
        <v>50</v>
      </c>
      <c r="C2433" s="2">
        <v>28</v>
      </c>
      <c r="D2433" s="2">
        <f t="shared" ref="D2433:D2496" si="380">C2433*2.54</f>
        <v>71.12</v>
      </c>
      <c r="E2433" s="2">
        <f t="shared" ref="E2433:E2496" si="381">D2433/PI()</f>
        <v>22.638199105391195</v>
      </c>
      <c r="F2433" s="2">
        <f t="shared" ref="F2433:F2496" si="382">C2433/PI()</f>
        <v>8.91267681314614</v>
      </c>
      <c r="G2433" s="2">
        <v>14.182998</v>
      </c>
      <c r="H2433" s="2">
        <f t="shared" ref="H2433:H2496" si="383">G2433*3.28084</f>
        <v>46.532147158320001</v>
      </c>
      <c r="I2433" s="2">
        <f>INDEX('Wood Density Lookup'!$B$2:$B$152,MATCH(B2433,'Wood Density Lookup'!$A$2:$A$152,0))</f>
        <v>0.5</v>
      </c>
      <c r="J2433" s="2">
        <f t="shared" ref="J2433:J2496" si="384">0.0673*POWER(I2433*E2433^2*G2433,0.976)</f>
        <v>200.9031460414777</v>
      </c>
      <c r="K2433" s="2">
        <f t="shared" si="378"/>
        <v>56.252880891613763</v>
      </c>
      <c r="L2433" s="2">
        <f t="shared" si="379"/>
        <v>257.15602693309148</v>
      </c>
      <c r="M2433" s="2">
        <f t="shared" ref="M2433:M2496" si="385">0.725*L2433</f>
        <v>186.43811952649131</v>
      </c>
      <c r="N2433" s="2">
        <f t="shared" ref="N2433:N2496" si="386">0.5*M2433</f>
        <v>93.219059763245653</v>
      </c>
      <c r="O2433" s="2">
        <f t="shared" ref="O2433:O2496" si="387">3.67*N2433</f>
        <v>342.11394933111154</v>
      </c>
      <c r="P2433" s="2">
        <v>72.553021999999999</v>
      </c>
      <c r="Q2433" s="2">
        <v>23.036919000000001</v>
      </c>
    </row>
    <row r="2434" spans="1:17" x14ac:dyDescent="0.25">
      <c r="A2434" s="2">
        <v>2619</v>
      </c>
      <c r="B2434" s="2" t="s">
        <v>26</v>
      </c>
      <c r="C2434" s="2">
        <v>3</v>
      </c>
      <c r="D2434" s="2">
        <f t="shared" si="380"/>
        <v>7.62</v>
      </c>
      <c r="E2434" s="2">
        <f t="shared" si="381"/>
        <v>2.4255213327204852</v>
      </c>
      <c r="F2434" s="2">
        <f t="shared" si="382"/>
        <v>0.95492965855137202</v>
      </c>
      <c r="G2434" s="2">
        <v>11.634922</v>
      </c>
      <c r="H2434" s="2">
        <f t="shared" si="383"/>
        <v>38.172317494479998</v>
      </c>
      <c r="I2434" s="2">
        <f>INDEX('Wood Density Lookup'!$B$2:$B$152,MATCH(B2434,'Wood Density Lookup'!$A$2:$A$152,0))</f>
        <v>0.7</v>
      </c>
      <c r="J2434" s="2">
        <f t="shared" si="384"/>
        <v>2.9387013775468986</v>
      </c>
      <c r="K2434" s="2">
        <f t="shared" si="378"/>
        <v>0.82283638571313167</v>
      </c>
      <c r="L2434" s="2">
        <f t="shared" si="379"/>
        <v>3.7615377632600304</v>
      </c>
      <c r="M2434" s="2">
        <f t="shared" si="385"/>
        <v>2.7271148783635222</v>
      </c>
      <c r="N2434" s="2">
        <f t="shared" si="386"/>
        <v>1.3635574391817611</v>
      </c>
      <c r="O2434" s="2">
        <f t="shared" si="387"/>
        <v>5.0042558017970631</v>
      </c>
      <c r="P2434" s="2">
        <v>72.553021999999999</v>
      </c>
      <c r="Q2434" s="2">
        <v>23.037662000000001</v>
      </c>
    </row>
    <row r="2435" spans="1:17" x14ac:dyDescent="0.25">
      <c r="A2435" s="2">
        <v>2620</v>
      </c>
      <c r="B2435" s="2" t="s">
        <v>26</v>
      </c>
      <c r="C2435" s="2">
        <v>2</v>
      </c>
      <c r="D2435" s="2">
        <f t="shared" si="380"/>
        <v>5.08</v>
      </c>
      <c r="E2435" s="2">
        <f t="shared" si="381"/>
        <v>1.6170142218136567</v>
      </c>
      <c r="F2435" s="2">
        <f t="shared" si="382"/>
        <v>0.63661977236758138</v>
      </c>
      <c r="G2435" s="2">
        <v>12.355413</v>
      </c>
      <c r="H2435" s="2">
        <f t="shared" si="383"/>
        <v>40.536133186920004</v>
      </c>
      <c r="I2435" s="2">
        <f>INDEX('Wood Density Lookup'!$B$2:$B$152,MATCH(B2435,'Wood Density Lookup'!$A$2:$A$152,0))</f>
        <v>0.7</v>
      </c>
      <c r="J2435" s="2">
        <f t="shared" si="384"/>
        <v>1.4121891119448233</v>
      </c>
      <c r="K2435" s="2">
        <f t="shared" ref="K2435:K2498" si="388">0.28*J2435</f>
        <v>0.39541295134455057</v>
      </c>
      <c r="L2435" s="2">
        <f t="shared" ref="L2435:L2498" si="389">J2435+K2435</f>
        <v>1.8076020632893739</v>
      </c>
      <c r="M2435" s="2">
        <f t="shared" si="385"/>
        <v>1.3105114958847961</v>
      </c>
      <c r="N2435" s="2">
        <f t="shared" si="386"/>
        <v>0.65525574794239805</v>
      </c>
      <c r="O2435" s="2">
        <f t="shared" si="387"/>
        <v>2.404788594948601</v>
      </c>
      <c r="P2435" s="2">
        <v>72.553021999999999</v>
      </c>
      <c r="Q2435" s="2">
        <v>23.037687999999999</v>
      </c>
    </row>
    <row r="2436" spans="1:17" x14ac:dyDescent="0.25">
      <c r="A2436" s="2">
        <v>2621</v>
      </c>
      <c r="B2436" s="2" t="s">
        <v>31</v>
      </c>
      <c r="C2436" s="2">
        <v>6</v>
      </c>
      <c r="D2436" s="2">
        <f t="shared" si="380"/>
        <v>15.24</v>
      </c>
      <c r="E2436" s="2">
        <f t="shared" si="381"/>
        <v>4.8510426654409704</v>
      </c>
      <c r="F2436" s="2">
        <f t="shared" si="382"/>
        <v>1.909859317102744</v>
      </c>
      <c r="G2436" s="2">
        <v>7.2572349999999997</v>
      </c>
      <c r="H2436" s="2">
        <f t="shared" si="383"/>
        <v>23.809826877399999</v>
      </c>
      <c r="I2436" s="2">
        <f>INDEX('Wood Density Lookup'!$B$2:$B$152,MATCH(B2436,'Wood Density Lookup'!$A$2:$A$152,0))</f>
        <v>0.78</v>
      </c>
      <c r="J2436" s="2">
        <f t="shared" si="384"/>
        <v>7.9719061718099109</v>
      </c>
      <c r="K2436" s="2">
        <f t="shared" si="388"/>
        <v>2.2321337281067755</v>
      </c>
      <c r="L2436" s="2">
        <f t="shared" si="389"/>
        <v>10.204039899916687</v>
      </c>
      <c r="M2436" s="2">
        <f t="shared" si="385"/>
        <v>7.3979289274395974</v>
      </c>
      <c r="N2436" s="2">
        <f t="shared" si="386"/>
        <v>3.6989644637197987</v>
      </c>
      <c r="O2436" s="2">
        <f t="shared" si="387"/>
        <v>13.575199581851662</v>
      </c>
      <c r="P2436" s="2">
        <v>72.553027</v>
      </c>
      <c r="Q2436" s="2">
        <v>23.035758000000001</v>
      </c>
    </row>
    <row r="2437" spans="1:17" x14ac:dyDescent="0.25">
      <c r="A2437" s="2">
        <v>2622</v>
      </c>
      <c r="B2437" s="2" t="s">
        <v>10</v>
      </c>
      <c r="C2437" s="2">
        <v>111</v>
      </c>
      <c r="D2437" s="2">
        <f t="shared" si="380"/>
        <v>281.94</v>
      </c>
      <c r="E2437" s="2">
        <f t="shared" si="381"/>
        <v>89.744289310657948</v>
      </c>
      <c r="F2437" s="2">
        <f t="shared" si="382"/>
        <v>35.332397366400762</v>
      </c>
      <c r="G2437" s="2">
        <v>13.481941000000001</v>
      </c>
      <c r="H2437" s="2">
        <f t="shared" si="383"/>
        <v>44.232091310440005</v>
      </c>
      <c r="I2437" s="2">
        <f>INDEX('Wood Density Lookup'!$B$2:$B$152,MATCH(B2437,'Wood Density Lookup'!$A$2:$A$152,0))</f>
        <v>0.65</v>
      </c>
      <c r="J2437" s="2">
        <f t="shared" si="384"/>
        <v>3633.5085155091474</v>
      </c>
      <c r="K2437" s="2">
        <f t="shared" si="388"/>
        <v>1017.3823843425614</v>
      </c>
      <c r="L2437" s="2">
        <f t="shared" si="389"/>
        <v>4650.890899851709</v>
      </c>
      <c r="M2437" s="2">
        <f t="shared" si="385"/>
        <v>3371.895902392489</v>
      </c>
      <c r="N2437" s="2">
        <f t="shared" si="386"/>
        <v>1685.9479511962445</v>
      </c>
      <c r="O2437" s="2">
        <f t="shared" si="387"/>
        <v>6187.4289808902176</v>
      </c>
      <c r="P2437" s="2">
        <v>72.553031000000004</v>
      </c>
      <c r="Q2437" s="2">
        <v>23.036307000000001</v>
      </c>
    </row>
    <row r="2438" spans="1:17" x14ac:dyDescent="0.25">
      <c r="A2438" s="2">
        <v>2623</v>
      </c>
      <c r="B2438" s="2" t="s">
        <v>107</v>
      </c>
      <c r="C2438" s="2">
        <v>34</v>
      </c>
      <c r="D2438" s="2">
        <f t="shared" si="380"/>
        <v>86.36</v>
      </c>
      <c r="E2438" s="2">
        <f t="shared" si="381"/>
        <v>27.489241770832162</v>
      </c>
      <c r="F2438" s="2">
        <f t="shared" si="382"/>
        <v>10.822536130248883</v>
      </c>
      <c r="G2438" s="2">
        <v>8.7705959999999994</v>
      </c>
      <c r="H2438" s="2">
        <f t="shared" si="383"/>
        <v>28.774922180639997</v>
      </c>
      <c r="I2438" s="2">
        <f>INDEX('Wood Density Lookup'!$B$2:$B$152,MATCH(B2438,'Wood Density Lookup'!$A$2:$A$152,0))</f>
        <v>0.65</v>
      </c>
      <c r="J2438" s="2">
        <f t="shared" si="384"/>
        <v>237.17047190781369</v>
      </c>
      <c r="K2438" s="2">
        <f t="shared" si="388"/>
        <v>66.407732134187839</v>
      </c>
      <c r="L2438" s="2">
        <f t="shared" si="389"/>
        <v>303.57820404200152</v>
      </c>
      <c r="M2438" s="2">
        <f t="shared" si="385"/>
        <v>220.09419793045109</v>
      </c>
      <c r="N2438" s="2">
        <f t="shared" si="386"/>
        <v>110.04709896522554</v>
      </c>
      <c r="O2438" s="2">
        <f t="shared" si="387"/>
        <v>403.87285320237771</v>
      </c>
      <c r="P2438" s="2">
        <v>72.553039999999996</v>
      </c>
      <c r="Q2438" s="2">
        <v>23.036684999999999</v>
      </c>
    </row>
    <row r="2439" spans="1:17" x14ac:dyDescent="0.25">
      <c r="A2439" s="2">
        <v>2624</v>
      </c>
      <c r="B2439" s="2" t="s">
        <v>115</v>
      </c>
      <c r="C2439" s="2">
        <v>7</v>
      </c>
      <c r="D2439" s="2">
        <f t="shared" si="380"/>
        <v>17.78</v>
      </c>
      <c r="E2439" s="2">
        <f t="shared" si="381"/>
        <v>5.6595497763477987</v>
      </c>
      <c r="F2439" s="2">
        <f t="shared" si="382"/>
        <v>2.228169203286535</v>
      </c>
      <c r="G2439" s="2">
        <v>9.5119629999999997</v>
      </c>
      <c r="H2439" s="2">
        <f t="shared" si="383"/>
        <v>31.207228688919997</v>
      </c>
      <c r="I2439" s="2">
        <f>INDEX('Wood Density Lookup'!$B$2:$B$152,MATCH(B2439,'Wood Density Lookup'!$A$2:$A$152,0))</f>
        <v>0.65</v>
      </c>
      <c r="J2439" s="2">
        <f t="shared" si="384"/>
        <v>11.73925148380952</v>
      </c>
      <c r="K2439" s="2">
        <f t="shared" si="388"/>
        <v>3.2869904154666658</v>
      </c>
      <c r="L2439" s="2">
        <f t="shared" si="389"/>
        <v>15.026241899276187</v>
      </c>
      <c r="M2439" s="2">
        <f t="shared" si="385"/>
        <v>10.894025376975234</v>
      </c>
      <c r="N2439" s="2">
        <f t="shared" si="386"/>
        <v>5.4470126884876171</v>
      </c>
      <c r="O2439" s="2">
        <f t="shared" si="387"/>
        <v>19.990536566749554</v>
      </c>
      <c r="P2439" s="2">
        <v>72.553040999999993</v>
      </c>
      <c r="Q2439" s="2">
        <v>23.038395999999999</v>
      </c>
    </row>
    <row r="2440" spans="1:17" x14ac:dyDescent="0.25">
      <c r="A2440" s="2">
        <v>2625</v>
      </c>
      <c r="B2440" s="2" t="s">
        <v>15</v>
      </c>
      <c r="C2440" s="2">
        <v>77</v>
      </c>
      <c r="D2440" s="2">
        <f t="shared" si="380"/>
        <v>195.58</v>
      </c>
      <c r="E2440" s="2">
        <f t="shared" si="381"/>
        <v>62.255047539825789</v>
      </c>
      <c r="F2440" s="2">
        <f t="shared" si="382"/>
        <v>24.509861236151881</v>
      </c>
      <c r="G2440" s="2">
        <v>2.1120960000000002</v>
      </c>
      <c r="H2440" s="2">
        <f t="shared" si="383"/>
        <v>6.9294490406400007</v>
      </c>
      <c r="I2440" s="2">
        <f>INDEX('Wood Density Lookup'!$B$2:$B$152,MATCH(B2440,'Wood Density Lookup'!$A$2:$A$152,0))</f>
        <v>0.75</v>
      </c>
      <c r="J2440" s="2">
        <f t="shared" si="384"/>
        <v>335.1383618821489</v>
      </c>
      <c r="K2440" s="2">
        <f t="shared" si="388"/>
        <v>93.838741327001699</v>
      </c>
      <c r="L2440" s="2">
        <f t="shared" si="389"/>
        <v>428.97710320915058</v>
      </c>
      <c r="M2440" s="2">
        <f t="shared" si="385"/>
        <v>311.00839982663416</v>
      </c>
      <c r="N2440" s="2">
        <f t="shared" si="386"/>
        <v>155.50419991331708</v>
      </c>
      <c r="O2440" s="2">
        <f t="shared" si="387"/>
        <v>570.70041368187367</v>
      </c>
      <c r="P2440" s="2">
        <v>72.553044</v>
      </c>
      <c r="Q2440" s="2">
        <v>23.037610999999998</v>
      </c>
    </row>
    <row r="2441" spans="1:17" x14ac:dyDescent="0.25">
      <c r="A2441" s="2">
        <v>2626</v>
      </c>
      <c r="B2441" s="2" t="s">
        <v>9</v>
      </c>
      <c r="C2441" s="2">
        <v>57</v>
      </c>
      <c r="D2441" s="2">
        <f t="shared" si="380"/>
        <v>144.78</v>
      </c>
      <c r="E2441" s="2">
        <f t="shared" si="381"/>
        <v>46.084905321689213</v>
      </c>
      <c r="F2441" s="2">
        <f t="shared" si="382"/>
        <v>18.143663512476071</v>
      </c>
      <c r="G2441" s="2">
        <v>9.52</v>
      </c>
      <c r="H2441" s="2">
        <f t="shared" si="383"/>
        <v>31.233596799999997</v>
      </c>
      <c r="I2441" s="2">
        <f>INDEX('Wood Density Lookup'!$B$2:$B$152,MATCH(B2441,'Wood Density Lookup'!$A$2:$A$152,0))</f>
        <v>0.42</v>
      </c>
      <c r="J2441" s="2">
        <f t="shared" si="384"/>
        <v>459.96270027058608</v>
      </c>
      <c r="K2441" s="2">
        <f t="shared" si="388"/>
        <v>128.78955607576412</v>
      </c>
      <c r="L2441" s="2">
        <f t="shared" si="389"/>
        <v>588.75225634635024</v>
      </c>
      <c r="M2441" s="2">
        <f t="shared" si="385"/>
        <v>426.84538585110391</v>
      </c>
      <c r="N2441" s="2">
        <f t="shared" si="386"/>
        <v>213.42269292555196</v>
      </c>
      <c r="O2441" s="2">
        <f t="shared" si="387"/>
        <v>783.26128303677569</v>
      </c>
      <c r="P2441" s="2">
        <v>72.553044</v>
      </c>
      <c r="Q2441" s="2">
        <v>23.038723999999998</v>
      </c>
    </row>
    <row r="2442" spans="1:17" x14ac:dyDescent="0.25">
      <c r="A2442" s="2">
        <v>2627</v>
      </c>
      <c r="B2442" s="2" t="s">
        <v>9</v>
      </c>
      <c r="C2442" s="2">
        <v>63</v>
      </c>
      <c r="D2442" s="2">
        <f t="shared" si="380"/>
        <v>160.02000000000001</v>
      </c>
      <c r="E2442" s="2">
        <f t="shared" si="381"/>
        <v>50.935947987130191</v>
      </c>
      <c r="F2442" s="2">
        <f t="shared" si="382"/>
        <v>20.053522829578814</v>
      </c>
      <c r="G2442" s="2">
        <v>1.2706519999999999</v>
      </c>
      <c r="H2442" s="2">
        <f t="shared" si="383"/>
        <v>4.1688059076799995</v>
      </c>
      <c r="I2442" s="2">
        <f>INDEX('Wood Density Lookup'!$B$2:$B$152,MATCH(B2442,'Wood Density Lookup'!$A$2:$A$152,0))</f>
        <v>0.42</v>
      </c>
      <c r="J2442" s="2">
        <f t="shared" si="384"/>
        <v>78.333579603754558</v>
      </c>
      <c r="K2442" s="2">
        <f t="shared" si="388"/>
        <v>21.93340228905128</v>
      </c>
      <c r="L2442" s="2">
        <f t="shared" si="389"/>
        <v>100.26698189280583</v>
      </c>
      <c r="M2442" s="2">
        <f t="shared" si="385"/>
        <v>72.693561872284221</v>
      </c>
      <c r="N2442" s="2">
        <f t="shared" si="386"/>
        <v>36.34678093614211</v>
      </c>
      <c r="O2442" s="2">
        <f t="shared" si="387"/>
        <v>133.39268603564153</v>
      </c>
      <c r="P2442" s="2">
        <v>72.553050999999996</v>
      </c>
      <c r="Q2442" s="2">
        <v>23.037396000000001</v>
      </c>
    </row>
    <row r="2443" spans="1:17" x14ac:dyDescent="0.25">
      <c r="A2443" s="2">
        <v>2628</v>
      </c>
      <c r="B2443" s="2" t="s">
        <v>15</v>
      </c>
      <c r="C2443" s="2">
        <v>56</v>
      </c>
      <c r="D2443" s="2">
        <f t="shared" si="380"/>
        <v>142.24</v>
      </c>
      <c r="E2443" s="2">
        <f t="shared" si="381"/>
        <v>45.276398210782389</v>
      </c>
      <c r="F2443" s="2">
        <f t="shared" si="382"/>
        <v>17.82535362629228</v>
      </c>
      <c r="G2443" s="2">
        <v>13.110913</v>
      </c>
      <c r="H2443" s="2">
        <f t="shared" si="383"/>
        <v>43.014807806919997</v>
      </c>
      <c r="I2443" s="2">
        <f>INDEX('Wood Density Lookup'!$B$2:$B$152,MATCH(B2443,'Wood Density Lookup'!$A$2:$A$152,0))</f>
        <v>0.75</v>
      </c>
      <c r="J2443" s="2">
        <f t="shared" si="384"/>
        <v>1069.41554930762</v>
      </c>
      <c r="K2443" s="2">
        <f t="shared" si="388"/>
        <v>299.43635380613364</v>
      </c>
      <c r="L2443" s="2">
        <f t="shared" si="389"/>
        <v>1368.8519031137537</v>
      </c>
      <c r="M2443" s="2">
        <f t="shared" si="385"/>
        <v>992.41762975747133</v>
      </c>
      <c r="N2443" s="2">
        <f t="shared" si="386"/>
        <v>496.20881487873567</v>
      </c>
      <c r="O2443" s="2">
        <f t="shared" si="387"/>
        <v>1821.0863506049598</v>
      </c>
      <c r="P2443" s="2">
        <v>72.553055000000001</v>
      </c>
      <c r="Q2443" s="2">
        <v>23.038301000000001</v>
      </c>
    </row>
    <row r="2444" spans="1:17" x14ac:dyDescent="0.25">
      <c r="A2444" s="2">
        <v>2629</v>
      </c>
      <c r="B2444" s="2" t="s">
        <v>137</v>
      </c>
      <c r="C2444" s="2">
        <v>3</v>
      </c>
      <c r="D2444" s="2">
        <f t="shared" si="380"/>
        <v>7.62</v>
      </c>
      <c r="E2444" s="2">
        <f t="shared" si="381"/>
        <v>2.4255213327204852</v>
      </c>
      <c r="F2444" s="2">
        <f t="shared" si="382"/>
        <v>0.95492965855137202</v>
      </c>
      <c r="G2444" s="2">
        <v>1.0612379999999999</v>
      </c>
      <c r="H2444" s="2">
        <f t="shared" si="383"/>
        <v>3.4817520799199997</v>
      </c>
      <c r="I2444" s="2">
        <f>INDEX('Wood Density Lookup'!$B$2:$B$152,MATCH(B2444,'Wood Density Lookup'!$A$2:$A$152,0))</f>
        <v>0.55000000000000004</v>
      </c>
      <c r="J2444" s="2">
        <f t="shared" si="384"/>
        <v>0.22435816906783598</v>
      </c>
      <c r="K2444" s="2">
        <f t="shared" si="388"/>
        <v>6.2820287338994085E-2</v>
      </c>
      <c r="L2444" s="2">
        <f t="shared" si="389"/>
        <v>0.28717845640683004</v>
      </c>
      <c r="M2444" s="2">
        <f t="shared" si="385"/>
        <v>0.20820438089495177</v>
      </c>
      <c r="N2444" s="2">
        <f t="shared" si="386"/>
        <v>0.10410219044747589</v>
      </c>
      <c r="O2444" s="2">
        <f t="shared" si="387"/>
        <v>0.38205503894223652</v>
      </c>
      <c r="P2444" s="2">
        <v>72.553056999999995</v>
      </c>
      <c r="Q2444" s="2">
        <v>23.035847</v>
      </c>
    </row>
    <row r="2445" spans="1:17" x14ac:dyDescent="0.25">
      <c r="A2445" s="2">
        <v>2630</v>
      </c>
      <c r="B2445" s="2" t="s">
        <v>9</v>
      </c>
      <c r="C2445" s="2">
        <v>52</v>
      </c>
      <c r="D2445" s="2">
        <f t="shared" si="380"/>
        <v>132.08000000000001</v>
      </c>
      <c r="E2445" s="2">
        <f t="shared" si="381"/>
        <v>42.04236976715508</v>
      </c>
      <c r="F2445" s="2">
        <f t="shared" si="382"/>
        <v>16.552114081557114</v>
      </c>
      <c r="G2445" s="2">
        <v>1.3883650000000001</v>
      </c>
      <c r="H2445" s="2">
        <f t="shared" si="383"/>
        <v>4.5550034265999999</v>
      </c>
      <c r="I2445" s="2">
        <f>INDEX('Wood Density Lookup'!$B$2:$B$152,MATCH(B2445,'Wood Density Lookup'!$A$2:$A$152,0))</f>
        <v>0.42</v>
      </c>
      <c r="J2445" s="2">
        <f t="shared" si="384"/>
        <v>58.725582168638709</v>
      </c>
      <c r="K2445" s="2">
        <f t="shared" si="388"/>
        <v>16.443163007218839</v>
      </c>
      <c r="L2445" s="2">
        <f t="shared" si="389"/>
        <v>75.168745175857552</v>
      </c>
      <c r="M2445" s="2">
        <f t="shared" si="385"/>
        <v>54.497340252496727</v>
      </c>
      <c r="N2445" s="2">
        <f t="shared" si="386"/>
        <v>27.248670126248363</v>
      </c>
      <c r="O2445" s="2">
        <f t="shared" si="387"/>
        <v>100.00261936333149</v>
      </c>
      <c r="P2445" s="2">
        <v>72.553057999999993</v>
      </c>
      <c r="Q2445" s="2">
        <v>23.037368000000001</v>
      </c>
    </row>
    <row r="2446" spans="1:17" x14ac:dyDescent="0.25">
      <c r="A2446" s="2">
        <v>2631</v>
      </c>
      <c r="B2446" s="2" t="s">
        <v>57</v>
      </c>
      <c r="C2446" s="2">
        <v>8</v>
      </c>
      <c r="D2446" s="2">
        <f t="shared" si="380"/>
        <v>20.32</v>
      </c>
      <c r="E2446" s="2">
        <f t="shared" si="381"/>
        <v>6.4680568872546269</v>
      </c>
      <c r="F2446" s="2">
        <f t="shared" si="382"/>
        <v>2.5464790894703255</v>
      </c>
      <c r="G2446" s="2">
        <v>4.4455179999999999</v>
      </c>
      <c r="H2446" s="2">
        <f t="shared" si="383"/>
        <v>14.585033275119999</v>
      </c>
      <c r="I2446" s="2">
        <f>INDEX('Wood Density Lookup'!$B$2:$B$152,MATCH(B2446,'Wood Density Lookup'!$A$2:$A$152,0))</f>
        <v>0.6</v>
      </c>
      <c r="J2446" s="2">
        <f t="shared" si="384"/>
        <v>6.706461544582953</v>
      </c>
      <c r="K2446" s="2">
        <f t="shared" si="388"/>
        <v>1.877809232483227</v>
      </c>
      <c r="L2446" s="2">
        <f t="shared" si="389"/>
        <v>8.5842707770661804</v>
      </c>
      <c r="M2446" s="2">
        <f t="shared" si="385"/>
        <v>6.2235963133729806</v>
      </c>
      <c r="N2446" s="2">
        <f t="shared" si="386"/>
        <v>3.1117981566864903</v>
      </c>
      <c r="O2446" s="2">
        <f t="shared" si="387"/>
        <v>11.420299235039419</v>
      </c>
      <c r="P2446" s="2">
        <v>72.553060000000002</v>
      </c>
      <c r="Q2446" s="2">
        <v>23.035826</v>
      </c>
    </row>
    <row r="2447" spans="1:17" x14ac:dyDescent="0.25">
      <c r="A2447" s="2">
        <v>2632</v>
      </c>
      <c r="B2447" s="2" t="s">
        <v>15</v>
      </c>
      <c r="C2447" s="2">
        <v>31</v>
      </c>
      <c r="D2447" s="2">
        <f t="shared" si="380"/>
        <v>78.739999999999995</v>
      </c>
      <c r="E2447" s="2">
        <f t="shared" si="381"/>
        <v>25.063720438111677</v>
      </c>
      <c r="F2447" s="2">
        <f t="shared" si="382"/>
        <v>9.8676064716975116</v>
      </c>
      <c r="G2447" s="2">
        <v>10.132031</v>
      </c>
      <c r="H2447" s="2">
        <f t="shared" si="383"/>
        <v>33.24157258604</v>
      </c>
      <c r="I2447" s="2">
        <f>INDEX('Wood Density Lookup'!$B$2:$B$152,MATCH(B2447,'Wood Density Lookup'!$A$2:$A$152,0))</f>
        <v>0.75</v>
      </c>
      <c r="J2447" s="2">
        <f t="shared" si="384"/>
        <v>262.16308602394878</v>
      </c>
      <c r="K2447" s="2">
        <f t="shared" si="388"/>
        <v>73.40566408670567</v>
      </c>
      <c r="L2447" s="2">
        <f t="shared" si="389"/>
        <v>335.56875011065443</v>
      </c>
      <c r="M2447" s="2">
        <f t="shared" si="385"/>
        <v>243.28734383022444</v>
      </c>
      <c r="N2447" s="2">
        <f t="shared" si="386"/>
        <v>121.64367191511222</v>
      </c>
      <c r="O2447" s="2">
        <f t="shared" si="387"/>
        <v>446.43227592846182</v>
      </c>
      <c r="P2447" s="2">
        <v>72.553066999999999</v>
      </c>
      <c r="Q2447" s="2">
        <v>23.037153</v>
      </c>
    </row>
    <row r="2448" spans="1:17" x14ac:dyDescent="0.25">
      <c r="A2448" s="2">
        <v>2633</v>
      </c>
      <c r="B2448" s="2" t="s">
        <v>9</v>
      </c>
      <c r="C2448" s="2">
        <v>44</v>
      </c>
      <c r="D2448" s="2">
        <f t="shared" si="380"/>
        <v>111.76</v>
      </c>
      <c r="E2448" s="2">
        <f t="shared" si="381"/>
        <v>35.574312879900447</v>
      </c>
      <c r="F2448" s="2">
        <f t="shared" si="382"/>
        <v>14.00563499208679</v>
      </c>
      <c r="G2448" s="2">
        <v>1.4364380000000001</v>
      </c>
      <c r="H2448" s="2">
        <f t="shared" si="383"/>
        <v>4.7127232479200005</v>
      </c>
      <c r="I2448" s="2">
        <f>INDEX('Wood Density Lookup'!$B$2:$B$152,MATCH(B2448,'Wood Density Lookup'!$A$2:$A$152,0))</f>
        <v>0.42</v>
      </c>
      <c r="J2448" s="2">
        <f t="shared" si="384"/>
        <v>43.816416869263392</v>
      </c>
      <c r="K2448" s="2">
        <f t="shared" si="388"/>
        <v>12.268596723393751</v>
      </c>
      <c r="L2448" s="2">
        <f t="shared" si="389"/>
        <v>56.085013592657141</v>
      </c>
      <c r="M2448" s="2">
        <f t="shared" si="385"/>
        <v>40.661634854676429</v>
      </c>
      <c r="N2448" s="2">
        <f t="shared" si="386"/>
        <v>20.330817427338214</v>
      </c>
      <c r="O2448" s="2">
        <f t="shared" si="387"/>
        <v>74.614099958331252</v>
      </c>
      <c r="P2448" s="2">
        <v>72.553068999999994</v>
      </c>
      <c r="Q2448" s="2">
        <v>23.037268000000001</v>
      </c>
    </row>
    <row r="2449" spans="1:17" x14ac:dyDescent="0.25">
      <c r="A2449" s="2">
        <v>2634</v>
      </c>
      <c r="B2449" s="2" t="s">
        <v>9</v>
      </c>
      <c r="C2449" s="2">
        <v>38</v>
      </c>
      <c r="D2449" s="2">
        <f t="shared" si="380"/>
        <v>96.52</v>
      </c>
      <c r="E2449" s="2">
        <f t="shared" si="381"/>
        <v>30.723270214459475</v>
      </c>
      <c r="F2449" s="2">
        <f t="shared" si="382"/>
        <v>12.095775674984045</v>
      </c>
      <c r="G2449" s="2">
        <v>16.626166999999999</v>
      </c>
      <c r="H2449" s="2">
        <f t="shared" si="383"/>
        <v>54.547793740279992</v>
      </c>
      <c r="I2449" s="2">
        <f>INDEX('Wood Density Lookup'!$B$2:$B$152,MATCH(B2449,'Wood Density Lookup'!$A$2:$A$152,0))</f>
        <v>0.42</v>
      </c>
      <c r="J2449" s="2">
        <f t="shared" si="384"/>
        <v>359.19968131698113</v>
      </c>
      <c r="K2449" s="2">
        <f t="shared" si="388"/>
        <v>100.57591076875472</v>
      </c>
      <c r="L2449" s="2">
        <f t="shared" si="389"/>
        <v>459.77559208573587</v>
      </c>
      <c r="M2449" s="2">
        <f t="shared" si="385"/>
        <v>333.33730426215851</v>
      </c>
      <c r="N2449" s="2">
        <f t="shared" si="386"/>
        <v>166.66865213107926</v>
      </c>
      <c r="O2449" s="2">
        <f t="shared" si="387"/>
        <v>611.67395332106082</v>
      </c>
      <c r="P2449" s="2">
        <v>72.553071000000003</v>
      </c>
      <c r="Q2449" s="2">
        <v>23.036901</v>
      </c>
    </row>
    <row r="2450" spans="1:17" x14ac:dyDescent="0.25">
      <c r="A2450" s="2">
        <v>2635</v>
      </c>
      <c r="B2450" s="2" t="s">
        <v>31</v>
      </c>
      <c r="C2450" s="2">
        <v>28</v>
      </c>
      <c r="D2450" s="2">
        <f t="shared" si="380"/>
        <v>71.12</v>
      </c>
      <c r="E2450" s="2">
        <f t="shared" si="381"/>
        <v>22.638199105391195</v>
      </c>
      <c r="F2450" s="2">
        <f t="shared" si="382"/>
        <v>8.91267681314614</v>
      </c>
      <c r="G2450" s="2">
        <v>5.127167</v>
      </c>
      <c r="H2450" s="2">
        <f t="shared" si="383"/>
        <v>16.821414580279999</v>
      </c>
      <c r="I2450" s="2">
        <f>INDEX('Wood Density Lookup'!$B$2:$B$152,MATCH(B2450,'Wood Density Lookup'!$A$2:$A$152,0))</f>
        <v>0.78</v>
      </c>
      <c r="J2450" s="2">
        <f t="shared" si="384"/>
        <v>114.86590567641031</v>
      </c>
      <c r="K2450" s="2">
        <f t="shared" si="388"/>
        <v>32.162453589394886</v>
      </c>
      <c r="L2450" s="2">
        <f t="shared" si="389"/>
        <v>147.02835926580519</v>
      </c>
      <c r="M2450" s="2">
        <f t="shared" si="385"/>
        <v>106.59556046770876</v>
      </c>
      <c r="N2450" s="2">
        <f t="shared" si="386"/>
        <v>53.297780233854382</v>
      </c>
      <c r="O2450" s="2">
        <f t="shared" si="387"/>
        <v>195.60285345824559</v>
      </c>
      <c r="P2450" s="2">
        <v>72.553077000000002</v>
      </c>
      <c r="Q2450" s="2">
        <v>23.038758999999999</v>
      </c>
    </row>
    <row r="2451" spans="1:17" x14ac:dyDescent="0.25">
      <c r="A2451" s="2">
        <v>2636</v>
      </c>
      <c r="B2451" s="2" t="s">
        <v>9</v>
      </c>
      <c r="C2451" s="2">
        <v>47</v>
      </c>
      <c r="D2451" s="2">
        <f t="shared" si="380"/>
        <v>119.38</v>
      </c>
      <c r="E2451" s="2">
        <f t="shared" si="381"/>
        <v>37.999834212620932</v>
      </c>
      <c r="F2451" s="2">
        <f t="shared" si="382"/>
        <v>14.960564650638162</v>
      </c>
      <c r="G2451" s="2">
        <v>11.996392</v>
      </c>
      <c r="H2451" s="2">
        <f t="shared" si="383"/>
        <v>39.358242729280001</v>
      </c>
      <c r="I2451" s="2">
        <f>INDEX('Wood Density Lookup'!$B$2:$B$152,MATCH(B2451,'Wood Density Lookup'!$A$2:$A$152,0))</f>
        <v>0.42</v>
      </c>
      <c r="J2451" s="2">
        <f t="shared" si="384"/>
        <v>395.5429850046803</v>
      </c>
      <c r="K2451" s="2">
        <f t="shared" si="388"/>
        <v>110.7520358013105</v>
      </c>
      <c r="L2451" s="2">
        <f t="shared" si="389"/>
        <v>506.29502080599082</v>
      </c>
      <c r="M2451" s="2">
        <f t="shared" si="385"/>
        <v>367.06389008434331</v>
      </c>
      <c r="N2451" s="2">
        <f t="shared" si="386"/>
        <v>183.53194504217166</v>
      </c>
      <c r="O2451" s="2">
        <f t="shared" si="387"/>
        <v>673.56223830476995</v>
      </c>
      <c r="P2451" s="2">
        <v>72.553079999999994</v>
      </c>
      <c r="Q2451" s="2">
        <v>23.037094</v>
      </c>
    </row>
    <row r="2452" spans="1:17" x14ac:dyDescent="0.25">
      <c r="A2452" s="2">
        <v>2637</v>
      </c>
      <c r="B2452" s="2" t="s">
        <v>9</v>
      </c>
      <c r="C2452" s="2">
        <v>29</v>
      </c>
      <c r="D2452" s="2">
        <f t="shared" si="380"/>
        <v>73.66</v>
      </c>
      <c r="E2452" s="2">
        <f t="shared" si="381"/>
        <v>23.446706216298022</v>
      </c>
      <c r="F2452" s="2">
        <f t="shared" si="382"/>
        <v>9.2309866993299305</v>
      </c>
      <c r="G2452" s="2">
        <v>15.813933</v>
      </c>
      <c r="H2452" s="2">
        <f t="shared" si="383"/>
        <v>51.882983943719999</v>
      </c>
      <c r="I2452" s="2">
        <f>INDEX('Wood Density Lookup'!$B$2:$B$152,MATCH(B2452,'Wood Density Lookup'!$A$2:$A$152,0))</f>
        <v>0.42</v>
      </c>
      <c r="J2452" s="2">
        <f t="shared" si="384"/>
        <v>201.82225944437278</v>
      </c>
      <c r="K2452" s="2">
        <f t="shared" si="388"/>
        <v>56.510232644424384</v>
      </c>
      <c r="L2452" s="2">
        <f t="shared" si="389"/>
        <v>258.33249208879715</v>
      </c>
      <c r="M2452" s="2">
        <f t="shared" si="385"/>
        <v>187.29105676437794</v>
      </c>
      <c r="N2452" s="2">
        <f t="shared" si="386"/>
        <v>93.645528382188971</v>
      </c>
      <c r="O2452" s="2">
        <f t="shared" si="387"/>
        <v>343.67908916263349</v>
      </c>
      <c r="P2452" s="2">
        <v>72.553079999999994</v>
      </c>
      <c r="Q2452" s="2">
        <v>23.036905000000001</v>
      </c>
    </row>
    <row r="2453" spans="1:17" x14ac:dyDescent="0.25">
      <c r="A2453" s="2">
        <v>2638</v>
      </c>
      <c r="B2453" s="2" t="s">
        <v>31</v>
      </c>
      <c r="C2453" s="2">
        <v>5</v>
      </c>
      <c r="D2453" s="2">
        <f t="shared" si="380"/>
        <v>12.7</v>
      </c>
      <c r="E2453" s="2">
        <f t="shared" si="381"/>
        <v>4.0425355545341413</v>
      </c>
      <c r="F2453" s="2">
        <f t="shared" si="382"/>
        <v>1.5915494309189535</v>
      </c>
      <c r="G2453" s="2">
        <v>10.464658</v>
      </c>
      <c r="H2453" s="2">
        <f t="shared" si="383"/>
        <v>34.332868552720001</v>
      </c>
      <c r="I2453" s="2">
        <f>INDEX('Wood Density Lookup'!$B$2:$B$152,MATCH(B2453,'Wood Density Lookup'!$A$2:$A$152,0))</f>
        <v>0.78</v>
      </c>
      <c r="J2453" s="2">
        <f t="shared" si="384"/>
        <v>7.9825077131101994</v>
      </c>
      <c r="K2453" s="2">
        <f t="shared" si="388"/>
        <v>2.235102159670856</v>
      </c>
      <c r="L2453" s="2">
        <f t="shared" si="389"/>
        <v>10.217609872781056</v>
      </c>
      <c r="M2453" s="2">
        <f t="shared" si="385"/>
        <v>7.4077671577662656</v>
      </c>
      <c r="N2453" s="2">
        <f t="shared" si="386"/>
        <v>3.7038835788831328</v>
      </c>
      <c r="O2453" s="2">
        <f t="shared" si="387"/>
        <v>13.593252734501098</v>
      </c>
      <c r="P2453" s="2">
        <v>72.553083999999998</v>
      </c>
      <c r="Q2453" s="2">
        <v>23.037156</v>
      </c>
    </row>
    <row r="2454" spans="1:17" x14ac:dyDescent="0.25">
      <c r="A2454" s="2">
        <v>2639</v>
      </c>
      <c r="B2454" s="2" t="s">
        <v>103</v>
      </c>
      <c r="C2454" s="2">
        <v>4</v>
      </c>
      <c r="D2454" s="2">
        <f t="shared" si="380"/>
        <v>10.16</v>
      </c>
      <c r="E2454" s="2">
        <f t="shared" si="381"/>
        <v>3.2340284436273135</v>
      </c>
      <c r="F2454" s="2">
        <f t="shared" si="382"/>
        <v>1.2732395447351628</v>
      </c>
      <c r="G2454" s="2">
        <v>3.7390669999999999</v>
      </c>
      <c r="H2454" s="2">
        <f t="shared" si="383"/>
        <v>12.267280576279999</v>
      </c>
      <c r="I2454" s="2">
        <f>INDEX('Wood Density Lookup'!$B$2:$B$152,MATCH(B2454,'Wood Density Lookup'!$A$2:$A$152,0))</f>
        <v>0.6</v>
      </c>
      <c r="J2454" s="2">
        <f t="shared" si="384"/>
        <v>1.4639545047634392</v>
      </c>
      <c r="K2454" s="2">
        <f t="shared" si="388"/>
        <v>0.40990726133376304</v>
      </c>
      <c r="L2454" s="2">
        <f t="shared" si="389"/>
        <v>1.8738617660972023</v>
      </c>
      <c r="M2454" s="2">
        <f t="shared" si="385"/>
        <v>1.3585497804204716</v>
      </c>
      <c r="N2454" s="2">
        <f t="shared" si="386"/>
        <v>0.67927489021023579</v>
      </c>
      <c r="O2454" s="2">
        <f t="shared" si="387"/>
        <v>2.4929388470715654</v>
      </c>
      <c r="P2454" s="2">
        <v>72.553084999999996</v>
      </c>
      <c r="Q2454" s="2">
        <v>23.036987</v>
      </c>
    </row>
    <row r="2455" spans="1:17" x14ac:dyDescent="0.25">
      <c r="A2455" s="2">
        <v>2640</v>
      </c>
      <c r="B2455" s="2" t="s">
        <v>9</v>
      </c>
      <c r="C2455" s="2">
        <v>48</v>
      </c>
      <c r="D2455" s="2">
        <f t="shared" si="380"/>
        <v>121.92</v>
      </c>
      <c r="E2455" s="2">
        <f t="shared" si="381"/>
        <v>38.808341323527763</v>
      </c>
      <c r="F2455" s="2">
        <f t="shared" si="382"/>
        <v>15.278874536821952</v>
      </c>
      <c r="G2455" s="2">
        <v>4.9569219999999996</v>
      </c>
      <c r="H2455" s="2">
        <f t="shared" si="383"/>
        <v>16.262867974479999</v>
      </c>
      <c r="I2455" s="2">
        <f>INDEX('Wood Density Lookup'!$B$2:$B$152,MATCH(B2455,'Wood Density Lookup'!$A$2:$A$152,0))</f>
        <v>0.42</v>
      </c>
      <c r="J2455" s="2">
        <f t="shared" si="384"/>
        <v>173.94627198895995</v>
      </c>
      <c r="K2455" s="2">
        <f t="shared" si="388"/>
        <v>48.704956156908793</v>
      </c>
      <c r="L2455" s="2">
        <f t="shared" si="389"/>
        <v>222.65122814586874</v>
      </c>
      <c r="M2455" s="2">
        <f t="shared" si="385"/>
        <v>161.42214040575485</v>
      </c>
      <c r="N2455" s="2">
        <f t="shared" si="386"/>
        <v>80.711070202877423</v>
      </c>
      <c r="O2455" s="2">
        <f t="shared" si="387"/>
        <v>296.20962764456016</v>
      </c>
      <c r="P2455" s="2">
        <v>72.553085999999993</v>
      </c>
      <c r="Q2455" s="2">
        <v>23.037006000000002</v>
      </c>
    </row>
    <row r="2456" spans="1:17" x14ac:dyDescent="0.25">
      <c r="A2456" s="2">
        <v>2641</v>
      </c>
      <c r="B2456" s="2" t="s">
        <v>15</v>
      </c>
      <c r="C2456" s="2">
        <v>11</v>
      </c>
      <c r="D2456" s="2">
        <f t="shared" si="380"/>
        <v>27.94</v>
      </c>
      <c r="E2456" s="2">
        <f t="shared" si="381"/>
        <v>8.8935782199751117</v>
      </c>
      <c r="F2456" s="2">
        <f t="shared" si="382"/>
        <v>3.5014087480216975</v>
      </c>
      <c r="G2456" s="2">
        <v>16.991727000000001</v>
      </c>
      <c r="H2456" s="2">
        <f t="shared" si="383"/>
        <v>55.747137610679999</v>
      </c>
      <c r="I2456" s="2">
        <f>INDEX('Wood Density Lookup'!$B$2:$B$152,MATCH(B2456,'Wood Density Lookup'!$A$2:$A$152,0))</f>
        <v>0.75</v>
      </c>
      <c r="J2456" s="2">
        <f t="shared" si="384"/>
        <v>57.462440008046464</v>
      </c>
      <c r="K2456" s="2">
        <f t="shared" si="388"/>
        <v>16.08948320225301</v>
      </c>
      <c r="L2456" s="2">
        <f t="shared" si="389"/>
        <v>73.551923210299478</v>
      </c>
      <c r="M2456" s="2">
        <f t="shared" si="385"/>
        <v>53.325144327467122</v>
      </c>
      <c r="N2456" s="2">
        <f t="shared" si="386"/>
        <v>26.662572163733561</v>
      </c>
      <c r="O2456" s="2">
        <f t="shared" si="387"/>
        <v>97.851639840902166</v>
      </c>
      <c r="P2456" s="2">
        <v>72.553085999999993</v>
      </c>
      <c r="Q2456" s="2">
        <v>23.037072999999999</v>
      </c>
    </row>
    <row r="2457" spans="1:17" x14ac:dyDescent="0.25">
      <c r="A2457" s="2">
        <v>2642</v>
      </c>
      <c r="B2457" s="2" t="s">
        <v>31</v>
      </c>
      <c r="C2457" s="2">
        <v>4</v>
      </c>
      <c r="D2457" s="2">
        <f t="shared" si="380"/>
        <v>10.16</v>
      </c>
      <c r="E2457" s="2">
        <f t="shared" si="381"/>
        <v>3.2340284436273135</v>
      </c>
      <c r="F2457" s="2">
        <f t="shared" si="382"/>
        <v>1.2732395447351628</v>
      </c>
      <c r="G2457" s="2">
        <v>4.8424709999999997</v>
      </c>
      <c r="H2457" s="2">
        <f t="shared" si="383"/>
        <v>15.887372555639999</v>
      </c>
      <c r="I2457" s="2">
        <f>INDEX('Wood Density Lookup'!$B$2:$B$152,MATCH(B2457,'Wood Density Lookup'!$A$2:$A$152,0))</f>
        <v>0.78</v>
      </c>
      <c r="J2457" s="2">
        <f t="shared" si="384"/>
        <v>2.4341356820070823</v>
      </c>
      <c r="K2457" s="2">
        <f t="shared" si="388"/>
        <v>0.68155799096198311</v>
      </c>
      <c r="L2457" s="2">
        <f t="shared" si="389"/>
        <v>3.1156936729690656</v>
      </c>
      <c r="M2457" s="2">
        <f t="shared" si="385"/>
        <v>2.2588779129025727</v>
      </c>
      <c r="N2457" s="2">
        <f t="shared" si="386"/>
        <v>1.1294389564512863</v>
      </c>
      <c r="O2457" s="2">
        <f t="shared" si="387"/>
        <v>4.145040970176221</v>
      </c>
      <c r="P2457" s="2">
        <v>72.553089</v>
      </c>
      <c r="Q2457" s="2">
        <v>23.036978000000001</v>
      </c>
    </row>
    <row r="2458" spans="1:17" x14ac:dyDescent="0.25">
      <c r="A2458" s="2">
        <v>2643</v>
      </c>
      <c r="B2458" s="2" t="s">
        <v>128</v>
      </c>
      <c r="C2458" s="2">
        <v>52</v>
      </c>
      <c r="D2458" s="2">
        <f t="shared" si="380"/>
        <v>132.08000000000001</v>
      </c>
      <c r="E2458" s="2">
        <f t="shared" si="381"/>
        <v>42.04236976715508</v>
      </c>
      <c r="F2458" s="2">
        <f t="shared" si="382"/>
        <v>16.552114081557114</v>
      </c>
      <c r="G2458" s="2">
        <v>8.1898599999999995</v>
      </c>
      <c r="H2458" s="2">
        <f t="shared" si="383"/>
        <v>26.8696202824</v>
      </c>
      <c r="I2458" s="2">
        <f>INDEX('Wood Density Lookup'!$B$2:$B$152,MATCH(B2458,'Wood Density Lookup'!$A$2:$A$152,0))</f>
        <v>0.75</v>
      </c>
      <c r="J2458" s="2">
        <f t="shared" si="384"/>
        <v>584.61518246711432</v>
      </c>
      <c r="K2458" s="2">
        <f t="shared" si="388"/>
        <v>163.69225109079201</v>
      </c>
      <c r="L2458" s="2">
        <f t="shared" si="389"/>
        <v>748.30743355790628</v>
      </c>
      <c r="M2458" s="2">
        <f t="shared" si="385"/>
        <v>542.52288932948204</v>
      </c>
      <c r="N2458" s="2">
        <f t="shared" si="386"/>
        <v>271.26144466474102</v>
      </c>
      <c r="O2458" s="2">
        <f t="shared" si="387"/>
        <v>995.52950191959951</v>
      </c>
      <c r="P2458" s="2">
        <v>72.553094000000002</v>
      </c>
      <c r="Q2458" s="2">
        <v>23.038422000000001</v>
      </c>
    </row>
    <row r="2459" spans="1:17" x14ac:dyDescent="0.25">
      <c r="A2459" s="2">
        <v>2644</v>
      </c>
      <c r="B2459" s="2" t="s">
        <v>115</v>
      </c>
      <c r="C2459" s="2">
        <v>4</v>
      </c>
      <c r="D2459" s="2">
        <f t="shared" si="380"/>
        <v>10.16</v>
      </c>
      <c r="E2459" s="2">
        <f t="shared" si="381"/>
        <v>3.2340284436273135</v>
      </c>
      <c r="F2459" s="2">
        <f t="shared" si="382"/>
        <v>1.2732395447351628</v>
      </c>
      <c r="G2459" s="2">
        <v>4.032845</v>
      </c>
      <c r="H2459" s="2">
        <f t="shared" si="383"/>
        <v>13.231119189799999</v>
      </c>
      <c r="I2459" s="2">
        <f>INDEX('Wood Density Lookup'!$B$2:$B$152,MATCH(B2459,'Wood Density Lookup'!$A$2:$A$152,0))</f>
        <v>0.65</v>
      </c>
      <c r="J2459" s="2">
        <f t="shared" si="384"/>
        <v>1.7041794360555653</v>
      </c>
      <c r="K2459" s="2">
        <f t="shared" si="388"/>
        <v>0.47717024209555836</v>
      </c>
      <c r="L2459" s="2">
        <f t="shared" si="389"/>
        <v>2.1813496781511237</v>
      </c>
      <c r="M2459" s="2">
        <f t="shared" si="385"/>
        <v>1.5814785166595646</v>
      </c>
      <c r="N2459" s="2">
        <f t="shared" si="386"/>
        <v>0.79073925832978231</v>
      </c>
      <c r="O2459" s="2">
        <f t="shared" si="387"/>
        <v>2.9020130780703011</v>
      </c>
      <c r="P2459" s="2">
        <v>72.553096999999994</v>
      </c>
      <c r="Q2459" s="2">
        <v>23.038765999999999</v>
      </c>
    </row>
    <row r="2460" spans="1:17" x14ac:dyDescent="0.25">
      <c r="A2460" s="2">
        <v>2645</v>
      </c>
      <c r="B2460" s="2" t="s">
        <v>15</v>
      </c>
      <c r="C2460" s="2">
        <v>35</v>
      </c>
      <c r="D2460" s="2">
        <f t="shared" si="380"/>
        <v>88.9</v>
      </c>
      <c r="E2460" s="2">
        <f t="shared" si="381"/>
        <v>28.297748881738993</v>
      </c>
      <c r="F2460" s="2">
        <f t="shared" si="382"/>
        <v>11.140846016432674</v>
      </c>
      <c r="G2460" s="2">
        <v>8.2388209999999997</v>
      </c>
      <c r="H2460" s="2">
        <f t="shared" si="383"/>
        <v>27.03025348964</v>
      </c>
      <c r="I2460" s="2">
        <f>INDEX('Wood Density Lookup'!$B$2:$B$152,MATCH(B2460,'Wood Density Lookup'!$A$2:$A$152,0))</f>
        <v>0.75</v>
      </c>
      <c r="J2460" s="2">
        <f t="shared" si="384"/>
        <v>271.50563578336681</v>
      </c>
      <c r="K2460" s="2">
        <f t="shared" si="388"/>
        <v>76.021578019342712</v>
      </c>
      <c r="L2460" s="2">
        <f t="shared" si="389"/>
        <v>347.52721380270953</v>
      </c>
      <c r="M2460" s="2">
        <f t="shared" si="385"/>
        <v>251.95723000696441</v>
      </c>
      <c r="N2460" s="2">
        <f t="shared" si="386"/>
        <v>125.9786150034822</v>
      </c>
      <c r="O2460" s="2">
        <f t="shared" si="387"/>
        <v>462.3415170627797</v>
      </c>
      <c r="P2460" s="2">
        <v>72.553107999999995</v>
      </c>
      <c r="Q2460" s="2">
        <v>23.038205999999999</v>
      </c>
    </row>
    <row r="2461" spans="1:17" x14ac:dyDescent="0.25">
      <c r="A2461" s="2">
        <v>2646</v>
      </c>
      <c r="B2461" s="2" t="s">
        <v>128</v>
      </c>
      <c r="C2461" s="2">
        <v>43</v>
      </c>
      <c r="D2461" s="2">
        <f t="shared" si="380"/>
        <v>109.22</v>
      </c>
      <c r="E2461" s="2">
        <f t="shared" si="381"/>
        <v>34.765805768993616</v>
      </c>
      <c r="F2461" s="2">
        <f t="shared" si="382"/>
        <v>13.687325105903</v>
      </c>
      <c r="G2461" s="2">
        <v>10.489186999999999</v>
      </c>
      <c r="H2461" s="2">
        <f t="shared" si="383"/>
        <v>34.41334427708</v>
      </c>
      <c r="I2461" s="2">
        <f>INDEX('Wood Density Lookup'!$B$2:$B$152,MATCH(B2461,'Wood Density Lookup'!$A$2:$A$152,0))</f>
        <v>0.75</v>
      </c>
      <c r="J2461" s="2">
        <f t="shared" si="384"/>
        <v>513.62738404336153</v>
      </c>
      <c r="K2461" s="2">
        <f t="shared" si="388"/>
        <v>143.81566753214125</v>
      </c>
      <c r="L2461" s="2">
        <f t="shared" si="389"/>
        <v>657.44305157550275</v>
      </c>
      <c r="M2461" s="2">
        <f t="shared" si="385"/>
        <v>476.64621239223948</v>
      </c>
      <c r="N2461" s="2">
        <f t="shared" si="386"/>
        <v>238.32310619611974</v>
      </c>
      <c r="O2461" s="2">
        <f t="shared" si="387"/>
        <v>874.64579973975947</v>
      </c>
      <c r="P2461" s="2">
        <v>72.553110000000004</v>
      </c>
      <c r="Q2461" s="2">
        <v>23.036698999999999</v>
      </c>
    </row>
    <row r="2462" spans="1:17" x14ac:dyDescent="0.25">
      <c r="A2462" s="2">
        <v>2647</v>
      </c>
      <c r="B2462" s="2" t="s">
        <v>50</v>
      </c>
      <c r="C2462" s="2">
        <v>25</v>
      </c>
      <c r="D2462" s="2">
        <f t="shared" si="380"/>
        <v>63.5</v>
      </c>
      <c r="E2462" s="2">
        <f t="shared" si="381"/>
        <v>20.212677772670709</v>
      </c>
      <c r="F2462" s="2">
        <f t="shared" si="382"/>
        <v>7.9577471545947667</v>
      </c>
      <c r="G2462" s="2">
        <v>10.317068000000001</v>
      </c>
      <c r="H2462" s="2">
        <f t="shared" si="383"/>
        <v>33.848649377120005</v>
      </c>
      <c r="I2462" s="2">
        <f>INDEX('Wood Density Lookup'!$B$2:$B$152,MATCH(B2462,'Wood Density Lookup'!$A$2:$A$152,0))</f>
        <v>0.5</v>
      </c>
      <c r="J2462" s="2">
        <f t="shared" si="384"/>
        <v>118.03708905091106</v>
      </c>
      <c r="K2462" s="2">
        <f t="shared" si="388"/>
        <v>33.050384934255099</v>
      </c>
      <c r="L2462" s="2">
        <f t="shared" si="389"/>
        <v>151.08747398516616</v>
      </c>
      <c r="M2462" s="2">
        <f t="shared" si="385"/>
        <v>109.53841863924546</v>
      </c>
      <c r="N2462" s="2">
        <f t="shared" si="386"/>
        <v>54.769209319622732</v>
      </c>
      <c r="O2462" s="2">
        <f t="shared" si="387"/>
        <v>201.00299820301541</v>
      </c>
      <c r="P2462" s="2">
        <v>72.553111000000001</v>
      </c>
      <c r="Q2462" s="2">
        <v>23.037928999999998</v>
      </c>
    </row>
    <row r="2463" spans="1:17" x14ac:dyDescent="0.25">
      <c r="A2463" s="2">
        <v>2648</v>
      </c>
      <c r="B2463" s="2" t="s">
        <v>115</v>
      </c>
      <c r="C2463" s="2">
        <v>25</v>
      </c>
      <c r="D2463" s="2">
        <f t="shared" si="380"/>
        <v>63.5</v>
      </c>
      <c r="E2463" s="2">
        <f t="shared" si="381"/>
        <v>20.212677772670709</v>
      </c>
      <c r="F2463" s="2">
        <f t="shared" si="382"/>
        <v>7.9577471545947667</v>
      </c>
      <c r="G2463" s="2">
        <v>9.2075700000000005</v>
      </c>
      <c r="H2463" s="2">
        <f t="shared" si="383"/>
        <v>30.208563958800003</v>
      </c>
      <c r="I2463" s="2">
        <f>INDEX('Wood Density Lookup'!$B$2:$B$152,MATCH(B2463,'Wood Density Lookup'!$A$2:$A$152,0))</f>
        <v>0.65</v>
      </c>
      <c r="J2463" s="2">
        <f t="shared" si="384"/>
        <v>136.45888209614299</v>
      </c>
      <c r="K2463" s="2">
        <f t="shared" si="388"/>
        <v>38.208486986920043</v>
      </c>
      <c r="L2463" s="2">
        <f t="shared" si="389"/>
        <v>174.66736908306302</v>
      </c>
      <c r="M2463" s="2">
        <f t="shared" si="385"/>
        <v>126.63384258522069</v>
      </c>
      <c r="N2463" s="2">
        <f t="shared" si="386"/>
        <v>63.316921292610346</v>
      </c>
      <c r="O2463" s="2">
        <f t="shared" si="387"/>
        <v>232.37310114387995</v>
      </c>
      <c r="P2463" s="2">
        <v>72.553112999999996</v>
      </c>
      <c r="Q2463" s="2">
        <v>23.038156000000001</v>
      </c>
    </row>
    <row r="2464" spans="1:17" x14ac:dyDescent="0.25">
      <c r="A2464" s="2">
        <v>2649</v>
      </c>
      <c r="B2464" s="2" t="s">
        <v>31</v>
      </c>
      <c r="C2464" s="2">
        <v>2</v>
      </c>
      <c r="D2464" s="2">
        <f t="shared" si="380"/>
        <v>5.08</v>
      </c>
      <c r="E2464" s="2">
        <f t="shared" si="381"/>
        <v>1.6170142218136567</v>
      </c>
      <c r="F2464" s="2">
        <f t="shared" si="382"/>
        <v>0.63661977236758138</v>
      </c>
      <c r="G2464" s="2">
        <v>1.04924</v>
      </c>
      <c r="H2464" s="2">
        <f t="shared" si="383"/>
        <v>3.4423885615999996</v>
      </c>
      <c r="I2464" s="2">
        <f>INDEX('Wood Density Lookup'!$B$2:$B$152,MATCH(B2464,'Wood Density Lookup'!$A$2:$A$152,0))</f>
        <v>0.78</v>
      </c>
      <c r="J2464" s="2">
        <f t="shared" si="384"/>
        <v>0.14141082434485042</v>
      </c>
      <c r="K2464" s="2">
        <f t="shared" si="388"/>
        <v>3.9595030816558123E-2</v>
      </c>
      <c r="L2464" s="2">
        <f t="shared" si="389"/>
        <v>0.18100585516140855</v>
      </c>
      <c r="M2464" s="2">
        <f t="shared" si="385"/>
        <v>0.13122924499202118</v>
      </c>
      <c r="N2464" s="2">
        <f t="shared" si="386"/>
        <v>6.5614622496010591E-2</v>
      </c>
      <c r="O2464" s="2">
        <f t="shared" si="387"/>
        <v>0.24080566456035887</v>
      </c>
      <c r="P2464" s="2">
        <v>72.553113999999994</v>
      </c>
      <c r="Q2464" s="2">
        <v>23.035848999999999</v>
      </c>
    </row>
    <row r="2465" spans="1:17" x14ac:dyDescent="0.25">
      <c r="A2465" s="2">
        <v>2650</v>
      </c>
      <c r="B2465" s="2" t="s">
        <v>143</v>
      </c>
      <c r="C2465" s="2">
        <v>6</v>
      </c>
      <c r="D2465" s="2">
        <f t="shared" si="380"/>
        <v>15.24</v>
      </c>
      <c r="E2465" s="2">
        <f t="shared" si="381"/>
        <v>4.8510426654409704</v>
      </c>
      <c r="F2465" s="2">
        <f t="shared" si="382"/>
        <v>1.909859317102744</v>
      </c>
      <c r="G2465" s="2">
        <v>11.739355</v>
      </c>
      <c r="H2465" s="2">
        <f t="shared" si="383"/>
        <v>38.514945458199996</v>
      </c>
      <c r="I2465" s="2">
        <f>INDEX('Wood Density Lookup'!$B$2:$B$152,MATCH(B2465,'Wood Density Lookup'!$A$2:$A$152,0))</f>
        <v>0.75</v>
      </c>
      <c r="J2465" s="2">
        <f t="shared" si="384"/>
        <v>12.268677079858731</v>
      </c>
      <c r="K2465" s="2">
        <f t="shared" si="388"/>
        <v>3.4352295823604453</v>
      </c>
      <c r="L2465" s="2">
        <f t="shared" si="389"/>
        <v>15.703906662219177</v>
      </c>
      <c r="M2465" s="2">
        <f t="shared" si="385"/>
        <v>11.385332330108904</v>
      </c>
      <c r="N2465" s="2">
        <f t="shared" si="386"/>
        <v>5.6926661650544519</v>
      </c>
      <c r="O2465" s="2">
        <f t="shared" si="387"/>
        <v>20.892084825749837</v>
      </c>
      <c r="P2465" s="2">
        <v>72.553120000000007</v>
      </c>
      <c r="Q2465" s="2">
        <v>23.037865</v>
      </c>
    </row>
    <row r="2466" spans="1:17" x14ac:dyDescent="0.25">
      <c r="A2466" s="2">
        <v>2651</v>
      </c>
      <c r="B2466" s="2" t="s">
        <v>83</v>
      </c>
      <c r="C2466" s="2">
        <v>68</v>
      </c>
      <c r="D2466" s="2">
        <f t="shared" si="380"/>
        <v>172.72</v>
      </c>
      <c r="E2466" s="2">
        <f t="shared" si="381"/>
        <v>54.978483541664325</v>
      </c>
      <c r="F2466" s="2">
        <f t="shared" si="382"/>
        <v>21.645072260497766</v>
      </c>
      <c r="G2466" s="2">
        <v>11.608352</v>
      </c>
      <c r="H2466" s="2">
        <f t="shared" si="383"/>
        <v>38.085145575680002</v>
      </c>
      <c r="I2466" s="2">
        <f>INDEX('Wood Density Lookup'!$B$2:$B$152,MATCH(B2466,'Wood Density Lookup'!$A$2:$A$152,0))</f>
        <v>0.85</v>
      </c>
      <c r="J2466" s="2">
        <f t="shared" si="384"/>
        <v>1567.4737326328543</v>
      </c>
      <c r="K2466" s="2">
        <f t="shared" si="388"/>
        <v>438.89264513719922</v>
      </c>
      <c r="L2466" s="2">
        <f t="shared" si="389"/>
        <v>2006.3663777700535</v>
      </c>
      <c r="M2466" s="2">
        <f t="shared" si="385"/>
        <v>1454.6156238832887</v>
      </c>
      <c r="N2466" s="2">
        <f t="shared" si="386"/>
        <v>727.30781194164433</v>
      </c>
      <c r="O2466" s="2">
        <f t="shared" si="387"/>
        <v>2669.2196698258344</v>
      </c>
      <c r="P2466" s="2">
        <v>72.553121000000004</v>
      </c>
      <c r="Q2466" s="2">
        <v>23.035563</v>
      </c>
    </row>
    <row r="2467" spans="1:17" x14ac:dyDescent="0.25">
      <c r="A2467" s="2">
        <v>2652</v>
      </c>
      <c r="B2467" s="2" t="s">
        <v>15</v>
      </c>
      <c r="C2467" s="2">
        <v>25</v>
      </c>
      <c r="D2467" s="2">
        <f t="shared" si="380"/>
        <v>63.5</v>
      </c>
      <c r="E2467" s="2">
        <f t="shared" si="381"/>
        <v>20.212677772670709</v>
      </c>
      <c r="F2467" s="2">
        <f t="shared" si="382"/>
        <v>7.9577471545947667</v>
      </c>
      <c r="G2467" s="2">
        <v>9.4453250000000004</v>
      </c>
      <c r="H2467" s="2">
        <f t="shared" si="383"/>
        <v>30.988600073000001</v>
      </c>
      <c r="I2467" s="2">
        <f>INDEX('Wood Density Lookup'!$B$2:$B$152,MATCH(B2467,'Wood Density Lookup'!$A$2:$A$152,0))</f>
        <v>0.75</v>
      </c>
      <c r="J2467" s="2">
        <f t="shared" si="384"/>
        <v>160.86602027811611</v>
      </c>
      <c r="K2467" s="2">
        <f t="shared" si="388"/>
        <v>45.042485677872513</v>
      </c>
      <c r="L2467" s="2">
        <f t="shared" si="389"/>
        <v>205.90850595598863</v>
      </c>
      <c r="M2467" s="2">
        <f t="shared" si="385"/>
        <v>149.28366681809175</v>
      </c>
      <c r="N2467" s="2">
        <f t="shared" si="386"/>
        <v>74.641833409045873</v>
      </c>
      <c r="O2467" s="2">
        <f t="shared" si="387"/>
        <v>273.93552861119832</v>
      </c>
      <c r="P2467" s="2">
        <v>72.553124999999994</v>
      </c>
      <c r="Q2467" s="2">
        <v>23.037548999999999</v>
      </c>
    </row>
    <row r="2468" spans="1:17" x14ac:dyDescent="0.25">
      <c r="A2468" s="2">
        <v>2653</v>
      </c>
      <c r="B2468" s="2" t="s">
        <v>15</v>
      </c>
      <c r="C2468" s="2">
        <v>52</v>
      </c>
      <c r="D2468" s="2">
        <f t="shared" si="380"/>
        <v>132.08000000000001</v>
      </c>
      <c r="E2468" s="2">
        <f t="shared" si="381"/>
        <v>42.04236976715508</v>
      </c>
      <c r="F2468" s="2">
        <f t="shared" si="382"/>
        <v>16.552114081557114</v>
      </c>
      <c r="G2468" s="2">
        <v>13.430918</v>
      </c>
      <c r="H2468" s="2">
        <f t="shared" si="383"/>
        <v>44.064693011119999</v>
      </c>
      <c r="I2468" s="2">
        <f>INDEX('Wood Density Lookup'!$B$2:$B$152,MATCH(B2468,'Wood Density Lookup'!$A$2:$A$152,0))</f>
        <v>0.75</v>
      </c>
      <c r="J2468" s="2">
        <f t="shared" si="384"/>
        <v>947.42187577223797</v>
      </c>
      <c r="K2468" s="2">
        <f t="shared" si="388"/>
        <v>265.27812521622667</v>
      </c>
      <c r="L2468" s="2">
        <f t="shared" si="389"/>
        <v>1212.7000009884646</v>
      </c>
      <c r="M2468" s="2">
        <f t="shared" si="385"/>
        <v>879.20750071663679</v>
      </c>
      <c r="N2468" s="2">
        <f t="shared" si="386"/>
        <v>439.60375035831839</v>
      </c>
      <c r="O2468" s="2">
        <f t="shared" si="387"/>
        <v>1613.3457638150285</v>
      </c>
      <c r="P2468" s="2">
        <v>72.553124999999994</v>
      </c>
      <c r="Q2468" s="2">
        <v>23.037652000000001</v>
      </c>
    </row>
    <row r="2469" spans="1:17" x14ac:dyDescent="0.25">
      <c r="A2469" s="2">
        <v>2654</v>
      </c>
      <c r="B2469" s="2" t="s">
        <v>15</v>
      </c>
      <c r="C2469" s="2">
        <v>78</v>
      </c>
      <c r="D2469" s="2">
        <f t="shared" si="380"/>
        <v>198.12</v>
      </c>
      <c r="E2469" s="2">
        <f t="shared" si="381"/>
        <v>63.063554650732613</v>
      </c>
      <c r="F2469" s="2">
        <f t="shared" si="382"/>
        <v>24.828171122335672</v>
      </c>
      <c r="G2469" s="2">
        <v>13.013996000000001</v>
      </c>
      <c r="H2469" s="2">
        <f t="shared" si="383"/>
        <v>42.696838636640003</v>
      </c>
      <c r="I2469" s="2">
        <f>INDEX('Wood Density Lookup'!$B$2:$B$152,MATCH(B2469,'Wood Density Lookup'!$A$2:$A$152,0))</f>
        <v>0.75</v>
      </c>
      <c r="J2469" s="2">
        <f t="shared" si="384"/>
        <v>2027.2494811959591</v>
      </c>
      <c r="K2469" s="2">
        <f t="shared" si="388"/>
        <v>567.62985473486856</v>
      </c>
      <c r="L2469" s="2">
        <f t="shared" si="389"/>
        <v>2594.8793359308274</v>
      </c>
      <c r="M2469" s="2">
        <f t="shared" si="385"/>
        <v>1881.2875185498499</v>
      </c>
      <c r="N2469" s="2">
        <f t="shared" si="386"/>
        <v>940.64375927492495</v>
      </c>
      <c r="O2469" s="2">
        <f t="shared" si="387"/>
        <v>3452.1625965389744</v>
      </c>
      <c r="P2469" s="2">
        <v>72.553129999999996</v>
      </c>
      <c r="Q2469" s="2">
        <v>23.037811000000001</v>
      </c>
    </row>
    <row r="2470" spans="1:17" x14ac:dyDescent="0.25">
      <c r="A2470" s="2">
        <v>2655</v>
      </c>
      <c r="B2470" s="2" t="s">
        <v>15</v>
      </c>
      <c r="C2470" s="2">
        <v>34</v>
      </c>
      <c r="D2470" s="2">
        <f t="shared" si="380"/>
        <v>86.36</v>
      </c>
      <c r="E2470" s="2">
        <f t="shared" si="381"/>
        <v>27.489241770832162</v>
      </c>
      <c r="F2470" s="2">
        <f t="shared" si="382"/>
        <v>10.822536130248883</v>
      </c>
      <c r="G2470" s="2">
        <v>7.3131149999999998</v>
      </c>
      <c r="H2470" s="2">
        <f t="shared" si="383"/>
        <v>23.9931602166</v>
      </c>
      <c r="I2470" s="2">
        <f>INDEX('Wood Density Lookup'!$B$2:$B$152,MATCH(B2470,'Wood Density Lookup'!$A$2:$A$152,0))</f>
        <v>0.75</v>
      </c>
      <c r="J2470" s="2">
        <f t="shared" si="384"/>
        <v>228.39390598684341</v>
      </c>
      <c r="K2470" s="2">
        <f t="shared" si="388"/>
        <v>63.950293676316157</v>
      </c>
      <c r="L2470" s="2">
        <f t="shared" si="389"/>
        <v>292.34419966315954</v>
      </c>
      <c r="M2470" s="2">
        <f t="shared" si="385"/>
        <v>211.94954475579067</v>
      </c>
      <c r="N2470" s="2">
        <f t="shared" si="386"/>
        <v>105.97477237789533</v>
      </c>
      <c r="O2470" s="2">
        <f t="shared" si="387"/>
        <v>388.92741462687587</v>
      </c>
      <c r="P2470" s="2">
        <v>72.553132000000005</v>
      </c>
      <c r="Q2470" s="2">
        <v>23.038729</v>
      </c>
    </row>
    <row r="2471" spans="1:17" x14ac:dyDescent="0.25">
      <c r="A2471" s="2">
        <v>2656</v>
      </c>
      <c r="B2471" s="2" t="s">
        <v>15</v>
      </c>
      <c r="C2471" s="2">
        <v>31</v>
      </c>
      <c r="D2471" s="2">
        <f t="shared" si="380"/>
        <v>78.739999999999995</v>
      </c>
      <c r="E2471" s="2">
        <f t="shared" si="381"/>
        <v>25.063720438111677</v>
      </c>
      <c r="F2471" s="2">
        <f t="shared" si="382"/>
        <v>9.8676064716975116</v>
      </c>
      <c r="G2471" s="2">
        <v>11.270114</v>
      </c>
      <c r="H2471" s="2">
        <f t="shared" si="383"/>
        <v>36.975440815759995</v>
      </c>
      <c r="I2471" s="2">
        <f>INDEX('Wood Density Lookup'!$B$2:$B$152,MATCH(B2471,'Wood Density Lookup'!$A$2:$A$152,0))</f>
        <v>0.75</v>
      </c>
      <c r="J2471" s="2">
        <f t="shared" si="384"/>
        <v>290.86654793294002</v>
      </c>
      <c r="K2471" s="2">
        <f t="shared" si="388"/>
        <v>81.442633421223221</v>
      </c>
      <c r="L2471" s="2">
        <f t="shared" si="389"/>
        <v>372.30918135416323</v>
      </c>
      <c r="M2471" s="2">
        <f t="shared" si="385"/>
        <v>269.92415648176831</v>
      </c>
      <c r="N2471" s="2">
        <f t="shared" si="386"/>
        <v>134.96207824088415</v>
      </c>
      <c r="O2471" s="2">
        <f t="shared" si="387"/>
        <v>495.31082714404482</v>
      </c>
      <c r="P2471" s="2">
        <v>72.553138000000004</v>
      </c>
      <c r="Q2471" s="2">
        <v>23.037481</v>
      </c>
    </row>
    <row r="2472" spans="1:17" x14ac:dyDescent="0.25">
      <c r="A2472" s="2">
        <v>2657</v>
      </c>
      <c r="B2472" s="2" t="s">
        <v>15</v>
      </c>
      <c r="C2472" s="2">
        <v>75</v>
      </c>
      <c r="D2472" s="2">
        <f t="shared" si="380"/>
        <v>190.5</v>
      </c>
      <c r="E2472" s="2">
        <f t="shared" si="381"/>
        <v>60.638033318012127</v>
      </c>
      <c r="F2472" s="2">
        <f t="shared" si="382"/>
        <v>23.8732414637843</v>
      </c>
      <c r="G2472" s="2">
        <v>12.474269</v>
      </c>
      <c r="H2472" s="2">
        <f t="shared" si="383"/>
        <v>40.926080705959997</v>
      </c>
      <c r="I2472" s="2">
        <f>INDEX('Wood Density Lookup'!$B$2:$B$152,MATCH(B2472,'Wood Density Lookup'!$A$2:$A$152,0))</f>
        <v>0.75</v>
      </c>
      <c r="J2472" s="2">
        <f t="shared" si="384"/>
        <v>1801.7894902311143</v>
      </c>
      <c r="K2472" s="2">
        <f t="shared" si="388"/>
        <v>504.50105726471207</v>
      </c>
      <c r="L2472" s="2">
        <f t="shared" si="389"/>
        <v>2306.2905474958266</v>
      </c>
      <c r="M2472" s="2">
        <f t="shared" si="385"/>
        <v>1672.0606469344741</v>
      </c>
      <c r="N2472" s="2">
        <f t="shared" si="386"/>
        <v>836.03032346723705</v>
      </c>
      <c r="O2472" s="2">
        <f t="shared" si="387"/>
        <v>3068.23128712476</v>
      </c>
      <c r="P2472" s="2">
        <v>72.553139000000002</v>
      </c>
      <c r="Q2472" s="2">
        <v>23.037745000000001</v>
      </c>
    </row>
    <row r="2473" spans="1:17" x14ac:dyDescent="0.25">
      <c r="A2473" s="2">
        <v>2658</v>
      </c>
      <c r="B2473" s="2" t="s">
        <v>15</v>
      </c>
      <c r="C2473" s="2">
        <v>22</v>
      </c>
      <c r="D2473" s="2">
        <f t="shared" si="380"/>
        <v>55.88</v>
      </c>
      <c r="E2473" s="2">
        <f t="shared" si="381"/>
        <v>17.787156439950223</v>
      </c>
      <c r="F2473" s="2">
        <f t="shared" si="382"/>
        <v>7.0028174960433951</v>
      </c>
      <c r="G2473" s="2">
        <v>9.1659539999999993</v>
      </c>
      <c r="H2473" s="2">
        <f t="shared" si="383"/>
        <v>30.072028521359996</v>
      </c>
      <c r="I2473" s="2">
        <f>INDEX('Wood Density Lookup'!$B$2:$B$152,MATCH(B2473,'Wood Density Lookup'!$A$2:$A$152,0))</f>
        <v>0.75</v>
      </c>
      <c r="J2473" s="2">
        <f t="shared" si="384"/>
        <v>121.7217542635006</v>
      </c>
      <c r="K2473" s="2">
        <f t="shared" si="388"/>
        <v>34.082091193780172</v>
      </c>
      <c r="L2473" s="2">
        <f t="shared" si="389"/>
        <v>155.80384545728077</v>
      </c>
      <c r="M2473" s="2">
        <f t="shared" si="385"/>
        <v>112.95778795652856</v>
      </c>
      <c r="N2473" s="2">
        <f t="shared" si="386"/>
        <v>56.478893978264281</v>
      </c>
      <c r="O2473" s="2">
        <f t="shared" si="387"/>
        <v>207.27754090022992</v>
      </c>
      <c r="P2473" s="2">
        <v>72.553143000000006</v>
      </c>
      <c r="Q2473" s="2">
        <v>23.038640999999998</v>
      </c>
    </row>
    <row r="2474" spans="1:17" x14ac:dyDescent="0.25">
      <c r="A2474" s="2">
        <v>2659</v>
      </c>
      <c r="B2474" s="2" t="s">
        <v>83</v>
      </c>
      <c r="C2474" s="2">
        <v>47</v>
      </c>
      <c r="D2474" s="2">
        <f t="shared" si="380"/>
        <v>119.38</v>
      </c>
      <c r="E2474" s="2">
        <f t="shared" si="381"/>
        <v>37.999834212620932</v>
      </c>
      <c r="F2474" s="2">
        <f t="shared" si="382"/>
        <v>14.960564650638162</v>
      </c>
      <c r="G2474" s="2">
        <v>12.172597</v>
      </c>
      <c r="H2474" s="2">
        <f t="shared" si="383"/>
        <v>39.936343141480002</v>
      </c>
      <c r="I2474" s="2">
        <f>INDEX('Wood Density Lookup'!$B$2:$B$152,MATCH(B2474,'Wood Density Lookup'!$A$2:$A$152,0))</f>
        <v>0.85</v>
      </c>
      <c r="J2474" s="2">
        <f t="shared" si="384"/>
        <v>798.35465869057055</v>
      </c>
      <c r="K2474" s="2">
        <f t="shared" si="388"/>
        <v>223.53930443335977</v>
      </c>
      <c r="L2474" s="2">
        <f t="shared" si="389"/>
        <v>1021.8939631239303</v>
      </c>
      <c r="M2474" s="2">
        <f t="shared" si="385"/>
        <v>740.87312326484948</v>
      </c>
      <c r="N2474" s="2">
        <f t="shared" si="386"/>
        <v>370.43656163242474</v>
      </c>
      <c r="O2474" s="2">
        <f t="shared" si="387"/>
        <v>1359.5021811909987</v>
      </c>
      <c r="P2474" s="2">
        <v>72.553145999999998</v>
      </c>
      <c r="Q2474" s="2">
        <v>23.035848999999999</v>
      </c>
    </row>
    <row r="2475" spans="1:17" x14ac:dyDescent="0.25">
      <c r="A2475" s="2">
        <v>2660</v>
      </c>
      <c r="B2475" s="2" t="s">
        <v>72</v>
      </c>
      <c r="C2475" s="2">
        <v>76</v>
      </c>
      <c r="D2475" s="2">
        <f t="shared" si="380"/>
        <v>193.04</v>
      </c>
      <c r="E2475" s="2">
        <f t="shared" si="381"/>
        <v>61.446540428918951</v>
      </c>
      <c r="F2475" s="2">
        <f t="shared" si="382"/>
        <v>24.191551349968091</v>
      </c>
      <c r="G2475" s="2">
        <v>15.328308</v>
      </c>
      <c r="H2475" s="2">
        <f t="shared" si="383"/>
        <v>50.289726018719996</v>
      </c>
      <c r="I2475" s="2">
        <f>INDEX('Wood Density Lookup'!$B$2:$B$152,MATCH(B2475,'Wood Density Lookup'!$A$2:$A$152,0))</f>
        <v>0.65</v>
      </c>
      <c r="J2475" s="2">
        <f t="shared" si="384"/>
        <v>1966.1101846095683</v>
      </c>
      <c r="K2475" s="2">
        <f t="shared" si="388"/>
        <v>550.51085169067915</v>
      </c>
      <c r="L2475" s="2">
        <f t="shared" si="389"/>
        <v>2516.6210363002474</v>
      </c>
      <c r="M2475" s="2">
        <f t="shared" si="385"/>
        <v>1824.5502513176793</v>
      </c>
      <c r="N2475" s="2">
        <f t="shared" si="386"/>
        <v>912.27512565883967</v>
      </c>
      <c r="O2475" s="2">
        <f t="shared" si="387"/>
        <v>3348.0497111679415</v>
      </c>
      <c r="P2475" s="2">
        <v>72.553146999999996</v>
      </c>
      <c r="Q2475" s="2">
        <v>23.035753</v>
      </c>
    </row>
    <row r="2476" spans="1:17" x14ac:dyDescent="0.25">
      <c r="A2476" s="2">
        <v>2661</v>
      </c>
      <c r="B2476" s="2" t="s">
        <v>37</v>
      </c>
      <c r="C2476" s="2">
        <v>12</v>
      </c>
      <c r="D2476" s="2">
        <f t="shared" si="380"/>
        <v>30.48</v>
      </c>
      <c r="E2476" s="2">
        <f t="shared" si="381"/>
        <v>9.7020853308819408</v>
      </c>
      <c r="F2476" s="2">
        <f t="shared" si="382"/>
        <v>3.8197186342054881</v>
      </c>
      <c r="G2476" s="2">
        <v>5.0153109999999996</v>
      </c>
      <c r="H2476" s="2">
        <f t="shared" si="383"/>
        <v>16.45443294124</v>
      </c>
      <c r="I2476" s="2">
        <f>INDEX('Wood Density Lookup'!$B$2:$B$152,MATCH(B2476,'Wood Density Lookup'!$A$2:$A$152,0))</f>
        <v>0.27</v>
      </c>
      <c r="J2476" s="2">
        <f t="shared" si="384"/>
        <v>7.6362031502882868</v>
      </c>
      <c r="K2476" s="2">
        <f t="shared" si="388"/>
        <v>2.1381368820807203</v>
      </c>
      <c r="L2476" s="2">
        <f t="shared" si="389"/>
        <v>9.7743400323690075</v>
      </c>
      <c r="M2476" s="2">
        <f t="shared" si="385"/>
        <v>7.0863965234675304</v>
      </c>
      <c r="N2476" s="2">
        <f t="shared" si="386"/>
        <v>3.5431982617337652</v>
      </c>
      <c r="O2476" s="2">
        <f t="shared" si="387"/>
        <v>13.003537620562918</v>
      </c>
      <c r="P2476" s="2">
        <v>72.553155000000004</v>
      </c>
      <c r="Q2476" s="2">
        <v>23.038222999999999</v>
      </c>
    </row>
    <row r="2477" spans="1:17" x14ac:dyDescent="0.25">
      <c r="A2477" s="2">
        <v>2662</v>
      </c>
      <c r="B2477" s="2" t="s">
        <v>149</v>
      </c>
      <c r="C2477" s="2">
        <v>6</v>
      </c>
      <c r="D2477" s="2">
        <f t="shared" si="380"/>
        <v>15.24</v>
      </c>
      <c r="E2477" s="2">
        <f t="shared" si="381"/>
        <v>4.8510426654409704</v>
      </c>
      <c r="F2477" s="2">
        <f t="shared" si="382"/>
        <v>1.909859317102744</v>
      </c>
      <c r="G2477" s="2">
        <v>5.6126940000000003</v>
      </c>
      <c r="H2477" s="2">
        <f t="shared" si="383"/>
        <v>18.414350982960002</v>
      </c>
      <c r="I2477" s="2">
        <f>INDEX('Wood Density Lookup'!$B$2:$B$152,MATCH(B2477,'Wood Density Lookup'!$A$2:$A$152,0))</f>
        <v>0.45</v>
      </c>
      <c r="J2477" s="2">
        <f t="shared" si="384"/>
        <v>3.6265346760394435</v>
      </c>
      <c r="K2477" s="2">
        <f t="shared" si="388"/>
        <v>1.0154297092910443</v>
      </c>
      <c r="L2477" s="2">
        <f t="shared" si="389"/>
        <v>4.6419643853304873</v>
      </c>
      <c r="M2477" s="2">
        <f t="shared" si="385"/>
        <v>3.3654241793646031</v>
      </c>
      <c r="N2477" s="2">
        <f t="shared" si="386"/>
        <v>1.6827120896823016</v>
      </c>
      <c r="O2477" s="2">
        <f t="shared" si="387"/>
        <v>6.1755533691340467</v>
      </c>
      <c r="P2477" s="2">
        <v>72.553157999999996</v>
      </c>
      <c r="Q2477" s="2">
        <v>23.038187000000001</v>
      </c>
    </row>
    <row r="2478" spans="1:17" x14ac:dyDescent="0.25">
      <c r="A2478" s="2">
        <v>2663</v>
      </c>
      <c r="B2478" s="2" t="s">
        <v>15</v>
      </c>
      <c r="C2478" s="2">
        <v>89</v>
      </c>
      <c r="D2478" s="2">
        <f t="shared" si="380"/>
        <v>226.06</v>
      </c>
      <c r="E2478" s="2">
        <f t="shared" si="381"/>
        <v>71.957132870707724</v>
      </c>
      <c r="F2478" s="2">
        <f t="shared" si="382"/>
        <v>28.329579870357371</v>
      </c>
      <c r="G2478" s="2">
        <v>12.286098000000001</v>
      </c>
      <c r="H2478" s="2">
        <f t="shared" si="383"/>
        <v>40.308721762320005</v>
      </c>
      <c r="I2478" s="2">
        <f>INDEX('Wood Density Lookup'!$B$2:$B$152,MATCH(B2478,'Wood Density Lookup'!$A$2:$A$152,0))</f>
        <v>0.75</v>
      </c>
      <c r="J2478" s="2">
        <f t="shared" si="384"/>
        <v>2479.4254423157631</v>
      </c>
      <c r="K2478" s="2">
        <f t="shared" si="388"/>
        <v>694.23912384841378</v>
      </c>
      <c r="L2478" s="2">
        <f t="shared" si="389"/>
        <v>3173.6645661641769</v>
      </c>
      <c r="M2478" s="2">
        <f t="shared" si="385"/>
        <v>2300.9068104690282</v>
      </c>
      <c r="N2478" s="2">
        <f t="shared" si="386"/>
        <v>1150.4534052345141</v>
      </c>
      <c r="O2478" s="2">
        <f t="shared" si="387"/>
        <v>4222.1639972106668</v>
      </c>
      <c r="P2478" s="2">
        <v>72.553165000000007</v>
      </c>
      <c r="Q2478" s="2">
        <v>23.036857999999999</v>
      </c>
    </row>
    <row r="2479" spans="1:17" x14ac:dyDescent="0.25">
      <c r="A2479" s="2">
        <v>2664</v>
      </c>
      <c r="B2479" s="2" t="s">
        <v>145</v>
      </c>
      <c r="C2479" s="2">
        <v>10</v>
      </c>
      <c r="D2479" s="2">
        <f t="shared" si="380"/>
        <v>25.4</v>
      </c>
      <c r="E2479" s="2">
        <f t="shared" si="381"/>
        <v>8.0850711090682825</v>
      </c>
      <c r="F2479" s="2">
        <f t="shared" si="382"/>
        <v>3.183098861837907</v>
      </c>
      <c r="G2479" s="2">
        <v>3.905589</v>
      </c>
      <c r="H2479" s="2">
        <f t="shared" si="383"/>
        <v>12.81361261476</v>
      </c>
      <c r="I2479" s="2">
        <f>INDEX('Wood Density Lookup'!$B$2:$B$152,MATCH(B2479,'Wood Density Lookup'!$A$2:$A$152,0))</f>
        <v>0.55000000000000004</v>
      </c>
      <c r="J2479" s="2">
        <f t="shared" si="384"/>
        <v>8.3925507182153236</v>
      </c>
      <c r="K2479" s="2">
        <f t="shared" si="388"/>
        <v>2.3499142011002907</v>
      </c>
      <c r="L2479" s="2">
        <f t="shared" si="389"/>
        <v>10.742464919315614</v>
      </c>
      <c r="M2479" s="2">
        <f t="shared" si="385"/>
        <v>7.7882870665038197</v>
      </c>
      <c r="N2479" s="2">
        <f t="shared" si="386"/>
        <v>3.8941435332519099</v>
      </c>
      <c r="O2479" s="2">
        <f t="shared" si="387"/>
        <v>14.291506767034509</v>
      </c>
      <c r="P2479" s="2">
        <v>72.553167000000002</v>
      </c>
      <c r="Q2479" s="2">
        <v>23.037928999999998</v>
      </c>
    </row>
    <row r="2480" spans="1:17" x14ac:dyDescent="0.25">
      <c r="A2480" s="2">
        <v>2665</v>
      </c>
      <c r="B2480" s="2" t="s">
        <v>124</v>
      </c>
      <c r="C2480" s="2">
        <v>4</v>
      </c>
      <c r="D2480" s="2">
        <f t="shared" si="380"/>
        <v>10.16</v>
      </c>
      <c r="E2480" s="2">
        <f t="shared" si="381"/>
        <v>3.2340284436273135</v>
      </c>
      <c r="F2480" s="2">
        <f t="shared" si="382"/>
        <v>1.2732395447351628</v>
      </c>
      <c r="G2480" s="2">
        <v>9.5244</v>
      </c>
      <c r="H2480" s="2">
        <f t="shared" si="383"/>
        <v>31.248032496</v>
      </c>
      <c r="I2480" s="2">
        <f>INDEX('Wood Density Lookup'!$B$2:$B$152,MATCH(B2480,'Wood Density Lookup'!$A$2:$A$152,0))</f>
        <v>0.55000000000000004</v>
      </c>
      <c r="J2480" s="2">
        <f t="shared" si="384"/>
        <v>3.3494580193762764</v>
      </c>
      <c r="K2480" s="2">
        <f t="shared" si="388"/>
        <v>0.9378482454253575</v>
      </c>
      <c r="L2480" s="2">
        <f t="shared" si="389"/>
        <v>4.287306264801634</v>
      </c>
      <c r="M2480" s="2">
        <f t="shared" si="385"/>
        <v>3.1082970419811846</v>
      </c>
      <c r="N2480" s="2">
        <f t="shared" si="386"/>
        <v>1.5541485209905923</v>
      </c>
      <c r="O2480" s="2">
        <f t="shared" si="387"/>
        <v>5.703725072035474</v>
      </c>
      <c r="P2480" s="2">
        <v>72.553167000000002</v>
      </c>
      <c r="Q2480" s="2">
        <v>23.037862000000001</v>
      </c>
    </row>
    <row r="2481" spans="1:17" x14ac:dyDescent="0.25">
      <c r="A2481" s="2">
        <v>2666</v>
      </c>
      <c r="B2481" s="2" t="s">
        <v>15</v>
      </c>
      <c r="C2481" s="2">
        <v>25</v>
      </c>
      <c r="D2481" s="2">
        <f t="shared" si="380"/>
        <v>63.5</v>
      </c>
      <c r="E2481" s="2">
        <f t="shared" si="381"/>
        <v>20.212677772670709</v>
      </c>
      <c r="F2481" s="2">
        <f t="shared" si="382"/>
        <v>7.9577471545947667</v>
      </c>
      <c r="G2481" s="2">
        <v>8.306832</v>
      </c>
      <c r="H2481" s="2">
        <f t="shared" si="383"/>
        <v>27.25338669888</v>
      </c>
      <c r="I2481" s="2">
        <f>INDEX('Wood Density Lookup'!$B$2:$B$152,MATCH(B2481,'Wood Density Lookup'!$A$2:$A$152,0))</f>
        <v>0.75</v>
      </c>
      <c r="J2481" s="2">
        <f t="shared" si="384"/>
        <v>141.91280836712741</v>
      </c>
      <c r="K2481" s="2">
        <f t="shared" si="388"/>
        <v>39.735586342795678</v>
      </c>
      <c r="L2481" s="2">
        <f t="shared" si="389"/>
        <v>181.64839470992308</v>
      </c>
      <c r="M2481" s="2">
        <f t="shared" si="385"/>
        <v>131.69508616469423</v>
      </c>
      <c r="N2481" s="2">
        <f t="shared" si="386"/>
        <v>65.847543082347116</v>
      </c>
      <c r="O2481" s="2">
        <f t="shared" si="387"/>
        <v>241.66048311221391</v>
      </c>
      <c r="P2481" s="2">
        <v>72.553169999999994</v>
      </c>
      <c r="Q2481" s="2">
        <v>23.038656</v>
      </c>
    </row>
    <row r="2482" spans="1:17" x14ac:dyDescent="0.25">
      <c r="A2482" s="2">
        <v>2667</v>
      </c>
      <c r="B2482" s="2" t="s">
        <v>10</v>
      </c>
      <c r="C2482" s="2">
        <v>97</v>
      </c>
      <c r="D2482" s="2">
        <f t="shared" si="380"/>
        <v>246.38</v>
      </c>
      <c r="E2482" s="2">
        <f t="shared" si="381"/>
        <v>78.425189757962343</v>
      </c>
      <c r="F2482" s="2">
        <f t="shared" si="382"/>
        <v>30.876058959827695</v>
      </c>
      <c r="G2482" s="2">
        <v>17.667901000000001</v>
      </c>
      <c r="H2482" s="2">
        <f t="shared" si="383"/>
        <v>57.965556316840001</v>
      </c>
      <c r="I2482" s="2">
        <f>INDEX('Wood Density Lookup'!$B$2:$B$152,MATCH(B2482,'Wood Density Lookup'!$A$2:$A$152,0))</f>
        <v>0.65</v>
      </c>
      <c r="J2482" s="2">
        <f t="shared" si="384"/>
        <v>3636.2045594638657</v>
      </c>
      <c r="K2482" s="2">
        <f t="shared" si="388"/>
        <v>1018.1372766498826</v>
      </c>
      <c r="L2482" s="2">
        <f t="shared" si="389"/>
        <v>4654.3418361137483</v>
      </c>
      <c r="M2482" s="2">
        <f t="shared" si="385"/>
        <v>3374.3978311824676</v>
      </c>
      <c r="N2482" s="2">
        <f t="shared" si="386"/>
        <v>1687.1989155912338</v>
      </c>
      <c r="O2482" s="2">
        <f t="shared" si="387"/>
        <v>6192.0200202198275</v>
      </c>
      <c r="P2482" s="2">
        <v>72.553169999999994</v>
      </c>
      <c r="Q2482" s="2">
        <v>23.037078999999999</v>
      </c>
    </row>
    <row r="2483" spans="1:17" x14ac:dyDescent="0.25">
      <c r="A2483" s="2">
        <v>2668</v>
      </c>
      <c r="B2483" s="2" t="s">
        <v>137</v>
      </c>
      <c r="C2483" s="2">
        <v>2</v>
      </c>
      <c r="D2483" s="2">
        <f t="shared" si="380"/>
        <v>5.08</v>
      </c>
      <c r="E2483" s="2">
        <f t="shared" si="381"/>
        <v>1.6170142218136567</v>
      </c>
      <c r="F2483" s="2">
        <f t="shared" si="382"/>
        <v>0.63661977236758138</v>
      </c>
      <c r="G2483" s="2">
        <v>1.0007569999999999</v>
      </c>
      <c r="H2483" s="2">
        <f t="shared" si="383"/>
        <v>3.2833235958799998</v>
      </c>
      <c r="I2483" s="2">
        <f>INDEX('Wood Density Lookup'!$B$2:$B$152,MATCH(B2483,'Wood Density Lookup'!$A$2:$A$152,0))</f>
        <v>0.55000000000000004</v>
      </c>
      <c r="J2483" s="2">
        <f t="shared" si="384"/>
        <v>9.6015028093097338E-2</v>
      </c>
      <c r="K2483" s="2">
        <f t="shared" si="388"/>
        <v>2.6884207866067256E-2</v>
      </c>
      <c r="L2483" s="2">
        <f t="shared" si="389"/>
        <v>0.12289923595916459</v>
      </c>
      <c r="M2483" s="2">
        <f t="shared" si="385"/>
        <v>8.9101946070394331E-2</v>
      </c>
      <c r="N2483" s="2">
        <f t="shared" si="386"/>
        <v>4.4550973035197165E-2</v>
      </c>
      <c r="O2483" s="2">
        <f t="shared" si="387"/>
        <v>0.16350207103917358</v>
      </c>
      <c r="P2483" s="2">
        <v>72.553182000000007</v>
      </c>
      <c r="Q2483" s="2">
        <v>23.035865999999999</v>
      </c>
    </row>
    <row r="2484" spans="1:17" x14ac:dyDescent="0.25">
      <c r="A2484" s="2">
        <v>2669</v>
      </c>
      <c r="B2484" s="2" t="s">
        <v>15</v>
      </c>
      <c r="C2484" s="2">
        <v>16</v>
      </c>
      <c r="D2484" s="2">
        <f t="shared" si="380"/>
        <v>40.64</v>
      </c>
      <c r="E2484" s="2">
        <f t="shared" si="381"/>
        <v>12.936113774509254</v>
      </c>
      <c r="F2484" s="2">
        <f t="shared" si="382"/>
        <v>5.0929581789406511</v>
      </c>
      <c r="G2484" s="2">
        <v>7.2079740000000001</v>
      </c>
      <c r="H2484" s="2">
        <f t="shared" si="383"/>
        <v>23.64820941816</v>
      </c>
      <c r="I2484" s="2">
        <f>INDEX('Wood Density Lookup'!$B$2:$B$152,MATCH(B2484,'Wood Density Lookup'!$A$2:$A$152,0))</f>
        <v>0.75</v>
      </c>
      <c r="J2484" s="2">
        <f t="shared" si="384"/>
        <v>51.706080873491949</v>
      </c>
      <c r="K2484" s="2">
        <f t="shared" si="388"/>
        <v>14.477702644577747</v>
      </c>
      <c r="L2484" s="2">
        <f t="shared" si="389"/>
        <v>66.183783518069703</v>
      </c>
      <c r="M2484" s="2">
        <f t="shared" si="385"/>
        <v>47.983243050600535</v>
      </c>
      <c r="N2484" s="2">
        <f t="shared" si="386"/>
        <v>23.991621525300268</v>
      </c>
      <c r="O2484" s="2">
        <f t="shared" si="387"/>
        <v>88.049250997851985</v>
      </c>
      <c r="P2484" s="2">
        <v>72.553184999999999</v>
      </c>
      <c r="Q2484" s="2">
        <v>23.037361000000001</v>
      </c>
    </row>
    <row r="2485" spans="1:17" x14ac:dyDescent="0.25">
      <c r="A2485" s="2">
        <v>2670</v>
      </c>
      <c r="B2485" s="2" t="s">
        <v>115</v>
      </c>
      <c r="C2485" s="2">
        <v>45</v>
      </c>
      <c r="D2485" s="2">
        <f t="shared" si="380"/>
        <v>114.3</v>
      </c>
      <c r="E2485" s="2">
        <f t="shared" si="381"/>
        <v>36.382819990807278</v>
      </c>
      <c r="F2485" s="2">
        <f t="shared" si="382"/>
        <v>14.323944878270581</v>
      </c>
      <c r="G2485" s="2">
        <v>7.7767189999999999</v>
      </c>
      <c r="H2485" s="2">
        <f t="shared" si="383"/>
        <v>25.514170763959999</v>
      </c>
      <c r="I2485" s="2">
        <f>INDEX('Wood Density Lookup'!$B$2:$B$152,MATCH(B2485,'Wood Density Lookup'!$A$2:$A$152,0))</f>
        <v>0.65</v>
      </c>
      <c r="J2485" s="2">
        <f t="shared" si="384"/>
        <v>364.50667309709354</v>
      </c>
      <c r="K2485" s="2">
        <f t="shared" si="388"/>
        <v>102.0618684671862</v>
      </c>
      <c r="L2485" s="2">
        <f t="shared" si="389"/>
        <v>466.56854156427971</v>
      </c>
      <c r="M2485" s="2">
        <f t="shared" si="385"/>
        <v>338.2621926341028</v>
      </c>
      <c r="N2485" s="2">
        <f t="shared" si="386"/>
        <v>169.1310963170514</v>
      </c>
      <c r="O2485" s="2">
        <f t="shared" si="387"/>
        <v>620.7111234835786</v>
      </c>
      <c r="P2485" s="2">
        <v>72.553186999999994</v>
      </c>
      <c r="Q2485" s="2">
        <v>23.038747000000001</v>
      </c>
    </row>
    <row r="2486" spans="1:17" x14ac:dyDescent="0.25">
      <c r="A2486" s="2">
        <v>2671</v>
      </c>
      <c r="B2486" s="2" t="s">
        <v>134</v>
      </c>
      <c r="C2486" s="2">
        <v>8</v>
      </c>
      <c r="D2486" s="2">
        <f t="shared" si="380"/>
        <v>20.32</v>
      </c>
      <c r="E2486" s="2">
        <f t="shared" si="381"/>
        <v>6.4680568872546269</v>
      </c>
      <c r="F2486" s="2">
        <f t="shared" si="382"/>
        <v>2.5464790894703255</v>
      </c>
      <c r="G2486" s="2">
        <v>2.0769419999999998</v>
      </c>
      <c r="H2486" s="2">
        <f t="shared" si="383"/>
        <v>6.8141143912799995</v>
      </c>
      <c r="I2486" s="2">
        <f>INDEX('Wood Density Lookup'!$B$2:$B$152,MATCH(B2486,'Wood Density Lookup'!$A$2:$A$152,0))</f>
        <v>0.65</v>
      </c>
      <c r="J2486" s="2">
        <f t="shared" si="384"/>
        <v>3.4502868435893417</v>
      </c>
      <c r="K2486" s="2">
        <f t="shared" si="388"/>
        <v>0.96608031620501578</v>
      </c>
      <c r="L2486" s="2">
        <f t="shared" si="389"/>
        <v>4.4163671597943575</v>
      </c>
      <c r="M2486" s="2">
        <f t="shared" si="385"/>
        <v>3.2018661908509092</v>
      </c>
      <c r="N2486" s="2">
        <f t="shared" si="386"/>
        <v>1.6009330954254546</v>
      </c>
      <c r="O2486" s="2">
        <f t="shared" si="387"/>
        <v>5.8754244602114181</v>
      </c>
      <c r="P2486" s="2">
        <v>72.553186999999994</v>
      </c>
      <c r="Q2486" s="2">
        <v>23.038224</v>
      </c>
    </row>
    <row r="2487" spans="1:17" x14ac:dyDescent="0.25">
      <c r="A2487" s="2">
        <v>2672</v>
      </c>
      <c r="B2487" s="2" t="s">
        <v>15</v>
      </c>
      <c r="C2487" s="2">
        <v>26</v>
      </c>
      <c r="D2487" s="2">
        <f t="shared" si="380"/>
        <v>66.040000000000006</v>
      </c>
      <c r="E2487" s="2">
        <f t="shared" si="381"/>
        <v>21.02118488357754</v>
      </c>
      <c r="F2487" s="2">
        <f t="shared" si="382"/>
        <v>8.2760570407785572</v>
      </c>
      <c r="G2487" s="2">
        <v>8.4568359999999991</v>
      </c>
      <c r="H2487" s="2">
        <f t="shared" si="383"/>
        <v>27.745525822239998</v>
      </c>
      <c r="I2487" s="2">
        <f>INDEX('Wood Density Lookup'!$B$2:$B$152,MATCH(B2487,'Wood Density Lookup'!$A$2:$A$152,0))</f>
        <v>0.75</v>
      </c>
      <c r="J2487" s="2">
        <f t="shared" si="384"/>
        <v>155.90376906749344</v>
      </c>
      <c r="K2487" s="2">
        <f t="shared" si="388"/>
        <v>43.65305533889817</v>
      </c>
      <c r="L2487" s="2">
        <f t="shared" si="389"/>
        <v>199.55682440639163</v>
      </c>
      <c r="M2487" s="2">
        <f t="shared" si="385"/>
        <v>144.67869769463391</v>
      </c>
      <c r="N2487" s="2">
        <f t="shared" si="386"/>
        <v>72.339348847316955</v>
      </c>
      <c r="O2487" s="2">
        <f t="shared" si="387"/>
        <v>265.48541026965324</v>
      </c>
      <c r="P2487" s="2">
        <v>72.553191999999996</v>
      </c>
      <c r="Q2487" s="2">
        <v>23.038620999999999</v>
      </c>
    </row>
    <row r="2488" spans="1:17" x14ac:dyDescent="0.25">
      <c r="A2488" s="2">
        <v>2673</v>
      </c>
      <c r="B2488" s="2" t="s">
        <v>107</v>
      </c>
      <c r="C2488" s="2">
        <v>64</v>
      </c>
      <c r="D2488" s="2">
        <f t="shared" si="380"/>
        <v>162.56</v>
      </c>
      <c r="E2488" s="2">
        <f t="shared" si="381"/>
        <v>51.744455098037015</v>
      </c>
      <c r="F2488" s="2">
        <f t="shared" si="382"/>
        <v>20.371832715762604</v>
      </c>
      <c r="G2488" s="2">
        <v>17.172028999999998</v>
      </c>
      <c r="H2488" s="2">
        <f t="shared" si="383"/>
        <v>56.338679624359997</v>
      </c>
      <c r="I2488" s="2">
        <f>INDEX('Wood Density Lookup'!$B$2:$B$152,MATCH(B2488,'Wood Density Lookup'!$A$2:$A$152,0))</f>
        <v>0.65</v>
      </c>
      <c r="J2488" s="2">
        <f t="shared" si="384"/>
        <v>1570.6035234092387</v>
      </c>
      <c r="K2488" s="2">
        <f t="shared" si="388"/>
        <v>439.76898655458689</v>
      </c>
      <c r="L2488" s="2">
        <f t="shared" si="389"/>
        <v>2010.3725099638257</v>
      </c>
      <c r="M2488" s="2">
        <f t="shared" si="385"/>
        <v>1457.5200697237735</v>
      </c>
      <c r="N2488" s="2">
        <f t="shared" si="386"/>
        <v>728.76003486188677</v>
      </c>
      <c r="O2488" s="2">
        <f t="shared" si="387"/>
        <v>2674.5493279431244</v>
      </c>
      <c r="P2488" s="2">
        <v>72.553195000000002</v>
      </c>
      <c r="Q2488" s="2">
        <v>23.037237000000001</v>
      </c>
    </row>
    <row r="2489" spans="1:17" x14ac:dyDescent="0.25">
      <c r="A2489" s="2">
        <v>2674</v>
      </c>
      <c r="B2489" s="2" t="s">
        <v>143</v>
      </c>
      <c r="C2489" s="2">
        <v>18</v>
      </c>
      <c r="D2489" s="2">
        <f t="shared" si="380"/>
        <v>45.72</v>
      </c>
      <c r="E2489" s="2">
        <f t="shared" si="381"/>
        <v>14.55312799632291</v>
      </c>
      <c r="F2489" s="2">
        <f t="shared" si="382"/>
        <v>5.7295779513082321</v>
      </c>
      <c r="G2489" s="2">
        <v>5.1669539999999996</v>
      </c>
      <c r="H2489" s="2">
        <f t="shared" si="383"/>
        <v>16.951949361359997</v>
      </c>
      <c r="I2489" s="2">
        <f>INDEX('Wood Density Lookup'!$B$2:$B$152,MATCH(B2489,'Wood Density Lookup'!$A$2:$A$152,0))</f>
        <v>0.75</v>
      </c>
      <c r="J2489" s="2">
        <f t="shared" si="384"/>
        <v>47.019998991215914</v>
      </c>
      <c r="K2489" s="2">
        <f t="shared" si="388"/>
        <v>13.165599717540458</v>
      </c>
      <c r="L2489" s="2">
        <f t="shared" si="389"/>
        <v>60.185598708756373</v>
      </c>
      <c r="M2489" s="2">
        <f t="shared" si="385"/>
        <v>43.634559063848371</v>
      </c>
      <c r="N2489" s="2">
        <f t="shared" si="386"/>
        <v>21.817279531924186</v>
      </c>
      <c r="O2489" s="2">
        <f t="shared" si="387"/>
        <v>80.069415882161763</v>
      </c>
      <c r="P2489" s="2">
        <v>72.553196</v>
      </c>
      <c r="Q2489" s="2">
        <v>23.038105999999999</v>
      </c>
    </row>
    <row r="2490" spans="1:17" x14ac:dyDescent="0.25">
      <c r="A2490" s="2">
        <v>2675</v>
      </c>
      <c r="B2490" s="2" t="s">
        <v>107</v>
      </c>
      <c r="C2490" s="2">
        <v>13</v>
      </c>
      <c r="D2490" s="2">
        <f t="shared" si="380"/>
        <v>33.020000000000003</v>
      </c>
      <c r="E2490" s="2">
        <f t="shared" si="381"/>
        <v>10.51059244178877</v>
      </c>
      <c r="F2490" s="2">
        <f t="shared" si="382"/>
        <v>4.1380285203892786</v>
      </c>
      <c r="G2490" s="2">
        <v>3.0112890000000001</v>
      </c>
      <c r="H2490" s="2">
        <f t="shared" si="383"/>
        <v>9.8795574027599997</v>
      </c>
      <c r="I2490" s="2">
        <f>INDEX('Wood Density Lookup'!$B$2:$B$152,MATCH(B2490,'Wood Density Lookup'!$A$2:$A$152,0))</f>
        <v>0.65</v>
      </c>
      <c r="J2490" s="2">
        <f t="shared" si="384"/>
        <v>12.790784045837833</v>
      </c>
      <c r="K2490" s="2">
        <f t="shared" si="388"/>
        <v>3.5814195328345937</v>
      </c>
      <c r="L2490" s="2">
        <f t="shared" si="389"/>
        <v>16.372203578672426</v>
      </c>
      <c r="M2490" s="2">
        <f t="shared" si="385"/>
        <v>11.869847594537509</v>
      </c>
      <c r="N2490" s="2">
        <f t="shared" si="386"/>
        <v>5.9349237972687545</v>
      </c>
      <c r="O2490" s="2">
        <f t="shared" si="387"/>
        <v>21.781170335976327</v>
      </c>
      <c r="P2490" s="2">
        <v>72.553207</v>
      </c>
      <c r="Q2490" s="2">
        <v>23.037959000000001</v>
      </c>
    </row>
    <row r="2491" spans="1:17" x14ac:dyDescent="0.25">
      <c r="A2491" s="2">
        <v>2676</v>
      </c>
      <c r="B2491" s="2" t="s">
        <v>15</v>
      </c>
      <c r="C2491" s="2">
        <v>18</v>
      </c>
      <c r="D2491" s="2">
        <f t="shared" si="380"/>
        <v>45.72</v>
      </c>
      <c r="E2491" s="2">
        <f t="shared" si="381"/>
        <v>14.55312799632291</v>
      </c>
      <c r="F2491" s="2">
        <f t="shared" si="382"/>
        <v>5.7295779513082321</v>
      </c>
      <c r="G2491" s="2">
        <v>8.4668609999999997</v>
      </c>
      <c r="H2491" s="2">
        <f t="shared" si="383"/>
        <v>27.778416243239999</v>
      </c>
      <c r="I2491" s="2">
        <f>INDEX('Wood Density Lookup'!$B$2:$B$152,MATCH(B2491,'Wood Density Lookup'!$A$2:$A$152,0))</f>
        <v>0.75</v>
      </c>
      <c r="J2491" s="2">
        <f t="shared" si="384"/>
        <v>76.141730388607129</v>
      </c>
      <c r="K2491" s="2">
        <f t="shared" si="388"/>
        <v>21.319684508809999</v>
      </c>
      <c r="L2491" s="2">
        <f t="shared" si="389"/>
        <v>97.461414897417129</v>
      </c>
      <c r="M2491" s="2">
        <f t="shared" si="385"/>
        <v>70.659525800627421</v>
      </c>
      <c r="N2491" s="2">
        <f t="shared" si="386"/>
        <v>35.32976290031371</v>
      </c>
      <c r="O2491" s="2">
        <f t="shared" si="387"/>
        <v>129.6602298441513</v>
      </c>
      <c r="P2491" s="2">
        <v>72.553208999999995</v>
      </c>
      <c r="Q2491" s="2">
        <v>23.037362000000002</v>
      </c>
    </row>
    <row r="2492" spans="1:17" x14ac:dyDescent="0.25">
      <c r="A2492" s="2">
        <v>2677</v>
      </c>
      <c r="B2492" s="2" t="s">
        <v>111</v>
      </c>
      <c r="C2492" s="2">
        <v>4</v>
      </c>
      <c r="D2492" s="2">
        <f t="shared" si="380"/>
        <v>10.16</v>
      </c>
      <c r="E2492" s="2">
        <f t="shared" si="381"/>
        <v>3.2340284436273135</v>
      </c>
      <c r="F2492" s="2">
        <f t="shared" si="382"/>
        <v>1.2732395447351628</v>
      </c>
      <c r="G2492" s="2">
        <v>2.0178880000000001</v>
      </c>
      <c r="H2492" s="2">
        <f t="shared" si="383"/>
        <v>6.6203676659200008</v>
      </c>
      <c r="I2492" s="2">
        <f>INDEX('Wood Density Lookup'!$B$2:$B$152,MATCH(B2492,'Wood Density Lookup'!$A$2:$A$152,0))</f>
        <v>0.4</v>
      </c>
      <c r="J2492" s="2">
        <f t="shared" si="384"/>
        <v>0.53979034278109994</v>
      </c>
      <c r="K2492" s="2">
        <f t="shared" si="388"/>
        <v>0.15114129597870798</v>
      </c>
      <c r="L2492" s="2">
        <f t="shared" si="389"/>
        <v>0.6909316387598079</v>
      </c>
      <c r="M2492" s="2">
        <f t="shared" si="385"/>
        <v>0.50092543810086076</v>
      </c>
      <c r="N2492" s="2">
        <f t="shared" si="386"/>
        <v>0.25046271905043038</v>
      </c>
      <c r="O2492" s="2">
        <f t="shared" si="387"/>
        <v>0.91919817891507949</v>
      </c>
      <c r="P2492" s="2">
        <v>72.553208999999995</v>
      </c>
      <c r="Q2492" s="2">
        <v>23.037935999999998</v>
      </c>
    </row>
    <row r="2493" spans="1:17" x14ac:dyDescent="0.25">
      <c r="A2493" s="2">
        <v>2678</v>
      </c>
      <c r="B2493" s="2" t="s">
        <v>50</v>
      </c>
      <c r="C2493" s="2">
        <v>5</v>
      </c>
      <c r="D2493" s="2">
        <f t="shared" si="380"/>
        <v>12.7</v>
      </c>
      <c r="E2493" s="2">
        <f t="shared" si="381"/>
        <v>4.0425355545341413</v>
      </c>
      <c r="F2493" s="2">
        <f t="shared" si="382"/>
        <v>1.5915494309189535</v>
      </c>
      <c r="G2493" s="2">
        <v>1.039552</v>
      </c>
      <c r="H2493" s="2">
        <f t="shared" si="383"/>
        <v>3.4106037836800001</v>
      </c>
      <c r="I2493" s="2">
        <f>INDEX('Wood Density Lookup'!$B$2:$B$152,MATCH(B2493,'Wood Density Lookup'!$A$2:$A$152,0))</f>
        <v>0.5</v>
      </c>
      <c r="J2493" s="2">
        <f t="shared" si="384"/>
        <v>0.54305023918693174</v>
      </c>
      <c r="K2493" s="2">
        <f t="shared" si="388"/>
        <v>0.15205406697234089</v>
      </c>
      <c r="L2493" s="2">
        <f t="shared" si="389"/>
        <v>0.69510430615927266</v>
      </c>
      <c r="M2493" s="2">
        <f t="shared" si="385"/>
        <v>0.50395062196547269</v>
      </c>
      <c r="N2493" s="2">
        <f t="shared" si="386"/>
        <v>0.25197531098273634</v>
      </c>
      <c r="O2493" s="2">
        <f t="shared" si="387"/>
        <v>0.92474939130664235</v>
      </c>
      <c r="P2493" s="2">
        <v>72.553213</v>
      </c>
      <c r="Q2493" s="2">
        <v>23.037807999999998</v>
      </c>
    </row>
    <row r="2494" spans="1:17" x14ac:dyDescent="0.25">
      <c r="A2494" s="2">
        <v>2679</v>
      </c>
      <c r="B2494" s="2" t="s">
        <v>57</v>
      </c>
      <c r="C2494" s="2">
        <v>7</v>
      </c>
      <c r="D2494" s="2">
        <f t="shared" si="380"/>
        <v>17.78</v>
      </c>
      <c r="E2494" s="2">
        <f t="shared" si="381"/>
        <v>5.6595497763477987</v>
      </c>
      <c r="F2494" s="2">
        <f t="shared" si="382"/>
        <v>2.228169203286535</v>
      </c>
      <c r="G2494" s="2">
        <v>1.165451</v>
      </c>
      <c r="H2494" s="2">
        <f t="shared" si="383"/>
        <v>3.8236582588400001</v>
      </c>
      <c r="I2494" s="2">
        <f>INDEX('Wood Density Lookup'!$B$2:$B$152,MATCH(B2494,'Wood Density Lookup'!$A$2:$A$152,0))</f>
        <v>0.6</v>
      </c>
      <c r="J2494" s="2">
        <f t="shared" si="384"/>
        <v>1.3990044130533816</v>
      </c>
      <c r="K2494" s="2">
        <f t="shared" si="388"/>
        <v>0.39172123565494688</v>
      </c>
      <c r="L2494" s="2">
        <f t="shared" si="389"/>
        <v>1.7907256487083285</v>
      </c>
      <c r="M2494" s="2">
        <f t="shared" si="385"/>
        <v>1.2982760953135382</v>
      </c>
      <c r="N2494" s="2">
        <f t="shared" si="386"/>
        <v>0.64913804765676908</v>
      </c>
      <c r="O2494" s="2">
        <f t="shared" si="387"/>
        <v>2.3823366349003425</v>
      </c>
      <c r="P2494" s="2">
        <v>72.553214999999994</v>
      </c>
      <c r="Q2494" s="2">
        <v>23.035833</v>
      </c>
    </row>
    <row r="2495" spans="1:17" x14ac:dyDescent="0.25">
      <c r="A2495" s="2">
        <v>2680</v>
      </c>
      <c r="B2495" s="2" t="s">
        <v>15</v>
      </c>
      <c r="C2495" s="2">
        <v>25</v>
      </c>
      <c r="D2495" s="2">
        <f t="shared" si="380"/>
        <v>63.5</v>
      </c>
      <c r="E2495" s="2">
        <f t="shared" si="381"/>
        <v>20.212677772670709</v>
      </c>
      <c r="F2495" s="2">
        <f t="shared" si="382"/>
        <v>7.9577471545947667</v>
      </c>
      <c r="G2495" s="2">
        <v>8.0495429999999999</v>
      </c>
      <c r="H2495" s="2">
        <f t="shared" si="383"/>
        <v>26.409262656119999</v>
      </c>
      <c r="I2495" s="2">
        <f>INDEX('Wood Density Lookup'!$B$2:$B$152,MATCH(B2495,'Wood Density Lookup'!$A$2:$A$152,0))</f>
        <v>0.75</v>
      </c>
      <c r="J2495" s="2">
        <f t="shared" si="384"/>
        <v>137.62119761282838</v>
      </c>
      <c r="K2495" s="2">
        <f t="shared" si="388"/>
        <v>38.533935331591948</v>
      </c>
      <c r="L2495" s="2">
        <f t="shared" si="389"/>
        <v>176.15513294442033</v>
      </c>
      <c r="M2495" s="2">
        <f t="shared" si="385"/>
        <v>127.71247138470474</v>
      </c>
      <c r="N2495" s="2">
        <f t="shared" si="386"/>
        <v>63.856235692352371</v>
      </c>
      <c r="O2495" s="2">
        <f t="shared" si="387"/>
        <v>234.35238499093319</v>
      </c>
      <c r="P2495" s="2">
        <v>72.553214999999994</v>
      </c>
      <c r="Q2495" s="2">
        <v>23.038668999999999</v>
      </c>
    </row>
    <row r="2496" spans="1:17" x14ac:dyDescent="0.25">
      <c r="A2496" s="2">
        <v>2681</v>
      </c>
      <c r="B2496" s="2" t="s">
        <v>15</v>
      </c>
      <c r="C2496" s="2">
        <v>38</v>
      </c>
      <c r="D2496" s="2">
        <f t="shared" si="380"/>
        <v>96.52</v>
      </c>
      <c r="E2496" s="2">
        <f t="shared" si="381"/>
        <v>30.723270214459475</v>
      </c>
      <c r="F2496" s="2">
        <f t="shared" si="382"/>
        <v>12.095775674984045</v>
      </c>
      <c r="G2496" s="2">
        <v>18.291525</v>
      </c>
      <c r="H2496" s="2">
        <f t="shared" si="383"/>
        <v>60.011566881</v>
      </c>
      <c r="I2496" s="2">
        <f>INDEX('Wood Density Lookup'!$B$2:$B$152,MATCH(B2496,'Wood Density Lookup'!$A$2:$A$152,0))</f>
        <v>0.75</v>
      </c>
      <c r="J2496" s="2">
        <f t="shared" si="384"/>
        <v>694.33205913342704</v>
      </c>
      <c r="K2496" s="2">
        <f t="shared" si="388"/>
        <v>194.4129765573596</v>
      </c>
      <c r="L2496" s="2">
        <f t="shared" si="389"/>
        <v>888.74503569078661</v>
      </c>
      <c r="M2496" s="2">
        <f t="shared" si="385"/>
        <v>644.34015087582031</v>
      </c>
      <c r="N2496" s="2">
        <f t="shared" si="386"/>
        <v>322.17007543791016</v>
      </c>
      <c r="O2496" s="2">
        <f t="shared" si="387"/>
        <v>1182.3641768571304</v>
      </c>
      <c r="P2496" s="2">
        <v>72.553217000000004</v>
      </c>
      <c r="Q2496" s="2">
        <v>23.036743000000001</v>
      </c>
    </row>
    <row r="2497" spans="1:17" x14ac:dyDescent="0.25">
      <c r="A2497" s="2">
        <v>2682</v>
      </c>
      <c r="B2497" s="2" t="s">
        <v>6</v>
      </c>
      <c r="C2497" s="2">
        <v>12</v>
      </c>
      <c r="D2497" s="2">
        <f t="shared" ref="D2497:D2560" si="390">C2497*2.54</f>
        <v>30.48</v>
      </c>
      <c r="E2497" s="2">
        <f t="shared" ref="E2497:E2560" si="391">D2497/PI()</f>
        <v>9.7020853308819408</v>
      </c>
      <c r="F2497" s="2">
        <f t="shared" ref="F2497:F2560" si="392">C2497/PI()</f>
        <v>3.8197186342054881</v>
      </c>
      <c r="G2497" s="2">
        <v>3.1113490000000001</v>
      </c>
      <c r="H2497" s="2">
        <f t="shared" ref="H2497:H2560" si="393">G2497*3.28084</f>
        <v>10.20783825316</v>
      </c>
      <c r="I2497" s="2">
        <f>INDEX('Wood Density Lookup'!$B$2:$B$152,MATCH(B2497,'Wood Density Lookup'!$A$2:$A$152,0))</f>
        <v>0.28000000000000003</v>
      </c>
      <c r="J2497" s="2">
        <f t="shared" ref="J2497:J2560" si="394">0.0673*POWER(I2497*E2497^2*G2497,0.976)</f>
        <v>4.9650075999225161</v>
      </c>
      <c r="K2497" s="2">
        <f t="shared" si="388"/>
        <v>1.3902021279783046</v>
      </c>
      <c r="L2497" s="2">
        <f t="shared" si="389"/>
        <v>6.3552097279008208</v>
      </c>
      <c r="M2497" s="2">
        <f t="shared" ref="M2497:M2560" si="395">0.725*L2497</f>
        <v>4.6075270527280949</v>
      </c>
      <c r="N2497" s="2">
        <f t="shared" ref="N2497:N2560" si="396">0.5*M2497</f>
        <v>2.3037635263640475</v>
      </c>
      <c r="O2497" s="2">
        <f t="shared" ref="O2497:O2560" si="397">3.67*N2497</f>
        <v>8.4548121417560544</v>
      </c>
      <c r="P2497" s="2">
        <v>72.553223000000003</v>
      </c>
      <c r="Q2497" s="2">
        <v>23.038221</v>
      </c>
    </row>
    <row r="2498" spans="1:17" x14ac:dyDescent="0.25">
      <c r="A2498" s="2">
        <v>2683</v>
      </c>
      <c r="B2498" s="2" t="s">
        <v>74</v>
      </c>
      <c r="C2498" s="2">
        <v>4</v>
      </c>
      <c r="D2498" s="2">
        <f t="shared" si="390"/>
        <v>10.16</v>
      </c>
      <c r="E2498" s="2">
        <f t="shared" si="391"/>
        <v>3.2340284436273135</v>
      </c>
      <c r="F2498" s="2">
        <f t="shared" si="392"/>
        <v>1.2732395447351628</v>
      </c>
      <c r="G2498" s="2">
        <v>2.1418170000000001</v>
      </c>
      <c r="H2498" s="2">
        <f t="shared" si="393"/>
        <v>7.0269588862800001</v>
      </c>
      <c r="I2498" s="2">
        <f>INDEX('Wood Density Lookup'!$B$2:$B$152,MATCH(B2498,'Wood Density Lookup'!$A$2:$A$152,0))</f>
        <v>0.5</v>
      </c>
      <c r="J2498" s="2">
        <f t="shared" si="394"/>
        <v>0.71133362676646128</v>
      </c>
      <c r="K2498" s="2">
        <f t="shared" si="388"/>
        <v>0.19917341549460918</v>
      </c>
      <c r="L2498" s="2">
        <f t="shared" si="389"/>
        <v>0.91050704226107049</v>
      </c>
      <c r="M2498" s="2">
        <f t="shared" si="395"/>
        <v>0.66011760563927613</v>
      </c>
      <c r="N2498" s="2">
        <f t="shared" si="396"/>
        <v>0.33005880281963806</v>
      </c>
      <c r="O2498" s="2">
        <f t="shared" si="397"/>
        <v>1.2113158063480716</v>
      </c>
      <c r="P2498" s="2">
        <v>72.553224</v>
      </c>
      <c r="Q2498" s="2">
        <v>23.038150999999999</v>
      </c>
    </row>
    <row r="2499" spans="1:17" x14ac:dyDescent="0.25">
      <c r="A2499" s="2">
        <v>2684</v>
      </c>
      <c r="B2499" s="2" t="s">
        <v>15</v>
      </c>
      <c r="C2499" s="2">
        <v>29</v>
      </c>
      <c r="D2499" s="2">
        <f t="shared" si="390"/>
        <v>73.66</v>
      </c>
      <c r="E2499" s="2">
        <f t="shared" si="391"/>
        <v>23.446706216298022</v>
      </c>
      <c r="F2499" s="2">
        <f t="shared" si="392"/>
        <v>9.2309866993299305</v>
      </c>
      <c r="G2499" s="2">
        <v>8.9590150000000008</v>
      </c>
      <c r="H2499" s="2">
        <f t="shared" si="393"/>
        <v>29.393094772600001</v>
      </c>
      <c r="I2499" s="2">
        <f>INDEX('Wood Density Lookup'!$B$2:$B$152,MATCH(B2499,'Wood Density Lookup'!$A$2:$A$152,0))</f>
        <v>0.75</v>
      </c>
      <c r="J2499" s="2">
        <f t="shared" si="394"/>
        <v>204.11768302357393</v>
      </c>
      <c r="K2499" s="2">
        <f t="shared" ref="K2499:K2562" si="398">0.28*J2499</f>
        <v>57.152951246600708</v>
      </c>
      <c r="L2499" s="2">
        <f t="shared" ref="L2499:L2562" si="399">J2499+K2499</f>
        <v>261.27063427017464</v>
      </c>
      <c r="M2499" s="2">
        <f t="shared" si="395"/>
        <v>189.4212098458766</v>
      </c>
      <c r="N2499" s="2">
        <f t="shared" si="396"/>
        <v>94.710604922938302</v>
      </c>
      <c r="O2499" s="2">
        <f t="shared" si="397"/>
        <v>347.58792006718357</v>
      </c>
      <c r="P2499" s="2">
        <v>72.553224999999998</v>
      </c>
      <c r="Q2499" s="2">
        <v>23.037134000000002</v>
      </c>
    </row>
    <row r="2500" spans="1:17" x14ac:dyDescent="0.25">
      <c r="A2500" s="2">
        <v>2685</v>
      </c>
      <c r="B2500" s="2" t="s">
        <v>107</v>
      </c>
      <c r="C2500" s="2">
        <v>9</v>
      </c>
      <c r="D2500" s="2">
        <f t="shared" si="390"/>
        <v>22.86</v>
      </c>
      <c r="E2500" s="2">
        <f t="shared" si="391"/>
        <v>7.2765639981614552</v>
      </c>
      <c r="F2500" s="2">
        <f t="shared" si="392"/>
        <v>2.8647889756541161</v>
      </c>
      <c r="G2500" s="2">
        <v>2.0357789999999998</v>
      </c>
      <c r="H2500" s="2">
        <f t="shared" si="393"/>
        <v>6.6790651743599989</v>
      </c>
      <c r="I2500" s="2">
        <f>INDEX('Wood Density Lookup'!$B$2:$B$152,MATCH(B2500,'Wood Density Lookup'!$A$2:$A$152,0))</f>
        <v>0.65</v>
      </c>
      <c r="J2500" s="2">
        <f t="shared" si="394"/>
        <v>4.2581390283260925</v>
      </c>
      <c r="K2500" s="2">
        <f t="shared" si="398"/>
        <v>1.192278927931306</v>
      </c>
      <c r="L2500" s="2">
        <f t="shared" si="399"/>
        <v>5.4504179562573984</v>
      </c>
      <c r="M2500" s="2">
        <f t="shared" si="395"/>
        <v>3.9515530182866136</v>
      </c>
      <c r="N2500" s="2">
        <f t="shared" si="396"/>
        <v>1.9757765091433068</v>
      </c>
      <c r="O2500" s="2">
        <f t="shared" si="397"/>
        <v>7.2510997885559361</v>
      </c>
      <c r="P2500" s="2">
        <v>72.553224999999998</v>
      </c>
      <c r="Q2500" s="2">
        <v>23.038103</v>
      </c>
    </row>
    <row r="2501" spans="1:17" x14ac:dyDescent="0.25">
      <c r="A2501" s="2">
        <v>2686</v>
      </c>
      <c r="B2501" s="2" t="s">
        <v>46</v>
      </c>
      <c r="C2501" s="2">
        <v>7</v>
      </c>
      <c r="D2501" s="2">
        <f t="shared" si="390"/>
        <v>17.78</v>
      </c>
      <c r="E2501" s="2">
        <f t="shared" si="391"/>
        <v>5.6595497763477987</v>
      </c>
      <c r="F2501" s="2">
        <f t="shared" si="392"/>
        <v>2.228169203286535</v>
      </c>
      <c r="G2501" s="2">
        <v>2.0155669999999999</v>
      </c>
      <c r="H2501" s="2">
        <f t="shared" si="393"/>
        <v>6.6127528362799994</v>
      </c>
      <c r="I2501" s="2">
        <f>INDEX('Wood Density Lookup'!$B$2:$B$152,MATCH(B2501,'Wood Density Lookup'!$A$2:$A$152,0))</f>
        <v>0.6</v>
      </c>
      <c r="J2501" s="2">
        <f t="shared" si="394"/>
        <v>2.3878807118643834</v>
      </c>
      <c r="K2501" s="2">
        <f t="shared" si="398"/>
        <v>0.66860659932202737</v>
      </c>
      <c r="L2501" s="2">
        <f t="shared" si="399"/>
        <v>3.0564873111864106</v>
      </c>
      <c r="M2501" s="2">
        <f t="shared" si="395"/>
        <v>2.2159533006101477</v>
      </c>
      <c r="N2501" s="2">
        <f t="shared" si="396"/>
        <v>1.1079766503050739</v>
      </c>
      <c r="O2501" s="2">
        <f t="shared" si="397"/>
        <v>4.0662743066196212</v>
      </c>
      <c r="P2501" s="2">
        <v>72.553225999999995</v>
      </c>
      <c r="Q2501" s="2">
        <v>23.038060999999999</v>
      </c>
    </row>
    <row r="2502" spans="1:17" x14ac:dyDescent="0.25">
      <c r="A2502" s="2">
        <v>2687</v>
      </c>
      <c r="B2502" s="2" t="s">
        <v>107</v>
      </c>
      <c r="C2502" s="2">
        <v>33</v>
      </c>
      <c r="D2502" s="2">
        <f t="shared" si="390"/>
        <v>83.820000000000007</v>
      </c>
      <c r="E2502" s="2">
        <f t="shared" si="391"/>
        <v>26.680734659925339</v>
      </c>
      <c r="F2502" s="2">
        <f t="shared" si="392"/>
        <v>10.504226244065093</v>
      </c>
      <c r="G2502" s="2">
        <v>13.673550000000001</v>
      </c>
      <c r="H2502" s="2">
        <f t="shared" si="393"/>
        <v>44.860729782</v>
      </c>
      <c r="I2502" s="2">
        <f>INDEX('Wood Density Lookup'!$B$2:$B$152,MATCH(B2502,'Wood Density Lookup'!$A$2:$A$152,0))</f>
        <v>0.65</v>
      </c>
      <c r="J2502" s="2">
        <f t="shared" si="394"/>
        <v>345.12522800091875</v>
      </c>
      <c r="K2502" s="2">
        <f t="shared" si="398"/>
        <v>96.63506384025726</v>
      </c>
      <c r="L2502" s="2">
        <f t="shared" si="399"/>
        <v>441.76029184117601</v>
      </c>
      <c r="M2502" s="2">
        <f t="shared" si="395"/>
        <v>320.2762115848526</v>
      </c>
      <c r="N2502" s="2">
        <f t="shared" si="396"/>
        <v>160.1381057924263</v>
      </c>
      <c r="O2502" s="2">
        <f t="shared" si="397"/>
        <v>587.70684825820456</v>
      </c>
      <c r="P2502" s="2">
        <v>72.553225999999995</v>
      </c>
      <c r="Q2502" s="2">
        <v>23.037006999999999</v>
      </c>
    </row>
    <row r="2503" spans="1:17" x14ac:dyDescent="0.25">
      <c r="A2503" s="2">
        <v>2688</v>
      </c>
      <c r="B2503" s="2" t="s">
        <v>114</v>
      </c>
      <c r="C2503" s="2">
        <v>13</v>
      </c>
      <c r="D2503" s="2">
        <f t="shared" si="390"/>
        <v>33.020000000000003</v>
      </c>
      <c r="E2503" s="2">
        <f t="shared" si="391"/>
        <v>10.51059244178877</v>
      </c>
      <c r="F2503" s="2">
        <f t="shared" si="392"/>
        <v>4.1380285203892786</v>
      </c>
      <c r="G2503" s="2">
        <v>14.677637000000001</v>
      </c>
      <c r="H2503" s="2">
        <f t="shared" si="393"/>
        <v>48.154978575080001</v>
      </c>
      <c r="I2503" s="2">
        <f>INDEX('Wood Density Lookup'!$B$2:$B$152,MATCH(B2503,'Wood Density Lookup'!$A$2:$A$152,0))</f>
        <v>0.55000000000000004</v>
      </c>
      <c r="J2503" s="2">
        <f t="shared" si="394"/>
        <v>50.989614849476325</v>
      </c>
      <c r="K2503" s="2">
        <f t="shared" si="398"/>
        <v>14.277092157853373</v>
      </c>
      <c r="L2503" s="2">
        <f t="shared" si="399"/>
        <v>65.2667070073297</v>
      </c>
      <c r="M2503" s="2">
        <f t="shared" si="395"/>
        <v>47.31836258031403</v>
      </c>
      <c r="N2503" s="2">
        <f t="shared" si="396"/>
        <v>23.659181290157015</v>
      </c>
      <c r="O2503" s="2">
        <f t="shared" si="397"/>
        <v>86.829195334876246</v>
      </c>
      <c r="P2503" s="2">
        <v>72.553225999999995</v>
      </c>
      <c r="Q2503" s="2">
        <v>23.036854000000002</v>
      </c>
    </row>
    <row r="2504" spans="1:17" x14ac:dyDescent="0.25">
      <c r="A2504" s="2">
        <v>2689</v>
      </c>
      <c r="B2504" s="2" t="s">
        <v>146</v>
      </c>
      <c r="C2504" s="2">
        <v>4</v>
      </c>
      <c r="D2504" s="2">
        <f t="shared" si="390"/>
        <v>10.16</v>
      </c>
      <c r="E2504" s="2">
        <f t="shared" si="391"/>
        <v>3.2340284436273135</v>
      </c>
      <c r="F2504" s="2">
        <f t="shared" si="392"/>
        <v>1.2732395447351628</v>
      </c>
      <c r="G2504" s="2">
        <v>5.3277390000000002</v>
      </c>
      <c r="H2504" s="2">
        <f t="shared" si="393"/>
        <v>17.479459220759999</v>
      </c>
      <c r="I2504" s="2">
        <f>INDEX('Wood Density Lookup'!$B$2:$B$152,MATCH(B2504,'Wood Density Lookup'!$A$2:$A$152,0))</f>
        <v>0.55000000000000004</v>
      </c>
      <c r="J2504" s="2">
        <f t="shared" si="394"/>
        <v>1.8999183008380556</v>
      </c>
      <c r="K2504" s="2">
        <f t="shared" si="398"/>
        <v>0.5319771242346556</v>
      </c>
      <c r="L2504" s="2">
        <f t="shared" si="399"/>
        <v>2.4318954250727112</v>
      </c>
      <c r="M2504" s="2">
        <f t="shared" si="395"/>
        <v>1.7631241831777156</v>
      </c>
      <c r="N2504" s="2">
        <f t="shared" si="396"/>
        <v>0.88156209158885779</v>
      </c>
      <c r="O2504" s="2">
        <f t="shared" si="397"/>
        <v>3.2353328761311082</v>
      </c>
      <c r="P2504" s="2">
        <v>72.553227000000007</v>
      </c>
      <c r="Q2504" s="2">
        <v>23.038184999999999</v>
      </c>
    </row>
    <row r="2505" spans="1:17" x14ac:dyDescent="0.25">
      <c r="A2505" s="2">
        <v>2690</v>
      </c>
      <c r="B2505" s="2" t="s">
        <v>78</v>
      </c>
      <c r="C2505" s="2">
        <v>12</v>
      </c>
      <c r="D2505" s="2">
        <f t="shared" si="390"/>
        <v>30.48</v>
      </c>
      <c r="E2505" s="2">
        <f t="shared" si="391"/>
        <v>9.7020853308819408</v>
      </c>
      <c r="F2505" s="2">
        <f t="shared" si="392"/>
        <v>3.8197186342054881</v>
      </c>
      <c r="G2505" s="2">
        <v>3.763585</v>
      </c>
      <c r="H2505" s="2">
        <f t="shared" si="393"/>
        <v>12.3477202114</v>
      </c>
      <c r="I2505" s="2">
        <f>INDEX('Wood Density Lookup'!$B$2:$B$152,MATCH(B2505,'Wood Density Lookup'!$A$2:$A$152,0))</f>
        <v>0.55000000000000004</v>
      </c>
      <c r="J2505" s="2">
        <f t="shared" si="394"/>
        <v>11.554655251627517</v>
      </c>
      <c r="K2505" s="2">
        <f t="shared" si="398"/>
        <v>3.2353034704557051</v>
      </c>
      <c r="L2505" s="2">
        <f t="shared" si="399"/>
        <v>14.789958722083222</v>
      </c>
      <c r="M2505" s="2">
        <f t="shared" si="395"/>
        <v>10.722720073510336</v>
      </c>
      <c r="N2505" s="2">
        <f t="shared" si="396"/>
        <v>5.3613600367551681</v>
      </c>
      <c r="O2505" s="2">
        <f t="shared" si="397"/>
        <v>19.676191334891467</v>
      </c>
      <c r="P2505" s="2">
        <v>72.553228000000004</v>
      </c>
      <c r="Q2505" s="2">
        <v>23.038017</v>
      </c>
    </row>
    <row r="2506" spans="1:17" x14ac:dyDescent="0.25">
      <c r="A2506" s="2">
        <v>2691</v>
      </c>
      <c r="B2506" s="2" t="s">
        <v>115</v>
      </c>
      <c r="C2506" s="2">
        <v>7</v>
      </c>
      <c r="D2506" s="2">
        <f t="shared" si="390"/>
        <v>17.78</v>
      </c>
      <c r="E2506" s="2">
        <f t="shared" si="391"/>
        <v>5.6595497763477987</v>
      </c>
      <c r="F2506" s="2">
        <f t="shared" si="392"/>
        <v>2.228169203286535</v>
      </c>
      <c r="G2506" s="2">
        <v>6.4153269999999996</v>
      </c>
      <c r="H2506" s="2">
        <f t="shared" si="393"/>
        <v>21.047661434679998</v>
      </c>
      <c r="I2506" s="2">
        <f>INDEX('Wood Density Lookup'!$B$2:$B$152,MATCH(B2506,'Wood Density Lookup'!$A$2:$A$152,0))</f>
        <v>0.65</v>
      </c>
      <c r="J2506" s="2">
        <f t="shared" si="394"/>
        <v>7.9927142122781678</v>
      </c>
      <c r="K2506" s="2">
        <f t="shared" si="398"/>
        <v>2.2379599794378873</v>
      </c>
      <c r="L2506" s="2">
        <f t="shared" si="399"/>
        <v>10.230674191716055</v>
      </c>
      <c r="M2506" s="2">
        <f t="shared" si="395"/>
        <v>7.4172387889941396</v>
      </c>
      <c r="N2506" s="2">
        <f t="shared" si="396"/>
        <v>3.7086193944970698</v>
      </c>
      <c r="O2506" s="2">
        <f t="shared" si="397"/>
        <v>13.610633177804246</v>
      </c>
      <c r="P2506" s="2">
        <v>72.553233000000006</v>
      </c>
      <c r="Q2506" s="2">
        <v>23.035781</v>
      </c>
    </row>
    <row r="2507" spans="1:17" x14ac:dyDescent="0.25">
      <c r="A2507" s="2">
        <v>2692</v>
      </c>
      <c r="B2507" s="2" t="s">
        <v>9</v>
      </c>
      <c r="C2507" s="2">
        <v>89</v>
      </c>
      <c r="D2507" s="2">
        <f t="shared" si="390"/>
        <v>226.06</v>
      </c>
      <c r="E2507" s="2">
        <f t="shared" si="391"/>
        <v>71.957132870707724</v>
      </c>
      <c r="F2507" s="2">
        <f t="shared" si="392"/>
        <v>28.329579870357371</v>
      </c>
      <c r="G2507" s="2">
        <v>17.276644000000001</v>
      </c>
      <c r="H2507" s="2">
        <f t="shared" si="393"/>
        <v>56.681904700960004</v>
      </c>
      <c r="I2507" s="2">
        <f>INDEX('Wood Density Lookup'!$B$2:$B$152,MATCH(B2507,'Wood Density Lookup'!$A$2:$A$152,0))</f>
        <v>0.42</v>
      </c>
      <c r="J2507" s="2">
        <f t="shared" si="394"/>
        <v>1963.6988558250505</v>
      </c>
      <c r="K2507" s="2">
        <f t="shared" si="398"/>
        <v>549.83567963101416</v>
      </c>
      <c r="L2507" s="2">
        <f t="shared" si="399"/>
        <v>2513.5345354560645</v>
      </c>
      <c r="M2507" s="2">
        <f t="shared" si="395"/>
        <v>1822.3125382056467</v>
      </c>
      <c r="N2507" s="2">
        <f t="shared" si="396"/>
        <v>911.15626910282333</v>
      </c>
      <c r="O2507" s="2">
        <f t="shared" si="397"/>
        <v>3343.9435076073614</v>
      </c>
      <c r="P2507" s="2">
        <v>72.553236999999996</v>
      </c>
      <c r="Q2507" s="2">
        <v>23.035399000000002</v>
      </c>
    </row>
    <row r="2508" spans="1:17" x14ac:dyDescent="0.25">
      <c r="A2508" s="2">
        <v>2693</v>
      </c>
      <c r="B2508" s="2" t="s">
        <v>107</v>
      </c>
      <c r="C2508" s="2">
        <v>71</v>
      </c>
      <c r="D2508" s="2">
        <f t="shared" si="390"/>
        <v>180.34</v>
      </c>
      <c r="E2508" s="2">
        <f t="shared" si="391"/>
        <v>57.40400487438481</v>
      </c>
      <c r="F2508" s="2">
        <f t="shared" si="392"/>
        <v>22.600001919049138</v>
      </c>
      <c r="G2508" s="2">
        <v>16.909489000000001</v>
      </c>
      <c r="H2508" s="2">
        <f t="shared" si="393"/>
        <v>55.477327890760002</v>
      </c>
      <c r="I2508" s="2">
        <f>INDEX('Wood Density Lookup'!$B$2:$B$152,MATCH(B2508,'Wood Density Lookup'!$A$2:$A$152,0))</f>
        <v>0.65</v>
      </c>
      <c r="J2508" s="2">
        <f t="shared" si="394"/>
        <v>1894.6500789181446</v>
      </c>
      <c r="K2508" s="2">
        <f t="shared" si="398"/>
        <v>530.5020220970805</v>
      </c>
      <c r="L2508" s="2">
        <f t="shared" si="399"/>
        <v>2425.1521010152251</v>
      </c>
      <c r="M2508" s="2">
        <f t="shared" si="395"/>
        <v>1758.2352732360382</v>
      </c>
      <c r="N2508" s="2">
        <f t="shared" si="396"/>
        <v>879.11763661801911</v>
      </c>
      <c r="O2508" s="2">
        <f t="shared" si="397"/>
        <v>3226.3617263881301</v>
      </c>
      <c r="P2508" s="2">
        <v>72.553240000000002</v>
      </c>
      <c r="Q2508" s="2">
        <v>23.037208</v>
      </c>
    </row>
    <row r="2509" spans="1:17" x14ac:dyDescent="0.25">
      <c r="A2509" s="2">
        <v>2694</v>
      </c>
      <c r="B2509" s="2" t="s">
        <v>43</v>
      </c>
      <c r="C2509" s="2">
        <v>4</v>
      </c>
      <c r="D2509" s="2">
        <f t="shared" si="390"/>
        <v>10.16</v>
      </c>
      <c r="E2509" s="2">
        <f t="shared" si="391"/>
        <v>3.2340284436273135</v>
      </c>
      <c r="F2509" s="2">
        <f t="shared" si="392"/>
        <v>1.2732395447351628</v>
      </c>
      <c r="G2509" s="2">
        <v>1.007091</v>
      </c>
      <c r="H2509" s="2">
        <f t="shared" si="393"/>
        <v>3.3041044364399998</v>
      </c>
      <c r="I2509" s="2">
        <f>INDEX('Wood Density Lookup'!$B$2:$B$152,MATCH(B2509,'Wood Density Lookup'!$A$2:$A$152,0))</f>
        <v>0.6</v>
      </c>
      <c r="J2509" s="2">
        <f t="shared" si="394"/>
        <v>0.4069168901097252</v>
      </c>
      <c r="K2509" s="2">
        <f t="shared" si="398"/>
        <v>0.11393672923072307</v>
      </c>
      <c r="L2509" s="2">
        <f t="shared" si="399"/>
        <v>0.52085361934044827</v>
      </c>
      <c r="M2509" s="2">
        <f t="shared" si="395"/>
        <v>0.37761887402182498</v>
      </c>
      <c r="N2509" s="2">
        <f t="shared" si="396"/>
        <v>0.18880943701091249</v>
      </c>
      <c r="O2509" s="2">
        <f t="shared" si="397"/>
        <v>0.69293063383004883</v>
      </c>
      <c r="P2509" s="2">
        <v>72.553247999999996</v>
      </c>
      <c r="Q2509" s="2">
        <v>23.037811000000001</v>
      </c>
    </row>
    <row r="2510" spans="1:17" x14ac:dyDescent="0.25">
      <c r="A2510" s="2">
        <v>2695</v>
      </c>
      <c r="B2510" s="2" t="s">
        <v>93</v>
      </c>
      <c r="C2510" s="2">
        <v>4</v>
      </c>
      <c r="D2510" s="2">
        <f t="shared" si="390"/>
        <v>10.16</v>
      </c>
      <c r="E2510" s="2">
        <f t="shared" si="391"/>
        <v>3.2340284436273135</v>
      </c>
      <c r="F2510" s="2">
        <f t="shared" si="392"/>
        <v>1.2732395447351628</v>
      </c>
      <c r="G2510" s="2">
        <v>2.0691790000000001</v>
      </c>
      <c r="H2510" s="2">
        <f t="shared" si="393"/>
        <v>6.7886452303600002</v>
      </c>
      <c r="I2510" s="2">
        <f>INDEX('Wood Density Lookup'!$B$2:$B$152,MATCH(B2510,'Wood Density Lookup'!$A$2:$A$152,0))</f>
        <v>0.9</v>
      </c>
      <c r="J2510" s="2">
        <f t="shared" si="394"/>
        <v>1.2206597614990642</v>
      </c>
      <c r="K2510" s="2">
        <f t="shared" si="398"/>
        <v>0.34178473321973801</v>
      </c>
      <c r="L2510" s="2">
        <f t="shared" si="399"/>
        <v>1.5624444947188021</v>
      </c>
      <c r="M2510" s="2">
        <f t="shared" si="395"/>
        <v>1.1327722586711315</v>
      </c>
      <c r="N2510" s="2">
        <f t="shared" si="396"/>
        <v>0.56638612933556576</v>
      </c>
      <c r="O2510" s="2">
        <f t="shared" si="397"/>
        <v>2.0786370946615262</v>
      </c>
      <c r="P2510" s="2">
        <v>72.553247999999996</v>
      </c>
      <c r="Q2510" s="2">
        <v>23.037849999999999</v>
      </c>
    </row>
    <row r="2511" spans="1:17" x14ac:dyDescent="0.25">
      <c r="A2511" s="2">
        <v>2696</v>
      </c>
      <c r="B2511" s="2" t="s">
        <v>42</v>
      </c>
      <c r="C2511" s="2">
        <v>10</v>
      </c>
      <c r="D2511" s="2">
        <f t="shared" si="390"/>
        <v>25.4</v>
      </c>
      <c r="E2511" s="2">
        <f t="shared" si="391"/>
        <v>8.0850711090682825</v>
      </c>
      <c r="F2511" s="2">
        <f t="shared" si="392"/>
        <v>3.183098861837907</v>
      </c>
      <c r="G2511" s="2">
        <v>7.9282750000000002</v>
      </c>
      <c r="H2511" s="2">
        <f t="shared" si="393"/>
        <v>26.011401751000001</v>
      </c>
      <c r="I2511" s="2">
        <f>INDEX('Wood Density Lookup'!$B$2:$B$152,MATCH(B2511,'Wood Density Lookup'!$A$2:$A$152,0))</f>
        <v>0.9</v>
      </c>
      <c r="J2511" s="2">
        <f t="shared" si="394"/>
        <v>27.086508887751066</v>
      </c>
      <c r="K2511" s="2">
        <f t="shared" si="398"/>
        <v>7.5842224885702993</v>
      </c>
      <c r="L2511" s="2">
        <f t="shared" si="399"/>
        <v>34.670731376321363</v>
      </c>
      <c r="M2511" s="2">
        <f t="shared" si="395"/>
        <v>25.136280247832989</v>
      </c>
      <c r="N2511" s="2">
        <f t="shared" si="396"/>
        <v>12.568140123916494</v>
      </c>
      <c r="O2511" s="2">
        <f t="shared" si="397"/>
        <v>46.125074254773537</v>
      </c>
      <c r="P2511" s="2">
        <v>72.553252999999998</v>
      </c>
      <c r="Q2511" s="2">
        <v>23.037890999999998</v>
      </c>
    </row>
    <row r="2512" spans="1:17" x14ac:dyDescent="0.25">
      <c r="A2512" s="2">
        <v>2697</v>
      </c>
      <c r="B2512" s="2" t="s">
        <v>45</v>
      </c>
      <c r="C2512" s="2">
        <v>8</v>
      </c>
      <c r="D2512" s="2">
        <f t="shared" si="390"/>
        <v>20.32</v>
      </c>
      <c r="E2512" s="2">
        <f t="shared" si="391"/>
        <v>6.4680568872546269</v>
      </c>
      <c r="F2512" s="2">
        <f t="shared" si="392"/>
        <v>2.5464790894703255</v>
      </c>
      <c r="G2512" s="2">
        <v>6.2883079999999998</v>
      </c>
      <c r="H2512" s="2">
        <f t="shared" si="393"/>
        <v>20.63093241872</v>
      </c>
      <c r="I2512" s="2">
        <f>INDEX('Wood Density Lookup'!$B$2:$B$152,MATCH(B2512,'Wood Density Lookup'!$A$2:$A$152,0))</f>
        <v>0.6</v>
      </c>
      <c r="J2512" s="2">
        <f t="shared" si="394"/>
        <v>9.4078459294367995</v>
      </c>
      <c r="K2512" s="2">
        <f t="shared" si="398"/>
        <v>2.6341968602423043</v>
      </c>
      <c r="L2512" s="2">
        <f t="shared" si="399"/>
        <v>12.042042789679105</v>
      </c>
      <c r="M2512" s="2">
        <f t="shared" si="395"/>
        <v>8.7304810225173508</v>
      </c>
      <c r="N2512" s="2">
        <f t="shared" si="396"/>
        <v>4.3652405112586754</v>
      </c>
      <c r="O2512" s="2">
        <f t="shared" si="397"/>
        <v>16.020432676319338</v>
      </c>
      <c r="P2512" s="2">
        <v>72.553253999999995</v>
      </c>
      <c r="Q2512" s="2">
        <v>23.037337999999998</v>
      </c>
    </row>
    <row r="2513" spans="1:17" x14ac:dyDescent="0.25">
      <c r="A2513" s="2">
        <v>2698</v>
      </c>
      <c r="B2513" s="2" t="s">
        <v>6</v>
      </c>
      <c r="C2513" s="2">
        <v>9</v>
      </c>
      <c r="D2513" s="2">
        <f t="shared" si="390"/>
        <v>22.86</v>
      </c>
      <c r="E2513" s="2">
        <f t="shared" si="391"/>
        <v>7.2765639981614552</v>
      </c>
      <c r="F2513" s="2">
        <f t="shared" si="392"/>
        <v>2.8647889756541161</v>
      </c>
      <c r="G2513" s="2">
        <v>10.215971</v>
      </c>
      <c r="H2513" s="2">
        <f t="shared" si="393"/>
        <v>33.516966295639996</v>
      </c>
      <c r="I2513" s="2">
        <f>INDEX('Wood Density Lookup'!$B$2:$B$152,MATCH(B2513,'Wood Density Lookup'!$A$2:$A$152,0))</f>
        <v>0.28000000000000003</v>
      </c>
      <c r="J2513" s="2">
        <f t="shared" si="394"/>
        <v>9.0360470663324577</v>
      </c>
      <c r="K2513" s="2">
        <f t="shared" si="398"/>
        <v>2.5300931785730882</v>
      </c>
      <c r="L2513" s="2">
        <f t="shared" si="399"/>
        <v>11.566140244905545</v>
      </c>
      <c r="M2513" s="2">
        <f t="shared" si="395"/>
        <v>8.3854516775565209</v>
      </c>
      <c r="N2513" s="2">
        <f t="shared" si="396"/>
        <v>4.1927258387782604</v>
      </c>
      <c r="O2513" s="2">
        <f t="shared" si="397"/>
        <v>15.387303828316215</v>
      </c>
      <c r="P2513" s="2">
        <v>72.553253999999995</v>
      </c>
      <c r="Q2513" s="2">
        <v>23.038226999999999</v>
      </c>
    </row>
    <row r="2514" spans="1:17" x14ac:dyDescent="0.25">
      <c r="A2514" s="2">
        <v>2699</v>
      </c>
      <c r="B2514" s="2" t="s">
        <v>137</v>
      </c>
      <c r="C2514" s="2">
        <v>2</v>
      </c>
      <c r="D2514" s="2">
        <f t="shared" si="390"/>
        <v>5.08</v>
      </c>
      <c r="E2514" s="2">
        <f t="shared" si="391"/>
        <v>1.6170142218136567</v>
      </c>
      <c r="F2514" s="2">
        <f t="shared" si="392"/>
        <v>0.63661977236758138</v>
      </c>
      <c r="G2514" s="2">
        <v>1.0424549999999999</v>
      </c>
      <c r="H2514" s="2">
        <f t="shared" si="393"/>
        <v>3.4201280621999999</v>
      </c>
      <c r="I2514" s="2">
        <f>INDEX('Wood Density Lookup'!$B$2:$B$152,MATCH(B2514,'Wood Density Lookup'!$A$2:$A$152,0))</f>
        <v>0.55000000000000004</v>
      </c>
      <c r="J2514" s="2">
        <f t="shared" si="394"/>
        <v>9.9917694635867291E-2</v>
      </c>
      <c r="K2514" s="2">
        <f t="shared" si="398"/>
        <v>2.7976954498042845E-2</v>
      </c>
      <c r="L2514" s="2">
        <f t="shared" si="399"/>
        <v>0.12789464913391013</v>
      </c>
      <c r="M2514" s="2">
        <f t="shared" si="395"/>
        <v>9.2723620622084849E-2</v>
      </c>
      <c r="N2514" s="2">
        <f t="shared" si="396"/>
        <v>4.6361810311042424E-2</v>
      </c>
      <c r="O2514" s="2">
        <f t="shared" si="397"/>
        <v>0.1701478438415257</v>
      </c>
      <c r="P2514" s="2">
        <v>72.553256000000005</v>
      </c>
      <c r="Q2514" s="2">
        <v>23.035868000000001</v>
      </c>
    </row>
    <row r="2515" spans="1:17" x14ac:dyDescent="0.25">
      <c r="A2515" s="2">
        <v>2700</v>
      </c>
      <c r="B2515" s="2" t="s">
        <v>107</v>
      </c>
      <c r="C2515" s="2">
        <v>33</v>
      </c>
      <c r="D2515" s="2">
        <f t="shared" si="390"/>
        <v>83.820000000000007</v>
      </c>
      <c r="E2515" s="2">
        <f t="shared" si="391"/>
        <v>26.680734659925339</v>
      </c>
      <c r="F2515" s="2">
        <f t="shared" si="392"/>
        <v>10.504226244065093</v>
      </c>
      <c r="G2515" s="2">
        <v>12.187037999999999</v>
      </c>
      <c r="H2515" s="2">
        <f t="shared" si="393"/>
        <v>39.983721751920001</v>
      </c>
      <c r="I2515" s="2">
        <f>INDEX('Wood Density Lookup'!$B$2:$B$152,MATCH(B2515,'Wood Density Lookup'!$A$2:$A$152,0))</f>
        <v>0.65</v>
      </c>
      <c r="J2515" s="2">
        <f t="shared" si="394"/>
        <v>308.45597242892183</v>
      </c>
      <c r="K2515" s="2">
        <f t="shared" si="398"/>
        <v>86.36767228009812</v>
      </c>
      <c r="L2515" s="2">
        <f t="shared" si="399"/>
        <v>394.82364470901996</v>
      </c>
      <c r="M2515" s="2">
        <f t="shared" si="395"/>
        <v>286.24714241403944</v>
      </c>
      <c r="N2515" s="2">
        <f t="shared" si="396"/>
        <v>143.12357120701972</v>
      </c>
      <c r="O2515" s="2">
        <f t="shared" si="397"/>
        <v>525.26350632976232</v>
      </c>
      <c r="P2515" s="2">
        <v>72.553258</v>
      </c>
      <c r="Q2515" s="2">
        <v>23.036943000000001</v>
      </c>
    </row>
    <row r="2516" spans="1:17" x14ac:dyDescent="0.25">
      <c r="A2516" s="2">
        <v>2701</v>
      </c>
      <c r="B2516" s="2" t="s">
        <v>15</v>
      </c>
      <c r="C2516" s="2">
        <v>13</v>
      </c>
      <c r="D2516" s="2">
        <f t="shared" si="390"/>
        <v>33.020000000000003</v>
      </c>
      <c r="E2516" s="2">
        <f t="shared" si="391"/>
        <v>10.51059244178877</v>
      </c>
      <c r="F2516" s="2">
        <f t="shared" si="392"/>
        <v>4.1380285203892786</v>
      </c>
      <c r="G2516" s="2">
        <v>6.8920570000000003</v>
      </c>
      <c r="H2516" s="2">
        <f t="shared" si="393"/>
        <v>22.611736287879999</v>
      </c>
      <c r="I2516" s="2">
        <f>INDEX('Wood Density Lookup'!$B$2:$B$152,MATCH(B2516,'Wood Density Lookup'!$A$2:$A$152,0))</f>
        <v>0.75</v>
      </c>
      <c r="J2516" s="2">
        <f t="shared" si="394"/>
        <v>33.000432540410699</v>
      </c>
      <c r="K2516" s="2">
        <f t="shared" si="398"/>
        <v>9.2401211113149966</v>
      </c>
      <c r="L2516" s="2">
        <f t="shared" si="399"/>
        <v>42.240553651725698</v>
      </c>
      <c r="M2516" s="2">
        <f t="shared" si="395"/>
        <v>30.624401397501131</v>
      </c>
      <c r="N2516" s="2">
        <f t="shared" si="396"/>
        <v>15.312200698750566</v>
      </c>
      <c r="O2516" s="2">
        <f t="shared" si="397"/>
        <v>56.195776564414572</v>
      </c>
      <c r="P2516" s="2">
        <v>72.553263000000001</v>
      </c>
      <c r="Q2516" s="2">
        <v>23.038737999999999</v>
      </c>
    </row>
    <row r="2517" spans="1:17" x14ac:dyDescent="0.25">
      <c r="A2517" s="2">
        <v>2702</v>
      </c>
      <c r="B2517" s="2" t="s">
        <v>114</v>
      </c>
      <c r="C2517" s="2">
        <v>24</v>
      </c>
      <c r="D2517" s="2">
        <f t="shared" si="390"/>
        <v>60.96</v>
      </c>
      <c r="E2517" s="2">
        <f t="shared" si="391"/>
        <v>19.404170661763882</v>
      </c>
      <c r="F2517" s="2">
        <f t="shared" si="392"/>
        <v>7.6394372684109761</v>
      </c>
      <c r="G2517" s="2">
        <v>10.215252</v>
      </c>
      <c r="H2517" s="2">
        <f t="shared" si="393"/>
        <v>33.51460737168</v>
      </c>
      <c r="I2517" s="2">
        <f>INDEX('Wood Density Lookup'!$B$2:$B$152,MATCH(B2517,'Wood Density Lookup'!$A$2:$A$152,0))</f>
        <v>0.55000000000000004</v>
      </c>
      <c r="J2517" s="2">
        <f t="shared" si="394"/>
        <v>118.4697202718272</v>
      </c>
      <c r="K2517" s="2">
        <f t="shared" si="398"/>
        <v>33.171521676111617</v>
      </c>
      <c r="L2517" s="2">
        <f t="shared" si="399"/>
        <v>151.64124194793882</v>
      </c>
      <c r="M2517" s="2">
        <f t="shared" si="395"/>
        <v>109.93990041225564</v>
      </c>
      <c r="N2517" s="2">
        <f t="shared" si="396"/>
        <v>54.96995020612782</v>
      </c>
      <c r="O2517" s="2">
        <f t="shared" si="397"/>
        <v>201.73971725648909</v>
      </c>
      <c r="P2517" s="2">
        <v>72.553263999999999</v>
      </c>
      <c r="Q2517" s="2">
        <v>23.037002999999999</v>
      </c>
    </row>
    <row r="2518" spans="1:17" x14ac:dyDescent="0.25">
      <c r="A2518" s="2">
        <v>2703</v>
      </c>
      <c r="B2518" s="2" t="s">
        <v>107</v>
      </c>
      <c r="C2518" s="2">
        <v>62</v>
      </c>
      <c r="D2518" s="2">
        <f t="shared" si="390"/>
        <v>157.47999999999999</v>
      </c>
      <c r="E2518" s="2">
        <f t="shared" si="391"/>
        <v>50.127440876223353</v>
      </c>
      <c r="F2518" s="2">
        <f t="shared" si="392"/>
        <v>19.735212943395023</v>
      </c>
      <c r="G2518" s="2">
        <v>14.138920000000001</v>
      </c>
      <c r="H2518" s="2">
        <f t="shared" si="393"/>
        <v>46.387534292800005</v>
      </c>
      <c r="I2518" s="2">
        <f>INDEX('Wood Density Lookup'!$B$2:$B$152,MATCH(B2518,'Wood Density Lookup'!$A$2:$A$152,0))</f>
        <v>0.65</v>
      </c>
      <c r="J2518" s="2">
        <f t="shared" si="394"/>
        <v>1221.1589281984402</v>
      </c>
      <c r="K2518" s="2">
        <f t="shared" si="398"/>
        <v>341.92449989556332</v>
      </c>
      <c r="L2518" s="2">
        <f t="shared" si="399"/>
        <v>1563.0834280940035</v>
      </c>
      <c r="M2518" s="2">
        <f t="shared" si="395"/>
        <v>1133.2354853681525</v>
      </c>
      <c r="N2518" s="2">
        <f t="shared" si="396"/>
        <v>566.61774268407623</v>
      </c>
      <c r="O2518" s="2">
        <f t="shared" si="397"/>
        <v>2079.4871156505596</v>
      </c>
      <c r="P2518" s="2">
        <v>72.553269999999998</v>
      </c>
      <c r="Q2518" s="2">
        <v>23.036788000000001</v>
      </c>
    </row>
    <row r="2519" spans="1:17" x14ac:dyDescent="0.25">
      <c r="A2519" s="2">
        <v>2704</v>
      </c>
      <c r="B2519" s="2" t="s">
        <v>115</v>
      </c>
      <c r="C2519" s="2">
        <v>8</v>
      </c>
      <c r="D2519" s="2">
        <f t="shared" si="390"/>
        <v>20.32</v>
      </c>
      <c r="E2519" s="2">
        <f t="shared" si="391"/>
        <v>6.4680568872546269</v>
      </c>
      <c r="F2519" s="2">
        <f t="shared" si="392"/>
        <v>2.5464790894703255</v>
      </c>
      <c r="G2519" s="2">
        <v>1.480972</v>
      </c>
      <c r="H2519" s="2">
        <f t="shared" si="393"/>
        <v>4.85883217648</v>
      </c>
      <c r="I2519" s="2">
        <f>INDEX('Wood Density Lookup'!$B$2:$B$152,MATCH(B2519,'Wood Density Lookup'!$A$2:$A$152,0))</f>
        <v>0.65</v>
      </c>
      <c r="J2519" s="2">
        <f t="shared" si="394"/>
        <v>2.4802915947221935</v>
      </c>
      <c r="K2519" s="2">
        <f t="shared" si="398"/>
        <v>0.69448164652221422</v>
      </c>
      <c r="L2519" s="2">
        <f t="shared" si="399"/>
        <v>3.1747732412444076</v>
      </c>
      <c r="M2519" s="2">
        <f t="shared" si="395"/>
        <v>2.3017105999021954</v>
      </c>
      <c r="N2519" s="2">
        <f t="shared" si="396"/>
        <v>1.1508552999510977</v>
      </c>
      <c r="O2519" s="2">
        <f t="shared" si="397"/>
        <v>4.2236389508205283</v>
      </c>
      <c r="P2519" s="2">
        <v>72.553270999999995</v>
      </c>
      <c r="Q2519" s="2">
        <v>23.038063000000001</v>
      </c>
    </row>
    <row r="2520" spans="1:17" x14ac:dyDescent="0.25">
      <c r="A2520" s="2">
        <v>2705</v>
      </c>
      <c r="B2520" s="2" t="s">
        <v>93</v>
      </c>
      <c r="C2520" s="2">
        <v>8</v>
      </c>
      <c r="D2520" s="2">
        <f t="shared" si="390"/>
        <v>20.32</v>
      </c>
      <c r="E2520" s="2">
        <f t="shared" si="391"/>
        <v>6.4680568872546269</v>
      </c>
      <c r="F2520" s="2">
        <f t="shared" si="392"/>
        <v>2.5464790894703255</v>
      </c>
      <c r="G2520" s="2">
        <v>1.0784720000000001</v>
      </c>
      <c r="H2520" s="2">
        <f t="shared" si="393"/>
        <v>3.5382940764800002</v>
      </c>
      <c r="I2520" s="2">
        <f>INDEX('Wood Density Lookup'!$B$2:$B$152,MATCH(B2520,'Wood Density Lookup'!$A$2:$A$152,0))</f>
        <v>0.9</v>
      </c>
      <c r="J2520" s="2">
        <f t="shared" si="394"/>
        <v>2.5003898804031612</v>
      </c>
      <c r="K2520" s="2">
        <f t="shared" si="398"/>
        <v>0.70010916651288524</v>
      </c>
      <c r="L2520" s="2">
        <f t="shared" si="399"/>
        <v>3.2004990469160464</v>
      </c>
      <c r="M2520" s="2">
        <f t="shared" si="395"/>
        <v>2.3203618090141336</v>
      </c>
      <c r="N2520" s="2">
        <f t="shared" si="396"/>
        <v>1.1601809045070668</v>
      </c>
      <c r="O2520" s="2">
        <f t="shared" si="397"/>
        <v>4.2578639195409353</v>
      </c>
      <c r="P2520" s="2">
        <v>72.553272000000007</v>
      </c>
      <c r="Q2520" s="2">
        <v>23.038103</v>
      </c>
    </row>
    <row r="2521" spans="1:17" x14ac:dyDescent="0.25">
      <c r="A2521" s="2">
        <v>2706</v>
      </c>
      <c r="B2521" s="2" t="s">
        <v>107</v>
      </c>
      <c r="C2521" s="2">
        <v>46</v>
      </c>
      <c r="D2521" s="2">
        <f t="shared" si="390"/>
        <v>116.84</v>
      </c>
      <c r="E2521" s="2">
        <f t="shared" si="391"/>
        <v>37.191327101714101</v>
      </c>
      <c r="F2521" s="2">
        <f t="shared" si="392"/>
        <v>14.642254764454371</v>
      </c>
      <c r="G2521" s="2">
        <v>14.845438</v>
      </c>
      <c r="H2521" s="2">
        <f t="shared" si="393"/>
        <v>48.705506807919996</v>
      </c>
      <c r="I2521" s="2">
        <f>INDEX('Wood Density Lookup'!$B$2:$B$152,MATCH(B2521,'Wood Density Lookup'!$A$2:$A$152,0))</f>
        <v>0.65</v>
      </c>
      <c r="J2521" s="2">
        <f t="shared" si="394"/>
        <v>715.14718629208096</v>
      </c>
      <c r="K2521" s="2">
        <f t="shared" si="398"/>
        <v>200.2412121617827</v>
      </c>
      <c r="L2521" s="2">
        <f t="shared" si="399"/>
        <v>915.3883984538636</v>
      </c>
      <c r="M2521" s="2">
        <f t="shared" si="395"/>
        <v>663.65658887905113</v>
      </c>
      <c r="N2521" s="2">
        <f t="shared" si="396"/>
        <v>331.82829443952556</v>
      </c>
      <c r="O2521" s="2">
        <f t="shared" si="397"/>
        <v>1217.8098405930589</v>
      </c>
      <c r="P2521" s="2">
        <v>72.553272000000007</v>
      </c>
      <c r="Q2521" s="2">
        <v>23.037071000000001</v>
      </c>
    </row>
    <row r="2522" spans="1:17" x14ac:dyDescent="0.25">
      <c r="A2522" s="2">
        <v>2707</v>
      </c>
      <c r="B2522" s="2" t="s">
        <v>129</v>
      </c>
      <c r="C2522" s="2">
        <v>4</v>
      </c>
      <c r="D2522" s="2">
        <f t="shared" si="390"/>
        <v>10.16</v>
      </c>
      <c r="E2522" s="2">
        <f t="shared" si="391"/>
        <v>3.2340284436273135</v>
      </c>
      <c r="F2522" s="2">
        <f t="shared" si="392"/>
        <v>1.2732395447351628</v>
      </c>
      <c r="G2522" s="2">
        <v>2.0055160000000001</v>
      </c>
      <c r="H2522" s="2">
        <f t="shared" si="393"/>
        <v>6.5797771134400005</v>
      </c>
      <c r="I2522" s="2">
        <f>INDEX('Wood Density Lookup'!$B$2:$B$152,MATCH(B2522,'Wood Density Lookup'!$A$2:$A$152,0))</f>
        <v>0.4</v>
      </c>
      <c r="J2522" s="2">
        <f t="shared" si="394"/>
        <v>0.53655999113805497</v>
      </c>
      <c r="K2522" s="2">
        <f t="shared" si="398"/>
        <v>0.1502367975186554</v>
      </c>
      <c r="L2522" s="2">
        <f t="shared" si="399"/>
        <v>0.68679678865671034</v>
      </c>
      <c r="M2522" s="2">
        <f t="shared" si="395"/>
        <v>0.49792767177611497</v>
      </c>
      <c r="N2522" s="2">
        <f t="shared" si="396"/>
        <v>0.24896383588805748</v>
      </c>
      <c r="O2522" s="2">
        <f t="shared" si="397"/>
        <v>0.91369727770917097</v>
      </c>
      <c r="P2522" s="2">
        <v>72.553272000000007</v>
      </c>
      <c r="Q2522" s="2">
        <v>23.038019999999999</v>
      </c>
    </row>
    <row r="2523" spans="1:17" x14ac:dyDescent="0.25">
      <c r="A2523" s="2">
        <v>2708</v>
      </c>
      <c r="B2523" s="2" t="s">
        <v>124</v>
      </c>
      <c r="C2523" s="2">
        <v>5</v>
      </c>
      <c r="D2523" s="2">
        <f t="shared" si="390"/>
        <v>12.7</v>
      </c>
      <c r="E2523" s="2">
        <f t="shared" si="391"/>
        <v>4.0425355545341413</v>
      </c>
      <c r="F2523" s="2">
        <f t="shared" si="392"/>
        <v>1.5915494309189535</v>
      </c>
      <c r="G2523" s="2">
        <v>2.007574</v>
      </c>
      <c r="H2523" s="2">
        <f t="shared" si="393"/>
        <v>6.5865290821600002</v>
      </c>
      <c r="I2523" s="2">
        <f>INDEX('Wood Density Lookup'!$B$2:$B$152,MATCH(B2523,'Wood Density Lookup'!$A$2:$A$152,0))</f>
        <v>0.55000000000000004</v>
      </c>
      <c r="J2523" s="2">
        <f t="shared" si="394"/>
        <v>1.1329345101958468</v>
      </c>
      <c r="K2523" s="2">
        <f t="shared" si="398"/>
        <v>0.31722166285483711</v>
      </c>
      <c r="L2523" s="2">
        <f t="shared" si="399"/>
        <v>1.4501561730506838</v>
      </c>
      <c r="M2523" s="2">
        <f t="shared" si="395"/>
        <v>1.0513632254617458</v>
      </c>
      <c r="N2523" s="2">
        <f t="shared" si="396"/>
        <v>0.52568161273087288</v>
      </c>
      <c r="O2523" s="2">
        <f t="shared" si="397"/>
        <v>1.9292515187223034</v>
      </c>
      <c r="P2523" s="2">
        <v>72.553273000000004</v>
      </c>
      <c r="Q2523" s="2">
        <v>23.037980000000001</v>
      </c>
    </row>
    <row r="2524" spans="1:17" x14ac:dyDescent="0.25">
      <c r="A2524" s="2">
        <v>2709</v>
      </c>
      <c r="B2524" s="2" t="s">
        <v>72</v>
      </c>
      <c r="C2524" s="2">
        <v>13</v>
      </c>
      <c r="D2524" s="2">
        <f t="shared" si="390"/>
        <v>33.020000000000003</v>
      </c>
      <c r="E2524" s="2">
        <f t="shared" si="391"/>
        <v>10.51059244178877</v>
      </c>
      <c r="F2524" s="2">
        <f t="shared" si="392"/>
        <v>4.1380285203892786</v>
      </c>
      <c r="G2524" s="2">
        <v>2.475139</v>
      </c>
      <c r="H2524" s="2">
        <f t="shared" si="393"/>
        <v>8.1205350367599998</v>
      </c>
      <c r="I2524" s="2">
        <f>INDEX('Wood Density Lookup'!$B$2:$B$152,MATCH(B2524,'Wood Density Lookup'!$A$2:$A$152,0))</f>
        <v>0.65</v>
      </c>
      <c r="J2524" s="2">
        <f t="shared" si="394"/>
        <v>10.563017283131149</v>
      </c>
      <c r="K2524" s="2">
        <f t="shared" si="398"/>
        <v>2.9576448392767221</v>
      </c>
      <c r="L2524" s="2">
        <f t="shared" si="399"/>
        <v>13.52066212240787</v>
      </c>
      <c r="M2524" s="2">
        <f t="shared" si="395"/>
        <v>9.8024800387457063</v>
      </c>
      <c r="N2524" s="2">
        <f t="shared" si="396"/>
        <v>4.9012400193728531</v>
      </c>
      <c r="O2524" s="2">
        <f t="shared" si="397"/>
        <v>17.987550871098371</v>
      </c>
      <c r="P2524" s="2">
        <v>72.553276999999994</v>
      </c>
      <c r="Q2524" s="2">
        <v>23.035786000000002</v>
      </c>
    </row>
    <row r="2525" spans="1:17" x14ac:dyDescent="0.25">
      <c r="A2525" s="2">
        <v>2710</v>
      </c>
      <c r="B2525" s="2" t="s">
        <v>98</v>
      </c>
      <c r="C2525" s="2">
        <v>4</v>
      </c>
      <c r="D2525" s="2">
        <f t="shared" si="390"/>
        <v>10.16</v>
      </c>
      <c r="E2525" s="2">
        <f t="shared" si="391"/>
        <v>3.2340284436273135</v>
      </c>
      <c r="F2525" s="2">
        <f t="shared" si="392"/>
        <v>1.2732395447351628</v>
      </c>
      <c r="G2525" s="2">
        <v>4.983117</v>
      </c>
      <c r="H2525" s="2">
        <f t="shared" si="393"/>
        <v>16.348809578280001</v>
      </c>
      <c r="I2525" s="2">
        <f>INDEX('Wood Density Lookup'!$B$2:$B$152,MATCH(B2525,'Wood Density Lookup'!$A$2:$A$152,0))</f>
        <v>0.35</v>
      </c>
      <c r="J2525" s="2">
        <f t="shared" si="394"/>
        <v>1.1450026718990731</v>
      </c>
      <c r="K2525" s="2">
        <f t="shared" si="398"/>
        <v>0.3206007481317405</v>
      </c>
      <c r="L2525" s="2">
        <f t="shared" si="399"/>
        <v>1.4656034200308137</v>
      </c>
      <c r="M2525" s="2">
        <f t="shared" si="395"/>
        <v>1.0625624795223398</v>
      </c>
      <c r="N2525" s="2">
        <f t="shared" si="396"/>
        <v>0.53128123976116992</v>
      </c>
      <c r="O2525" s="2">
        <f t="shared" si="397"/>
        <v>1.9498021499234937</v>
      </c>
      <c r="P2525" s="2">
        <v>72.553278000000006</v>
      </c>
      <c r="Q2525" s="2">
        <v>23.037361000000001</v>
      </c>
    </row>
    <row r="2526" spans="1:17" x14ac:dyDescent="0.25">
      <c r="A2526" s="2">
        <v>2711</v>
      </c>
      <c r="B2526" s="2" t="s">
        <v>93</v>
      </c>
      <c r="C2526" s="2">
        <v>41</v>
      </c>
      <c r="D2526" s="2">
        <f t="shared" si="390"/>
        <v>104.14</v>
      </c>
      <c r="E2526" s="2">
        <f t="shared" si="391"/>
        <v>33.148791547179961</v>
      </c>
      <c r="F2526" s="2">
        <f t="shared" si="392"/>
        <v>13.050705333535419</v>
      </c>
      <c r="G2526" s="2">
        <v>17.4193</v>
      </c>
      <c r="H2526" s="2">
        <f t="shared" si="393"/>
        <v>57.149936212</v>
      </c>
      <c r="I2526" s="2">
        <f>INDEX('Wood Density Lookup'!$B$2:$B$152,MATCH(B2526,'Wood Density Lookup'!$A$2:$A$152,0))</f>
        <v>0.9</v>
      </c>
      <c r="J2526" s="2">
        <f t="shared" si="394"/>
        <v>917.39140533949092</v>
      </c>
      <c r="K2526" s="2">
        <f t="shared" si="398"/>
        <v>256.86959349505747</v>
      </c>
      <c r="L2526" s="2">
        <f t="shared" si="399"/>
        <v>1174.2609988345484</v>
      </c>
      <c r="M2526" s="2">
        <f t="shared" si="395"/>
        <v>851.33922415504765</v>
      </c>
      <c r="N2526" s="2">
        <f t="shared" si="396"/>
        <v>425.66961207752382</v>
      </c>
      <c r="O2526" s="2">
        <f t="shared" si="397"/>
        <v>1562.2074763245123</v>
      </c>
      <c r="P2526" s="2">
        <v>72.553279000000003</v>
      </c>
      <c r="Q2526" s="2">
        <v>23.037244000000001</v>
      </c>
    </row>
    <row r="2527" spans="1:17" x14ac:dyDescent="0.25">
      <c r="A2527" s="2">
        <v>2712</v>
      </c>
      <c r="B2527" s="2" t="s">
        <v>105</v>
      </c>
      <c r="C2527" s="2">
        <v>45</v>
      </c>
      <c r="D2527" s="2">
        <f t="shared" si="390"/>
        <v>114.3</v>
      </c>
      <c r="E2527" s="2">
        <f t="shared" si="391"/>
        <v>36.382819990807278</v>
      </c>
      <c r="F2527" s="2">
        <f t="shared" si="392"/>
        <v>14.323944878270581</v>
      </c>
      <c r="G2527" s="2">
        <v>10.798654000000001</v>
      </c>
      <c r="H2527" s="2">
        <f t="shared" si="393"/>
        <v>35.428655989360003</v>
      </c>
      <c r="I2527" s="2">
        <f>INDEX('Wood Density Lookup'!$B$2:$B$152,MATCH(B2527,'Wood Density Lookup'!$A$2:$A$152,0))</f>
        <v>0.65</v>
      </c>
      <c r="J2527" s="2">
        <f t="shared" si="394"/>
        <v>502.17714774619509</v>
      </c>
      <c r="K2527" s="2">
        <f t="shared" si="398"/>
        <v>140.60960136893465</v>
      </c>
      <c r="L2527" s="2">
        <f t="shared" si="399"/>
        <v>642.78674911512974</v>
      </c>
      <c r="M2527" s="2">
        <f t="shared" si="395"/>
        <v>466.02039310846902</v>
      </c>
      <c r="N2527" s="2">
        <f t="shared" si="396"/>
        <v>233.01019655423451</v>
      </c>
      <c r="O2527" s="2">
        <f t="shared" si="397"/>
        <v>855.1474213540406</v>
      </c>
      <c r="P2527" s="2">
        <v>72.553281999999996</v>
      </c>
      <c r="Q2527" s="2">
        <v>23.038229999999999</v>
      </c>
    </row>
    <row r="2528" spans="1:17" x14ac:dyDescent="0.25">
      <c r="A2528" s="2">
        <v>2713</v>
      </c>
      <c r="B2528" s="2" t="s">
        <v>57</v>
      </c>
      <c r="C2528" s="2">
        <v>6</v>
      </c>
      <c r="D2528" s="2">
        <f t="shared" si="390"/>
        <v>15.24</v>
      </c>
      <c r="E2528" s="2">
        <f t="shared" si="391"/>
        <v>4.8510426654409704</v>
      </c>
      <c r="F2528" s="2">
        <f t="shared" si="392"/>
        <v>1.909859317102744</v>
      </c>
      <c r="G2528" s="2">
        <v>1.185025</v>
      </c>
      <c r="H2528" s="2">
        <f t="shared" si="393"/>
        <v>3.8878774209999998</v>
      </c>
      <c r="I2528" s="2">
        <f>INDEX('Wood Density Lookup'!$B$2:$B$152,MATCH(B2528,'Wood Density Lookup'!$A$2:$A$152,0))</f>
        <v>0.6</v>
      </c>
      <c r="J2528" s="2">
        <f t="shared" si="394"/>
        <v>1.0524436230025898</v>
      </c>
      <c r="K2528" s="2">
        <f t="shared" si="398"/>
        <v>0.29468421444072518</v>
      </c>
      <c r="L2528" s="2">
        <f t="shared" si="399"/>
        <v>1.3471278374433149</v>
      </c>
      <c r="M2528" s="2">
        <f t="shared" si="395"/>
        <v>0.9766676821464032</v>
      </c>
      <c r="N2528" s="2">
        <f t="shared" si="396"/>
        <v>0.4883338410732016</v>
      </c>
      <c r="O2528" s="2">
        <f t="shared" si="397"/>
        <v>1.79218519673865</v>
      </c>
      <c r="P2528" s="2">
        <v>72.553290000000004</v>
      </c>
      <c r="Q2528" s="2">
        <v>23.035848999999999</v>
      </c>
    </row>
    <row r="2529" spans="1:17" x14ac:dyDescent="0.25">
      <c r="A2529" s="2">
        <v>2714</v>
      </c>
      <c r="B2529" s="2" t="s">
        <v>107</v>
      </c>
      <c r="C2529" s="2">
        <v>23</v>
      </c>
      <c r="D2529" s="2">
        <f t="shared" si="390"/>
        <v>58.42</v>
      </c>
      <c r="E2529" s="2">
        <f t="shared" si="391"/>
        <v>18.595663550857051</v>
      </c>
      <c r="F2529" s="2">
        <f t="shared" si="392"/>
        <v>7.3211273822271856</v>
      </c>
      <c r="G2529" s="2">
        <v>15.393231999999999</v>
      </c>
      <c r="H2529" s="2">
        <f t="shared" si="393"/>
        <v>50.502731274879999</v>
      </c>
      <c r="I2529" s="2">
        <f>INDEX('Wood Density Lookup'!$B$2:$B$152,MATCH(B2529,'Wood Density Lookup'!$A$2:$A$152,0))</f>
        <v>0.65</v>
      </c>
      <c r="J2529" s="2">
        <f t="shared" si="394"/>
        <v>191.48907396394554</v>
      </c>
      <c r="K2529" s="2">
        <f t="shared" si="398"/>
        <v>53.61694070990476</v>
      </c>
      <c r="L2529" s="2">
        <f t="shared" si="399"/>
        <v>245.1060146738503</v>
      </c>
      <c r="M2529" s="2">
        <f t="shared" si="395"/>
        <v>177.70186063854146</v>
      </c>
      <c r="N2529" s="2">
        <f t="shared" si="396"/>
        <v>88.850930319270731</v>
      </c>
      <c r="O2529" s="2">
        <f t="shared" si="397"/>
        <v>326.08291427172355</v>
      </c>
      <c r="P2529" s="2">
        <v>72.553292999999996</v>
      </c>
      <c r="Q2529" s="2">
        <v>23.036760000000001</v>
      </c>
    </row>
    <row r="2530" spans="1:17" x14ac:dyDescent="0.25">
      <c r="A2530" s="2">
        <v>2715</v>
      </c>
      <c r="B2530" s="2" t="s">
        <v>43</v>
      </c>
      <c r="C2530" s="2">
        <v>2</v>
      </c>
      <c r="D2530" s="2">
        <f t="shared" si="390"/>
        <v>5.08</v>
      </c>
      <c r="E2530" s="2">
        <f t="shared" si="391"/>
        <v>1.6170142218136567</v>
      </c>
      <c r="F2530" s="2">
        <f t="shared" si="392"/>
        <v>0.63661977236758138</v>
      </c>
      <c r="G2530" s="2">
        <v>1.0465169999999999</v>
      </c>
      <c r="H2530" s="2">
        <f t="shared" si="393"/>
        <v>3.4334548342799995</v>
      </c>
      <c r="I2530" s="2">
        <f>INDEX('Wood Density Lookup'!$B$2:$B$152,MATCH(B2530,'Wood Density Lookup'!$A$2:$A$152,0))</f>
        <v>0.6</v>
      </c>
      <c r="J2530" s="2">
        <f t="shared" si="394"/>
        <v>0.10918738782372477</v>
      </c>
      <c r="K2530" s="2">
        <f t="shared" si="398"/>
        <v>3.0572468590642936E-2</v>
      </c>
      <c r="L2530" s="2">
        <f t="shared" si="399"/>
        <v>0.13975985641436769</v>
      </c>
      <c r="M2530" s="2">
        <f t="shared" si="395"/>
        <v>0.10132589590041657</v>
      </c>
      <c r="N2530" s="2">
        <f t="shared" si="396"/>
        <v>5.0662947950208287E-2</v>
      </c>
      <c r="O2530" s="2">
        <f t="shared" si="397"/>
        <v>0.18593301897726441</v>
      </c>
      <c r="P2530" s="2">
        <v>72.553292999999996</v>
      </c>
      <c r="Q2530" s="2">
        <v>23.037925999999999</v>
      </c>
    </row>
    <row r="2531" spans="1:17" x14ac:dyDescent="0.25">
      <c r="A2531" s="2">
        <v>2716</v>
      </c>
      <c r="B2531" s="2" t="s">
        <v>137</v>
      </c>
      <c r="C2531" s="2">
        <v>3</v>
      </c>
      <c r="D2531" s="2">
        <f t="shared" si="390"/>
        <v>7.62</v>
      </c>
      <c r="E2531" s="2">
        <f t="shared" si="391"/>
        <v>2.4255213327204852</v>
      </c>
      <c r="F2531" s="2">
        <f t="shared" si="392"/>
        <v>0.95492965855137202</v>
      </c>
      <c r="G2531" s="2">
        <v>1.013269</v>
      </c>
      <c r="H2531" s="2">
        <f t="shared" si="393"/>
        <v>3.3243734659599999</v>
      </c>
      <c r="I2531" s="2">
        <f>INDEX('Wood Density Lookup'!$B$2:$B$152,MATCH(B2531,'Wood Density Lookup'!$A$2:$A$152,0))</f>
        <v>0.55000000000000004</v>
      </c>
      <c r="J2531" s="2">
        <f t="shared" si="394"/>
        <v>0.21445489500728174</v>
      </c>
      <c r="K2531" s="2">
        <f t="shared" si="398"/>
        <v>6.0047370602038894E-2</v>
      </c>
      <c r="L2531" s="2">
        <f t="shared" si="399"/>
        <v>0.27450226560932062</v>
      </c>
      <c r="M2531" s="2">
        <f t="shared" si="395"/>
        <v>0.19901414256675745</v>
      </c>
      <c r="N2531" s="2">
        <f t="shared" si="396"/>
        <v>9.9507071283378726E-2</v>
      </c>
      <c r="O2531" s="2">
        <f t="shared" si="397"/>
        <v>0.36519095160999993</v>
      </c>
      <c r="P2531" s="2">
        <v>72.553293999999994</v>
      </c>
      <c r="Q2531" s="2">
        <v>23.037887000000001</v>
      </c>
    </row>
    <row r="2532" spans="1:17" x14ac:dyDescent="0.25">
      <c r="A2532" s="2">
        <v>2717</v>
      </c>
      <c r="B2532" s="2" t="s">
        <v>31</v>
      </c>
      <c r="C2532" s="2">
        <v>2</v>
      </c>
      <c r="D2532" s="2">
        <f t="shared" si="390"/>
        <v>5.08</v>
      </c>
      <c r="E2532" s="2">
        <f t="shared" si="391"/>
        <v>1.6170142218136567</v>
      </c>
      <c r="F2532" s="2">
        <f t="shared" si="392"/>
        <v>0.63661977236758138</v>
      </c>
      <c r="G2532" s="2">
        <v>1.0574889999999999</v>
      </c>
      <c r="H2532" s="2">
        <f t="shared" si="393"/>
        <v>3.4694522107599997</v>
      </c>
      <c r="I2532" s="2">
        <f>INDEX('Wood Density Lookup'!$B$2:$B$152,MATCH(B2532,'Wood Density Lookup'!$A$2:$A$152,0))</f>
        <v>0.78</v>
      </c>
      <c r="J2532" s="2">
        <f t="shared" si="394"/>
        <v>0.14249579519856634</v>
      </c>
      <c r="K2532" s="2">
        <f t="shared" si="398"/>
        <v>3.9898822655598576E-2</v>
      </c>
      <c r="L2532" s="2">
        <f t="shared" si="399"/>
        <v>0.18239461785416491</v>
      </c>
      <c r="M2532" s="2">
        <f t="shared" si="395"/>
        <v>0.13223609794426955</v>
      </c>
      <c r="N2532" s="2">
        <f t="shared" si="396"/>
        <v>6.6118048972134774E-2</v>
      </c>
      <c r="O2532" s="2">
        <f t="shared" si="397"/>
        <v>0.24265323972773462</v>
      </c>
      <c r="P2532" s="2">
        <v>72.553295000000006</v>
      </c>
      <c r="Q2532" s="2">
        <v>23.037852000000001</v>
      </c>
    </row>
    <row r="2533" spans="1:17" x14ac:dyDescent="0.25">
      <c r="A2533" s="2">
        <v>2718</v>
      </c>
      <c r="B2533" s="2" t="s">
        <v>137</v>
      </c>
      <c r="C2533" s="2">
        <v>3</v>
      </c>
      <c r="D2533" s="2">
        <f t="shared" si="390"/>
        <v>7.62</v>
      </c>
      <c r="E2533" s="2">
        <f t="shared" si="391"/>
        <v>2.4255213327204852</v>
      </c>
      <c r="F2533" s="2">
        <f t="shared" si="392"/>
        <v>0.95492965855137202</v>
      </c>
      <c r="G2533" s="2">
        <v>1.065083</v>
      </c>
      <c r="H2533" s="2">
        <f t="shared" si="393"/>
        <v>3.4943669097200001</v>
      </c>
      <c r="I2533" s="2">
        <f>INDEX('Wood Density Lookup'!$B$2:$B$152,MATCH(B2533,'Wood Density Lookup'!$A$2:$A$152,0))</f>
        <v>0.55000000000000004</v>
      </c>
      <c r="J2533" s="2">
        <f t="shared" si="394"/>
        <v>0.2251515036707844</v>
      </c>
      <c r="K2533" s="2">
        <f t="shared" si="398"/>
        <v>6.3042421027819637E-2</v>
      </c>
      <c r="L2533" s="2">
        <f t="shared" si="399"/>
        <v>0.28819392469860405</v>
      </c>
      <c r="M2533" s="2">
        <f t="shared" si="395"/>
        <v>0.20894059540648793</v>
      </c>
      <c r="N2533" s="2">
        <f t="shared" si="396"/>
        <v>0.10447029770324397</v>
      </c>
      <c r="O2533" s="2">
        <f t="shared" si="397"/>
        <v>0.38340599257090535</v>
      </c>
      <c r="P2533" s="2">
        <v>72.553296000000003</v>
      </c>
      <c r="Q2533" s="2">
        <v>23.035874</v>
      </c>
    </row>
    <row r="2534" spans="1:17" x14ac:dyDescent="0.25">
      <c r="A2534" s="2">
        <v>2719</v>
      </c>
      <c r="B2534" s="2" t="s">
        <v>78</v>
      </c>
      <c r="C2534" s="2">
        <v>9</v>
      </c>
      <c r="D2534" s="2">
        <f t="shared" si="390"/>
        <v>22.86</v>
      </c>
      <c r="E2534" s="2">
        <f t="shared" si="391"/>
        <v>7.2765639981614552</v>
      </c>
      <c r="F2534" s="2">
        <f t="shared" si="392"/>
        <v>2.8647889756541161</v>
      </c>
      <c r="G2534" s="2">
        <v>1.777787</v>
      </c>
      <c r="H2534" s="2">
        <f t="shared" si="393"/>
        <v>5.8326347010799999</v>
      </c>
      <c r="I2534" s="2">
        <f>INDEX('Wood Density Lookup'!$B$2:$B$152,MATCH(B2534,'Wood Density Lookup'!$A$2:$A$152,0))</f>
        <v>0.55000000000000004</v>
      </c>
      <c r="J2534" s="2">
        <f t="shared" si="394"/>
        <v>3.1693624167516306</v>
      </c>
      <c r="K2534" s="2">
        <f t="shared" si="398"/>
        <v>0.88742147669045668</v>
      </c>
      <c r="L2534" s="2">
        <f t="shared" si="399"/>
        <v>4.0567838934420877</v>
      </c>
      <c r="M2534" s="2">
        <f t="shared" si="395"/>
        <v>2.9411683227455137</v>
      </c>
      <c r="N2534" s="2">
        <f t="shared" si="396"/>
        <v>1.4705841613727568</v>
      </c>
      <c r="O2534" s="2">
        <f t="shared" si="397"/>
        <v>5.3970438722380178</v>
      </c>
      <c r="P2534" s="2">
        <v>72.553297999999998</v>
      </c>
      <c r="Q2534" s="2">
        <v>23.037808999999999</v>
      </c>
    </row>
    <row r="2535" spans="1:17" x14ac:dyDescent="0.25">
      <c r="A2535" s="2">
        <v>2720</v>
      </c>
      <c r="B2535" s="2" t="s">
        <v>107</v>
      </c>
      <c r="C2535" s="2">
        <v>22</v>
      </c>
      <c r="D2535" s="2">
        <f t="shared" si="390"/>
        <v>55.88</v>
      </c>
      <c r="E2535" s="2">
        <f t="shared" si="391"/>
        <v>17.787156439950223</v>
      </c>
      <c r="F2535" s="2">
        <f t="shared" si="392"/>
        <v>7.0028174960433951</v>
      </c>
      <c r="G2535" s="2">
        <v>1.5731599999999999</v>
      </c>
      <c r="H2535" s="2">
        <f t="shared" si="393"/>
        <v>5.1612862543999993</v>
      </c>
      <c r="I2535" s="2">
        <f>INDEX('Wood Density Lookup'!$B$2:$B$152,MATCH(B2535,'Wood Density Lookup'!$A$2:$A$152,0))</f>
        <v>0.65</v>
      </c>
      <c r="J2535" s="2">
        <f t="shared" si="394"/>
        <v>18.95294849504333</v>
      </c>
      <c r="K2535" s="2">
        <f t="shared" si="398"/>
        <v>5.3068255786121332</v>
      </c>
      <c r="L2535" s="2">
        <f t="shared" si="399"/>
        <v>24.259774073655464</v>
      </c>
      <c r="M2535" s="2">
        <f t="shared" si="395"/>
        <v>17.58833620340021</v>
      </c>
      <c r="N2535" s="2">
        <f t="shared" si="396"/>
        <v>8.7941681017001052</v>
      </c>
      <c r="O2535" s="2">
        <f t="shared" si="397"/>
        <v>32.274596933239387</v>
      </c>
      <c r="P2535" s="2">
        <v>72.553299999999993</v>
      </c>
      <c r="Q2535" s="2">
        <v>23.038781</v>
      </c>
    </row>
    <row r="2536" spans="1:17" x14ac:dyDescent="0.25">
      <c r="A2536" s="2">
        <v>2721</v>
      </c>
      <c r="B2536" s="2" t="s">
        <v>15</v>
      </c>
      <c r="C2536" s="2">
        <v>13</v>
      </c>
      <c r="D2536" s="2">
        <f t="shared" si="390"/>
        <v>33.020000000000003</v>
      </c>
      <c r="E2536" s="2">
        <f t="shared" si="391"/>
        <v>10.51059244178877</v>
      </c>
      <c r="F2536" s="2">
        <f t="shared" si="392"/>
        <v>4.1380285203892786</v>
      </c>
      <c r="G2536" s="2">
        <v>6.8616450000000002</v>
      </c>
      <c r="H2536" s="2">
        <f t="shared" si="393"/>
        <v>22.511959381800001</v>
      </c>
      <c r="I2536" s="2">
        <f>INDEX('Wood Density Lookup'!$B$2:$B$152,MATCH(B2536,'Wood Density Lookup'!$A$2:$A$152,0))</f>
        <v>0.75</v>
      </c>
      <c r="J2536" s="2">
        <f t="shared" si="394"/>
        <v>32.858301609095307</v>
      </c>
      <c r="K2536" s="2">
        <f t="shared" si="398"/>
        <v>9.2003244505466864</v>
      </c>
      <c r="L2536" s="2">
        <f t="shared" si="399"/>
        <v>42.058626059641995</v>
      </c>
      <c r="M2536" s="2">
        <f t="shared" si="395"/>
        <v>30.492503893240446</v>
      </c>
      <c r="N2536" s="2">
        <f t="shared" si="396"/>
        <v>15.246251946620223</v>
      </c>
      <c r="O2536" s="2">
        <f t="shared" si="397"/>
        <v>55.953744644096219</v>
      </c>
      <c r="P2536" s="2">
        <v>72.553306000000006</v>
      </c>
      <c r="Q2536" s="2">
        <v>23.038737000000001</v>
      </c>
    </row>
    <row r="2537" spans="1:17" x14ac:dyDescent="0.25">
      <c r="A2537" s="2">
        <v>2722</v>
      </c>
      <c r="B2537" s="2" t="s">
        <v>114</v>
      </c>
      <c r="C2537" s="2">
        <v>16</v>
      </c>
      <c r="D2537" s="2">
        <f t="shared" si="390"/>
        <v>40.64</v>
      </c>
      <c r="E2537" s="2">
        <f t="shared" si="391"/>
        <v>12.936113774509254</v>
      </c>
      <c r="F2537" s="2">
        <f t="shared" si="392"/>
        <v>5.0929581789406511</v>
      </c>
      <c r="G2537" s="2">
        <v>11.303331999999999</v>
      </c>
      <c r="H2537" s="2">
        <f t="shared" si="393"/>
        <v>37.08442375888</v>
      </c>
      <c r="I2537" s="2">
        <f>INDEX('Wood Density Lookup'!$B$2:$B$152,MATCH(B2537,'Wood Density Lookup'!$A$2:$A$152,0))</f>
        <v>0.55000000000000004</v>
      </c>
      <c r="J2537" s="2">
        <f t="shared" si="394"/>
        <v>59.262456135701036</v>
      </c>
      <c r="K2537" s="2">
        <f t="shared" si="398"/>
        <v>16.593487717996293</v>
      </c>
      <c r="L2537" s="2">
        <f t="shared" si="399"/>
        <v>75.855943853697326</v>
      </c>
      <c r="M2537" s="2">
        <f t="shared" si="395"/>
        <v>54.995559293930562</v>
      </c>
      <c r="N2537" s="2">
        <f t="shared" si="396"/>
        <v>27.497779646965281</v>
      </c>
      <c r="O2537" s="2">
        <f t="shared" si="397"/>
        <v>100.91685130436258</v>
      </c>
      <c r="P2537" s="2">
        <v>72.553315999999995</v>
      </c>
      <c r="Q2537" s="2">
        <v>23.037365000000001</v>
      </c>
    </row>
    <row r="2538" spans="1:17" x14ac:dyDescent="0.25">
      <c r="A2538" s="2">
        <v>2723</v>
      </c>
      <c r="B2538" s="2" t="s">
        <v>59</v>
      </c>
      <c r="C2538" s="2">
        <v>22</v>
      </c>
      <c r="D2538" s="2">
        <f t="shared" si="390"/>
        <v>55.88</v>
      </c>
      <c r="E2538" s="2">
        <f t="shared" si="391"/>
        <v>17.787156439950223</v>
      </c>
      <c r="F2538" s="2">
        <f t="shared" si="392"/>
        <v>7.0028174960433951</v>
      </c>
      <c r="G2538" s="2">
        <v>6.3253159999999999</v>
      </c>
      <c r="H2538" s="2">
        <f t="shared" si="393"/>
        <v>20.75234974544</v>
      </c>
      <c r="I2538" s="2">
        <f>INDEX('Wood Density Lookup'!$B$2:$B$152,MATCH(B2538,'Wood Density Lookup'!$A$2:$A$152,0))</f>
        <v>0.45</v>
      </c>
      <c r="J2538" s="2">
        <f t="shared" si="394"/>
        <v>51.477170498540509</v>
      </c>
      <c r="K2538" s="2">
        <f t="shared" si="398"/>
        <v>14.413607739591344</v>
      </c>
      <c r="L2538" s="2">
        <f t="shared" si="399"/>
        <v>65.890778238131858</v>
      </c>
      <c r="M2538" s="2">
        <f t="shared" si="395"/>
        <v>47.770814222645598</v>
      </c>
      <c r="N2538" s="2">
        <f t="shared" si="396"/>
        <v>23.885407111322799</v>
      </c>
      <c r="O2538" s="2">
        <f t="shared" si="397"/>
        <v>87.659444098554673</v>
      </c>
      <c r="P2538" s="2">
        <v>72.553315999999995</v>
      </c>
      <c r="Q2538" s="2">
        <v>23.037977999999999</v>
      </c>
    </row>
    <row r="2539" spans="1:17" x14ac:dyDescent="0.25">
      <c r="A2539" s="2">
        <v>2724</v>
      </c>
      <c r="B2539" s="2" t="s">
        <v>105</v>
      </c>
      <c r="C2539" s="2">
        <v>13</v>
      </c>
      <c r="D2539" s="2">
        <f t="shared" si="390"/>
        <v>33.020000000000003</v>
      </c>
      <c r="E2539" s="2">
        <f t="shared" si="391"/>
        <v>10.51059244178877</v>
      </c>
      <c r="F2539" s="2">
        <f t="shared" si="392"/>
        <v>4.1380285203892786</v>
      </c>
      <c r="G2539" s="2">
        <v>1.038041</v>
      </c>
      <c r="H2539" s="2">
        <f t="shared" si="393"/>
        <v>3.4056464344399999</v>
      </c>
      <c r="I2539" s="2">
        <f>INDEX('Wood Density Lookup'!$B$2:$B$152,MATCH(B2539,'Wood Density Lookup'!$A$2:$A$152,0))</f>
        <v>0.65</v>
      </c>
      <c r="J2539" s="2">
        <f t="shared" si="394"/>
        <v>4.5233495149096594</v>
      </c>
      <c r="K2539" s="2">
        <f t="shared" si="398"/>
        <v>1.2665378641747047</v>
      </c>
      <c r="L2539" s="2">
        <f t="shared" si="399"/>
        <v>5.7898873790843641</v>
      </c>
      <c r="M2539" s="2">
        <f t="shared" si="395"/>
        <v>4.1976683498361638</v>
      </c>
      <c r="N2539" s="2">
        <f t="shared" si="396"/>
        <v>2.0988341749180819</v>
      </c>
      <c r="O2539" s="2">
        <f t="shared" si="397"/>
        <v>7.7027214219493603</v>
      </c>
      <c r="P2539" s="2">
        <v>72.553319000000002</v>
      </c>
      <c r="Q2539" s="2">
        <v>23.038022000000002</v>
      </c>
    </row>
    <row r="2540" spans="1:17" x14ac:dyDescent="0.25">
      <c r="A2540" s="2">
        <v>2725</v>
      </c>
      <c r="B2540" s="2" t="s">
        <v>105</v>
      </c>
      <c r="C2540" s="2">
        <v>36</v>
      </c>
      <c r="D2540" s="2">
        <f t="shared" si="390"/>
        <v>91.44</v>
      </c>
      <c r="E2540" s="2">
        <f t="shared" si="391"/>
        <v>29.106255992645821</v>
      </c>
      <c r="F2540" s="2">
        <f t="shared" si="392"/>
        <v>11.459155902616464</v>
      </c>
      <c r="G2540" s="2">
        <v>9.9396959999999996</v>
      </c>
      <c r="H2540" s="2">
        <f t="shared" si="393"/>
        <v>32.610552224639996</v>
      </c>
      <c r="I2540" s="2">
        <f>INDEX('Wood Density Lookup'!$B$2:$B$152,MATCH(B2540,'Wood Density Lookup'!$A$2:$A$152,0))</f>
        <v>0.65</v>
      </c>
      <c r="J2540" s="2">
        <f t="shared" si="394"/>
        <v>299.60978479557161</v>
      </c>
      <c r="K2540" s="2">
        <f t="shared" si="398"/>
        <v>83.890739742760061</v>
      </c>
      <c r="L2540" s="2">
        <f t="shared" si="399"/>
        <v>383.50052453833166</v>
      </c>
      <c r="M2540" s="2">
        <f t="shared" si="395"/>
        <v>278.03788029029045</v>
      </c>
      <c r="N2540" s="2">
        <f t="shared" si="396"/>
        <v>139.01894014514522</v>
      </c>
      <c r="O2540" s="2">
        <f t="shared" si="397"/>
        <v>510.19951033268296</v>
      </c>
      <c r="P2540" s="2">
        <v>72.553320999999997</v>
      </c>
      <c r="Q2540" s="2">
        <v>23.038174999999999</v>
      </c>
    </row>
    <row r="2541" spans="1:17" x14ac:dyDescent="0.25">
      <c r="A2541" s="2">
        <v>2726</v>
      </c>
      <c r="B2541" s="2" t="s">
        <v>31</v>
      </c>
      <c r="C2541" s="2">
        <v>15</v>
      </c>
      <c r="D2541" s="2">
        <f t="shared" si="390"/>
        <v>38.1</v>
      </c>
      <c r="E2541" s="2">
        <f t="shared" si="391"/>
        <v>12.127606663602425</v>
      </c>
      <c r="F2541" s="2">
        <f t="shared" si="392"/>
        <v>4.7746482927568605</v>
      </c>
      <c r="G2541" s="2">
        <v>11.821374</v>
      </c>
      <c r="H2541" s="2">
        <f t="shared" si="393"/>
        <v>38.784036674159999</v>
      </c>
      <c r="I2541" s="2">
        <f>INDEX('Wood Density Lookup'!$B$2:$B$152,MATCH(B2541,'Wood Density Lookup'!$A$2:$A$152,0))</f>
        <v>0.78</v>
      </c>
      <c r="J2541" s="2">
        <f t="shared" si="394"/>
        <v>76.763068028217646</v>
      </c>
      <c r="K2541" s="2">
        <f t="shared" si="398"/>
        <v>21.493659047900941</v>
      </c>
      <c r="L2541" s="2">
        <f t="shared" si="399"/>
        <v>98.25672707611858</v>
      </c>
      <c r="M2541" s="2">
        <f t="shared" si="395"/>
        <v>71.236127130185963</v>
      </c>
      <c r="N2541" s="2">
        <f t="shared" si="396"/>
        <v>35.618063565092982</v>
      </c>
      <c r="O2541" s="2">
        <f t="shared" si="397"/>
        <v>130.71829328389123</v>
      </c>
      <c r="P2541" s="2">
        <v>72.553320999999997</v>
      </c>
      <c r="Q2541" s="2">
        <v>23.035789999999999</v>
      </c>
    </row>
    <row r="2542" spans="1:17" x14ac:dyDescent="0.25">
      <c r="A2542" s="2">
        <v>2727</v>
      </c>
      <c r="B2542" s="2" t="s">
        <v>46</v>
      </c>
      <c r="C2542" s="2">
        <v>3</v>
      </c>
      <c r="D2542" s="2">
        <f t="shared" si="390"/>
        <v>7.62</v>
      </c>
      <c r="E2542" s="2">
        <f t="shared" si="391"/>
        <v>2.4255213327204852</v>
      </c>
      <c r="F2542" s="2">
        <f t="shared" si="392"/>
        <v>0.95492965855137202</v>
      </c>
      <c r="G2542" s="2">
        <v>5.3713949999999997</v>
      </c>
      <c r="H2542" s="2">
        <f t="shared" si="393"/>
        <v>17.6226875718</v>
      </c>
      <c r="I2542" s="2">
        <f>INDEX('Wood Density Lookup'!$B$2:$B$152,MATCH(B2542,'Wood Density Lookup'!$A$2:$A$152,0))</f>
        <v>0.6</v>
      </c>
      <c r="J2542" s="2">
        <f t="shared" si="394"/>
        <v>1.1890366399885075</v>
      </c>
      <c r="K2542" s="2">
        <f t="shared" si="398"/>
        <v>0.33293025919678215</v>
      </c>
      <c r="L2542" s="2">
        <f t="shared" si="399"/>
        <v>1.5219668991852897</v>
      </c>
      <c r="M2542" s="2">
        <f t="shared" si="395"/>
        <v>1.1034260019093349</v>
      </c>
      <c r="N2542" s="2">
        <f t="shared" si="396"/>
        <v>0.55171300095466747</v>
      </c>
      <c r="O2542" s="2">
        <f t="shared" si="397"/>
        <v>2.0247867135036297</v>
      </c>
      <c r="P2542" s="2">
        <v>72.553324000000003</v>
      </c>
      <c r="Q2542" s="2">
        <v>23.038101999999999</v>
      </c>
    </row>
    <row r="2543" spans="1:17" x14ac:dyDescent="0.25">
      <c r="A2543" s="2">
        <v>2728</v>
      </c>
      <c r="B2543" s="2" t="s">
        <v>58</v>
      </c>
      <c r="C2543" s="2">
        <v>4</v>
      </c>
      <c r="D2543" s="2">
        <f t="shared" si="390"/>
        <v>10.16</v>
      </c>
      <c r="E2543" s="2">
        <f t="shared" si="391"/>
        <v>3.2340284436273135</v>
      </c>
      <c r="F2543" s="2">
        <f t="shared" si="392"/>
        <v>1.2732395447351628</v>
      </c>
      <c r="G2543" s="2">
        <v>8.7787849999999992</v>
      </c>
      <c r="H2543" s="2">
        <f t="shared" si="393"/>
        <v>28.801788979399998</v>
      </c>
      <c r="I2543" s="2">
        <f>INDEX('Wood Density Lookup'!$B$2:$B$152,MATCH(B2543,'Wood Density Lookup'!$A$2:$A$152,0))</f>
        <v>0.5</v>
      </c>
      <c r="J2543" s="2">
        <f t="shared" si="394"/>
        <v>2.8185240301151238</v>
      </c>
      <c r="K2543" s="2">
        <f t="shared" si="398"/>
        <v>0.7891867284322347</v>
      </c>
      <c r="L2543" s="2">
        <f t="shared" si="399"/>
        <v>3.6077107585473582</v>
      </c>
      <c r="M2543" s="2">
        <f t="shared" si="395"/>
        <v>2.6155902999468346</v>
      </c>
      <c r="N2543" s="2">
        <f t="shared" si="396"/>
        <v>1.3077951499734173</v>
      </c>
      <c r="O2543" s="2">
        <f t="shared" si="397"/>
        <v>4.7996082004024414</v>
      </c>
      <c r="P2543" s="2">
        <v>72.553324000000003</v>
      </c>
      <c r="Q2543" s="2">
        <v>23.038231</v>
      </c>
    </row>
    <row r="2544" spans="1:17" x14ac:dyDescent="0.25">
      <c r="A2544" s="2">
        <v>2729</v>
      </c>
      <c r="B2544" s="2" t="s">
        <v>119</v>
      </c>
      <c r="C2544" s="2">
        <v>7</v>
      </c>
      <c r="D2544" s="2">
        <f t="shared" si="390"/>
        <v>17.78</v>
      </c>
      <c r="E2544" s="2">
        <f t="shared" si="391"/>
        <v>5.6595497763477987</v>
      </c>
      <c r="F2544" s="2">
        <f t="shared" si="392"/>
        <v>2.228169203286535</v>
      </c>
      <c r="G2544" s="2">
        <v>2.0063409999999999</v>
      </c>
      <c r="H2544" s="2">
        <f t="shared" si="393"/>
        <v>6.58248380644</v>
      </c>
      <c r="I2544" s="2">
        <f>INDEX('Wood Density Lookup'!$B$2:$B$152,MATCH(B2544,'Wood Density Lookup'!$A$2:$A$152,0))</f>
        <v>0.6</v>
      </c>
      <c r="J2544" s="2">
        <f t="shared" si="394"/>
        <v>2.3772122318474502</v>
      </c>
      <c r="K2544" s="2">
        <f t="shared" si="398"/>
        <v>0.6656194249172861</v>
      </c>
      <c r="L2544" s="2">
        <f t="shared" si="399"/>
        <v>3.0428316567647364</v>
      </c>
      <c r="M2544" s="2">
        <f t="shared" si="395"/>
        <v>2.206052951154434</v>
      </c>
      <c r="N2544" s="2">
        <f t="shared" si="396"/>
        <v>1.103026475577217</v>
      </c>
      <c r="O2544" s="2">
        <f t="shared" si="397"/>
        <v>4.0481071653683864</v>
      </c>
      <c r="P2544" s="2">
        <v>72.553329000000005</v>
      </c>
      <c r="Q2544" s="2">
        <v>23.038056999999998</v>
      </c>
    </row>
    <row r="2545" spans="1:17" x14ac:dyDescent="0.25">
      <c r="A2545" s="2">
        <v>2730</v>
      </c>
      <c r="B2545" s="2" t="s">
        <v>15</v>
      </c>
      <c r="C2545" s="2">
        <v>79</v>
      </c>
      <c r="D2545" s="2">
        <f t="shared" si="390"/>
        <v>200.66</v>
      </c>
      <c r="E2545" s="2">
        <f t="shared" si="391"/>
        <v>63.872061761639436</v>
      </c>
      <c r="F2545" s="2">
        <f t="shared" si="392"/>
        <v>25.146481008519466</v>
      </c>
      <c r="G2545" s="2">
        <v>17.580083999999999</v>
      </c>
      <c r="H2545" s="2">
        <f t="shared" si="393"/>
        <v>57.677442790560001</v>
      </c>
      <c r="I2545" s="2">
        <f>INDEX('Wood Density Lookup'!$B$2:$B$152,MATCH(B2545,'Wood Density Lookup'!$A$2:$A$152,0))</f>
        <v>0.75</v>
      </c>
      <c r="J2545" s="2">
        <f t="shared" si="394"/>
        <v>2787.2905732619961</v>
      </c>
      <c r="K2545" s="2">
        <f t="shared" si="398"/>
        <v>780.44136051335897</v>
      </c>
      <c r="L2545" s="2">
        <f t="shared" si="399"/>
        <v>3567.7319337753552</v>
      </c>
      <c r="M2545" s="2">
        <f t="shared" si="395"/>
        <v>2586.6056519871322</v>
      </c>
      <c r="N2545" s="2">
        <f t="shared" si="396"/>
        <v>1293.3028259935661</v>
      </c>
      <c r="O2545" s="2">
        <f t="shared" si="397"/>
        <v>4746.4213713963873</v>
      </c>
      <c r="P2545" s="2">
        <v>72.553330000000003</v>
      </c>
      <c r="Q2545" s="2">
        <v>23.036597</v>
      </c>
    </row>
    <row r="2546" spans="1:17" x14ac:dyDescent="0.25">
      <c r="A2546" s="2">
        <v>2731</v>
      </c>
      <c r="B2546" s="2" t="s">
        <v>31</v>
      </c>
      <c r="C2546" s="2">
        <v>12</v>
      </c>
      <c r="D2546" s="2">
        <f t="shared" si="390"/>
        <v>30.48</v>
      </c>
      <c r="E2546" s="2">
        <f t="shared" si="391"/>
        <v>9.7020853308819408</v>
      </c>
      <c r="F2546" s="2">
        <f t="shared" si="392"/>
        <v>3.8197186342054881</v>
      </c>
      <c r="G2546" s="2">
        <v>11.844967</v>
      </c>
      <c r="H2546" s="2">
        <f t="shared" si="393"/>
        <v>38.861441532280004</v>
      </c>
      <c r="I2546" s="2">
        <f>INDEX('Wood Density Lookup'!$B$2:$B$152,MATCH(B2546,'Wood Density Lookup'!$A$2:$A$152,0))</f>
        <v>0.78</v>
      </c>
      <c r="J2546" s="2">
        <f t="shared" si="394"/>
        <v>49.754125199755563</v>
      </c>
      <c r="K2546" s="2">
        <f t="shared" si="398"/>
        <v>13.931155055931558</v>
      </c>
      <c r="L2546" s="2">
        <f t="shared" si="399"/>
        <v>63.685280255687118</v>
      </c>
      <c r="M2546" s="2">
        <f t="shared" si="395"/>
        <v>46.171828185373158</v>
      </c>
      <c r="N2546" s="2">
        <f t="shared" si="396"/>
        <v>23.085914092686579</v>
      </c>
      <c r="O2546" s="2">
        <f t="shared" si="397"/>
        <v>84.725304720159741</v>
      </c>
      <c r="P2546" s="2">
        <v>72.553331</v>
      </c>
      <c r="Q2546" s="2">
        <v>23.035791</v>
      </c>
    </row>
    <row r="2547" spans="1:17" x14ac:dyDescent="0.25">
      <c r="A2547" s="2">
        <v>2732</v>
      </c>
      <c r="B2547" s="2" t="s">
        <v>60</v>
      </c>
      <c r="C2547" s="2">
        <v>7</v>
      </c>
      <c r="D2547" s="2">
        <f t="shared" si="390"/>
        <v>17.78</v>
      </c>
      <c r="E2547" s="2">
        <f t="shared" si="391"/>
        <v>5.6595497763477987</v>
      </c>
      <c r="F2547" s="2">
        <f t="shared" si="392"/>
        <v>2.228169203286535</v>
      </c>
      <c r="G2547" s="2">
        <v>1.4119470000000001</v>
      </c>
      <c r="H2547" s="2">
        <f t="shared" si="393"/>
        <v>4.6323721954800003</v>
      </c>
      <c r="I2547" s="2">
        <f>INDEX('Wood Density Lookup'!$B$2:$B$152,MATCH(B2547,'Wood Density Lookup'!$A$2:$A$152,0))</f>
        <v>0.45</v>
      </c>
      <c r="J2547" s="2">
        <f t="shared" si="394"/>
        <v>1.2740998618736139</v>
      </c>
      <c r="K2547" s="2">
        <f t="shared" si="398"/>
        <v>0.35674796132461195</v>
      </c>
      <c r="L2547" s="2">
        <f t="shared" si="399"/>
        <v>1.6308478231982257</v>
      </c>
      <c r="M2547" s="2">
        <f t="shared" si="395"/>
        <v>1.1823646718187135</v>
      </c>
      <c r="N2547" s="2">
        <f t="shared" si="396"/>
        <v>0.59118233590935676</v>
      </c>
      <c r="O2547" s="2">
        <f t="shared" si="397"/>
        <v>2.1696391727873392</v>
      </c>
      <c r="P2547" s="2">
        <v>72.553332999999995</v>
      </c>
      <c r="Q2547" s="2">
        <v>23.037016999999999</v>
      </c>
    </row>
    <row r="2548" spans="1:17" x14ac:dyDescent="0.25">
      <c r="A2548" s="2">
        <v>2733</v>
      </c>
      <c r="B2548" s="2" t="s">
        <v>62</v>
      </c>
      <c r="C2548" s="2">
        <v>3</v>
      </c>
      <c r="D2548" s="2">
        <f t="shared" si="390"/>
        <v>7.62</v>
      </c>
      <c r="E2548" s="2">
        <f t="shared" si="391"/>
        <v>2.4255213327204852</v>
      </c>
      <c r="F2548" s="2">
        <f t="shared" si="392"/>
        <v>0.95492965855137202</v>
      </c>
      <c r="G2548" s="2">
        <v>6.6843919999999999</v>
      </c>
      <c r="H2548" s="2">
        <f t="shared" si="393"/>
        <v>21.930420649279998</v>
      </c>
      <c r="I2548" s="2">
        <f>INDEX('Wood Density Lookup'!$B$2:$B$152,MATCH(B2548,'Wood Density Lookup'!$A$2:$A$152,0))</f>
        <v>0.47</v>
      </c>
      <c r="J2548" s="2">
        <f t="shared" si="394"/>
        <v>1.1597985221834572</v>
      </c>
      <c r="K2548" s="2">
        <f t="shared" si="398"/>
        <v>0.32474358621136806</v>
      </c>
      <c r="L2548" s="2">
        <f t="shared" si="399"/>
        <v>1.4845421083948254</v>
      </c>
      <c r="M2548" s="2">
        <f t="shared" si="395"/>
        <v>1.0762930285862484</v>
      </c>
      <c r="N2548" s="2">
        <f t="shared" si="396"/>
        <v>0.53814651429312421</v>
      </c>
      <c r="O2548" s="2">
        <f t="shared" si="397"/>
        <v>1.9749977074557659</v>
      </c>
      <c r="P2548" s="2">
        <v>72.553334000000007</v>
      </c>
      <c r="Q2548" s="2">
        <v>23.038744999999999</v>
      </c>
    </row>
    <row r="2549" spans="1:17" x14ac:dyDescent="0.25">
      <c r="A2549" s="2">
        <v>2734</v>
      </c>
      <c r="B2549" s="2" t="s">
        <v>137</v>
      </c>
      <c r="C2549" s="2">
        <v>3</v>
      </c>
      <c r="D2549" s="2">
        <f t="shared" si="390"/>
        <v>7.62</v>
      </c>
      <c r="E2549" s="2">
        <f t="shared" si="391"/>
        <v>2.4255213327204852</v>
      </c>
      <c r="F2549" s="2">
        <f t="shared" si="392"/>
        <v>0.95492965855137202</v>
      </c>
      <c r="G2549" s="2">
        <v>1.125623</v>
      </c>
      <c r="H2549" s="2">
        <f t="shared" si="393"/>
        <v>3.6929889633199999</v>
      </c>
      <c r="I2549" s="2">
        <f>INDEX('Wood Density Lookup'!$B$2:$B$152,MATCH(B2549,'Wood Density Lookup'!$A$2:$A$152,0))</f>
        <v>0.55000000000000004</v>
      </c>
      <c r="J2549" s="2">
        <f t="shared" si="394"/>
        <v>0.23763375424017152</v>
      </c>
      <c r="K2549" s="2">
        <f t="shared" si="398"/>
        <v>6.6537451187248034E-2</v>
      </c>
      <c r="L2549" s="2">
        <f t="shared" si="399"/>
        <v>0.30417120542741954</v>
      </c>
      <c r="M2549" s="2">
        <f t="shared" si="395"/>
        <v>0.22052412393487916</v>
      </c>
      <c r="N2549" s="2">
        <f t="shared" si="396"/>
        <v>0.11026206196743958</v>
      </c>
      <c r="O2549" s="2">
        <f t="shared" si="397"/>
        <v>0.40466176742050325</v>
      </c>
      <c r="P2549" s="2">
        <v>72.553336000000002</v>
      </c>
      <c r="Q2549" s="2">
        <v>23.035875999999998</v>
      </c>
    </row>
    <row r="2550" spans="1:17" x14ac:dyDescent="0.25">
      <c r="A2550" s="2">
        <v>2735</v>
      </c>
      <c r="B2550" s="2" t="s">
        <v>114</v>
      </c>
      <c r="C2550" s="2">
        <v>6</v>
      </c>
      <c r="D2550" s="2">
        <f t="shared" si="390"/>
        <v>15.24</v>
      </c>
      <c r="E2550" s="2">
        <f t="shared" si="391"/>
        <v>4.8510426654409704</v>
      </c>
      <c r="F2550" s="2">
        <f t="shared" si="392"/>
        <v>1.909859317102744</v>
      </c>
      <c r="G2550" s="2">
        <v>12.741752999999999</v>
      </c>
      <c r="H2550" s="2">
        <f t="shared" si="393"/>
        <v>41.80365291252</v>
      </c>
      <c r="I2550" s="2">
        <f>INDEX('Wood Density Lookup'!$B$2:$B$152,MATCH(B2550,'Wood Density Lookup'!$A$2:$A$152,0))</f>
        <v>0.55000000000000004</v>
      </c>
      <c r="J2550" s="2">
        <f t="shared" si="394"/>
        <v>9.8188999521052658</v>
      </c>
      <c r="K2550" s="2">
        <f t="shared" si="398"/>
        <v>2.7492919865894745</v>
      </c>
      <c r="L2550" s="2">
        <f t="shared" si="399"/>
        <v>12.56819193869474</v>
      </c>
      <c r="M2550" s="2">
        <f t="shared" si="395"/>
        <v>9.1119391555536868</v>
      </c>
      <c r="N2550" s="2">
        <f t="shared" si="396"/>
        <v>4.5559695777768434</v>
      </c>
      <c r="O2550" s="2">
        <f t="shared" si="397"/>
        <v>16.720408350441016</v>
      </c>
      <c r="P2550" s="2">
        <v>72.553336000000002</v>
      </c>
      <c r="Q2550" s="2">
        <v>23.036759</v>
      </c>
    </row>
    <row r="2551" spans="1:17" x14ac:dyDescent="0.25">
      <c r="A2551" s="2">
        <v>2736</v>
      </c>
      <c r="B2551" s="2" t="s">
        <v>93</v>
      </c>
      <c r="C2551" s="2">
        <v>4</v>
      </c>
      <c r="D2551" s="2">
        <f t="shared" si="390"/>
        <v>10.16</v>
      </c>
      <c r="E2551" s="2">
        <f t="shared" si="391"/>
        <v>3.2340284436273135</v>
      </c>
      <c r="F2551" s="2">
        <f t="shared" si="392"/>
        <v>1.2732395447351628</v>
      </c>
      <c r="G2551" s="2">
        <v>2.5474640000000002</v>
      </c>
      <c r="H2551" s="2">
        <f t="shared" si="393"/>
        <v>8.3578217897600009</v>
      </c>
      <c r="I2551" s="2">
        <f>INDEX('Wood Density Lookup'!$B$2:$B$152,MATCH(B2551,'Wood Density Lookup'!$A$2:$A$152,0))</f>
        <v>0.9</v>
      </c>
      <c r="J2551" s="2">
        <f t="shared" si="394"/>
        <v>1.495330466574416</v>
      </c>
      <c r="K2551" s="2">
        <f t="shared" si="398"/>
        <v>0.41869253064083656</v>
      </c>
      <c r="L2551" s="2">
        <f t="shared" si="399"/>
        <v>1.9140229972152527</v>
      </c>
      <c r="M2551" s="2">
        <f t="shared" si="395"/>
        <v>1.3876666729810583</v>
      </c>
      <c r="N2551" s="2">
        <f t="shared" si="396"/>
        <v>0.69383333649052914</v>
      </c>
      <c r="O2551" s="2">
        <f t="shared" si="397"/>
        <v>2.5463683449202419</v>
      </c>
      <c r="P2551" s="2">
        <v>72.553336999999999</v>
      </c>
      <c r="Q2551" s="2">
        <v>23.037120000000002</v>
      </c>
    </row>
    <row r="2552" spans="1:17" x14ac:dyDescent="0.25">
      <c r="A2552" s="2">
        <v>2737</v>
      </c>
      <c r="B2552" s="2" t="s">
        <v>37</v>
      </c>
      <c r="C2552" s="2">
        <v>8</v>
      </c>
      <c r="D2552" s="2">
        <f t="shared" si="390"/>
        <v>20.32</v>
      </c>
      <c r="E2552" s="2">
        <f t="shared" si="391"/>
        <v>6.4680568872546269</v>
      </c>
      <c r="F2552" s="2">
        <f t="shared" si="392"/>
        <v>2.5464790894703255</v>
      </c>
      <c r="G2552" s="2">
        <v>8.1114879999999996</v>
      </c>
      <c r="H2552" s="2">
        <f t="shared" si="393"/>
        <v>26.612494289919997</v>
      </c>
      <c r="I2552" s="2">
        <f>INDEX('Wood Density Lookup'!$B$2:$B$152,MATCH(B2552,'Wood Density Lookup'!$A$2:$A$152,0))</f>
        <v>0.27</v>
      </c>
      <c r="J2552" s="2">
        <f t="shared" si="394"/>
        <v>5.5327205263937946</v>
      </c>
      <c r="K2552" s="2">
        <f t="shared" si="398"/>
        <v>1.5491617473902626</v>
      </c>
      <c r="L2552" s="2">
        <f t="shared" si="399"/>
        <v>7.081882273784057</v>
      </c>
      <c r="M2552" s="2">
        <f t="shared" si="395"/>
        <v>5.1343646484934409</v>
      </c>
      <c r="N2552" s="2">
        <f t="shared" si="396"/>
        <v>2.5671823242467204</v>
      </c>
      <c r="O2552" s="2">
        <f t="shared" si="397"/>
        <v>9.4215591299854644</v>
      </c>
      <c r="P2552" s="2">
        <v>72.553337999999997</v>
      </c>
      <c r="Q2552" s="2">
        <v>23.038149000000001</v>
      </c>
    </row>
    <row r="2553" spans="1:17" x14ac:dyDescent="0.25">
      <c r="A2553" s="2">
        <v>2738</v>
      </c>
      <c r="B2553" s="2" t="s">
        <v>31</v>
      </c>
      <c r="C2553" s="2">
        <v>22</v>
      </c>
      <c r="D2553" s="2">
        <f t="shared" si="390"/>
        <v>55.88</v>
      </c>
      <c r="E2553" s="2">
        <f t="shared" si="391"/>
        <v>17.787156439950223</v>
      </c>
      <c r="F2553" s="2">
        <f t="shared" si="392"/>
        <v>7.0028174960433951</v>
      </c>
      <c r="G2553" s="2">
        <v>12.697066</v>
      </c>
      <c r="H2553" s="2">
        <f t="shared" si="393"/>
        <v>41.657042015439998</v>
      </c>
      <c r="I2553" s="2">
        <f>INDEX('Wood Density Lookup'!$B$2:$B$152,MATCH(B2553,'Wood Density Lookup'!$A$2:$A$152,0))</f>
        <v>0.78</v>
      </c>
      <c r="J2553" s="2">
        <f t="shared" si="394"/>
        <v>173.82883870220732</v>
      </c>
      <c r="K2553" s="2">
        <f t="shared" si="398"/>
        <v>48.672074836618052</v>
      </c>
      <c r="L2553" s="2">
        <f t="shared" si="399"/>
        <v>222.50091353882539</v>
      </c>
      <c r="M2553" s="2">
        <f t="shared" si="395"/>
        <v>161.31316231564841</v>
      </c>
      <c r="N2553" s="2">
        <f t="shared" si="396"/>
        <v>80.656581157824206</v>
      </c>
      <c r="O2553" s="2">
        <f t="shared" si="397"/>
        <v>296.00965284921483</v>
      </c>
      <c r="P2553" s="2">
        <v>72.553338999999994</v>
      </c>
      <c r="Q2553" s="2">
        <v>23.035793000000002</v>
      </c>
    </row>
    <row r="2554" spans="1:17" x14ac:dyDescent="0.25">
      <c r="A2554" s="2">
        <v>2739</v>
      </c>
      <c r="B2554" s="2" t="s">
        <v>113</v>
      </c>
      <c r="C2554" s="2">
        <v>7</v>
      </c>
      <c r="D2554" s="2">
        <f t="shared" si="390"/>
        <v>17.78</v>
      </c>
      <c r="E2554" s="2">
        <f t="shared" si="391"/>
        <v>5.6595497763477987</v>
      </c>
      <c r="F2554" s="2">
        <f t="shared" si="392"/>
        <v>2.228169203286535</v>
      </c>
      <c r="G2554" s="2">
        <v>1.056046</v>
      </c>
      <c r="H2554" s="2">
        <f t="shared" si="393"/>
        <v>3.4647179586400001</v>
      </c>
      <c r="I2554" s="2">
        <f>INDEX('Wood Density Lookup'!$B$2:$B$152,MATCH(B2554,'Wood Density Lookup'!$A$2:$A$152,0))</f>
        <v>0.4</v>
      </c>
      <c r="J2554" s="2">
        <f t="shared" si="394"/>
        <v>0.85540207824889425</v>
      </c>
      <c r="K2554" s="2">
        <f t="shared" si="398"/>
        <v>0.23951258190969041</v>
      </c>
      <c r="L2554" s="2">
        <f t="shared" si="399"/>
        <v>1.0949146601585846</v>
      </c>
      <c r="M2554" s="2">
        <f t="shared" si="395"/>
        <v>0.79381312861497388</v>
      </c>
      <c r="N2554" s="2">
        <f t="shared" si="396"/>
        <v>0.39690656430748694</v>
      </c>
      <c r="O2554" s="2">
        <f t="shared" si="397"/>
        <v>1.456647091008477</v>
      </c>
      <c r="P2554" s="2">
        <v>72.553340000000006</v>
      </c>
      <c r="Q2554" s="2">
        <v>23.03781</v>
      </c>
    </row>
    <row r="2555" spans="1:17" x14ac:dyDescent="0.25">
      <c r="A2555" s="2">
        <v>2740</v>
      </c>
      <c r="B2555" s="2" t="s">
        <v>107</v>
      </c>
      <c r="C2555" s="2">
        <v>7</v>
      </c>
      <c r="D2555" s="2">
        <f t="shared" si="390"/>
        <v>17.78</v>
      </c>
      <c r="E2555" s="2">
        <f t="shared" si="391"/>
        <v>5.6595497763477987</v>
      </c>
      <c r="F2555" s="2">
        <f t="shared" si="392"/>
        <v>2.228169203286535</v>
      </c>
      <c r="G2555" s="2">
        <v>1.0039419999999999</v>
      </c>
      <c r="H2555" s="2">
        <f t="shared" si="393"/>
        <v>3.2937730712799995</v>
      </c>
      <c r="I2555" s="2">
        <f>INDEX('Wood Density Lookup'!$B$2:$B$152,MATCH(B2555,'Wood Density Lookup'!$A$2:$A$152,0))</f>
        <v>0.65</v>
      </c>
      <c r="J2555" s="2">
        <f t="shared" si="394"/>
        <v>1.3077247827735643</v>
      </c>
      <c r="K2555" s="2">
        <f t="shared" si="398"/>
        <v>0.36616293917659803</v>
      </c>
      <c r="L2555" s="2">
        <f t="shared" si="399"/>
        <v>1.6738877219501624</v>
      </c>
      <c r="M2555" s="2">
        <f t="shared" si="395"/>
        <v>1.2135685984138678</v>
      </c>
      <c r="N2555" s="2">
        <f t="shared" si="396"/>
        <v>0.60678429920693389</v>
      </c>
      <c r="O2555" s="2">
        <f t="shared" si="397"/>
        <v>2.2268983780894471</v>
      </c>
      <c r="P2555" s="2">
        <v>72.553342000000001</v>
      </c>
      <c r="Q2555" s="2">
        <v>23.037852999999998</v>
      </c>
    </row>
    <row r="2556" spans="1:17" x14ac:dyDescent="0.25">
      <c r="A2556" s="2">
        <v>2741</v>
      </c>
      <c r="B2556" s="2" t="s">
        <v>107</v>
      </c>
      <c r="C2556" s="2">
        <v>18</v>
      </c>
      <c r="D2556" s="2">
        <f t="shared" si="390"/>
        <v>45.72</v>
      </c>
      <c r="E2556" s="2">
        <f t="shared" si="391"/>
        <v>14.55312799632291</v>
      </c>
      <c r="F2556" s="2">
        <f t="shared" si="392"/>
        <v>5.7295779513082321</v>
      </c>
      <c r="G2556" s="2">
        <v>15.115712</v>
      </c>
      <c r="H2556" s="2">
        <f t="shared" si="393"/>
        <v>49.592232558079999</v>
      </c>
      <c r="I2556" s="2">
        <f>INDEX('Wood Density Lookup'!$B$2:$B$152,MATCH(B2556,'Wood Density Lookup'!$A$2:$A$152,0))</f>
        <v>0.65</v>
      </c>
      <c r="J2556" s="2">
        <f t="shared" si="394"/>
        <v>116.58203065643764</v>
      </c>
      <c r="K2556" s="2">
        <f t="shared" si="398"/>
        <v>32.642968583802542</v>
      </c>
      <c r="L2556" s="2">
        <f t="shared" si="399"/>
        <v>149.22499924024018</v>
      </c>
      <c r="M2556" s="2">
        <f t="shared" si="395"/>
        <v>108.18812444917413</v>
      </c>
      <c r="N2556" s="2">
        <f t="shared" si="396"/>
        <v>54.094062224587063</v>
      </c>
      <c r="O2556" s="2">
        <f t="shared" si="397"/>
        <v>198.52520836423452</v>
      </c>
      <c r="P2556" s="2">
        <v>72.553347000000002</v>
      </c>
      <c r="Q2556" s="2">
        <v>23.035429000000001</v>
      </c>
    </row>
    <row r="2557" spans="1:17" x14ac:dyDescent="0.25">
      <c r="A2557" s="2">
        <v>2742</v>
      </c>
      <c r="B2557" s="2" t="s">
        <v>31</v>
      </c>
      <c r="C2557" s="2">
        <v>8</v>
      </c>
      <c r="D2557" s="2">
        <f t="shared" si="390"/>
        <v>20.32</v>
      </c>
      <c r="E2557" s="2">
        <f t="shared" si="391"/>
        <v>6.4680568872546269</v>
      </c>
      <c r="F2557" s="2">
        <f t="shared" si="392"/>
        <v>2.5464790894703255</v>
      </c>
      <c r="G2557" s="2">
        <v>12.551819999999999</v>
      </c>
      <c r="H2557" s="2">
        <f t="shared" si="393"/>
        <v>41.180513128799994</v>
      </c>
      <c r="I2557" s="2">
        <f>INDEX('Wood Density Lookup'!$B$2:$B$152,MATCH(B2557,'Wood Density Lookup'!$A$2:$A$152,0))</f>
        <v>0.78</v>
      </c>
      <c r="J2557" s="2">
        <f t="shared" si="394"/>
        <v>23.859847092725772</v>
      </c>
      <c r="K2557" s="2">
        <f t="shared" si="398"/>
        <v>6.6807571859632171</v>
      </c>
      <c r="L2557" s="2">
        <f t="shared" si="399"/>
        <v>30.540604278688988</v>
      </c>
      <c r="M2557" s="2">
        <f t="shared" si="395"/>
        <v>22.141938102049515</v>
      </c>
      <c r="N2557" s="2">
        <f t="shared" si="396"/>
        <v>11.070969051024758</v>
      </c>
      <c r="O2557" s="2">
        <f t="shared" si="397"/>
        <v>40.630456417260859</v>
      </c>
      <c r="P2557" s="2">
        <v>72.553347000000002</v>
      </c>
      <c r="Q2557" s="2">
        <v>23.035796999999999</v>
      </c>
    </row>
    <row r="2558" spans="1:17" x14ac:dyDescent="0.25">
      <c r="A2558" s="2">
        <v>2743</v>
      </c>
      <c r="B2558" s="2" t="s">
        <v>143</v>
      </c>
      <c r="C2558" s="2">
        <v>22</v>
      </c>
      <c r="D2558" s="2">
        <f t="shared" si="390"/>
        <v>55.88</v>
      </c>
      <c r="E2558" s="2">
        <f t="shared" si="391"/>
        <v>17.787156439950223</v>
      </c>
      <c r="F2558" s="2">
        <f t="shared" si="392"/>
        <v>7.0028174960433951</v>
      </c>
      <c r="G2558" s="2">
        <v>9.3590319999999991</v>
      </c>
      <c r="H2558" s="2">
        <f t="shared" si="393"/>
        <v>30.705486546879996</v>
      </c>
      <c r="I2558" s="2">
        <f>INDEX('Wood Density Lookup'!$B$2:$B$152,MATCH(B2558,'Wood Density Lookup'!$A$2:$A$152,0))</f>
        <v>0.75</v>
      </c>
      <c r="J2558" s="2">
        <f t="shared" si="394"/>
        <v>124.22362073275305</v>
      </c>
      <c r="K2558" s="2">
        <f t="shared" si="398"/>
        <v>34.782613805170854</v>
      </c>
      <c r="L2558" s="2">
        <f t="shared" si="399"/>
        <v>159.00623453792389</v>
      </c>
      <c r="M2558" s="2">
        <f t="shared" si="395"/>
        <v>115.27952003999482</v>
      </c>
      <c r="N2558" s="2">
        <f t="shared" si="396"/>
        <v>57.639760019997411</v>
      </c>
      <c r="O2558" s="2">
        <f t="shared" si="397"/>
        <v>211.53791927339049</v>
      </c>
      <c r="P2558" s="2">
        <v>72.553349999999995</v>
      </c>
      <c r="Q2558" s="2">
        <v>23.0381</v>
      </c>
    </row>
    <row r="2559" spans="1:17" x14ac:dyDescent="0.25">
      <c r="A2559" s="2">
        <v>2744</v>
      </c>
      <c r="B2559" s="2" t="s">
        <v>62</v>
      </c>
      <c r="C2559" s="2">
        <v>16</v>
      </c>
      <c r="D2559" s="2">
        <f t="shared" si="390"/>
        <v>40.64</v>
      </c>
      <c r="E2559" s="2">
        <f t="shared" si="391"/>
        <v>12.936113774509254</v>
      </c>
      <c r="F2559" s="2">
        <f t="shared" si="392"/>
        <v>5.0929581789406511</v>
      </c>
      <c r="G2559" s="2">
        <v>3.153295</v>
      </c>
      <c r="H2559" s="2">
        <f t="shared" si="393"/>
        <v>10.345456367800001</v>
      </c>
      <c r="I2559" s="2">
        <f>INDEX('Wood Density Lookup'!$B$2:$B$152,MATCH(B2559,'Wood Density Lookup'!$A$2:$A$152,0))</f>
        <v>0.47</v>
      </c>
      <c r="J2559" s="2">
        <f t="shared" si="394"/>
        <v>14.622374236047808</v>
      </c>
      <c r="K2559" s="2">
        <f t="shared" si="398"/>
        <v>4.0942647860933867</v>
      </c>
      <c r="L2559" s="2">
        <f t="shared" si="399"/>
        <v>18.716639022141194</v>
      </c>
      <c r="M2559" s="2">
        <f t="shared" si="395"/>
        <v>13.569563291052365</v>
      </c>
      <c r="N2559" s="2">
        <f t="shared" si="396"/>
        <v>6.7847816455261825</v>
      </c>
      <c r="O2559" s="2">
        <f t="shared" si="397"/>
        <v>24.900148639081088</v>
      </c>
      <c r="P2559" s="2">
        <v>72.553354999999996</v>
      </c>
      <c r="Q2559" s="2">
        <v>23.037044999999999</v>
      </c>
    </row>
    <row r="2560" spans="1:17" x14ac:dyDescent="0.25">
      <c r="A2560" s="2">
        <v>2745</v>
      </c>
      <c r="B2560" s="2" t="s">
        <v>15</v>
      </c>
      <c r="C2560" s="2">
        <v>107</v>
      </c>
      <c r="D2560" s="2">
        <f t="shared" si="390"/>
        <v>271.78000000000003</v>
      </c>
      <c r="E2560" s="2">
        <f t="shared" si="391"/>
        <v>86.510260867030638</v>
      </c>
      <c r="F2560" s="2">
        <f t="shared" si="392"/>
        <v>34.0591578216656</v>
      </c>
      <c r="G2560" s="2">
        <v>11.230409</v>
      </c>
      <c r="H2560" s="2">
        <f t="shared" si="393"/>
        <v>36.845175063559999</v>
      </c>
      <c r="I2560" s="2">
        <f>INDEX('Wood Density Lookup'!$B$2:$B$152,MATCH(B2560,'Wood Density Lookup'!$A$2:$A$152,0))</f>
        <v>0.75</v>
      </c>
      <c r="J2560" s="2">
        <f t="shared" si="394"/>
        <v>3253.9953952945866</v>
      </c>
      <c r="K2560" s="2">
        <f t="shared" si="398"/>
        <v>911.11871068248433</v>
      </c>
      <c r="L2560" s="2">
        <f t="shared" si="399"/>
        <v>4165.1141059770707</v>
      </c>
      <c r="M2560" s="2">
        <f t="shared" si="395"/>
        <v>3019.707726833376</v>
      </c>
      <c r="N2560" s="2">
        <f t="shared" si="396"/>
        <v>1509.853863416688</v>
      </c>
      <c r="O2560" s="2">
        <f t="shared" si="397"/>
        <v>5541.1636787392445</v>
      </c>
      <c r="P2560" s="2">
        <v>72.553357000000005</v>
      </c>
      <c r="Q2560" s="2">
        <v>23.036024000000001</v>
      </c>
    </row>
    <row r="2561" spans="1:17" x14ac:dyDescent="0.25">
      <c r="A2561" s="2">
        <v>2746</v>
      </c>
      <c r="B2561" s="2" t="s">
        <v>107</v>
      </c>
      <c r="C2561" s="2">
        <v>8</v>
      </c>
      <c r="D2561" s="2">
        <f t="shared" ref="D2561:D2624" si="400">C2561*2.54</f>
        <v>20.32</v>
      </c>
      <c r="E2561" s="2">
        <f t="shared" ref="E2561:E2624" si="401">D2561/PI()</f>
        <v>6.4680568872546269</v>
      </c>
      <c r="F2561" s="2">
        <f t="shared" ref="F2561:F2624" si="402">C2561/PI()</f>
        <v>2.5464790894703255</v>
      </c>
      <c r="G2561" s="2">
        <v>5.2526200000000003</v>
      </c>
      <c r="H2561" s="2">
        <f t="shared" ref="H2561:H2624" si="403">G2561*3.28084</f>
        <v>17.233005800800001</v>
      </c>
      <c r="I2561" s="2">
        <f>INDEX('Wood Density Lookup'!$B$2:$B$152,MATCH(B2561,'Wood Density Lookup'!$A$2:$A$152,0))</f>
        <v>0.65</v>
      </c>
      <c r="J2561" s="2">
        <f t="shared" ref="J2561:J2624" si="404">0.0673*POWER(I2561*E2561^2*G2561,0.976)</f>
        <v>8.5336726155410201</v>
      </c>
      <c r="K2561" s="2">
        <f t="shared" si="398"/>
        <v>2.389428332351486</v>
      </c>
      <c r="L2561" s="2">
        <f t="shared" si="399"/>
        <v>10.923100947892506</v>
      </c>
      <c r="M2561" s="2">
        <f t="shared" ref="M2561:M2624" si="405">0.725*L2561</f>
        <v>7.9192481872220659</v>
      </c>
      <c r="N2561" s="2">
        <f t="shared" ref="N2561:N2624" si="406">0.5*M2561</f>
        <v>3.959624093611033</v>
      </c>
      <c r="O2561" s="2">
        <f t="shared" ref="O2561:O2624" si="407">3.67*N2561</f>
        <v>14.531820423552491</v>
      </c>
      <c r="P2561" s="2">
        <v>72.553357000000005</v>
      </c>
      <c r="Q2561" s="2">
        <v>23.038021000000001</v>
      </c>
    </row>
    <row r="2562" spans="1:17" x14ac:dyDescent="0.25">
      <c r="A2562" s="2">
        <v>2747</v>
      </c>
      <c r="B2562" s="2" t="s">
        <v>33</v>
      </c>
      <c r="C2562" s="2">
        <v>15</v>
      </c>
      <c r="D2562" s="2">
        <f t="shared" si="400"/>
        <v>38.1</v>
      </c>
      <c r="E2562" s="2">
        <f t="shared" si="401"/>
        <v>12.127606663602425</v>
      </c>
      <c r="F2562" s="2">
        <f t="shared" si="402"/>
        <v>4.7746482927568605</v>
      </c>
      <c r="G2562" s="2">
        <v>2.022824</v>
      </c>
      <c r="H2562" s="2">
        <f t="shared" si="403"/>
        <v>6.6365618921599996</v>
      </c>
      <c r="I2562" s="2">
        <f>INDEX('Wood Density Lookup'!$B$2:$B$152,MATCH(B2562,'Wood Density Lookup'!$A$2:$A$152,0))</f>
        <v>0.65</v>
      </c>
      <c r="J2562" s="2">
        <f t="shared" si="404"/>
        <v>11.469978522946414</v>
      </c>
      <c r="K2562" s="2">
        <f t="shared" si="398"/>
        <v>3.2115939864249965</v>
      </c>
      <c r="L2562" s="2">
        <f t="shared" si="399"/>
        <v>14.68157250937141</v>
      </c>
      <c r="M2562" s="2">
        <f t="shared" si="405"/>
        <v>10.644140069294272</v>
      </c>
      <c r="N2562" s="2">
        <f t="shared" si="406"/>
        <v>5.3220700346471359</v>
      </c>
      <c r="O2562" s="2">
        <f t="shared" si="407"/>
        <v>19.53199702715499</v>
      </c>
      <c r="P2562" s="2">
        <v>72.553359</v>
      </c>
      <c r="Q2562" s="2">
        <v>23.037942000000001</v>
      </c>
    </row>
    <row r="2563" spans="1:17" x14ac:dyDescent="0.25">
      <c r="A2563" s="2">
        <v>2748</v>
      </c>
      <c r="B2563" s="2" t="s">
        <v>95</v>
      </c>
      <c r="C2563" s="2">
        <v>65</v>
      </c>
      <c r="D2563" s="2">
        <f t="shared" si="400"/>
        <v>165.1</v>
      </c>
      <c r="E2563" s="2">
        <f t="shared" si="401"/>
        <v>52.552962208943839</v>
      </c>
      <c r="F2563" s="2">
        <f t="shared" si="402"/>
        <v>20.690142601946395</v>
      </c>
      <c r="G2563" s="2">
        <v>4.5403070000000003</v>
      </c>
      <c r="H2563" s="2">
        <f t="shared" si="403"/>
        <v>14.89602081788</v>
      </c>
      <c r="I2563" s="2">
        <f>INDEX('Wood Density Lookup'!$B$2:$B$152,MATCH(B2563,'Wood Density Lookup'!$A$2:$A$152,0))</f>
        <v>0.3</v>
      </c>
      <c r="J2563" s="2">
        <f t="shared" si="404"/>
        <v>207.78123268016856</v>
      </c>
      <c r="K2563" s="2">
        <f t="shared" ref="K2563:K2626" si="408">0.28*J2563</f>
        <v>58.178745150447199</v>
      </c>
      <c r="L2563" s="2">
        <f t="shared" ref="L2563:L2626" si="409">J2563+K2563</f>
        <v>265.95997783061574</v>
      </c>
      <c r="M2563" s="2">
        <f t="shared" si="405"/>
        <v>192.82098392719641</v>
      </c>
      <c r="N2563" s="2">
        <f t="shared" si="406"/>
        <v>96.410491963598204</v>
      </c>
      <c r="O2563" s="2">
        <f t="shared" si="407"/>
        <v>353.8265055064054</v>
      </c>
      <c r="P2563" s="2">
        <v>72.553359</v>
      </c>
      <c r="Q2563" s="2">
        <v>23.038696000000002</v>
      </c>
    </row>
    <row r="2564" spans="1:17" x14ac:dyDescent="0.25">
      <c r="A2564" s="2">
        <v>2749</v>
      </c>
      <c r="B2564" s="2" t="s">
        <v>149</v>
      </c>
      <c r="C2564" s="2">
        <v>4</v>
      </c>
      <c r="D2564" s="2">
        <f t="shared" si="400"/>
        <v>10.16</v>
      </c>
      <c r="E2564" s="2">
        <f t="shared" si="401"/>
        <v>3.2340284436273135</v>
      </c>
      <c r="F2564" s="2">
        <f t="shared" si="402"/>
        <v>1.2732395447351628</v>
      </c>
      <c r="G2564" s="2">
        <v>1.0210889999999999</v>
      </c>
      <c r="H2564" s="2">
        <f t="shared" si="403"/>
        <v>3.3500296347599998</v>
      </c>
      <c r="I2564" s="2">
        <f>INDEX('Wood Density Lookup'!$B$2:$B$152,MATCH(B2564,'Wood Density Lookup'!$A$2:$A$152,0))</f>
        <v>0.45</v>
      </c>
      <c r="J2564" s="2">
        <f t="shared" si="404"/>
        <v>0.31147020978993994</v>
      </c>
      <c r="K2564" s="2">
        <f t="shared" si="408"/>
        <v>8.7211658741183196E-2</v>
      </c>
      <c r="L2564" s="2">
        <f t="shared" si="409"/>
        <v>0.39868186853112314</v>
      </c>
      <c r="M2564" s="2">
        <f t="shared" si="405"/>
        <v>0.28904435468506429</v>
      </c>
      <c r="N2564" s="2">
        <f t="shared" si="406"/>
        <v>0.14452217734253214</v>
      </c>
      <c r="O2564" s="2">
        <f t="shared" si="407"/>
        <v>0.530396390847093</v>
      </c>
      <c r="P2564" s="2">
        <v>72.553359</v>
      </c>
      <c r="Q2564" s="2">
        <v>23.037980999999998</v>
      </c>
    </row>
    <row r="2565" spans="1:17" x14ac:dyDescent="0.25">
      <c r="A2565" s="2">
        <v>2750</v>
      </c>
      <c r="B2565" s="2" t="s">
        <v>86</v>
      </c>
      <c r="C2565" s="2">
        <v>29</v>
      </c>
      <c r="D2565" s="2">
        <f t="shared" si="400"/>
        <v>73.66</v>
      </c>
      <c r="E2565" s="2">
        <f t="shared" si="401"/>
        <v>23.446706216298022</v>
      </c>
      <c r="F2565" s="2">
        <f t="shared" si="402"/>
        <v>9.2309866993299305</v>
      </c>
      <c r="G2565" s="2">
        <v>12.681570000000001</v>
      </c>
      <c r="H2565" s="2">
        <f t="shared" si="403"/>
        <v>41.606202118799999</v>
      </c>
      <c r="I2565" s="2">
        <f>INDEX('Wood Density Lookup'!$B$2:$B$152,MATCH(B2565,'Wood Density Lookup'!$A$2:$A$152,0))</f>
        <v>0.95</v>
      </c>
      <c r="J2565" s="2">
        <f t="shared" si="404"/>
        <v>360.88591218348296</v>
      </c>
      <c r="K2565" s="2">
        <f t="shared" si="408"/>
        <v>101.04805541137524</v>
      </c>
      <c r="L2565" s="2">
        <f t="shared" si="409"/>
        <v>461.93396759485819</v>
      </c>
      <c r="M2565" s="2">
        <f t="shared" si="405"/>
        <v>334.90212650627217</v>
      </c>
      <c r="N2565" s="2">
        <f t="shared" si="406"/>
        <v>167.45106325313608</v>
      </c>
      <c r="O2565" s="2">
        <f t="shared" si="407"/>
        <v>614.54540213900941</v>
      </c>
      <c r="P2565" s="2">
        <v>72.553363000000004</v>
      </c>
      <c r="Q2565" s="2">
        <v>23.036446999999999</v>
      </c>
    </row>
    <row r="2566" spans="1:17" x14ac:dyDescent="0.25">
      <c r="A2566" s="2">
        <v>2751</v>
      </c>
      <c r="B2566" s="2" t="s">
        <v>143</v>
      </c>
      <c r="C2566" s="2">
        <v>22</v>
      </c>
      <c r="D2566" s="2">
        <f t="shared" si="400"/>
        <v>55.88</v>
      </c>
      <c r="E2566" s="2">
        <f t="shared" si="401"/>
        <v>17.787156439950223</v>
      </c>
      <c r="F2566" s="2">
        <f t="shared" si="402"/>
        <v>7.0028174960433951</v>
      </c>
      <c r="G2566" s="2">
        <v>8.6983390000000007</v>
      </c>
      <c r="H2566" s="2">
        <f t="shared" si="403"/>
        <v>28.537858524760001</v>
      </c>
      <c r="I2566" s="2">
        <f>INDEX('Wood Density Lookup'!$B$2:$B$152,MATCH(B2566,'Wood Density Lookup'!$A$2:$A$152,0))</f>
        <v>0.75</v>
      </c>
      <c r="J2566" s="2">
        <f t="shared" si="404"/>
        <v>115.65719388623936</v>
      </c>
      <c r="K2566" s="2">
        <f t="shared" si="408"/>
        <v>32.384014288147021</v>
      </c>
      <c r="L2566" s="2">
        <f t="shared" si="409"/>
        <v>148.04120817438638</v>
      </c>
      <c r="M2566" s="2">
        <f t="shared" si="405"/>
        <v>107.32987592643012</v>
      </c>
      <c r="N2566" s="2">
        <f t="shared" si="406"/>
        <v>53.66493796321506</v>
      </c>
      <c r="O2566" s="2">
        <f t="shared" si="407"/>
        <v>196.95032232499926</v>
      </c>
      <c r="P2566" s="2">
        <v>72.553364000000002</v>
      </c>
      <c r="Q2566" s="2">
        <v>23.038226999999999</v>
      </c>
    </row>
    <row r="2567" spans="1:17" x14ac:dyDescent="0.25">
      <c r="A2567" s="2">
        <v>2752</v>
      </c>
      <c r="B2567" s="2" t="s">
        <v>15</v>
      </c>
      <c r="C2567" s="2">
        <v>122</v>
      </c>
      <c r="D2567" s="2">
        <f t="shared" si="400"/>
        <v>309.88</v>
      </c>
      <c r="E2567" s="2">
        <f t="shared" si="401"/>
        <v>98.637867530633059</v>
      </c>
      <c r="F2567" s="2">
        <f t="shared" si="402"/>
        <v>38.833806114422465</v>
      </c>
      <c r="G2567" s="2">
        <v>17.570347999999999</v>
      </c>
      <c r="H2567" s="2">
        <f t="shared" si="403"/>
        <v>57.64550053232</v>
      </c>
      <c r="I2567" s="2">
        <f>INDEX('Wood Density Lookup'!$B$2:$B$152,MATCH(B2567,'Wood Density Lookup'!$A$2:$A$152,0))</f>
        <v>0.75</v>
      </c>
      <c r="J2567" s="2">
        <f t="shared" si="404"/>
        <v>6506.5945436383363</v>
      </c>
      <c r="K2567" s="2">
        <f t="shared" si="408"/>
        <v>1821.8464722187343</v>
      </c>
      <c r="L2567" s="2">
        <f t="shared" si="409"/>
        <v>8328.4410158570699</v>
      </c>
      <c r="M2567" s="2">
        <f t="shared" si="405"/>
        <v>6038.1197364963755</v>
      </c>
      <c r="N2567" s="2">
        <f t="shared" si="406"/>
        <v>3019.0598682481877</v>
      </c>
      <c r="O2567" s="2">
        <f t="shared" si="407"/>
        <v>11079.949716470848</v>
      </c>
      <c r="P2567" s="2">
        <v>72.553364000000002</v>
      </c>
      <c r="Q2567" s="2">
        <v>23.036390000000001</v>
      </c>
    </row>
    <row r="2568" spans="1:17" x14ac:dyDescent="0.25">
      <c r="A2568" s="2">
        <v>2753</v>
      </c>
      <c r="B2568" s="2" t="s">
        <v>86</v>
      </c>
      <c r="C2568" s="2">
        <v>23</v>
      </c>
      <c r="D2568" s="2">
        <f t="shared" si="400"/>
        <v>58.42</v>
      </c>
      <c r="E2568" s="2">
        <f t="shared" si="401"/>
        <v>18.595663550857051</v>
      </c>
      <c r="F2568" s="2">
        <f t="shared" si="402"/>
        <v>7.3211273822271856</v>
      </c>
      <c r="G2568" s="2">
        <v>13.273156999999999</v>
      </c>
      <c r="H2568" s="2">
        <f t="shared" si="403"/>
        <v>43.547104411879999</v>
      </c>
      <c r="I2568" s="2">
        <f>INDEX('Wood Density Lookup'!$B$2:$B$152,MATCH(B2568,'Wood Density Lookup'!$A$2:$A$152,0))</f>
        <v>0.95</v>
      </c>
      <c r="J2568" s="2">
        <f t="shared" si="404"/>
        <v>239.98701951597442</v>
      </c>
      <c r="K2568" s="2">
        <f t="shared" si="408"/>
        <v>67.196365464472848</v>
      </c>
      <c r="L2568" s="2">
        <f t="shared" si="409"/>
        <v>307.18338498044727</v>
      </c>
      <c r="M2568" s="2">
        <f t="shared" si="405"/>
        <v>222.70795411082426</v>
      </c>
      <c r="N2568" s="2">
        <f t="shared" si="406"/>
        <v>111.35397705541213</v>
      </c>
      <c r="O2568" s="2">
        <f t="shared" si="407"/>
        <v>408.66909579336249</v>
      </c>
      <c r="P2568" s="2">
        <v>72.553364000000002</v>
      </c>
      <c r="Q2568" s="2">
        <v>23.036252000000001</v>
      </c>
    </row>
    <row r="2569" spans="1:17" x14ac:dyDescent="0.25">
      <c r="A2569" s="2">
        <v>2754</v>
      </c>
      <c r="B2569" s="2" t="s">
        <v>103</v>
      </c>
      <c r="C2569" s="2">
        <v>1</v>
      </c>
      <c r="D2569" s="2">
        <f t="shared" si="400"/>
        <v>2.54</v>
      </c>
      <c r="E2569" s="2">
        <f t="shared" si="401"/>
        <v>0.80850711090682836</v>
      </c>
      <c r="F2569" s="2">
        <f t="shared" si="402"/>
        <v>0.31830988618379069</v>
      </c>
      <c r="G2569" s="2">
        <v>1.0786690000000001</v>
      </c>
      <c r="H2569" s="2">
        <f t="shared" si="403"/>
        <v>3.5389404019600001</v>
      </c>
      <c r="I2569" s="2">
        <f>INDEX('Wood Density Lookup'!$B$2:$B$152,MATCH(B2569,'Wood Density Lookup'!$A$2:$A$152,0))</f>
        <v>0.6</v>
      </c>
      <c r="J2569" s="2">
        <f t="shared" si="404"/>
        <v>2.9066211466561128E-2</v>
      </c>
      <c r="K2569" s="2">
        <f t="shared" si="408"/>
        <v>8.1385392106371173E-3</v>
      </c>
      <c r="L2569" s="2">
        <f t="shared" si="409"/>
        <v>3.7204750677198244E-2</v>
      </c>
      <c r="M2569" s="2">
        <f t="shared" si="405"/>
        <v>2.6973444240968727E-2</v>
      </c>
      <c r="N2569" s="2">
        <f t="shared" si="406"/>
        <v>1.3486722120484363E-2</v>
      </c>
      <c r="O2569" s="2">
        <f t="shared" si="407"/>
        <v>4.9496270182177615E-2</v>
      </c>
      <c r="P2569" s="2">
        <v>72.553366999999994</v>
      </c>
      <c r="Q2569" s="2">
        <v>23.037013000000002</v>
      </c>
    </row>
    <row r="2570" spans="1:17" x14ac:dyDescent="0.25">
      <c r="A2570" s="2">
        <v>2755</v>
      </c>
      <c r="B2570" s="2" t="s">
        <v>103</v>
      </c>
      <c r="C2570" s="2">
        <v>3</v>
      </c>
      <c r="D2570" s="2">
        <f t="shared" si="400"/>
        <v>7.62</v>
      </c>
      <c r="E2570" s="2">
        <f t="shared" si="401"/>
        <v>2.4255213327204852</v>
      </c>
      <c r="F2570" s="2">
        <f t="shared" si="402"/>
        <v>0.95492965855137202</v>
      </c>
      <c r="G2570" s="2">
        <v>1.055771</v>
      </c>
      <c r="H2570" s="2">
        <f t="shared" si="403"/>
        <v>3.4638157276400001</v>
      </c>
      <c r="I2570" s="2">
        <f>INDEX('Wood Density Lookup'!$B$2:$B$152,MATCH(B2570,'Wood Density Lookup'!$A$2:$A$152,0))</f>
        <v>0.6</v>
      </c>
      <c r="J2570" s="2">
        <f t="shared" si="404"/>
        <v>0.24301567773769225</v>
      </c>
      <c r="K2570" s="2">
        <f t="shared" si="408"/>
        <v>6.8044389766553831E-2</v>
      </c>
      <c r="L2570" s="2">
        <f t="shared" si="409"/>
        <v>0.31106006750424608</v>
      </c>
      <c r="M2570" s="2">
        <f t="shared" si="405"/>
        <v>0.22551854894057841</v>
      </c>
      <c r="N2570" s="2">
        <f t="shared" si="406"/>
        <v>0.1127592744702892</v>
      </c>
      <c r="O2570" s="2">
        <f t="shared" si="407"/>
        <v>0.41382653730596136</v>
      </c>
      <c r="P2570" s="2">
        <v>72.553366999999994</v>
      </c>
      <c r="Q2570" s="2">
        <v>23.037009999999999</v>
      </c>
    </row>
    <row r="2571" spans="1:17" x14ac:dyDescent="0.25">
      <c r="A2571" s="2">
        <v>2756</v>
      </c>
      <c r="B2571" s="2" t="s">
        <v>103</v>
      </c>
      <c r="C2571" s="2">
        <v>2</v>
      </c>
      <c r="D2571" s="2">
        <f t="shared" si="400"/>
        <v>5.08</v>
      </c>
      <c r="E2571" s="2">
        <f t="shared" si="401"/>
        <v>1.6170142218136567</v>
      </c>
      <c r="F2571" s="2">
        <f t="shared" si="402"/>
        <v>0.63661977236758138</v>
      </c>
      <c r="G2571" s="2">
        <v>2.9654370000000001</v>
      </c>
      <c r="H2571" s="2">
        <f t="shared" si="403"/>
        <v>9.729124327080001</v>
      </c>
      <c r="I2571" s="2">
        <f>INDEX('Wood Density Lookup'!$B$2:$B$152,MATCH(B2571,'Wood Density Lookup'!$A$2:$A$152,0))</f>
        <v>0.6</v>
      </c>
      <c r="J2571" s="2">
        <f t="shared" si="404"/>
        <v>0.30175791660531831</v>
      </c>
      <c r="K2571" s="2">
        <f t="shared" si="408"/>
        <v>8.4492216649489138E-2</v>
      </c>
      <c r="L2571" s="2">
        <f t="shared" si="409"/>
        <v>0.38625013325480745</v>
      </c>
      <c r="M2571" s="2">
        <f t="shared" si="405"/>
        <v>0.28003134660973539</v>
      </c>
      <c r="N2571" s="2">
        <f t="shared" si="406"/>
        <v>0.14001567330486769</v>
      </c>
      <c r="O2571" s="2">
        <f t="shared" si="407"/>
        <v>0.51385752102886439</v>
      </c>
      <c r="P2571" s="2">
        <v>72.553366999999994</v>
      </c>
      <c r="Q2571" s="2">
        <v>23.037006999999999</v>
      </c>
    </row>
    <row r="2572" spans="1:17" x14ac:dyDescent="0.25">
      <c r="A2572" s="2">
        <v>2757</v>
      </c>
      <c r="B2572" s="2" t="s">
        <v>139</v>
      </c>
      <c r="C2572" s="2">
        <v>17</v>
      </c>
      <c r="D2572" s="2">
        <f t="shared" si="400"/>
        <v>43.18</v>
      </c>
      <c r="E2572" s="2">
        <f t="shared" si="401"/>
        <v>13.744620885416081</v>
      </c>
      <c r="F2572" s="2">
        <f t="shared" si="402"/>
        <v>5.4112680651244416</v>
      </c>
      <c r="G2572" s="2">
        <v>7.773396</v>
      </c>
      <c r="H2572" s="2">
        <f t="shared" si="403"/>
        <v>25.50326853264</v>
      </c>
      <c r="I2572" s="2">
        <f>INDEX('Wood Density Lookup'!$B$2:$B$152,MATCH(B2572,'Wood Density Lookup'!$A$2:$A$152,0))</f>
        <v>0.9</v>
      </c>
      <c r="J2572" s="2">
        <f t="shared" si="404"/>
        <v>74.856073830998469</v>
      </c>
      <c r="K2572" s="2">
        <f t="shared" si="408"/>
        <v>20.959700672679574</v>
      </c>
      <c r="L2572" s="2">
        <f t="shared" si="409"/>
        <v>95.815774503678043</v>
      </c>
      <c r="M2572" s="2">
        <f t="shared" si="405"/>
        <v>69.466436515166578</v>
      </c>
      <c r="N2572" s="2">
        <f t="shared" si="406"/>
        <v>34.733218257583289</v>
      </c>
      <c r="O2572" s="2">
        <f t="shared" si="407"/>
        <v>127.47091100533066</v>
      </c>
      <c r="P2572" s="2">
        <v>72.553366999999994</v>
      </c>
      <c r="Q2572" s="2">
        <v>23.038177000000001</v>
      </c>
    </row>
    <row r="2573" spans="1:17" x14ac:dyDescent="0.25">
      <c r="A2573" s="2">
        <v>2758</v>
      </c>
      <c r="B2573" s="2" t="s">
        <v>103</v>
      </c>
      <c r="C2573" s="2">
        <v>2</v>
      </c>
      <c r="D2573" s="2">
        <f t="shared" si="400"/>
        <v>5.08</v>
      </c>
      <c r="E2573" s="2">
        <f t="shared" si="401"/>
        <v>1.6170142218136567</v>
      </c>
      <c r="F2573" s="2">
        <f t="shared" si="402"/>
        <v>0.63661977236758138</v>
      </c>
      <c r="G2573" s="2">
        <v>2.976899</v>
      </c>
      <c r="H2573" s="2">
        <f t="shared" si="403"/>
        <v>9.7667293151599992</v>
      </c>
      <c r="I2573" s="2">
        <f>INDEX('Wood Density Lookup'!$B$2:$B$152,MATCH(B2573,'Wood Density Lookup'!$A$2:$A$152,0))</f>
        <v>0.6</v>
      </c>
      <c r="J2573" s="2">
        <f t="shared" si="404"/>
        <v>0.30289622535702837</v>
      </c>
      <c r="K2573" s="2">
        <f t="shared" si="408"/>
        <v>8.481094309996795E-2</v>
      </c>
      <c r="L2573" s="2">
        <f t="shared" si="409"/>
        <v>0.38770716845699632</v>
      </c>
      <c r="M2573" s="2">
        <f t="shared" si="405"/>
        <v>0.28108769713132231</v>
      </c>
      <c r="N2573" s="2">
        <f t="shared" si="406"/>
        <v>0.14054384856566116</v>
      </c>
      <c r="O2573" s="2">
        <f t="shared" si="407"/>
        <v>0.51579592423597642</v>
      </c>
      <c r="P2573" s="2">
        <v>72.553369000000004</v>
      </c>
      <c r="Q2573" s="2">
        <v>23.037016999999999</v>
      </c>
    </row>
    <row r="2574" spans="1:17" x14ac:dyDescent="0.25">
      <c r="A2574" s="2">
        <v>2759</v>
      </c>
      <c r="B2574" s="2" t="s">
        <v>103</v>
      </c>
      <c r="C2574" s="2">
        <v>3</v>
      </c>
      <c r="D2574" s="2">
        <f t="shared" si="400"/>
        <v>7.62</v>
      </c>
      <c r="E2574" s="2">
        <f t="shared" si="401"/>
        <v>2.4255213327204852</v>
      </c>
      <c r="F2574" s="2">
        <f t="shared" si="402"/>
        <v>0.95492965855137202</v>
      </c>
      <c r="G2574" s="2">
        <v>1.1325369999999999</v>
      </c>
      <c r="H2574" s="2">
        <f t="shared" si="403"/>
        <v>3.7156726910799995</v>
      </c>
      <c r="I2574" s="2">
        <f>INDEX('Wood Density Lookup'!$B$2:$B$152,MATCH(B2574,'Wood Density Lookup'!$A$2:$A$152,0))</f>
        <v>0.6</v>
      </c>
      <c r="J2574" s="2">
        <f t="shared" si="404"/>
        <v>0.26024678847819438</v>
      </c>
      <c r="K2574" s="2">
        <f t="shared" si="408"/>
        <v>7.2869100773894427E-2</v>
      </c>
      <c r="L2574" s="2">
        <f t="shared" si="409"/>
        <v>0.33311588925208879</v>
      </c>
      <c r="M2574" s="2">
        <f t="shared" si="405"/>
        <v>0.24150901970776437</v>
      </c>
      <c r="N2574" s="2">
        <f t="shared" si="406"/>
        <v>0.12075450985388218</v>
      </c>
      <c r="O2574" s="2">
        <f t="shared" si="407"/>
        <v>0.44316905116374761</v>
      </c>
      <c r="P2574" s="2">
        <v>72.553370000000001</v>
      </c>
      <c r="Q2574" s="2">
        <v>23.037020999999999</v>
      </c>
    </row>
    <row r="2575" spans="1:17" x14ac:dyDescent="0.25">
      <c r="A2575" s="2">
        <v>2760</v>
      </c>
      <c r="B2575" s="2" t="s">
        <v>15</v>
      </c>
      <c r="C2575" s="2">
        <v>126</v>
      </c>
      <c r="D2575" s="2">
        <f t="shared" si="400"/>
        <v>320.04000000000002</v>
      </c>
      <c r="E2575" s="2">
        <f t="shared" si="401"/>
        <v>101.87189597426038</v>
      </c>
      <c r="F2575" s="2">
        <f t="shared" si="402"/>
        <v>40.107045659157627</v>
      </c>
      <c r="G2575" s="2">
        <v>19.623778000000001</v>
      </c>
      <c r="H2575" s="2">
        <f t="shared" si="403"/>
        <v>64.382475813520003</v>
      </c>
      <c r="I2575" s="2">
        <f>INDEX('Wood Density Lookup'!$B$2:$B$152,MATCH(B2575,'Wood Density Lookup'!$A$2:$A$152,0))</f>
        <v>0.75</v>
      </c>
      <c r="J2575" s="2">
        <f t="shared" si="404"/>
        <v>7718.8546658837695</v>
      </c>
      <c r="K2575" s="2">
        <f t="shared" si="408"/>
        <v>2161.2793064474558</v>
      </c>
      <c r="L2575" s="2">
        <f t="shared" si="409"/>
        <v>9880.1339723312249</v>
      </c>
      <c r="M2575" s="2">
        <f t="shared" si="405"/>
        <v>7163.0971299401381</v>
      </c>
      <c r="N2575" s="2">
        <f t="shared" si="406"/>
        <v>3581.548564970069</v>
      </c>
      <c r="O2575" s="2">
        <f t="shared" si="407"/>
        <v>13144.283233440154</v>
      </c>
      <c r="P2575" s="2">
        <v>72.553370999999999</v>
      </c>
      <c r="Q2575" s="2">
        <v>23.036698999999999</v>
      </c>
    </row>
    <row r="2576" spans="1:17" x14ac:dyDescent="0.25">
      <c r="A2576" s="2">
        <v>2761</v>
      </c>
      <c r="B2576" s="2" t="s">
        <v>86</v>
      </c>
      <c r="C2576" s="2">
        <v>48</v>
      </c>
      <c r="D2576" s="2">
        <f t="shared" si="400"/>
        <v>121.92</v>
      </c>
      <c r="E2576" s="2">
        <f t="shared" si="401"/>
        <v>38.808341323527763</v>
      </c>
      <c r="F2576" s="2">
        <f t="shared" si="402"/>
        <v>15.278874536821952</v>
      </c>
      <c r="G2576" s="2">
        <v>11.974091</v>
      </c>
      <c r="H2576" s="2">
        <f t="shared" si="403"/>
        <v>39.285076716439995</v>
      </c>
      <c r="I2576" s="2">
        <f>INDEX('Wood Density Lookup'!$B$2:$B$152,MATCH(B2576,'Wood Density Lookup'!$A$2:$A$152,0))</f>
        <v>0.95</v>
      </c>
      <c r="J2576" s="2">
        <f t="shared" si="404"/>
        <v>912.47252127425736</v>
      </c>
      <c r="K2576" s="2">
        <f t="shared" si="408"/>
        <v>255.49230595679208</v>
      </c>
      <c r="L2576" s="2">
        <f t="shared" si="409"/>
        <v>1167.9648272310494</v>
      </c>
      <c r="M2576" s="2">
        <f t="shared" si="405"/>
        <v>846.77449974251078</v>
      </c>
      <c r="N2576" s="2">
        <f t="shared" si="406"/>
        <v>423.38724987125539</v>
      </c>
      <c r="O2576" s="2">
        <f t="shared" si="407"/>
        <v>1553.8312070275072</v>
      </c>
      <c r="P2576" s="2">
        <v>72.553371999999996</v>
      </c>
      <c r="Q2576" s="2">
        <v>23.036284999999999</v>
      </c>
    </row>
    <row r="2577" spans="1:17" x14ac:dyDescent="0.25">
      <c r="A2577" s="2">
        <v>2762</v>
      </c>
      <c r="B2577" s="2" t="s">
        <v>103</v>
      </c>
      <c r="C2577" s="2">
        <v>3</v>
      </c>
      <c r="D2577" s="2">
        <f t="shared" si="400"/>
        <v>7.62</v>
      </c>
      <c r="E2577" s="2">
        <f t="shared" si="401"/>
        <v>2.4255213327204852</v>
      </c>
      <c r="F2577" s="2">
        <f t="shared" si="402"/>
        <v>0.95492965855137202</v>
      </c>
      <c r="G2577" s="2">
        <v>1.034791</v>
      </c>
      <c r="H2577" s="2">
        <f t="shared" si="403"/>
        <v>3.39498370444</v>
      </c>
      <c r="I2577" s="2">
        <f>INDEX('Wood Density Lookup'!$B$2:$B$152,MATCH(B2577,'Wood Density Lookup'!$A$2:$A$152,0))</f>
        <v>0.6</v>
      </c>
      <c r="J2577" s="2">
        <f t="shared" si="404"/>
        <v>0.23830130274390912</v>
      </c>
      <c r="K2577" s="2">
        <f t="shared" si="408"/>
        <v>6.6724364768294561E-2</v>
      </c>
      <c r="L2577" s="2">
        <f t="shared" si="409"/>
        <v>0.30502566751220367</v>
      </c>
      <c r="M2577" s="2">
        <f t="shared" si="405"/>
        <v>0.22114360894634766</v>
      </c>
      <c r="N2577" s="2">
        <f t="shared" si="406"/>
        <v>0.11057180447317383</v>
      </c>
      <c r="O2577" s="2">
        <f t="shared" si="407"/>
        <v>0.40579852241654796</v>
      </c>
      <c r="P2577" s="2">
        <v>72.553372999999993</v>
      </c>
      <c r="Q2577" s="2">
        <v>23.037006999999999</v>
      </c>
    </row>
    <row r="2578" spans="1:17" x14ac:dyDescent="0.25">
      <c r="A2578" s="2">
        <v>2763</v>
      </c>
      <c r="B2578" s="2" t="s">
        <v>15</v>
      </c>
      <c r="C2578" s="2">
        <v>108</v>
      </c>
      <c r="D2578" s="2">
        <f t="shared" si="400"/>
        <v>274.32</v>
      </c>
      <c r="E2578" s="2">
        <f t="shared" si="401"/>
        <v>87.318767977937455</v>
      </c>
      <c r="F2578" s="2">
        <f t="shared" si="402"/>
        <v>34.377467707849391</v>
      </c>
      <c r="G2578" s="2">
        <v>16.804815999999999</v>
      </c>
      <c r="H2578" s="2">
        <f t="shared" si="403"/>
        <v>55.133912525439996</v>
      </c>
      <c r="I2578" s="2">
        <f>INDEX('Wood Density Lookup'!$B$2:$B$152,MATCH(B2578,'Wood Density Lookup'!$A$2:$A$152,0))</f>
        <v>0.75</v>
      </c>
      <c r="J2578" s="2">
        <f t="shared" si="404"/>
        <v>4910.6642609591672</v>
      </c>
      <c r="K2578" s="2">
        <f t="shared" si="408"/>
        <v>1374.985993068567</v>
      </c>
      <c r="L2578" s="2">
        <f t="shared" si="409"/>
        <v>6285.6502540277343</v>
      </c>
      <c r="M2578" s="2">
        <f t="shared" si="405"/>
        <v>4557.0964341701074</v>
      </c>
      <c r="N2578" s="2">
        <f t="shared" si="406"/>
        <v>2278.5482170850537</v>
      </c>
      <c r="O2578" s="2">
        <f t="shared" si="407"/>
        <v>8362.2719567021468</v>
      </c>
      <c r="P2578" s="2">
        <v>72.553375000000003</v>
      </c>
      <c r="Q2578" s="2">
        <v>23.036141000000001</v>
      </c>
    </row>
    <row r="2579" spans="1:17" x14ac:dyDescent="0.25">
      <c r="A2579" s="2">
        <v>2764</v>
      </c>
      <c r="B2579" s="2" t="s">
        <v>93</v>
      </c>
      <c r="C2579" s="2">
        <v>4</v>
      </c>
      <c r="D2579" s="2">
        <f t="shared" si="400"/>
        <v>10.16</v>
      </c>
      <c r="E2579" s="2">
        <f t="shared" si="401"/>
        <v>3.2340284436273135</v>
      </c>
      <c r="F2579" s="2">
        <f t="shared" si="402"/>
        <v>1.2732395447351628</v>
      </c>
      <c r="G2579" s="2">
        <v>2.1242230000000002</v>
      </c>
      <c r="H2579" s="2">
        <f t="shared" si="403"/>
        <v>6.9692357873200006</v>
      </c>
      <c r="I2579" s="2">
        <f>INDEX('Wood Density Lookup'!$B$2:$B$152,MATCH(B2579,'Wood Density Lookup'!$A$2:$A$152,0))</f>
        <v>0.9</v>
      </c>
      <c r="J2579" s="2">
        <f t="shared" si="404"/>
        <v>1.2523422257978414</v>
      </c>
      <c r="K2579" s="2">
        <f t="shared" si="408"/>
        <v>0.35065582322339561</v>
      </c>
      <c r="L2579" s="2">
        <f t="shared" si="409"/>
        <v>1.602998049021237</v>
      </c>
      <c r="M2579" s="2">
        <f t="shared" si="405"/>
        <v>1.1621735855403967</v>
      </c>
      <c r="N2579" s="2">
        <f t="shared" si="406"/>
        <v>0.58108679277019837</v>
      </c>
      <c r="O2579" s="2">
        <f t="shared" si="407"/>
        <v>2.132588529466628</v>
      </c>
      <c r="P2579" s="2">
        <v>72.553375000000003</v>
      </c>
      <c r="Q2579" s="2">
        <v>23.037092999999999</v>
      </c>
    </row>
    <row r="2580" spans="1:17" x14ac:dyDescent="0.25">
      <c r="A2580" s="2">
        <v>2765</v>
      </c>
      <c r="B2580" s="2" t="s">
        <v>103</v>
      </c>
      <c r="C2580" s="2">
        <v>1</v>
      </c>
      <c r="D2580" s="2">
        <f t="shared" si="400"/>
        <v>2.54</v>
      </c>
      <c r="E2580" s="2">
        <f t="shared" si="401"/>
        <v>0.80850711090682836</v>
      </c>
      <c r="F2580" s="2">
        <f t="shared" si="402"/>
        <v>0.31830988618379069</v>
      </c>
      <c r="G2580" s="2">
        <v>1.077467</v>
      </c>
      <c r="H2580" s="2">
        <f t="shared" si="403"/>
        <v>3.5349968322799996</v>
      </c>
      <c r="I2580" s="2">
        <f>INDEX('Wood Density Lookup'!$B$2:$B$152,MATCH(B2580,'Wood Density Lookup'!$A$2:$A$152,0))</f>
        <v>0.6</v>
      </c>
      <c r="J2580" s="2">
        <f t="shared" si="404"/>
        <v>2.9034598858558015E-2</v>
      </c>
      <c r="K2580" s="2">
        <f t="shared" si="408"/>
        <v>8.1296876803962446E-3</v>
      </c>
      <c r="L2580" s="2">
        <f t="shared" si="409"/>
        <v>3.7164286538954261E-2</v>
      </c>
      <c r="M2580" s="2">
        <f t="shared" si="405"/>
        <v>2.6944107740741838E-2</v>
      </c>
      <c r="N2580" s="2">
        <f t="shared" si="406"/>
        <v>1.3472053870370919E-2</v>
      </c>
      <c r="O2580" s="2">
        <f t="shared" si="407"/>
        <v>4.9442437704261273E-2</v>
      </c>
      <c r="P2580" s="2">
        <v>72.553376</v>
      </c>
      <c r="Q2580" s="2">
        <v>23.037013999999999</v>
      </c>
    </row>
    <row r="2581" spans="1:17" x14ac:dyDescent="0.25">
      <c r="A2581" s="2">
        <v>2766</v>
      </c>
      <c r="B2581" s="2" t="s">
        <v>15</v>
      </c>
      <c r="C2581" s="2">
        <v>89</v>
      </c>
      <c r="D2581" s="2">
        <f t="shared" si="400"/>
        <v>226.06</v>
      </c>
      <c r="E2581" s="2">
        <f t="shared" si="401"/>
        <v>71.957132870707724</v>
      </c>
      <c r="F2581" s="2">
        <f t="shared" si="402"/>
        <v>28.329579870357371</v>
      </c>
      <c r="G2581" s="2">
        <v>13.642104</v>
      </c>
      <c r="H2581" s="2">
        <f t="shared" si="403"/>
        <v>44.757560487359996</v>
      </c>
      <c r="I2581" s="2">
        <f>INDEX('Wood Density Lookup'!$B$2:$B$152,MATCH(B2581,'Wood Density Lookup'!$A$2:$A$152,0))</f>
        <v>0.75</v>
      </c>
      <c r="J2581" s="2">
        <f t="shared" si="404"/>
        <v>2746.1687266510648</v>
      </c>
      <c r="K2581" s="2">
        <f t="shared" si="408"/>
        <v>768.92724346229818</v>
      </c>
      <c r="L2581" s="2">
        <f t="shared" si="409"/>
        <v>3515.0959701133629</v>
      </c>
      <c r="M2581" s="2">
        <f t="shared" si="405"/>
        <v>2548.444578332188</v>
      </c>
      <c r="N2581" s="2">
        <f t="shared" si="406"/>
        <v>1274.222289166094</v>
      </c>
      <c r="O2581" s="2">
        <f t="shared" si="407"/>
        <v>4676.3958012395651</v>
      </c>
      <c r="P2581" s="2">
        <v>72.553376999999998</v>
      </c>
      <c r="Q2581" s="2">
        <v>23.036221999999999</v>
      </c>
    </row>
    <row r="2582" spans="1:17" x14ac:dyDescent="0.25">
      <c r="A2582" s="2">
        <v>2767</v>
      </c>
      <c r="B2582" s="2" t="s">
        <v>103</v>
      </c>
      <c r="C2582" s="2">
        <v>2</v>
      </c>
      <c r="D2582" s="2">
        <f t="shared" si="400"/>
        <v>5.08</v>
      </c>
      <c r="E2582" s="2">
        <f t="shared" si="401"/>
        <v>1.6170142218136567</v>
      </c>
      <c r="F2582" s="2">
        <f t="shared" si="402"/>
        <v>0.63661977236758138</v>
      </c>
      <c r="G2582" s="2">
        <v>1.1597139999999999</v>
      </c>
      <c r="H2582" s="2">
        <f t="shared" si="403"/>
        <v>3.8048360797599998</v>
      </c>
      <c r="I2582" s="2">
        <f>INDEX('Wood Density Lookup'!$B$2:$B$152,MATCH(B2582,'Wood Density Lookup'!$A$2:$A$152,0))</f>
        <v>0.6</v>
      </c>
      <c r="J2582" s="2">
        <f t="shared" si="404"/>
        <v>0.12069980760934772</v>
      </c>
      <c r="K2582" s="2">
        <f t="shared" si="408"/>
        <v>3.3795946130617364E-2</v>
      </c>
      <c r="L2582" s="2">
        <f t="shared" si="409"/>
        <v>0.15449575373996507</v>
      </c>
      <c r="M2582" s="2">
        <f t="shared" si="405"/>
        <v>0.11200942146147468</v>
      </c>
      <c r="N2582" s="2">
        <f t="shared" si="406"/>
        <v>5.6004710730737338E-2</v>
      </c>
      <c r="O2582" s="2">
        <f t="shared" si="407"/>
        <v>0.20553728838180602</v>
      </c>
      <c r="P2582" s="2">
        <v>72.553376999999998</v>
      </c>
      <c r="Q2582" s="2">
        <v>23.037008</v>
      </c>
    </row>
    <row r="2583" spans="1:17" x14ac:dyDescent="0.25">
      <c r="A2583" s="2">
        <v>2768</v>
      </c>
      <c r="B2583" s="2" t="s">
        <v>15</v>
      </c>
      <c r="C2583" s="2">
        <v>48</v>
      </c>
      <c r="D2583" s="2">
        <f t="shared" si="400"/>
        <v>121.92</v>
      </c>
      <c r="E2583" s="2">
        <f t="shared" si="401"/>
        <v>38.808341323527763</v>
      </c>
      <c r="F2583" s="2">
        <f t="shared" si="402"/>
        <v>15.278874536821952</v>
      </c>
      <c r="G2583" s="2">
        <v>2.7111230000000002</v>
      </c>
      <c r="H2583" s="2">
        <f t="shared" si="403"/>
        <v>8.8947607833200006</v>
      </c>
      <c r="I2583" s="2">
        <f>INDEX('Wood Density Lookup'!$B$2:$B$152,MATCH(B2583,'Wood Density Lookup'!$A$2:$A$152,0))</f>
        <v>0.75</v>
      </c>
      <c r="J2583" s="2">
        <f t="shared" si="404"/>
        <v>169.98486554403803</v>
      </c>
      <c r="K2583" s="2">
        <f t="shared" si="408"/>
        <v>47.595762352330652</v>
      </c>
      <c r="L2583" s="2">
        <f t="shared" si="409"/>
        <v>217.5806278963687</v>
      </c>
      <c r="M2583" s="2">
        <f t="shared" si="405"/>
        <v>157.74595522486729</v>
      </c>
      <c r="N2583" s="2">
        <f t="shared" si="406"/>
        <v>78.872977612433644</v>
      </c>
      <c r="O2583" s="2">
        <f t="shared" si="407"/>
        <v>289.46382783763147</v>
      </c>
      <c r="P2583" s="2">
        <v>72.553379000000007</v>
      </c>
      <c r="Q2583" s="2">
        <v>23.035969000000001</v>
      </c>
    </row>
    <row r="2584" spans="1:17" x14ac:dyDescent="0.25">
      <c r="A2584" s="2">
        <v>2769</v>
      </c>
      <c r="B2584" s="2" t="s">
        <v>103</v>
      </c>
      <c r="C2584" s="2">
        <v>1</v>
      </c>
      <c r="D2584" s="2">
        <f t="shared" si="400"/>
        <v>2.54</v>
      </c>
      <c r="E2584" s="2">
        <f t="shared" si="401"/>
        <v>0.80850711090682836</v>
      </c>
      <c r="F2584" s="2">
        <f t="shared" si="402"/>
        <v>0.31830988618379069</v>
      </c>
      <c r="G2584" s="2">
        <v>1.1589510000000001</v>
      </c>
      <c r="H2584" s="2">
        <f t="shared" si="403"/>
        <v>3.8023327988400002</v>
      </c>
      <c r="I2584" s="2">
        <f>INDEX('Wood Density Lookup'!$B$2:$B$152,MATCH(B2584,'Wood Density Lookup'!$A$2:$A$152,0))</f>
        <v>0.6</v>
      </c>
      <c r="J2584" s="2">
        <f t="shared" si="404"/>
        <v>3.1175760806016872E-2</v>
      </c>
      <c r="K2584" s="2">
        <f t="shared" si="408"/>
        <v>8.7292130256847247E-3</v>
      </c>
      <c r="L2584" s="2">
        <f t="shared" si="409"/>
        <v>3.9904973831701593E-2</v>
      </c>
      <c r="M2584" s="2">
        <f t="shared" si="405"/>
        <v>2.8931106027983655E-2</v>
      </c>
      <c r="N2584" s="2">
        <f t="shared" si="406"/>
        <v>1.4465553013991828E-2</v>
      </c>
      <c r="O2584" s="2">
        <f t="shared" si="407"/>
        <v>5.3088579561350005E-2</v>
      </c>
      <c r="P2584" s="2">
        <v>72.553379000000007</v>
      </c>
      <c r="Q2584" s="2">
        <v>23.037019000000001</v>
      </c>
    </row>
    <row r="2585" spans="1:17" x14ac:dyDescent="0.25">
      <c r="A2585" s="2">
        <v>2770</v>
      </c>
      <c r="B2585" s="2" t="s">
        <v>103</v>
      </c>
      <c r="C2585" s="2">
        <v>1</v>
      </c>
      <c r="D2585" s="2">
        <f t="shared" si="400"/>
        <v>2.54</v>
      </c>
      <c r="E2585" s="2">
        <f t="shared" si="401"/>
        <v>0.80850711090682836</v>
      </c>
      <c r="F2585" s="2">
        <f t="shared" si="402"/>
        <v>0.31830988618379069</v>
      </c>
      <c r="G2585" s="2">
        <v>1.090184</v>
      </c>
      <c r="H2585" s="2">
        <f t="shared" si="403"/>
        <v>3.5767192745600003</v>
      </c>
      <c r="I2585" s="2">
        <f>INDEX('Wood Density Lookup'!$B$2:$B$152,MATCH(B2585,'Wood Density Lookup'!$A$2:$A$152,0))</f>
        <v>0.6</v>
      </c>
      <c r="J2585" s="2">
        <f t="shared" si="404"/>
        <v>2.9369013338121946E-2</v>
      </c>
      <c r="K2585" s="2">
        <f t="shared" si="408"/>
        <v>8.2233237346741456E-3</v>
      </c>
      <c r="L2585" s="2">
        <f t="shared" si="409"/>
        <v>3.7592337072796092E-2</v>
      </c>
      <c r="M2585" s="2">
        <f t="shared" si="405"/>
        <v>2.7254444377777166E-2</v>
      </c>
      <c r="N2585" s="2">
        <f t="shared" si="406"/>
        <v>1.3627222188888583E-2</v>
      </c>
      <c r="O2585" s="2">
        <f t="shared" si="407"/>
        <v>5.00119054332211E-2</v>
      </c>
      <c r="P2585" s="2">
        <v>72.553381000000002</v>
      </c>
      <c r="Q2585" s="2">
        <v>23.037008</v>
      </c>
    </row>
    <row r="2586" spans="1:17" x14ac:dyDescent="0.25">
      <c r="A2586" s="2">
        <v>2771</v>
      </c>
      <c r="B2586" s="2" t="s">
        <v>107</v>
      </c>
      <c r="C2586" s="2">
        <v>23</v>
      </c>
      <c r="D2586" s="2">
        <f t="shared" si="400"/>
        <v>58.42</v>
      </c>
      <c r="E2586" s="2">
        <f t="shared" si="401"/>
        <v>18.595663550857051</v>
      </c>
      <c r="F2586" s="2">
        <f t="shared" si="402"/>
        <v>7.3211273822271856</v>
      </c>
      <c r="G2586" s="2">
        <v>14.970117999999999</v>
      </c>
      <c r="H2586" s="2">
        <f t="shared" si="403"/>
        <v>49.114561939119994</v>
      </c>
      <c r="I2586" s="2">
        <f>INDEX('Wood Density Lookup'!$B$2:$B$152,MATCH(B2586,'Wood Density Lookup'!$A$2:$A$152,0))</f>
        <v>0.65</v>
      </c>
      <c r="J2586" s="2">
        <f t="shared" si="404"/>
        <v>186.3502234367981</v>
      </c>
      <c r="K2586" s="2">
        <f t="shared" si="408"/>
        <v>52.178062562303474</v>
      </c>
      <c r="L2586" s="2">
        <f t="shared" si="409"/>
        <v>238.52828599910157</v>
      </c>
      <c r="M2586" s="2">
        <f t="shared" si="405"/>
        <v>172.93300734934863</v>
      </c>
      <c r="N2586" s="2">
        <f t="shared" si="406"/>
        <v>86.466503674674314</v>
      </c>
      <c r="O2586" s="2">
        <f t="shared" si="407"/>
        <v>317.33206848605471</v>
      </c>
      <c r="P2586" s="2">
        <v>72.553381999999999</v>
      </c>
      <c r="Q2586" s="2">
        <v>23.03548</v>
      </c>
    </row>
    <row r="2587" spans="1:17" x14ac:dyDescent="0.25">
      <c r="A2587" s="2">
        <v>2772</v>
      </c>
      <c r="B2587" s="2" t="s">
        <v>137</v>
      </c>
      <c r="C2587" s="2">
        <v>1</v>
      </c>
      <c r="D2587" s="2">
        <f t="shared" si="400"/>
        <v>2.54</v>
      </c>
      <c r="E2587" s="2">
        <f t="shared" si="401"/>
        <v>0.80850711090682836</v>
      </c>
      <c r="F2587" s="2">
        <f t="shared" si="402"/>
        <v>0.31830988618379069</v>
      </c>
      <c r="G2587" s="2">
        <v>1.01464</v>
      </c>
      <c r="H2587" s="2">
        <f t="shared" si="403"/>
        <v>3.3288714975999998</v>
      </c>
      <c r="I2587" s="2">
        <f>INDEX('Wood Density Lookup'!$B$2:$B$152,MATCH(B2587,'Wood Density Lookup'!$A$2:$A$152,0))</f>
        <v>0.55000000000000004</v>
      </c>
      <c r="J2587" s="2">
        <f t="shared" si="404"/>
        <v>2.5151761398247912E-2</v>
      </c>
      <c r="K2587" s="2">
        <f t="shared" si="408"/>
        <v>7.0424931915094163E-3</v>
      </c>
      <c r="L2587" s="2">
        <f t="shared" si="409"/>
        <v>3.2194254589757332E-2</v>
      </c>
      <c r="M2587" s="2">
        <f t="shared" si="405"/>
        <v>2.3340834577574066E-2</v>
      </c>
      <c r="N2587" s="2">
        <f t="shared" si="406"/>
        <v>1.1670417288787033E-2</v>
      </c>
      <c r="O2587" s="2">
        <f t="shared" si="407"/>
        <v>4.2830431449848411E-2</v>
      </c>
      <c r="P2587" s="2">
        <v>72.553381999999999</v>
      </c>
      <c r="Q2587" s="2">
        <v>23.035882999999998</v>
      </c>
    </row>
    <row r="2588" spans="1:17" x14ac:dyDescent="0.25">
      <c r="A2588" s="2">
        <v>2773</v>
      </c>
      <c r="B2588" s="2" t="s">
        <v>103</v>
      </c>
      <c r="C2588" s="2">
        <v>2</v>
      </c>
      <c r="D2588" s="2">
        <f t="shared" si="400"/>
        <v>5.08</v>
      </c>
      <c r="E2588" s="2">
        <f t="shared" si="401"/>
        <v>1.6170142218136567</v>
      </c>
      <c r="F2588" s="2">
        <f t="shared" si="402"/>
        <v>0.63661977236758138</v>
      </c>
      <c r="G2588" s="2">
        <v>1.2701009999999999</v>
      </c>
      <c r="H2588" s="2">
        <f t="shared" si="403"/>
        <v>4.1669981648399999</v>
      </c>
      <c r="I2588" s="2">
        <f>INDEX('Wood Density Lookup'!$B$2:$B$152,MATCH(B2588,'Wood Density Lookup'!$A$2:$A$152,0))</f>
        <v>0.6</v>
      </c>
      <c r="J2588" s="2">
        <f t="shared" si="404"/>
        <v>0.13190043846914656</v>
      </c>
      <c r="K2588" s="2">
        <f t="shared" si="408"/>
        <v>3.6932122771361042E-2</v>
      </c>
      <c r="L2588" s="2">
        <f t="shared" si="409"/>
        <v>0.16883256124050761</v>
      </c>
      <c r="M2588" s="2">
        <f t="shared" si="405"/>
        <v>0.12240360689936801</v>
      </c>
      <c r="N2588" s="2">
        <f t="shared" si="406"/>
        <v>6.1201803449684004E-2</v>
      </c>
      <c r="O2588" s="2">
        <f t="shared" si="407"/>
        <v>0.22461061866034029</v>
      </c>
      <c r="P2588" s="2">
        <v>72.553383999999994</v>
      </c>
      <c r="Q2588" s="2">
        <v>23.037015</v>
      </c>
    </row>
    <row r="2589" spans="1:17" x14ac:dyDescent="0.25">
      <c r="A2589" s="2">
        <v>2774</v>
      </c>
      <c r="B2589" s="2" t="s">
        <v>145</v>
      </c>
      <c r="C2589" s="2">
        <v>15</v>
      </c>
      <c r="D2589" s="2">
        <f t="shared" si="400"/>
        <v>38.1</v>
      </c>
      <c r="E2589" s="2">
        <f t="shared" si="401"/>
        <v>12.127606663602425</v>
      </c>
      <c r="F2589" s="2">
        <f t="shared" si="402"/>
        <v>4.7746482927568605</v>
      </c>
      <c r="G2589" s="2">
        <v>3.7917380000000001</v>
      </c>
      <c r="H2589" s="2">
        <f t="shared" si="403"/>
        <v>12.440085699920001</v>
      </c>
      <c r="I2589" s="2">
        <f>INDEX('Wood Density Lookup'!$B$2:$B$152,MATCH(B2589,'Wood Density Lookup'!$A$2:$A$152,0))</f>
        <v>0.55000000000000004</v>
      </c>
      <c r="J2589" s="2">
        <f t="shared" si="404"/>
        <v>17.992199231150579</v>
      </c>
      <c r="K2589" s="2">
        <f t="shared" si="408"/>
        <v>5.037815784722163</v>
      </c>
      <c r="L2589" s="2">
        <f t="shared" si="409"/>
        <v>23.030015015872742</v>
      </c>
      <c r="M2589" s="2">
        <f t="shared" si="405"/>
        <v>16.696760886507736</v>
      </c>
      <c r="N2589" s="2">
        <f t="shared" si="406"/>
        <v>8.348380443253868</v>
      </c>
      <c r="O2589" s="2">
        <f t="shared" si="407"/>
        <v>30.638556226741695</v>
      </c>
      <c r="P2589" s="2">
        <v>72.553385000000006</v>
      </c>
      <c r="Q2589" s="2">
        <v>23.037814000000001</v>
      </c>
    </row>
    <row r="2590" spans="1:17" x14ac:dyDescent="0.25">
      <c r="A2590" s="2">
        <v>2775</v>
      </c>
      <c r="B2590" s="2" t="s">
        <v>103</v>
      </c>
      <c r="C2590" s="2">
        <v>3</v>
      </c>
      <c r="D2590" s="2">
        <f t="shared" si="400"/>
        <v>7.62</v>
      </c>
      <c r="E2590" s="2">
        <f t="shared" si="401"/>
        <v>2.4255213327204852</v>
      </c>
      <c r="F2590" s="2">
        <f t="shared" si="402"/>
        <v>0.95492965855137202</v>
      </c>
      <c r="G2590" s="2">
        <v>1.0314680000000001</v>
      </c>
      <c r="H2590" s="2">
        <f t="shared" si="403"/>
        <v>3.3840814731200002</v>
      </c>
      <c r="I2590" s="2">
        <f>INDEX('Wood Density Lookup'!$B$2:$B$152,MATCH(B2590,'Wood Density Lookup'!$A$2:$A$152,0))</f>
        <v>0.6</v>
      </c>
      <c r="J2590" s="2">
        <f t="shared" si="404"/>
        <v>0.23755438859504258</v>
      </c>
      <c r="K2590" s="2">
        <f t="shared" si="408"/>
        <v>6.6515228806611926E-2</v>
      </c>
      <c r="L2590" s="2">
        <f t="shared" si="409"/>
        <v>0.3040696174016545</v>
      </c>
      <c r="M2590" s="2">
        <f t="shared" si="405"/>
        <v>0.22045047261619952</v>
      </c>
      <c r="N2590" s="2">
        <f t="shared" si="406"/>
        <v>0.11022523630809976</v>
      </c>
      <c r="O2590" s="2">
        <f t="shared" si="407"/>
        <v>0.40452661725072608</v>
      </c>
      <c r="P2590" s="2">
        <v>72.553385000000006</v>
      </c>
      <c r="Q2590" s="2">
        <v>23.037008</v>
      </c>
    </row>
    <row r="2591" spans="1:17" x14ac:dyDescent="0.25">
      <c r="A2591" s="2">
        <v>2776</v>
      </c>
      <c r="B2591" s="2" t="s">
        <v>103</v>
      </c>
      <c r="C2591" s="2">
        <v>1</v>
      </c>
      <c r="D2591" s="2">
        <f t="shared" si="400"/>
        <v>2.54</v>
      </c>
      <c r="E2591" s="2">
        <f t="shared" si="401"/>
        <v>0.80850711090682836</v>
      </c>
      <c r="F2591" s="2">
        <f t="shared" si="402"/>
        <v>0.31830988618379069</v>
      </c>
      <c r="G2591" s="2">
        <v>1.362511</v>
      </c>
      <c r="H2591" s="2">
        <f t="shared" si="403"/>
        <v>4.4701805892399999</v>
      </c>
      <c r="I2591" s="2">
        <f>INDEX('Wood Density Lookup'!$B$2:$B$152,MATCH(B2591,'Wood Density Lookup'!$A$2:$A$152,0))</f>
        <v>0.6</v>
      </c>
      <c r="J2591" s="2">
        <f t="shared" si="404"/>
        <v>3.6509459597440501E-2</v>
      </c>
      <c r="K2591" s="2">
        <f t="shared" si="408"/>
        <v>1.022264868728334E-2</v>
      </c>
      <c r="L2591" s="2">
        <f t="shared" si="409"/>
        <v>4.6732108284723843E-2</v>
      </c>
      <c r="M2591" s="2">
        <f t="shared" si="405"/>
        <v>3.3880778506424784E-2</v>
      </c>
      <c r="N2591" s="2">
        <f t="shared" si="406"/>
        <v>1.6940389253212392E-2</v>
      </c>
      <c r="O2591" s="2">
        <f t="shared" si="407"/>
        <v>6.2171228559289478E-2</v>
      </c>
      <c r="P2591" s="2">
        <v>72.553387999999998</v>
      </c>
      <c r="Q2591" s="2">
        <v>23.037020999999999</v>
      </c>
    </row>
    <row r="2592" spans="1:17" x14ac:dyDescent="0.25">
      <c r="A2592" s="2">
        <v>2777</v>
      </c>
      <c r="B2592" s="2" t="s">
        <v>146</v>
      </c>
      <c r="C2592" s="2">
        <v>8</v>
      </c>
      <c r="D2592" s="2">
        <f t="shared" si="400"/>
        <v>20.32</v>
      </c>
      <c r="E2592" s="2">
        <f t="shared" si="401"/>
        <v>6.4680568872546269</v>
      </c>
      <c r="F2592" s="2">
        <f t="shared" si="402"/>
        <v>2.5464790894703255</v>
      </c>
      <c r="G2592" s="2">
        <v>4.2413990000000004</v>
      </c>
      <c r="H2592" s="2">
        <f t="shared" si="403"/>
        <v>13.915351495160001</v>
      </c>
      <c r="I2592" s="2">
        <f>INDEX('Wood Density Lookup'!$B$2:$B$152,MATCH(B2592,'Wood Density Lookup'!$A$2:$A$152,0))</f>
        <v>0.55000000000000004</v>
      </c>
      <c r="J2592" s="2">
        <f t="shared" si="404"/>
        <v>5.8842142531222672</v>
      </c>
      <c r="K2592" s="2">
        <f t="shared" si="408"/>
        <v>1.647579990874235</v>
      </c>
      <c r="L2592" s="2">
        <f t="shared" si="409"/>
        <v>7.5317942439965027</v>
      </c>
      <c r="M2592" s="2">
        <f t="shared" si="405"/>
        <v>5.4605508268974638</v>
      </c>
      <c r="N2592" s="2">
        <f t="shared" si="406"/>
        <v>2.7302754134487319</v>
      </c>
      <c r="O2592" s="2">
        <f t="shared" si="407"/>
        <v>10.020110767356845</v>
      </c>
      <c r="P2592" s="2">
        <v>72.553389999999993</v>
      </c>
      <c r="Q2592" s="2">
        <v>23.037853999999999</v>
      </c>
    </row>
    <row r="2593" spans="1:17" x14ac:dyDescent="0.25">
      <c r="A2593" s="2">
        <v>2778</v>
      </c>
      <c r="B2593" s="2" t="s">
        <v>103</v>
      </c>
      <c r="C2593" s="2">
        <v>3</v>
      </c>
      <c r="D2593" s="2">
        <f t="shared" si="400"/>
        <v>7.62</v>
      </c>
      <c r="E2593" s="2">
        <f t="shared" si="401"/>
        <v>2.4255213327204852</v>
      </c>
      <c r="F2593" s="2">
        <f t="shared" si="402"/>
        <v>0.95492965855137202</v>
      </c>
      <c r="G2593" s="2">
        <v>1.1058490000000001</v>
      </c>
      <c r="H2593" s="2">
        <f t="shared" si="403"/>
        <v>3.6281136331600004</v>
      </c>
      <c r="I2593" s="2">
        <f>INDEX('Wood Density Lookup'!$B$2:$B$152,MATCH(B2593,'Wood Density Lookup'!$A$2:$A$152,0))</f>
        <v>0.6</v>
      </c>
      <c r="J2593" s="2">
        <f t="shared" si="404"/>
        <v>0.25425960431556899</v>
      </c>
      <c r="K2593" s="2">
        <f t="shared" si="408"/>
        <v>7.1192689208359319E-2</v>
      </c>
      <c r="L2593" s="2">
        <f t="shared" si="409"/>
        <v>0.32545229352392829</v>
      </c>
      <c r="M2593" s="2">
        <f t="shared" si="405"/>
        <v>0.23595291280484801</v>
      </c>
      <c r="N2593" s="2">
        <f t="shared" si="406"/>
        <v>0.117976456402424</v>
      </c>
      <c r="O2593" s="2">
        <f t="shared" si="407"/>
        <v>0.43297359499689608</v>
      </c>
      <c r="P2593" s="2">
        <v>72.553389999999993</v>
      </c>
      <c r="Q2593" s="2">
        <v>23.037009000000001</v>
      </c>
    </row>
    <row r="2594" spans="1:17" x14ac:dyDescent="0.25">
      <c r="A2594" s="2">
        <v>2779</v>
      </c>
      <c r="B2594" s="2" t="s">
        <v>93</v>
      </c>
      <c r="C2594" s="2">
        <v>28</v>
      </c>
      <c r="D2594" s="2">
        <f t="shared" si="400"/>
        <v>71.12</v>
      </c>
      <c r="E2594" s="2">
        <f t="shared" si="401"/>
        <v>22.638199105391195</v>
      </c>
      <c r="F2594" s="2">
        <f t="shared" si="402"/>
        <v>8.91267681314614</v>
      </c>
      <c r="G2594" s="2">
        <v>12.158402000000001</v>
      </c>
      <c r="H2594" s="2">
        <f t="shared" si="403"/>
        <v>39.889771617680005</v>
      </c>
      <c r="I2594" s="2">
        <f>INDEX('Wood Density Lookup'!$B$2:$B$152,MATCH(B2594,'Wood Density Lookup'!$A$2:$A$152,0))</f>
        <v>0.9</v>
      </c>
      <c r="J2594" s="2">
        <f t="shared" si="404"/>
        <v>306.79378438553476</v>
      </c>
      <c r="K2594" s="2">
        <f t="shared" si="408"/>
        <v>85.902259627949746</v>
      </c>
      <c r="L2594" s="2">
        <f t="shared" si="409"/>
        <v>392.69604401348454</v>
      </c>
      <c r="M2594" s="2">
        <f t="shared" si="405"/>
        <v>284.70463190977625</v>
      </c>
      <c r="N2594" s="2">
        <f t="shared" si="406"/>
        <v>142.35231595488813</v>
      </c>
      <c r="O2594" s="2">
        <f t="shared" si="407"/>
        <v>522.43299955443945</v>
      </c>
      <c r="P2594" s="2">
        <v>72.553389999999993</v>
      </c>
      <c r="Q2594" s="2">
        <v>23.037353</v>
      </c>
    </row>
    <row r="2595" spans="1:17" x14ac:dyDescent="0.25">
      <c r="A2595" s="2">
        <v>2780</v>
      </c>
      <c r="B2595" s="2" t="s">
        <v>15</v>
      </c>
      <c r="C2595" s="2">
        <v>122</v>
      </c>
      <c r="D2595" s="2">
        <f t="shared" si="400"/>
        <v>309.88</v>
      </c>
      <c r="E2595" s="2">
        <f t="shared" si="401"/>
        <v>98.637867530633059</v>
      </c>
      <c r="F2595" s="2">
        <f t="shared" si="402"/>
        <v>38.833806114422465</v>
      </c>
      <c r="G2595" s="2">
        <v>14.983447</v>
      </c>
      <c r="H2595" s="2">
        <f t="shared" si="403"/>
        <v>49.158292255479999</v>
      </c>
      <c r="I2595" s="2">
        <f>INDEX('Wood Density Lookup'!$B$2:$B$152,MATCH(B2595,'Wood Density Lookup'!$A$2:$A$152,0))</f>
        <v>0.75</v>
      </c>
      <c r="J2595" s="2">
        <f t="shared" si="404"/>
        <v>5569.8713532697611</v>
      </c>
      <c r="K2595" s="2">
        <f t="shared" si="408"/>
        <v>1559.5639789155332</v>
      </c>
      <c r="L2595" s="2">
        <f t="shared" si="409"/>
        <v>7129.4353321852941</v>
      </c>
      <c r="M2595" s="2">
        <f t="shared" si="405"/>
        <v>5168.8406158343378</v>
      </c>
      <c r="N2595" s="2">
        <f t="shared" si="406"/>
        <v>2584.4203079171689</v>
      </c>
      <c r="O2595" s="2">
        <f t="shared" si="407"/>
        <v>9484.8225300560098</v>
      </c>
      <c r="P2595" s="2">
        <v>72.553391000000005</v>
      </c>
      <c r="Q2595" s="2">
        <v>23.035793999999999</v>
      </c>
    </row>
    <row r="2596" spans="1:17" x14ac:dyDescent="0.25">
      <c r="A2596" s="2">
        <v>2781</v>
      </c>
      <c r="B2596" s="2" t="s">
        <v>103</v>
      </c>
      <c r="C2596" s="2">
        <v>3</v>
      </c>
      <c r="D2596" s="2">
        <f t="shared" si="400"/>
        <v>7.62</v>
      </c>
      <c r="E2596" s="2">
        <f t="shared" si="401"/>
        <v>2.4255213327204852</v>
      </c>
      <c r="F2596" s="2">
        <f t="shared" si="402"/>
        <v>0.95492965855137202</v>
      </c>
      <c r="G2596" s="2">
        <v>1.309922</v>
      </c>
      <c r="H2596" s="2">
        <f t="shared" si="403"/>
        <v>4.2976444944800001</v>
      </c>
      <c r="I2596" s="2">
        <f>INDEX('Wood Density Lookup'!$B$2:$B$152,MATCH(B2596,'Wood Density Lookup'!$A$2:$A$152,0))</f>
        <v>0.6</v>
      </c>
      <c r="J2596" s="2">
        <f t="shared" si="404"/>
        <v>0.29995892107825639</v>
      </c>
      <c r="K2596" s="2">
        <f t="shared" si="408"/>
        <v>8.3988497901911791E-2</v>
      </c>
      <c r="L2596" s="2">
        <f t="shared" si="409"/>
        <v>0.38394741898016815</v>
      </c>
      <c r="M2596" s="2">
        <f t="shared" si="405"/>
        <v>0.27836187876062191</v>
      </c>
      <c r="N2596" s="2">
        <f t="shared" si="406"/>
        <v>0.13918093938031095</v>
      </c>
      <c r="O2596" s="2">
        <f t="shared" si="407"/>
        <v>0.5107940475257412</v>
      </c>
      <c r="P2596" s="2">
        <v>72.553391000000005</v>
      </c>
      <c r="Q2596" s="2">
        <v>23.037015</v>
      </c>
    </row>
    <row r="2597" spans="1:17" x14ac:dyDescent="0.25">
      <c r="A2597" s="2">
        <v>2782</v>
      </c>
      <c r="B2597" s="2" t="s">
        <v>59</v>
      </c>
      <c r="C2597" s="2">
        <v>28</v>
      </c>
      <c r="D2597" s="2">
        <f t="shared" si="400"/>
        <v>71.12</v>
      </c>
      <c r="E2597" s="2">
        <f t="shared" si="401"/>
        <v>22.638199105391195</v>
      </c>
      <c r="F2597" s="2">
        <f t="shared" si="402"/>
        <v>8.91267681314614</v>
      </c>
      <c r="G2597" s="2">
        <v>7.7293139999999996</v>
      </c>
      <c r="H2597" s="2">
        <f t="shared" si="403"/>
        <v>25.358642543759998</v>
      </c>
      <c r="I2597" s="2">
        <f>INDEX('Wood Density Lookup'!$B$2:$B$152,MATCH(B2597,'Wood Density Lookup'!$A$2:$A$152,0))</f>
        <v>0.45</v>
      </c>
      <c r="J2597" s="2">
        <f t="shared" si="404"/>
        <v>100.23684441585826</v>
      </c>
      <c r="K2597" s="2">
        <f t="shared" si="408"/>
        <v>28.066316436440314</v>
      </c>
      <c r="L2597" s="2">
        <f t="shared" si="409"/>
        <v>128.30316085229856</v>
      </c>
      <c r="M2597" s="2">
        <f t="shared" si="405"/>
        <v>93.019791617916454</v>
      </c>
      <c r="N2597" s="2">
        <f t="shared" si="406"/>
        <v>46.509895808958227</v>
      </c>
      <c r="O2597" s="2">
        <f t="shared" si="407"/>
        <v>170.6913176188767</v>
      </c>
      <c r="P2597" s="2">
        <v>72.553393</v>
      </c>
      <c r="Q2597" s="2">
        <v>23.038056000000001</v>
      </c>
    </row>
    <row r="2598" spans="1:17" x14ac:dyDescent="0.25">
      <c r="A2598" s="2">
        <v>2783</v>
      </c>
      <c r="B2598" s="2" t="s">
        <v>15</v>
      </c>
      <c r="C2598" s="2">
        <v>30</v>
      </c>
      <c r="D2598" s="2">
        <f t="shared" si="400"/>
        <v>76.2</v>
      </c>
      <c r="E2598" s="2">
        <f t="shared" si="401"/>
        <v>24.255213327204849</v>
      </c>
      <c r="F2598" s="2">
        <f t="shared" si="402"/>
        <v>9.5492965855137211</v>
      </c>
      <c r="G2598" s="2">
        <v>7.3472330000000001</v>
      </c>
      <c r="H2598" s="2">
        <f t="shared" si="403"/>
        <v>24.10509591572</v>
      </c>
      <c r="I2598" s="2">
        <f>INDEX('Wood Density Lookup'!$B$2:$B$152,MATCH(B2598,'Wood Density Lookup'!$A$2:$A$152,0))</f>
        <v>0.75</v>
      </c>
      <c r="J2598" s="2">
        <f t="shared" si="404"/>
        <v>179.701313290076</v>
      </c>
      <c r="K2598" s="2">
        <f t="shared" si="408"/>
        <v>50.316367721221283</v>
      </c>
      <c r="L2598" s="2">
        <f t="shared" si="409"/>
        <v>230.01768101129727</v>
      </c>
      <c r="M2598" s="2">
        <f t="shared" si="405"/>
        <v>166.76281873319053</v>
      </c>
      <c r="N2598" s="2">
        <f t="shared" si="406"/>
        <v>83.381409366595264</v>
      </c>
      <c r="O2598" s="2">
        <f t="shared" si="407"/>
        <v>306.00977237540462</v>
      </c>
      <c r="P2598" s="2">
        <v>72.553393</v>
      </c>
      <c r="Q2598" s="2">
        <v>23.038765000000001</v>
      </c>
    </row>
    <row r="2599" spans="1:17" x14ac:dyDescent="0.25">
      <c r="A2599" s="2">
        <v>2784</v>
      </c>
      <c r="B2599" s="2" t="s">
        <v>103</v>
      </c>
      <c r="C2599" s="2">
        <v>3</v>
      </c>
      <c r="D2599" s="2">
        <f t="shared" si="400"/>
        <v>7.62</v>
      </c>
      <c r="E2599" s="2">
        <f t="shared" si="401"/>
        <v>2.4255213327204852</v>
      </c>
      <c r="F2599" s="2">
        <f t="shared" si="402"/>
        <v>0.95492965855137202</v>
      </c>
      <c r="G2599" s="2">
        <v>1.1889890000000001</v>
      </c>
      <c r="H2599" s="2">
        <f t="shared" si="403"/>
        <v>3.9008826707600002</v>
      </c>
      <c r="I2599" s="2">
        <f>INDEX('Wood Density Lookup'!$B$2:$B$152,MATCH(B2599,'Wood Density Lookup'!$A$2:$A$152,0))</f>
        <v>0.6</v>
      </c>
      <c r="J2599" s="2">
        <f t="shared" si="404"/>
        <v>0.27290016974922909</v>
      </c>
      <c r="K2599" s="2">
        <f t="shared" si="408"/>
        <v>7.6412047529784158E-2</v>
      </c>
      <c r="L2599" s="2">
        <f t="shared" si="409"/>
        <v>0.34931221727901324</v>
      </c>
      <c r="M2599" s="2">
        <f t="shared" si="405"/>
        <v>0.25325135752728462</v>
      </c>
      <c r="N2599" s="2">
        <f t="shared" si="406"/>
        <v>0.12662567876364231</v>
      </c>
      <c r="O2599" s="2">
        <f t="shared" si="407"/>
        <v>0.46471624106256726</v>
      </c>
      <c r="P2599" s="2">
        <v>72.553393999999997</v>
      </c>
      <c r="Q2599" s="2">
        <v>23.037009000000001</v>
      </c>
    </row>
    <row r="2600" spans="1:17" x14ac:dyDescent="0.25">
      <c r="A2600" s="2">
        <v>2785</v>
      </c>
      <c r="B2600" s="2" t="s">
        <v>107</v>
      </c>
      <c r="C2600" s="2">
        <v>4</v>
      </c>
      <c r="D2600" s="2">
        <f t="shared" si="400"/>
        <v>10.16</v>
      </c>
      <c r="E2600" s="2">
        <f t="shared" si="401"/>
        <v>3.2340284436273135</v>
      </c>
      <c r="F2600" s="2">
        <f t="shared" si="402"/>
        <v>1.2732395447351628</v>
      </c>
      <c r="G2600" s="2">
        <v>1.0260389999999999</v>
      </c>
      <c r="H2600" s="2">
        <f t="shared" si="403"/>
        <v>3.3662697927599998</v>
      </c>
      <c r="I2600" s="2">
        <f>INDEX('Wood Density Lookup'!$B$2:$B$152,MATCH(B2600,'Wood Density Lookup'!$A$2:$A$152,0))</f>
        <v>0.65</v>
      </c>
      <c r="J2600" s="2">
        <f t="shared" si="404"/>
        <v>0.44805817190182184</v>
      </c>
      <c r="K2600" s="2">
        <f t="shared" si="408"/>
        <v>0.12545628813251014</v>
      </c>
      <c r="L2600" s="2">
        <f t="shared" si="409"/>
        <v>0.57351446003433204</v>
      </c>
      <c r="M2600" s="2">
        <f t="shared" si="405"/>
        <v>0.41579798352489072</v>
      </c>
      <c r="N2600" s="2">
        <f t="shared" si="406"/>
        <v>0.20789899176244536</v>
      </c>
      <c r="O2600" s="2">
        <f t="shared" si="407"/>
        <v>0.76298929976817442</v>
      </c>
      <c r="P2600" s="2">
        <v>72.553393999999997</v>
      </c>
      <c r="Q2600" s="2">
        <v>23.037936999999999</v>
      </c>
    </row>
    <row r="2601" spans="1:17" x14ac:dyDescent="0.25">
      <c r="A2601" s="2">
        <v>2786</v>
      </c>
      <c r="B2601" s="2" t="s">
        <v>147</v>
      </c>
      <c r="C2601" s="2">
        <v>6</v>
      </c>
      <c r="D2601" s="2">
        <f t="shared" si="400"/>
        <v>15.24</v>
      </c>
      <c r="E2601" s="2">
        <f t="shared" si="401"/>
        <v>4.8510426654409704</v>
      </c>
      <c r="F2601" s="2">
        <f t="shared" si="402"/>
        <v>1.909859317102744</v>
      </c>
      <c r="G2601" s="2">
        <v>6.227754</v>
      </c>
      <c r="H2601" s="2">
        <f t="shared" si="403"/>
        <v>20.43226443336</v>
      </c>
      <c r="I2601" s="2">
        <f>INDEX('Wood Density Lookup'!$B$2:$B$152,MATCH(B2601,'Wood Density Lookup'!$A$2:$A$152,0))</f>
        <v>0.65</v>
      </c>
      <c r="J2601" s="2">
        <f t="shared" si="404"/>
        <v>5.7469325364697781</v>
      </c>
      <c r="K2601" s="2">
        <f t="shared" si="408"/>
        <v>1.6091411102115381</v>
      </c>
      <c r="L2601" s="2">
        <f t="shared" si="409"/>
        <v>7.3560736466813159</v>
      </c>
      <c r="M2601" s="2">
        <f t="shared" si="405"/>
        <v>5.3331533938439541</v>
      </c>
      <c r="N2601" s="2">
        <f t="shared" si="406"/>
        <v>2.6665766969219771</v>
      </c>
      <c r="O2601" s="2">
        <f t="shared" si="407"/>
        <v>9.7863364777036566</v>
      </c>
      <c r="P2601" s="2">
        <v>72.553394999999995</v>
      </c>
      <c r="Q2601" s="2">
        <v>23.038024</v>
      </c>
    </row>
    <row r="2602" spans="1:17" x14ac:dyDescent="0.25">
      <c r="A2602" s="2">
        <v>2787</v>
      </c>
      <c r="B2602" s="2" t="s">
        <v>78</v>
      </c>
      <c r="C2602" s="2">
        <v>16</v>
      </c>
      <c r="D2602" s="2">
        <f t="shared" si="400"/>
        <v>40.64</v>
      </c>
      <c r="E2602" s="2">
        <f t="shared" si="401"/>
        <v>12.936113774509254</v>
      </c>
      <c r="F2602" s="2">
        <f t="shared" si="402"/>
        <v>5.0929581789406511</v>
      </c>
      <c r="G2602" s="2">
        <v>6.2862410000000004</v>
      </c>
      <c r="H2602" s="2">
        <f t="shared" si="403"/>
        <v>20.624150922440002</v>
      </c>
      <c r="I2602" s="2">
        <f>INDEX('Wood Density Lookup'!$B$2:$B$152,MATCH(B2602,'Wood Density Lookup'!$A$2:$A$152,0))</f>
        <v>0.55000000000000004</v>
      </c>
      <c r="J2602" s="2">
        <f t="shared" si="404"/>
        <v>33.425642264603837</v>
      </c>
      <c r="K2602" s="2">
        <f t="shared" si="408"/>
        <v>9.3591798340890762</v>
      </c>
      <c r="L2602" s="2">
        <f t="shared" si="409"/>
        <v>42.784822098692914</v>
      </c>
      <c r="M2602" s="2">
        <f t="shared" si="405"/>
        <v>31.018996021552361</v>
      </c>
      <c r="N2602" s="2">
        <f t="shared" si="406"/>
        <v>15.509498010776181</v>
      </c>
      <c r="O2602" s="2">
        <f t="shared" si="407"/>
        <v>56.919857699548579</v>
      </c>
      <c r="P2602" s="2">
        <v>72.553394999999995</v>
      </c>
      <c r="Q2602" s="2">
        <v>23.038103</v>
      </c>
    </row>
    <row r="2603" spans="1:17" x14ac:dyDescent="0.25">
      <c r="A2603" s="2">
        <v>2788</v>
      </c>
      <c r="B2603" s="2" t="s">
        <v>115</v>
      </c>
      <c r="C2603" s="2">
        <v>12</v>
      </c>
      <c r="D2603" s="2">
        <f t="shared" si="400"/>
        <v>30.48</v>
      </c>
      <c r="E2603" s="2">
        <f t="shared" si="401"/>
        <v>9.7020853308819408</v>
      </c>
      <c r="F2603" s="2">
        <f t="shared" si="402"/>
        <v>3.8197186342054881</v>
      </c>
      <c r="G2603" s="2">
        <v>6.3982169999999998</v>
      </c>
      <c r="H2603" s="2">
        <f t="shared" si="403"/>
        <v>20.991526262280001</v>
      </c>
      <c r="I2603" s="2">
        <f>INDEX('Wood Density Lookup'!$B$2:$B$152,MATCH(B2603,'Wood Density Lookup'!$A$2:$A$152,0))</f>
        <v>0.65</v>
      </c>
      <c r="J2603" s="2">
        <f t="shared" si="404"/>
        <v>22.829305832764248</v>
      </c>
      <c r="K2603" s="2">
        <f t="shared" si="408"/>
        <v>6.3922056331739903</v>
      </c>
      <c r="L2603" s="2">
        <f t="shared" si="409"/>
        <v>29.221511465938239</v>
      </c>
      <c r="M2603" s="2">
        <f t="shared" si="405"/>
        <v>21.185595812805222</v>
      </c>
      <c r="N2603" s="2">
        <f t="shared" si="406"/>
        <v>10.592797906402611</v>
      </c>
      <c r="O2603" s="2">
        <f t="shared" si="407"/>
        <v>38.875568316497578</v>
      </c>
      <c r="P2603" s="2">
        <v>72.553398999999999</v>
      </c>
      <c r="Q2603" s="2">
        <v>23.037990000000001</v>
      </c>
    </row>
    <row r="2604" spans="1:17" x14ac:dyDescent="0.25">
      <c r="A2604" s="2">
        <v>2789</v>
      </c>
      <c r="B2604" s="2" t="s">
        <v>103</v>
      </c>
      <c r="C2604" s="2">
        <v>2</v>
      </c>
      <c r="D2604" s="2">
        <f t="shared" si="400"/>
        <v>5.08</v>
      </c>
      <c r="E2604" s="2">
        <f t="shared" si="401"/>
        <v>1.6170142218136567</v>
      </c>
      <c r="F2604" s="2">
        <f t="shared" si="402"/>
        <v>0.63661977236758138</v>
      </c>
      <c r="G2604" s="2">
        <v>1.2930429999999999</v>
      </c>
      <c r="H2604" s="2">
        <f t="shared" si="403"/>
        <v>4.2422671961199994</v>
      </c>
      <c r="I2604" s="2">
        <f>INDEX('Wood Density Lookup'!$B$2:$B$152,MATCH(B2604,'Wood Density Lookup'!$A$2:$A$152,0))</f>
        <v>0.6</v>
      </c>
      <c r="J2604" s="2">
        <f t="shared" si="404"/>
        <v>0.13422529149646534</v>
      </c>
      <c r="K2604" s="2">
        <f t="shared" si="408"/>
        <v>3.7583081619010299E-2</v>
      </c>
      <c r="L2604" s="2">
        <f t="shared" si="409"/>
        <v>0.17180837311547564</v>
      </c>
      <c r="M2604" s="2">
        <f t="shared" si="405"/>
        <v>0.12456107050871984</v>
      </c>
      <c r="N2604" s="2">
        <f t="shared" si="406"/>
        <v>6.228053525435992E-2</v>
      </c>
      <c r="O2604" s="2">
        <f t="shared" si="407"/>
        <v>0.2285695643835009</v>
      </c>
      <c r="P2604" s="2">
        <v>72.553398999999999</v>
      </c>
      <c r="Q2604" s="2">
        <v>23.037019999999998</v>
      </c>
    </row>
    <row r="2605" spans="1:17" x14ac:dyDescent="0.25">
      <c r="A2605" s="2">
        <v>2790</v>
      </c>
      <c r="B2605" s="2" t="s">
        <v>149</v>
      </c>
      <c r="C2605" s="2">
        <v>5</v>
      </c>
      <c r="D2605" s="2">
        <f t="shared" si="400"/>
        <v>12.7</v>
      </c>
      <c r="E2605" s="2">
        <f t="shared" si="401"/>
        <v>4.0425355545341413</v>
      </c>
      <c r="F2605" s="2">
        <f t="shared" si="402"/>
        <v>1.5915494309189535</v>
      </c>
      <c r="G2605" s="2">
        <v>3.371845</v>
      </c>
      <c r="H2605" s="2">
        <f t="shared" si="403"/>
        <v>11.062483949800001</v>
      </c>
      <c r="I2605" s="2">
        <f>INDEX('Wood Density Lookup'!$B$2:$B$152,MATCH(B2605,'Wood Density Lookup'!$A$2:$A$152,0))</f>
        <v>0.45</v>
      </c>
      <c r="J2605" s="2">
        <f t="shared" si="404"/>
        <v>1.5450323224143767</v>
      </c>
      <c r="K2605" s="2">
        <f t="shared" si="408"/>
        <v>0.43260905027602553</v>
      </c>
      <c r="L2605" s="2">
        <f t="shared" si="409"/>
        <v>1.9776413726904023</v>
      </c>
      <c r="M2605" s="2">
        <f t="shared" si="405"/>
        <v>1.4337899952005417</v>
      </c>
      <c r="N2605" s="2">
        <f t="shared" si="406"/>
        <v>0.71689499760027087</v>
      </c>
      <c r="O2605" s="2">
        <f t="shared" si="407"/>
        <v>2.6310046411929942</v>
      </c>
      <c r="P2605" s="2">
        <v>72.553398999999999</v>
      </c>
      <c r="Q2605" s="2">
        <v>23.038225000000001</v>
      </c>
    </row>
    <row r="2606" spans="1:17" x14ac:dyDescent="0.25">
      <c r="A2606" s="2">
        <v>2791</v>
      </c>
      <c r="B2606" s="2" t="s">
        <v>103</v>
      </c>
      <c r="C2606" s="2">
        <v>3</v>
      </c>
      <c r="D2606" s="2">
        <f t="shared" si="400"/>
        <v>7.62</v>
      </c>
      <c r="E2606" s="2">
        <f t="shared" si="401"/>
        <v>2.4255213327204852</v>
      </c>
      <c r="F2606" s="2">
        <f t="shared" si="402"/>
        <v>0.95492965855137202</v>
      </c>
      <c r="G2606" s="2">
        <v>1.358174</v>
      </c>
      <c r="H2606" s="2">
        <f t="shared" si="403"/>
        <v>4.4559515861600003</v>
      </c>
      <c r="I2606" s="2">
        <f>INDEX('Wood Density Lookup'!$B$2:$B$152,MATCH(B2606,'Wood Density Lookup'!$A$2:$A$152,0))</f>
        <v>0.6</v>
      </c>
      <c r="J2606" s="2">
        <f t="shared" si="404"/>
        <v>0.31073825289505025</v>
      </c>
      <c r="K2606" s="2">
        <f t="shared" si="408"/>
        <v>8.7006710810614077E-2</v>
      </c>
      <c r="L2606" s="2">
        <f t="shared" si="409"/>
        <v>0.39774496370566431</v>
      </c>
      <c r="M2606" s="2">
        <f t="shared" si="405"/>
        <v>0.28836509868660659</v>
      </c>
      <c r="N2606" s="2">
        <f t="shared" si="406"/>
        <v>0.1441825493433033</v>
      </c>
      <c r="O2606" s="2">
        <f t="shared" si="407"/>
        <v>0.5291499560899231</v>
      </c>
      <c r="P2606" s="2">
        <v>72.553399999999996</v>
      </c>
      <c r="Q2606" s="2">
        <v>23.037015</v>
      </c>
    </row>
    <row r="2607" spans="1:17" x14ac:dyDescent="0.25">
      <c r="A2607" s="2">
        <v>2792</v>
      </c>
      <c r="B2607" s="2" t="s">
        <v>6</v>
      </c>
      <c r="C2607" s="2">
        <v>6</v>
      </c>
      <c r="D2607" s="2">
        <f t="shared" si="400"/>
        <v>15.24</v>
      </c>
      <c r="E2607" s="2">
        <f t="shared" si="401"/>
        <v>4.8510426654409704</v>
      </c>
      <c r="F2607" s="2">
        <f t="shared" si="402"/>
        <v>1.909859317102744</v>
      </c>
      <c r="G2607" s="2">
        <v>1.849896</v>
      </c>
      <c r="H2607" s="2">
        <f t="shared" si="403"/>
        <v>6.0692127926400001</v>
      </c>
      <c r="I2607" s="2">
        <f>INDEX('Wood Density Lookup'!$B$2:$B$152,MATCH(B2607,'Wood Density Lookup'!$A$2:$A$152,0))</f>
        <v>0.28000000000000003</v>
      </c>
      <c r="J2607" s="2">
        <f t="shared" si="404"/>
        <v>0.77255104570137734</v>
      </c>
      <c r="K2607" s="2">
        <f t="shared" si="408"/>
        <v>0.21631429279638567</v>
      </c>
      <c r="L2607" s="2">
        <f t="shared" si="409"/>
        <v>0.98886533849776304</v>
      </c>
      <c r="M2607" s="2">
        <f t="shared" si="405"/>
        <v>0.71692737041087817</v>
      </c>
      <c r="N2607" s="2">
        <f t="shared" si="406"/>
        <v>0.35846368520543909</v>
      </c>
      <c r="O2607" s="2">
        <f t="shared" si="407"/>
        <v>1.3155617247039615</v>
      </c>
      <c r="P2607" s="2">
        <v>72.553399999999996</v>
      </c>
      <c r="Q2607" s="2">
        <v>23.038176</v>
      </c>
    </row>
    <row r="2608" spans="1:17" x14ac:dyDescent="0.25">
      <c r="A2608" s="2">
        <v>2793</v>
      </c>
      <c r="B2608" s="2" t="s">
        <v>129</v>
      </c>
      <c r="C2608" s="2">
        <v>6</v>
      </c>
      <c r="D2608" s="2">
        <f t="shared" si="400"/>
        <v>15.24</v>
      </c>
      <c r="E2608" s="2">
        <f t="shared" si="401"/>
        <v>4.8510426654409704</v>
      </c>
      <c r="F2608" s="2">
        <f t="shared" si="402"/>
        <v>1.909859317102744</v>
      </c>
      <c r="G2608" s="2">
        <v>2.0295010000000002</v>
      </c>
      <c r="H2608" s="2">
        <f t="shared" si="403"/>
        <v>6.6584680608400006</v>
      </c>
      <c r="I2608" s="2">
        <f>INDEX('Wood Density Lookup'!$B$2:$B$152,MATCH(B2608,'Wood Density Lookup'!$A$2:$A$152,0))</f>
        <v>0.4</v>
      </c>
      <c r="J2608" s="2">
        <f t="shared" si="404"/>
        <v>1.197809207123812</v>
      </c>
      <c r="K2608" s="2">
        <f t="shared" si="408"/>
        <v>0.33538657799466737</v>
      </c>
      <c r="L2608" s="2">
        <f t="shared" si="409"/>
        <v>1.5331957851184794</v>
      </c>
      <c r="M2608" s="2">
        <f t="shared" si="405"/>
        <v>1.1115669442108975</v>
      </c>
      <c r="N2608" s="2">
        <f t="shared" si="406"/>
        <v>0.55578347210544876</v>
      </c>
      <c r="O2608" s="2">
        <f t="shared" si="407"/>
        <v>2.0397253426269968</v>
      </c>
      <c r="P2608" s="2">
        <v>72.553400999999994</v>
      </c>
      <c r="Q2608" s="2">
        <v>23.038139999999999</v>
      </c>
    </row>
    <row r="2609" spans="1:17" x14ac:dyDescent="0.25">
      <c r="A2609" s="2">
        <v>2795</v>
      </c>
      <c r="B2609" s="2" t="s">
        <v>103</v>
      </c>
      <c r="C2609" s="2">
        <v>2</v>
      </c>
      <c r="D2609" s="2">
        <f t="shared" si="400"/>
        <v>5.08</v>
      </c>
      <c r="E2609" s="2">
        <f t="shared" si="401"/>
        <v>1.6170142218136567</v>
      </c>
      <c r="F2609" s="2">
        <f t="shared" si="402"/>
        <v>0.63661977236758138</v>
      </c>
      <c r="G2609" s="2">
        <v>1.219298</v>
      </c>
      <c r="H2609" s="2">
        <f t="shared" si="403"/>
        <v>4.0003216503200001</v>
      </c>
      <c r="I2609" s="2">
        <f>INDEX('Wood Density Lookup'!$B$2:$B$152,MATCH(B2609,'Wood Density Lookup'!$A$2:$A$152,0))</f>
        <v>0.6</v>
      </c>
      <c r="J2609" s="2">
        <f t="shared" si="404"/>
        <v>0.12674864471111891</v>
      </c>
      <c r="K2609" s="2">
        <f t="shared" si="408"/>
        <v>3.54896205191133E-2</v>
      </c>
      <c r="L2609" s="2">
        <f t="shared" si="409"/>
        <v>0.16223826523023221</v>
      </c>
      <c r="M2609" s="2">
        <f t="shared" si="405"/>
        <v>0.11762274229191835</v>
      </c>
      <c r="N2609" s="2">
        <f t="shared" si="406"/>
        <v>5.8811371145959176E-2</v>
      </c>
      <c r="O2609" s="2">
        <f t="shared" si="407"/>
        <v>0.21583773210567017</v>
      </c>
      <c r="P2609" s="2">
        <v>72.553403000000003</v>
      </c>
      <c r="Q2609" s="2">
        <v>23.037009000000001</v>
      </c>
    </row>
    <row r="2610" spans="1:17" x14ac:dyDescent="0.25">
      <c r="A2610" s="2">
        <v>2796</v>
      </c>
      <c r="B2610" s="2" t="s">
        <v>103</v>
      </c>
      <c r="C2610" s="2">
        <v>2</v>
      </c>
      <c r="D2610" s="2">
        <f t="shared" si="400"/>
        <v>5.08</v>
      </c>
      <c r="E2610" s="2">
        <f t="shared" si="401"/>
        <v>1.6170142218136567</v>
      </c>
      <c r="F2610" s="2">
        <f t="shared" si="402"/>
        <v>0.63661977236758138</v>
      </c>
      <c r="G2610" s="2">
        <v>1.373429</v>
      </c>
      <c r="H2610" s="2">
        <f t="shared" si="403"/>
        <v>4.5060008003599998</v>
      </c>
      <c r="I2610" s="2">
        <f>INDEX('Wood Density Lookup'!$B$2:$B$152,MATCH(B2610,'Wood Density Lookup'!$A$2:$A$152,0))</f>
        <v>0.6</v>
      </c>
      <c r="J2610" s="2">
        <f t="shared" si="404"/>
        <v>0.14236360066330822</v>
      </c>
      <c r="K2610" s="2">
        <f t="shared" si="408"/>
        <v>3.9861808185726308E-2</v>
      </c>
      <c r="L2610" s="2">
        <f t="shared" si="409"/>
        <v>0.18222540884903454</v>
      </c>
      <c r="M2610" s="2">
        <f t="shared" si="405"/>
        <v>0.13211342141555005</v>
      </c>
      <c r="N2610" s="2">
        <f t="shared" si="406"/>
        <v>6.6056710707775024E-2</v>
      </c>
      <c r="O2610" s="2">
        <f t="shared" si="407"/>
        <v>0.24242812829753432</v>
      </c>
      <c r="P2610" s="2">
        <v>72.553405999999995</v>
      </c>
      <c r="Q2610" s="2">
        <v>23.037009999999999</v>
      </c>
    </row>
    <row r="2611" spans="1:17" x14ac:dyDescent="0.25">
      <c r="A2611" s="2">
        <v>2797</v>
      </c>
      <c r="B2611" s="2" t="s">
        <v>50</v>
      </c>
      <c r="C2611" s="2">
        <v>19</v>
      </c>
      <c r="D2611" s="2">
        <f t="shared" si="400"/>
        <v>48.26</v>
      </c>
      <c r="E2611" s="2">
        <f t="shared" si="401"/>
        <v>15.361635107229738</v>
      </c>
      <c r="F2611" s="2">
        <f t="shared" si="402"/>
        <v>6.0478878374920226</v>
      </c>
      <c r="G2611" s="2">
        <v>5.976153</v>
      </c>
      <c r="H2611" s="2">
        <f t="shared" si="403"/>
        <v>19.60680180852</v>
      </c>
      <c r="I2611" s="2">
        <f>INDEX('Wood Density Lookup'!$B$2:$B$152,MATCH(B2611,'Wood Density Lookup'!$A$2:$A$152,0))</f>
        <v>0.5</v>
      </c>
      <c r="J2611" s="2">
        <f t="shared" si="404"/>
        <v>40.543689529188818</v>
      </c>
      <c r="K2611" s="2">
        <f t="shared" si="408"/>
        <v>11.35223306817287</v>
      </c>
      <c r="L2611" s="2">
        <f t="shared" si="409"/>
        <v>51.89592259736169</v>
      </c>
      <c r="M2611" s="2">
        <f t="shared" si="405"/>
        <v>37.62454388308722</v>
      </c>
      <c r="N2611" s="2">
        <f t="shared" si="406"/>
        <v>18.81227194154361</v>
      </c>
      <c r="O2611" s="2">
        <f t="shared" si="407"/>
        <v>69.041038025465042</v>
      </c>
      <c r="P2611" s="2">
        <v>72.553408000000005</v>
      </c>
      <c r="Q2611" s="2">
        <v>23.037063</v>
      </c>
    </row>
    <row r="2612" spans="1:17" x14ac:dyDescent="0.25">
      <c r="A2612" s="2">
        <v>2798</v>
      </c>
      <c r="B2612" s="2" t="s">
        <v>93</v>
      </c>
      <c r="C2612" s="2">
        <v>56</v>
      </c>
      <c r="D2612" s="2">
        <f t="shared" si="400"/>
        <v>142.24</v>
      </c>
      <c r="E2612" s="2">
        <f t="shared" si="401"/>
        <v>45.276398210782389</v>
      </c>
      <c r="F2612" s="2">
        <f t="shared" si="402"/>
        <v>17.82535362629228</v>
      </c>
      <c r="G2612" s="2">
        <v>11.882406</v>
      </c>
      <c r="H2612" s="2">
        <f t="shared" si="403"/>
        <v>38.984272901040001</v>
      </c>
      <c r="I2612" s="2">
        <f>INDEX('Wood Density Lookup'!$B$2:$B$152,MATCH(B2612,'Wood Density Lookup'!$A$2:$A$152,0))</f>
        <v>0.9</v>
      </c>
      <c r="J2612" s="2">
        <f t="shared" si="404"/>
        <v>1160.7116074683884</v>
      </c>
      <c r="K2612" s="2">
        <f t="shared" si="408"/>
        <v>324.99925009114878</v>
      </c>
      <c r="L2612" s="2">
        <f t="shared" si="409"/>
        <v>1485.7108575595371</v>
      </c>
      <c r="M2612" s="2">
        <f t="shared" si="405"/>
        <v>1077.1403717306644</v>
      </c>
      <c r="N2612" s="2">
        <f t="shared" si="406"/>
        <v>538.57018586533218</v>
      </c>
      <c r="O2612" s="2">
        <f t="shared" si="407"/>
        <v>1976.552582125769</v>
      </c>
      <c r="P2612" s="2">
        <v>72.553408000000005</v>
      </c>
      <c r="Q2612" s="2">
        <v>23.037237999999999</v>
      </c>
    </row>
    <row r="2613" spans="1:17" x14ac:dyDescent="0.25">
      <c r="A2613" s="2">
        <v>2799</v>
      </c>
      <c r="B2613" s="2" t="s">
        <v>103</v>
      </c>
      <c r="C2613" s="2">
        <v>2</v>
      </c>
      <c r="D2613" s="2">
        <f t="shared" si="400"/>
        <v>5.08</v>
      </c>
      <c r="E2613" s="2">
        <f t="shared" si="401"/>
        <v>1.6170142218136567</v>
      </c>
      <c r="F2613" s="2">
        <f t="shared" si="402"/>
        <v>0.63661977236758138</v>
      </c>
      <c r="G2613" s="2">
        <v>1.468707</v>
      </c>
      <c r="H2613" s="2">
        <f t="shared" si="403"/>
        <v>4.8185926738799996</v>
      </c>
      <c r="I2613" s="2">
        <f>INDEX('Wood Density Lookup'!$B$2:$B$152,MATCH(B2613,'Wood Density Lookup'!$A$2:$A$152,0))</f>
        <v>0.6</v>
      </c>
      <c r="J2613" s="2">
        <f t="shared" si="404"/>
        <v>0.15199483151270152</v>
      </c>
      <c r="K2613" s="2">
        <f t="shared" si="408"/>
        <v>4.2558552823556431E-2</v>
      </c>
      <c r="L2613" s="2">
        <f t="shared" si="409"/>
        <v>0.19455338433625796</v>
      </c>
      <c r="M2613" s="2">
        <f t="shared" si="405"/>
        <v>0.14105120364378701</v>
      </c>
      <c r="N2613" s="2">
        <f t="shared" si="406"/>
        <v>7.0525601821893505E-2</v>
      </c>
      <c r="O2613" s="2">
        <f t="shared" si="407"/>
        <v>0.25882895868634914</v>
      </c>
      <c r="P2613" s="2">
        <v>72.553408000000005</v>
      </c>
      <c r="Q2613" s="2">
        <v>23.037016000000001</v>
      </c>
    </row>
    <row r="2614" spans="1:17" x14ac:dyDescent="0.25">
      <c r="A2614" s="2">
        <v>2800</v>
      </c>
      <c r="B2614" s="2" t="s">
        <v>103</v>
      </c>
      <c r="C2614" s="2">
        <v>2</v>
      </c>
      <c r="D2614" s="2">
        <f t="shared" si="400"/>
        <v>5.08</v>
      </c>
      <c r="E2614" s="2">
        <f t="shared" si="401"/>
        <v>1.6170142218136567</v>
      </c>
      <c r="F2614" s="2">
        <f t="shared" si="402"/>
        <v>0.63661977236758138</v>
      </c>
      <c r="G2614" s="2">
        <v>1.362606</v>
      </c>
      <c r="H2614" s="2">
        <f t="shared" si="403"/>
        <v>4.4704922690400002</v>
      </c>
      <c r="I2614" s="2">
        <f>INDEX('Wood Density Lookup'!$B$2:$B$152,MATCH(B2614,'Wood Density Lookup'!$A$2:$A$152,0))</f>
        <v>0.6</v>
      </c>
      <c r="J2614" s="2">
        <f t="shared" si="404"/>
        <v>0.14126855708230382</v>
      </c>
      <c r="K2614" s="2">
        <f t="shared" si="408"/>
        <v>3.955519598304507E-2</v>
      </c>
      <c r="L2614" s="2">
        <f t="shared" si="409"/>
        <v>0.1808237530653489</v>
      </c>
      <c r="M2614" s="2">
        <f t="shared" si="405"/>
        <v>0.13109722097237794</v>
      </c>
      <c r="N2614" s="2">
        <f t="shared" si="406"/>
        <v>6.5548610486188971E-2</v>
      </c>
      <c r="O2614" s="2">
        <f t="shared" si="407"/>
        <v>0.24056340048431352</v>
      </c>
      <c r="P2614" s="2">
        <v>72.55341</v>
      </c>
      <c r="Q2614" s="2">
        <v>23.037009999999999</v>
      </c>
    </row>
    <row r="2615" spans="1:17" x14ac:dyDescent="0.25">
      <c r="A2615" s="2">
        <v>2801</v>
      </c>
      <c r="B2615" s="2" t="s">
        <v>103</v>
      </c>
      <c r="C2615" s="2">
        <v>2</v>
      </c>
      <c r="D2615" s="2">
        <f t="shared" si="400"/>
        <v>5.08</v>
      </c>
      <c r="E2615" s="2">
        <f t="shared" si="401"/>
        <v>1.6170142218136567</v>
      </c>
      <c r="F2615" s="2">
        <f t="shared" si="402"/>
        <v>0.63661977236758138</v>
      </c>
      <c r="G2615" s="2">
        <v>1.5344</v>
      </c>
      <c r="H2615" s="2">
        <f t="shared" si="403"/>
        <v>5.0341208960000001</v>
      </c>
      <c r="I2615" s="2">
        <f>INDEX('Wood Density Lookup'!$B$2:$B$152,MATCH(B2615,'Wood Density Lookup'!$A$2:$A$152,0))</f>
        <v>0.6</v>
      </c>
      <c r="J2615" s="2">
        <f t="shared" si="404"/>
        <v>0.15862665386625352</v>
      </c>
      <c r="K2615" s="2">
        <f t="shared" si="408"/>
        <v>4.4415463082550989E-2</v>
      </c>
      <c r="L2615" s="2">
        <f t="shared" si="409"/>
        <v>0.2030421169488045</v>
      </c>
      <c r="M2615" s="2">
        <f t="shared" si="405"/>
        <v>0.14720553478788326</v>
      </c>
      <c r="N2615" s="2">
        <f t="shared" si="406"/>
        <v>7.3602767393941629E-2</v>
      </c>
      <c r="O2615" s="2">
        <f t="shared" si="407"/>
        <v>0.27012215633576575</v>
      </c>
      <c r="P2615" s="2">
        <v>72.553410999999997</v>
      </c>
      <c r="Q2615" s="2">
        <v>23.037020999999999</v>
      </c>
    </row>
    <row r="2616" spans="1:17" x14ac:dyDescent="0.25">
      <c r="A2616" s="2">
        <v>2802</v>
      </c>
      <c r="B2616" s="2" t="s">
        <v>103</v>
      </c>
      <c r="C2616" s="2">
        <v>1</v>
      </c>
      <c r="D2616" s="2">
        <f t="shared" si="400"/>
        <v>2.54</v>
      </c>
      <c r="E2616" s="2">
        <f t="shared" si="401"/>
        <v>0.80850711090682836</v>
      </c>
      <c r="F2616" s="2">
        <f t="shared" si="402"/>
        <v>0.31830988618379069</v>
      </c>
      <c r="G2616" s="2">
        <v>1.4265049999999999</v>
      </c>
      <c r="H2616" s="2">
        <f t="shared" si="403"/>
        <v>4.6801346641999997</v>
      </c>
      <c r="I2616" s="2">
        <f>INDEX('Wood Density Lookup'!$B$2:$B$152,MATCH(B2616,'Wood Density Lookup'!$A$2:$A$152,0))</f>
        <v>0.6</v>
      </c>
      <c r="J2616" s="2">
        <f t="shared" si="404"/>
        <v>3.8182141873186207E-2</v>
      </c>
      <c r="K2616" s="2">
        <f t="shared" si="408"/>
        <v>1.069099972449214E-2</v>
      </c>
      <c r="L2616" s="2">
        <f t="shared" si="409"/>
        <v>4.8873141597678346E-2</v>
      </c>
      <c r="M2616" s="2">
        <f t="shared" si="405"/>
        <v>3.5433027658316803E-2</v>
      </c>
      <c r="N2616" s="2">
        <f t="shared" si="406"/>
        <v>1.7716513829158401E-2</v>
      </c>
      <c r="O2616" s="2">
        <f t="shared" si="407"/>
        <v>6.5019605753011328E-2</v>
      </c>
      <c r="P2616" s="2">
        <v>72.553415000000001</v>
      </c>
      <c r="Q2616" s="2">
        <v>23.037016000000001</v>
      </c>
    </row>
    <row r="2617" spans="1:17" x14ac:dyDescent="0.25">
      <c r="A2617" s="2">
        <v>2803</v>
      </c>
      <c r="B2617" s="2" t="s">
        <v>15</v>
      </c>
      <c r="C2617" s="2">
        <v>83</v>
      </c>
      <c r="D2617" s="2">
        <f t="shared" si="400"/>
        <v>210.82</v>
      </c>
      <c r="E2617" s="2">
        <f t="shared" si="401"/>
        <v>67.106090205266753</v>
      </c>
      <c r="F2617" s="2">
        <f t="shared" si="402"/>
        <v>26.419720553254628</v>
      </c>
      <c r="G2617" s="2">
        <v>11.238950000000001</v>
      </c>
      <c r="H2617" s="2">
        <f t="shared" si="403"/>
        <v>36.873196718000003</v>
      </c>
      <c r="I2617" s="2">
        <f>INDEX('Wood Density Lookup'!$B$2:$B$152,MATCH(B2617,'Wood Density Lookup'!$A$2:$A$152,0))</f>
        <v>0.75</v>
      </c>
      <c r="J2617" s="2">
        <f t="shared" si="404"/>
        <v>1983.4555779835887</v>
      </c>
      <c r="K2617" s="2">
        <f t="shared" si="408"/>
        <v>555.3675618354049</v>
      </c>
      <c r="L2617" s="2">
        <f t="shared" si="409"/>
        <v>2538.8231398189937</v>
      </c>
      <c r="M2617" s="2">
        <f t="shared" si="405"/>
        <v>1840.6467763687704</v>
      </c>
      <c r="N2617" s="2">
        <f t="shared" si="406"/>
        <v>920.32338818438518</v>
      </c>
      <c r="O2617" s="2">
        <f t="shared" si="407"/>
        <v>3377.5868346366938</v>
      </c>
      <c r="P2617" s="2">
        <v>72.553415999999999</v>
      </c>
      <c r="Q2617" s="2">
        <v>23.037354000000001</v>
      </c>
    </row>
    <row r="2618" spans="1:17" x14ac:dyDescent="0.25">
      <c r="A2618" s="2">
        <v>2804</v>
      </c>
      <c r="B2618" s="2" t="s">
        <v>103</v>
      </c>
      <c r="C2618" s="2">
        <v>3</v>
      </c>
      <c r="D2618" s="2">
        <f t="shared" si="400"/>
        <v>7.62</v>
      </c>
      <c r="E2618" s="2">
        <f t="shared" si="401"/>
        <v>2.4255213327204852</v>
      </c>
      <c r="F2618" s="2">
        <f t="shared" si="402"/>
        <v>0.95492965855137202</v>
      </c>
      <c r="G2618" s="2">
        <v>1.3810469999999999</v>
      </c>
      <c r="H2618" s="2">
        <f t="shared" si="403"/>
        <v>4.53099423948</v>
      </c>
      <c r="I2618" s="2">
        <f>INDEX('Wood Density Lookup'!$B$2:$B$152,MATCH(B2618,'Wood Density Lookup'!$A$2:$A$152,0))</f>
        <v>0.6</v>
      </c>
      <c r="J2618" s="2">
        <f t="shared" si="404"/>
        <v>0.3158447722107311</v>
      </c>
      <c r="K2618" s="2">
        <f t="shared" si="408"/>
        <v>8.8436536219004713E-2</v>
      </c>
      <c r="L2618" s="2">
        <f t="shared" si="409"/>
        <v>0.40428130842973581</v>
      </c>
      <c r="M2618" s="2">
        <f t="shared" si="405"/>
        <v>0.29310394861155847</v>
      </c>
      <c r="N2618" s="2">
        <f t="shared" si="406"/>
        <v>0.14655197430577924</v>
      </c>
      <c r="O2618" s="2">
        <f t="shared" si="407"/>
        <v>0.53784574570220978</v>
      </c>
      <c r="P2618" s="2">
        <v>72.553415999999999</v>
      </c>
      <c r="Q2618" s="2">
        <v>23.037011</v>
      </c>
    </row>
    <row r="2619" spans="1:17" x14ac:dyDescent="0.25">
      <c r="A2619" s="2">
        <v>2805</v>
      </c>
      <c r="B2619" s="2" t="s">
        <v>15</v>
      </c>
      <c r="C2619" s="2">
        <v>28</v>
      </c>
      <c r="D2619" s="2">
        <f t="shared" si="400"/>
        <v>71.12</v>
      </c>
      <c r="E2619" s="2">
        <f t="shared" si="401"/>
        <v>22.638199105391195</v>
      </c>
      <c r="F2619" s="2">
        <f t="shared" si="402"/>
        <v>8.91267681314614</v>
      </c>
      <c r="G2619" s="2">
        <v>7.2861050000000001</v>
      </c>
      <c r="H2619" s="2">
        <f t="shared" si="403"/>
        <v>23.904544728200001</v>
      </c>
      <c r="I2619" s="2">
        <f>INDEX('Wood Density Lookup'!$B$2:$B$152,MATCH(B2619,'Wood Density Lookup'!$A$2:$A$152,0))</f>
        <v>0.75</v>
      </c>
      <c r="J2619" s="2">
        <f t="shared" si="404"/>
        <v>155.78359908438654</v>
      </c>
      <c r="K2619" s="2">
        <f t="shared" si="408"/>
        <v>43.619407743628237</v>
      </c>
      <c r="L2619" s="2">
        <f t="shared" si="409"/>
        <v>199.40300682801478</v>
      </c>
      <c r="M2619" s="2">
        <f t="shared" si="405"/>
        <v>144.5671799503107</v>
      </c>
      <c r="N2619" s="2">
        <f t="shared" si="406"/>
        <v>72.283589975155351</v>
      </c>
      <c r="O2619" s="2">
        <f t="shared" si="407"/>
        <v>265.28077520882016</v>
      </c>
      <c r="P2619" s="2">
        <v>72.553420000000003</v>
      </c>
      <c r="Q2619" s="2">
        <v>23.035646</v>
      </c>
    </row>
    <row r="2620" spans="1:17" x14ac:dyDescent="0.25">
      <c r="A2620" s="2">
        <v>2806</v>
      </c>
      <c r="B2620" s="2" t="s">
        <v>103</v>
      </c>
      <c r="C2620" s="2">
        <v>2</v>
      </c>
      <c r="D2620" s="2">
        <f t="shared" si="400"/>
        <v>5.08</v>
      </c>
      <c r="E2620" s="2">
        <f t="shared" si="401"/>
        <v>1.6170142218136567</v>
      </c>
      <c r="F2620" s="2">
        <f t="shared" si="402"/>
        <v>0.63661977236758138</v>
      </c>
      <c r="G2620" s="2">
        <v>1.4633370000000001</v>
      </c>
      <c r="H2620" s="2">
        <f t="shared" si="403"/>
        <v>4.8009745630800005</v>
      </c>
      <c r="I2620" s="2">
        <f>INDEX('Wood Density Lookup'!$B$2:$B$152,MATCH(B2620,'Wood Density Lookup'!$A$2:$A$152,0))</f>
        <v>0.6</v>
      </c>
      <c r="J2620" s="2">
        <f t="shared" si="404"/>
        <v>0.15145241008545937</v>
      </c>
      <c r="K2620" s="2">
        <f t="shared" si="408"/>
        <v>4.2406674823928625E-2</v>
      </c>
      <c r="L2620" s="2">
        <f t="shared" si="409"/>
        <v>0.193859084909388</v>
      </c>
      <c r="M2620" s="2">
        <f t="shared" si="405"/>
        <v>0.14054783655930631</v>
      </c>
      <c r="N2620" s="2">
        <f t="shared" si="406"/>
        <v>7.0273918279653153E-2</v>
      </c>
      <c r="O2620" s="2">
        <f t="shared" si="407"/>
        <v>0.25790528008632707</v>
      </c>
      <c r="P2620" s="2">
        <v>72.553420000000003</v>
      </c>
      <c r="Q2620" s="2">
        <v>23.037016999999999</v>
      </c>
    </row>
    <row r="2621" spans="1:17" x14ac:dyDescent="0.25">
      <c r="A2621" s="2">
        <v>2807</v>
      </c>
      <c r="B2621" s="2" t="s">
        <v>103</v>
      </c>
      <c r="C2621" s="2">
        <v>3</v>
      </c>
      <c r="D2621" s="2">
        <f t="shared" si="400"/>
        <v>7.62</v>
      </c>
      <c r="E2621" s="2">
        <f t="shared" si="401"/>
        <v>2.4255213327204852</v>
      </c>
      <c r="F2621" s="2">
        <f t="shared" si="402"/>
        <v>0.95492965855137202</v>
      </c>
      <c r="G2621" s="2">
        <v>1.4234819999999999</v>
      </c>
      <c r="H2621" s="2">
        <f t="shared" si="403"/>
        <v>4.6702166848799997</v>
      </c>
      <c r="I2621" s="2">
        <f>INDEX('Wood Density Lookup'!$B$2:$B$152,MATCH(B2621,'Wood Density Lookup'!$A$2:$A$152,0))</f>
        <v>0.6</v>
      </c>
      <c r="J2621" s="2">
        <f t="shared" si="404"/>
        <v>0.32531326276097905</v>
      </c>
      <c r="K2621" s="2">
        <f t="shared" si="408"/>
        <v>9.1087713573074144E-2</v>
      </c>
      <c r="L2621" s="2">
        <f t="shared" si="409"/>
        <v>0.41640097633405321</v>
      </c>
      <c r="M2621" s="2">
        <f t="shared" si="405"/>
        <v>0.30189070784218858</v>
      </c>
      <c r="N2621" s="2">
        <f t="shared" si="406"/>
        <v>0.15094535392109429</v>
      </c>
      <c r="O2621" s="2">
        <f t="shared" si="407"/>
        <v>0.55396944889041599</v>
      </c>
      <c r="P2621" s="2">
        <v>72.553422999999995</v>
      </c>
      <c r="Q2621" s="2">
        <v>23.037023999999999</v>
      </c>
    </row>
    <row r="2622" spans="1:17" x14ac:dyDescent="0.25">
      <c r="A2622" s="2">
        <v>2808</v>
      </c>
      <c r="B2622" s="2" t="s">
        <v>103</v>
      </c>
      <c r="C2622" s="2">
        <v>3</v>
      </c>
      <c r="D2622" s="2">
        <f t="shared" si="400"/>
        <v>7.62</v>
      </c>
      <c r="E2622" s="2">
        <f t="shared" si="401"/>
        <v>2.4255213327204852</v>
      </c>
      <c r="F2622" s="2">
        <f t="shared" si="402"/>
        <v>0.95492965855137202</v>
      </c>
      <c r="G2622" s="2">
        <v>1.353475</v>
      </c>
      <c r="H2622" s="2">
        <f t="shared" si="403"/>
        <v>4.4405349190000001</v>
      </c>
      <c r="I2622" s="2">
        <f>INDEX('Wood Density Lookup'!$B$2:$B$152,MATCH(B2622,'Wood Density Lookup'!$A$2:$A$152,0))</f>
        <v>0.6</v>
      </c>
      <c r="J2622" s="2">
        <f t="shared" si="404"/>
        <v>0.30968892160879824</v>
      </c>
      <c r="K2622" s="2">
        <f t="shared" si="408"/>
        <v>8.6712898050463519E-2</v>
      </c>
      <c r="L2622" s="2">
        <f t="shared" si="409"/>
        <v>0.39640181965926174</v>
      </c>
      <c r="M2622" s="2">
        <f t="shared" si="405"/>
        <v>0.28739131925296474</v>
      </c>
      <c r="N2622" s="2">
        <f t="shared" si="406"/>
        <v>0.14369565962648237</v>
      </c>
      <c r="O2622" s="2">
        <f t="shared" si="407"/>
        <v>0.52736307082919032</v>
      </c>
      <c r="P2622" s="2">
        <v>72.553424000000007</v>
      </c>
      <c r="Q2622" s="2">
        <v>23.037011</v>
      </c>
    </row>
    <row r="2623" spans="1:17" x14ac:dyDescent="0.25">
      <c r="A2623" s="2">
        <v>2809</v>
      </c>
      <c r="B2623" s="2" t="s">
        <v>69</v>
      </c>
      <c r="C2623" s="2">
        <v>4</v>
      </c>
      <c r="D2623" s="2">
        <f t="shared" si="400"/>
        <v>10.16</v>
      </c>
      <c r="E2623" s="2">
        <f t="shared" si="401"/>
        <v>3.2340284436273135</v>
      </c>
      <c r="F2623" s="2">
        <f t="shared" si="402"/>
        <v>1.2732395447351628</v>
      </c>
      <c r="G2623" s="2">
        <v>6.1791330000000002</v>
      </c>
      <c r="H2623" s="2">
        <f t="shared" si="403"/>
        <v>20.27274671172</v>
      </c>
      <c r="I2623" s="2">
        <f>INDEX('Wood Density Lookup'!$B$2:$B$152,MATCH(B2623,'Wood Density Lookup'!$A$2:$A$152,0))</f>
        <v>0.55000000000000004</v>
      </c>
      <c r="J2623" s="2">
        <f t="shared" si="404"/>
        <v>2.1957065511316438</v>
      </c>
      <c r="K2623" s="2">
        <f t="shared" si="408"/>
        <v>0.6147978343168603</v>
      </c>
      <c r="L2623" s="2">
        <f t="shared" si="409"/>
        <v>2.8105043854485041</v>
      </c>
      <c r="M2623" s="2">
        <f t="shared" si="405"/>
        <v>2.0376156794501656</v>
      </c>
      <c r="N2623" s="2">
        <f t="shared" si="406"/>
        <v>1.0188078397250828</v>
      </c>
      <c r="O2623" s="2">
        <f t="shared" si="407"/>
        <v>3.7390247717910539</v>
      </c>
      <c r="P2623" s="2">
        <v>72.553425000000004</v>
      </c>
      <c r="Q2623" s="2">
        <v>23.038724999999999</v>
      </c>
    </row>
    <row r="2624" spans="1:17" x14ac:dyDescent="0.25">
      <c r="A2624" s="2">
        <v>2810</v>
      </c>
      <c r="B2624" s="2" t="s">
        <v>103</v>
      </c>
      <c r="C2624" s="2">
        <v>2</v>
      </c>
      <c r="D2624" s="2">
        <f t="shared" si="400"/>
        <v>5.08</v>
      </c>
      <c r="E2624" s="2">
        <f t="shared" si="401"/>
        <v>1.6170142218136567</v>
      </c>
      <c r="F2624" s="2">
        <f t="shared" si="402"/>
        <v>0.63661977236758138</v>
      </c>
      <c r="G2624" s="2">
        <v>1.5455989999999999</v>
      </c>
      <c r="H2624" s="2">
        <f t="shared" si="403"/>
        <v>5.0708630231599994</v>
      </c>
      <c r="I2624" s="2">
        <f>INDEX('Wood Density Lookup'!$B$2:$B$152,MATCH(B2624,'Wood Density Lookup'!$A$2:$A$152,0))</f>
        <v>0.6</v>
      </c>
      <c r="J2624" s="2">
        <f t="shared" si="404"/>
        <v>0.15975652442265031</v>
      </c>
      <c r="K2624" s="2">
        <f t="shared" si="408"/>
        <v>4.4731826838342093E-2</v>
      </c>
      <c r="L2624" s="2">
        <f t="shared" si="409"/>
        <v>0.20448835126099241</v>
      </c>
      <c r="M2624" s="2">
        <f t="shared" si="405"/>
        <v>0.14825405466421948</v>
      </c>
      <c r="N2624" s="2">
        <f t="shared" si="406"/>
        <v>7.4127027332109741E-2</v>
      </c>
      <c r="O2624" s="2">
        <f t="shared" si="407"/>
        <v>0.27204619030884275</v>
      </c>
      <c r="P2624" s="2">
        <v>72.553426000000002</v>
      </c>
      <c r="Q2624" s="2">
        <v>23.037016999999999</v>
      </c>
    </row>
    <row r="2625" spans="1:17" x14ac:dyDescent="0.25">
      <c r="A2625" s="2">
        <v>2811</v>
      </c>
      <c r="B2625" s="2" t="s">
        <v>137</v>
      </c>
      <c r="C2625" s="2">
        <v>12</v>
      </c>
      <c r="D2625" s="2">
        <f t="shared" ref="D2625:D2688" si="410">C2625*2.54</f>
        <v>30.48</v>
      </c>
      <c r="E2625" s="2">
        <f t="shared" ref="E2625:E2688" si="411">D2625/PI()</f>
        <v>9.7020853308819408</v>
      </c>
      <c r="F2625" s="2">
        <f t="shared" ref="F2625:F2688" si="412">C2625/PI()</f>
        <v>3.8197186342054881</v>
      </c>
      <c r="G2625" s="2">
        <v>1.0125040000000001</v>
      </c>
      <c r="H2625" s="2">
        <f t="shared" ref="H2625:H2688" si="413">G2625*3.28084</f>
        <v>3.3218636233600001</v>
      </c>
      <c r="I2625" s="2">
        <f>INDEX('Wood Density Lookup'!$B$2:$B$152,MATCH(B2625,'Wood Density Lookup'!$A$2:$A$152,0))</f>
        <v>0.55000000000000004</v>
      </c>
      <c r="J2625" s="2">
        <f t="shared" ref="J2625:J2688" si="414">0.0673*POWER(I2625*E2625^2*G2625,0.976)</f>
        <v>3.2080189901965666</v>
      </c>
      <c r="K2625" s="2">
        <f t="shared" si="408"/>
        <v>0.89824531725503876</v>
      </c>
      <c r="L2625" s="2">
        <f t="shared" si="409"/>
        <v>4.106264307451605</v>
      </c>
      <c r="M2625" s="2">
        <f t="shared" ref="M2625:M2688" si="415">0.725*L2625</f>
        <v>2.9770416229024135</v>
      </c>
      <c r="N2625" s="2">
        <f t="shared" ref="N2625:N2688" si="416">0.5*M2625</f>
        <v>1.4885208114512067</v>
      </c>
      <c r="O2625" s="2">
        <f t="shared" ref="O2625:O2688" si="417">3.67*N2625</f>
        <v>5.4628713780259286</v>
      </c>
      <c r="P2625" s="2">
        <v>72.553427999999997</v>
      </c>
      <c r="Q2625" s="2">
        <v>23.037813</v>
      </c>
    </row>
    <row r="2626" spans="1:17" x14ac:dyDescent="0.25">
      <c r="A2626" s="2">
        <v>2812</v>
      </c>
      <c r="B2626" s="2" t="s">
        <v>103</v>
      </c>
      <c r="C2626" s="2">
        <v>2</v>
      </c>
      <c r="D2626" s="2">
        <f t="shared" si="410"/>
        <v>5.08</v>
      </c>
      <c r="E2626" s="2">
        <f t="shared" si="411"/>
        <v>1.6170142218136567</v>
      </c>
      <c r="F2626" s="2">
        <f t="shared" si="412"/>
        <v>0.63661977236758138</v>
      </c>
      <c r="G2626" s="2">
        <v>1.450177</v>
      </c>
      <c r="H2626" s="2">
        <f t="shared" si="413"/>
        <v>4.7577987086800002</v>
      </c>
      <c r="I2626" s="2">
        <f>INDEX('Wood Density Lookup'!$B$2:$B$152,MATCH(B2626,'Wood Density Lookup'!$A$2:$A$152,0))</f>
        <v>0.6</v>
      </c>
      <c r="J2626" s="2">
        <f t="shared" si="414"/>
        <v>0.15012292168670466</v>
      </c>
      <c r="K2626" s="2">
        <f t="shared" si="408"/>
        <v>4.2034418072277306E-2</v>
      </c>
      <c r="L2626" s="2">
        <f t="shared" si="409"/>
        <v>0.19215733975898197</v>
      </c>
      <c r="M2626" s="2">
        <f t="shared" si="415"/>
        <v>0.13931407132526191</v>
      </c>
      <c r="N2626" s="2">
        <f t="shared" si="416"/>
        <v>6.9657035662630956E-2</v>
      </c>
      <c r="O2626" s="2">
        <f t="shared" si="417"/>
        <v>0.25564132088185559</v>
      </c>
      <c r="P2626" s="2">
        <v>72.553430000000006</v>
      </c>
      <c r="Q2626" s="2">
        <v>23.037012000000001</v>
      </c>
    </row>
    <row r="2627" spans="1:17" x14ac:dyDescent="0.25">
      <c r="A2627" s="2">
        <v>2813</v>
      </c>
      <c r="B2627" s="2" t="s">
        <v>103</v>
      </c>
      <c r="C2627" s="2">
        <v>1</v>
      </c>
      <c r="D2627" s="2">
        <f t="shared" si="410"/>
        <v>2.54</v>
      </c>
      <c r="E2627" s="2">
        <f t="shared" si="411"/>
        <v>0.80850711090682836</v>
      </c>
      <c r="F2627" s="2">
        <f t="shared" si="412"/>
        <v>0.31830988618379069</v>
      </c>
      <c r="G2627" s="2">
        <v>1.505927</v>
      </c>
      <c r="H2627" s="2">
        <f t="shared" si="413"/>
        <v>4.9407055386799996</v>
      </c>
      <c r="I2627" s="2">
        <f>INDEX('Wood Density Lookup'!$B$2:$B$152,MATCH(B2627,'Wood Density Lookup'!$A$2:$A$152,0))</f>
        <v>0.6</v>
      </c>
      <c r="J2627" s="2">
        <f t="shared" si="414"/>
        <v>4.02555879202584E-2</v>
      </c>
      <c r="K2627" s="2">
        <f t="shared" ref="K2627:K2690" si="418">0.28*J2627</f>
        <v>1.1271564617672354E-2</v>
      </c>
      <c r="L2627" s="2">
        <f t="shared" ref="L2627:L2690" si="419">J2627+K2627</f>
        <v>5.1527152537930755E-2</v>
      </c>
      <c r="M2627" s="2">
        <f t="shared" si="415"/>
        <v>3.7357185589999793E-2</v>
      </c>
      <c r="N2627" s="2">
        <f t="shared" si="416"/>
        <v>1.8678592794999897E-2</v>
      </c>
      <c r="O2627" s="2">
        <f t="shared" si="417"/>
        <v>6.8550435557649614E-2</v>
      </c>
      <c r="P2627" s="2">
        <v>72.553432000000001</v>
      </c>
      <c r="Q2627" s="2">
        <v>23.037023999999999</v>
      </c>
    </row>
    <row r="2628" spans="1:17" x14ac:dyDescent="0.25">
      <c r="A2628" s="2">
        <v>2814</v>
      </c>
      <c r="B2628" s="2" t="s">
        <v>103</v>
      </c>
      <c r="C2628" s="2">
        <v>2</v>
      </c>
      <c r="D2628" s="2">
        <f t="shared" si="410"/>
        <v>5.08</v>
      </c>
      <c r="E2628" s="2">
        <f t="shared" si="411"/>
        <v>1.6170142218136567</v>
      </c>
      <c r="F2628" s="2">
        <f t="shared" si="412"/>
        <v>0.63661977236758138</v>
      </c>
      <c r="G2628" s="2">
        <v>1.48871</v>
      </c>
      <c r="H2628" s="2">
        <f t="shared" si="413"/>
        <v>4.8842193164000003</v>
      </c>
      <c r="I2628" s="2">
        <f>INDEX('Wood Density Lookup'!$B$2:$B$152,MATCH(B2628,'Wood Density Lookup'!$A$2:$A$152,0))</f>
        <v>0.6</v>
      </c>
      <c r="J2628" s="2">
        <f t="shared" si="414"/>
        <v>0.15401490864243125</v>
      </c>
      <c r="K2628" s="2">
        <f t="shared" si="418"/>
        <v>4.3124174419880756E-2</v>
      </c>
      <c r="L2628" s="2">
        <f t="shared" si="419"/>
        <v>0.19713908306231201</v>
      </c>
      <c r="M2628" s="2">
        <f t="shared" si="415"/>
        <v>0.14292583522017621</v>
      </c>
      <c r="N2628" s="2">
        <f t="shared" si="416"/>
        <v>7.1462917610088106E-2</v>
      </c>
      <c r="O2628" s="2">
        <f t="shared" si="417"/>
        <v>0.26226890762902333</v>
      </c>
      <c r="P2628" s="2">
        <v>72.553432000000001</v>
      </c>
      <c r="Q2628" s="2">
        <v>23.037018</v>
      </c>
    </row>
    <row r="2629" spans="1:17" x14ac:dyDescent="0.25">
      <c r="A2629" s="2">
        <v>2815</v>
      </c>
      <c r="B2629" s="2" t="s">
        <v>103</v>
      </c>
      <c r="C2629" s="2">
        <v>1</v>
      </c>
      <c r="D2629" s="2">
        <f t="shared" si="410"/>
        <v>2.54</v>
      </c>
      <c r="E2629" s="2">
        <f t="shared" si="411"/>
        <v>0.80850711090682836</v>
      </c>
      <c r="F2629" s="2">
        <f t="shared" si="412"/>
        <v>0.31830988618379069</v>
      </c>
      <c r="G2629" s="2">
        <v>1.4812320000000001</v>
      </c>
      <c r="H2629" s="2">
        <f t="shared" si="413"/>
        <v>4.8596851948799999</v>
      </c>
      <c r="I2629" s="2">
        <f>INDEX('Wood Density Lookup'!$B$2:$B$152,MATCH(B2629,'Wood Density Lookup'!$A$2:$A$152,0))</f>
        <v>0.6</v>
      </c>
      <c r="J2629" s="2">
        <f t="shared" si="414"/>
        <v>3.9611170848070323E-2</v>
      </c>
      <c r="K2629" s="2">
        <f t="shared" si="418"/>
        <v>1.1091127837459691E-2</v>
      </c>
      <c r="L2629" s="2">
        <f t="shared" si="419"/>
        <v>5.0702298685530015E-2</v>
      </c>
      <c r="M2629" s="2">
        <f t="shared" si="415"/>
        <v>3.675916654700926E-2</v>
      </c>
      <c r="N2629" s="2">
        <f t="shared" si="416"/>
        <v>1.837958327350463E-2</v>
      </c>
      <c r="O2629" s="2">
        <f t="shared" si="417"/>
        <v>6.745307061376199E-2</v>
      </c>
      <c r="P2629" s="2">
        <v>72.553434999999993</v>
      </c>
      <c r="Q2629" s="2">
        <v>23.037012000000001</v>
      </c>
    </row>
    <row r="2630" spans="1:17" x14ac:dyDescent="0.25">
      <c r="A2630" s="2">
        <v>2816</v>
      </c>
      <c r="B2630" s="2" t="s">
        <v>103</v>
      </c>
      <c r="C2630" s="2">
        <v>2</v>
      </c>
      <c r="D2630" s="2">
        <f t="shared" si="410"/>
        <v>5.08</v>
      </c>
      <c r="E2630" s="2">
        <f t="shared" si="411"/>
        <v>1.6170142218136567</v>
      </c>
      <c r="F2630" s="2">
        <f t="shared" si="412"/>
        <v>0.63661977236758138</v>
      </c>
      <c r="G2630" s="2">
        <v>1.488615</v>
      </c>
      <c r="H2630" s="2">
        <f t="shared" si="413"/>
        <v>4.8839076366</v>
      </c>
      <c r="I2630" s="2">
        <f>INDEX('Wood Density Lookup'!$B$2:$B$152,MATCH(B2630,'Wood Density Lookup'!$A$2:$A$152,0))</f>
        <v>0.6</v>
      </c>
      <c r="J2630" s="2">
        <f t="shared" si="414"/>
        <v>0.15400531626160166</v>
      </c>
      <c r="K2630" s="2">
        <f t="shared" si="418"/>
        <v>4.3121488553248467E-2</v>
      </c>
      <c r="L2630" s="2">
        <f t="shared" si="419"/>
        <v>0.19712680481485012</v>
      </c>
      <c r="M2630" s="2">
        <f t="shared" si="415"/>
        <v>0.14291693349076634</v>
      </c>
      <c r="N2630" s="2">
        <f t="shared" si="416"/>
        <v>7.145846674538317E-2</v>
      </c>
      <c r="O2630" s="2">
        <f t="shared" si="417"/>
        <v>0.26225257295555621</v>
      </c>
      <c r="P2630" s="2">
        <v>72.553438</v>
      </c>
      <c r="Q2630" s="2">
        <v>23.037023999999999</v>
      </c>
    </row>
    <row r="2631" spans="1:17" x14ac:dyDescent="0.25">
      <c r="A2631" s="2">
        <v>2817</v>
      </c>
      <c r="B2631" s="2" t="s">
        <v>103</v>
      </c>
      <c r="C2631" s="2">
        <v>2</v>
      </c>
      <c r="D2631" s="2">
        <f t="shared" si="410"/>
        <v>5.08</v>
      </c>
      <c r="E2631" s="2">
        <f t="shared" si="411"/>
        <v>1.6170142218136567</v>
      </c>
      <c r="F2631" s="2">
        <f t="shared" si="412"/>
        <v>0.63661977236758138</v>
      </c>
      <c r="G2631" s="2">
        <v>1.430782</v>
      </c>
      <c r="H2631" s="2">
        <f t="shared" si="413"/>
        <v>4.6941668168800001</v>
      </c>
      <c r="I2631" s="2">
        <f>INDEX('Wood Density Lookup'!$B$2:$B$152,MATCH(B2631,'Wood Density Lookup'!$A$2:$A$152,0))</f>
        <v>0.6</v>
      </c>
      <c r="J2631" s="2">
        <f t="shared" si="414"/>
        <v>0.14816301402017437</v>
      </c>
      <c r="K2631" s="2">
        <f t="shared" si="418"/>
        <v>4.1485643925648831E-2</v>
      </c>
      <c r="L2631" s="2">
        <f t="shared" si="419"/>
        <v>0.1896486579458232</v>
      </c>
      <c r="M2631" s="2">
        <f t="shared" si="415"/>
        <v>0.13749527701072181</v>
      </c>
      <c r="N2631" s="2">
        <f t="shared" si="416"/>
        <v>6.8747638505360906E-2</v>
      </c>
      <c r="O2631" s="2">
        <f t="shared" si="417"/>
        <v>0.25230383331467454</v>
      </c>
      <c r="P2631" s="2">
        <v>72.553438</v>
      </c>
      <c r="Q2631" s="2">
        <v>23.037019000000001</v>
      </c>
    </row>
    <row r="2632" spans="1:17" x14ac:dyDescent="0.25">
      <c r="A2632" s="2">
        <v>2818</v>
      </c>
      <c r="B2632" s="2" t="s">
        <v>103</v>
      </c>
      <c r="C2632" s="2">
        <v>1</v>
      </c>
      <c r="D2632" s="2">
        <f t="shared" si="410"/>
        <v>2.54</v>
      </c>
      <c r="E2632" s="2">
        <f t="shared" si="411"/>
        <v>0.80850711090682836</v>
      </c>
      <c r="F2632" s="2">
        <f t="shared" si="412"/>
        <v>0.31830988618379069</v>
      </c>
      <c r="G2632" s="2">
        <v>1.4828140000000001</v>
      </c>
      <c r="H2632" s="2">
        <f t="shared" si="413"/>
        <v>4.8648754837600006</v>
      </c>
      <c r="I2632" s="2">
        <f>INDEX('Wood Density Lookup'!$B$2:$B$152,MATCH(B2632,'Wood Density Lookup'!$A$2:$A$152,0))</f>
        <v>0.6</v>
      </c>
      <c r="J2632" s="2">
        <f t="shared" si="414"/>
        <v>3.9652460890259721E-2</v>
      </c>
      <c r="K2632" s="2">
        <f t="shared" si="418"/>
        <v>1.1102689049272722E-2</v>
      </c>
      <c r="L2632" s="2">
        <f t="shared" si="419"/>
        <v>5.0755149939532444E-2</v>
      </c>
      <c r="M2632" s="2">
        <f t="shared" si="415"/>
        <v>3.6797483706161024E-2</v>
      </c>
      <c r="N2632" s="2">
        <f t="shared" si="416"/>
        <v>1.8398741853080512E-2</v>
      </c>
      <c r="O2632" s="2">
        <f t="shared" si="417"/>
        <v>6.7523382600805482E-2</v>
      </c>
      <c r="P2632" s="2">
        <v>72.553441000000007</v>
      </c>
      <c r="Q2632" s="2">
        <v>23.037012000000001</v>
      </c>
    </row>
    <row r="2633" spans="1:17" x14ac:dyDescent="0.25">
      <c r="A2633" s="2">
        <v>2819</v>
      </c>
      <c r="B2633" s="2" t="s">
        <v>11</v>
      </c>
      <c r="C2633" s="2">
        <v>32</v>
      </c>
      <c r="D2633" s="2">
        <f t="shared" si="410"/>
        <v>81.28</v>
      </c>
      <c r="E2633" s="2">
        <f t="shared" si="411"/>
        <v>25.872227549018508</v>
      </c>
      <c r="F2633" s="2">
        <f t="shared" si="412"/>
        <v>10.185916357881302</v>
      </c>
      <c r="G2633" s="2">
        <v>5.072254</v>
      </c>
      <c r="H2633" s="2">
        <f t="shared" si="413"/>
        <v>16.641253813359999</v>
      </c>
      <c r="I2633" s="2">
        <f>INDEX('Wood Density Lookup'!$B$2:$B$152,MATCH(B2633,'Wood Density Lookup'!$A$2:$A$152,0))</f>
        <v>0.45</v>
      </c>
      <c r="J2633" s="2">
        <f t="shared" si="414"/>
        <v>86.233947710603317</v>
      </c>
      <c r="K2633" s="2">
        <f t="shared" si="418"/>
        <v>24.145505358968933</v>
      </c>
      <c r="L2633" s="2">
        <f t="shared" si="419"/>
        <v>110.37945306957225</v>
      </c>
      <c r="M2633" s="2">
        <f t="shared" si="415"/>
        <v>80.025103475439877</v>
      </c>
      <c r="N2633" s="2">
        <f t="shared" si="416"/>
        <v>40.012551737719939</v>
      </c>
      <c r="O2633" s="2">
        <f t="shared" si="417"/>
        <v>146.84606487743218</v>
      </c>
      <c r="P2633" s="2">
        <v>72.553443000000001</v>
      </c>
      <c r="Q2633" s="2">
        <v>23.038188999999999</v>
      </c>
    </row>
    <row r="2634" spans="1:17" x14ac:dyDescent="0.25">
      <c r="A2634" s="2">
        <v>2820</v>
      </c>
      <c r="B2634" s="2" t="s">
        <v>59</v>
      </c>
      <c r="C2634" s="2">
        <v>24</v>
      </c>
      <c r="D2634" s="2">
        <f t="shared" si="410"/>
        <v>60.96</v>
      </c>
      <c r="E2634" s="2">
        <f t="shared" si="411"/>
        <v>19.404170661763882</v>
      </c>
      <c r="F2634" s="2">
        <f t="shared" si="412"/>
        <v>7.6394372684109761</v>
      </c>
      <c r="G2634" s="2">
        <v>6.5640809999999998</v>
      </c>
      <c r="H2634" s="2">
        <f t="shared" si="413"/>
        <v>21.53569950804</v>
      </c>
      <c r="I2634" s="2">
        <f>INDEX('Wood Density Lookup'!$B$2:$B$152,MATCH(B2634,'Wood Density Lookup'!$A$2:$A$152,0))</f>
        <v>0.45</v>
      </c>
      <c r="J2634" s="2">
        <f t="shared" si="414"/>
        <v>63.253336984511307</v>
      </c>
      <c r="K2634" s="2">
        <f t="shared" si="418"/>
        <v>17.710934355663166</v>
      </c>
      <c r="L2634" s="2">
        <f t="shared" si="419"/>
        <v>80.964271340174477</v>
      </c>
      <c r="M2634" s="2">
        <f t="shared" si="415"/>
        <v>58.699096721626496</v>
      </c>
      <c r="N2634" s="2">
        <f t="shared" si="416"/>
        <v>29.349548360813248</v>
      </c>
      <c r="O2634" s="2">
        <f t="shared" si="417"/>
        <v>107.71284248418462</v>
      </c>
      <c r="P2634" s="2">
        <v>72.553443000000001</v>
      </c>
      <c r="Q2634" s="2">
        <v>23.038150999999999</v>
      </c>
    </row>
    <row r="2635" spans="1:17" x14ac:dyDescent="0.25">
      <c r="A2635" s="2">
        <v>2821</v>
      </c>
      <c r="B2635" s="2" t="s">
        <v>11</v>
      </c>
      <c r="C2635" s="2">
        <v>24</v>
      </c>
      <c r="D2635" s="2">
        <f t="shared" si="410"/>
        <v>60.96</v>
      </c>
      <c r="E2635" s="2">
        <f t="shared" si="411"/>
        <v>19.404170661763882</v>
      </c>
      <c r="F2635" s="2">
        <f t="shared" si="412"/>
        <v>7.6394372684109761</v>
      </c>
      <c r="G2635" s="2">
        <v>5.072254</v>
      </c>
      <c r="H2635" s="2">
        <f t="shared" si="413"/>
        <v>16.641253813359999</v>
      </c>
      <c r="I2635" s="2">
        <f>INDEX('Wood Density Lookup'!$B$2:$B$152,MATCH(B2635,'Wood Density Lookup'!$A$2:$A$152,0))</f>
        <v>0.45</v>
      </c>
      <c r="J2635" s="2">
        <f t="shared" si="414"/>
        <v>49.181056539191779</v>
      </c>
      <c r="K2635" s="2">
        <f t="shared" si="418"/>
        <v>13.770695830973699</v>
      </c>
      <c r="L2635" s="2">
        <f t="shared" si="419"/>
        <v>62.95175237016548</v>
      </c>
      <c r="M2635" s="2">
        <f t="shared" si="415"/>
        <v>45.640020468369968</v>
      </c>
      <c r="N2635" s="2">
        <f t="shared" si="416"/>
        <v>22.820010234184984</v>
      </c>
      <c r="O2635" s="2">
        <f t="shared" si="417"/>
        <v>83.749437559458897</v>
      </c>
      <c r="P2635" s="2">
        <v>72.553443000000001</v>
      </c>
      <c r="Q2635" s="2">
        <v>23.038188999999999</v>
      </c>
    </row>
    <row r="2636" spans="1:17" x14ac:dyDescent="0.25">
      <c r="A2636" s="2">
        <v>2822</v>
      </c>
      <c r="B2636" s="2" t="s">
        <v>59</v>
      </c>
      <c r="C2636" s="2">
        <v>9</v>
      </c>
      <c r="D2636" s="2">
        <f t="shared" si="410"/>
        <v>22.86</v>
      </c>
      <c r="E2636" s="2">
        <f t="shared" si="411"/>
        <v>7.2765639981614552</v>
      </c>
      <c r="F2636" s="2">
        <f t="shared" si="412"/>
        <v>2.8647889756541161</v>
      </c>
      <c r="G2636" s="2">
        <v>6.5640809999999998</v>
      </c>
      <c r="H2636" s="2">
        <f t="shared" si="413"/>
        <v>21.53569950804</v>
      </c>
      <c r="I2636" s="2">
        <f>INDEX('Wood Density Lookup'!$B$2:$B$152,MATCH(B2636,'Wood Density Lookup'!$A$2:$A$152,0))</f>
        <v>0.45</v>
      </c>
      <c r="J2636" s="2">
        <f t="shared" si="414"/>
        <v>9.3237898563026729</v>
      </c>
      <c r="K2636" s="2">
        <f t="shared" si="418"/>
        <v>2.6106611597647484</v>
      </c>
      <c r="L2636" s="2">
        <f t="shared" si="419"/>
        <v>11.93445101606742</v>
      </c>
      <c r="M2636" s="2">
        <f t="shared" si="415"/>
        <v>8.65247698664888</v>
      </c>
      <c r="N2636" s="2">
        <f t="shared" si="416"/>
        <v>4.32623849332444</v>
      </c>
      <c r="O2636" s="2">
        <f t="shared" si="417"/>
        <v>15.877295270500694</v>
      </c>
      <c r="P2636" s="2">
        <v>72.553443000000001</v>
      </c>
      <c r="Q2636" s="2">
        <v>23.038150999999999</v>
      </c>
    </row>
    <row r="2637" spans="1:17" x14ac:dyDescent="0.25">
      <c r="A2637" s="2">
        <v>2823</v>
      </c>
      <c r="B2637" s="2" t="s">
        <v>103</v>
      </c>
      <c r="C2637" s="2">
        <v>3</v>
      </c>
      <c r="D2637" s="2">
        <f t="shared" si="410"/>
        <v>7.62</v>
      </c>
      <c r="E2637" s="2">
        <f t="shared" si="411"/>
        <v>2.4255213327204852</v>
      </c>
      <c r="F2637" s="2">
        <f t="shared" si="412"/>
        <v>0.95492965855137202</v>
      </c>
      <c r="G2637" s="2">
        <v>1.2665200000000001</v>
      </c>
      <c r="H2637" s="2">
        <f t="shared" si="413"/>
        <v>4.1552494767999999</v>
      </c>
      <c r="I2637" s="2">
        <f>INDEX('Wood Density Lookup'!$B$2:$B$152,MATCH(B2637,'Wood Density Lookup'!$A$2:$A$152,0))</f>
        <v>0.6</v>
      </c>
      <c r="J2637" s="2">
        <f t="shared" si="414"/>
        <v>0.29025492676614706</v>
      </c>
      <c r="K2637" s="2">
        <f t="shared" si="418"/>
        <v>8.1271379494521179E-2</v>
      </c>
      <c r="L2637" s="2">
        <f t="shared" si="419"/>
        <v>0.37152630626066824</v>
      </c>
      <c r="M2637" s="2">
        <f t="shared" si="415"/>
        <v>0.26935657203898444</v>
      </c>
      <c r="N2637" s="2">
        <f t="shared" si="416"/>
        <v>0.13467828601949222</v>
      </c>
      <c r="O2637" s="2">
        <f t="shared" si="417"/>
        <v>0.49426930969153643</v>
      </c>
      <c r="P2637" s="2">
        <v>72.553443000000001</v>
      </c>
      <c r="Q2637" s="2">
        <v>23.037018</v>
      </c>
    </row>
    <row r="2638" spans="1:17" x14ac:dyDescent="0.25">
      <c r="A2638" s="2">
        <v>2824</v>
      </c>
      <c r="B2638" s="2" t="s">
        <v>103</v>
      </c>
      <c r="C2638" s="2">
        <v>1</v>
      </c>
      <c r="D2638" s="2">
        <f t="shared" si="410"/>
        <v>2.54</v>
      </c>
      <c r="E2638" s="2">
        <f t="shared" si="411"/>
        <v>0.80850711090682836</v>
      </c>
      <c r="F2638" s="2">
        <f t="shared" si="412"/>
        <v>0.31830988618379069</v>
      </c>
      <c r="G2638" s="2">
        <v>1.323998</v>
      </c>
      <c r="H2638" s="2">
        <f t="shared" si="413"/>
        <v>4.3438255983199996</v>
      </c>
      <c r="I2638" s="2">
        <f>INDEX('Wood Density Lookup'!$B$2:$B$152,MATCH(B2638,'Wood Density Lookup'!$A$2:$A$152,0))</f>
        <v>0.6</v>
      </c>
      <c r="J2638" s="2">
        <f t="shared" si="414"/>
        <v>3.5501898753374034E-2</v>
      </c>
      <c r="K2638" s="2">
        <f t="shared" si="418"/>
        <v>9.9405316509447311E-3</v>
      </c>
      <c r="L2638" s="2">
        <f t="shared" si="419"/>
        <v>4.5442430404318765E-2</v>
      </c>
      <c r="M2638" s="2">
        <f t="shared" si="415"/>
        <v>3.2945762043131106E-2</v>
      </c>
      <c r="N2638" s="2">
        <f t="shared" si="416"/>
        <v>1.6472881021565553E-2</v>
      </c>
      <c r="O2638" s="2">
        <f t="shared" si="417"/>
        <v>6.0455473349145576E-2</v>
      </c>
      <c r="P2638" s="2">
        <v>72.553445999999994</v>
      </c>
      <c r="Q2638" s="2">
        <v>23.037013000000002</v>
      </c>
    </row>
    <row r="2639" spans="1:17" x14ac:dyDescent="0.25">
      <c r="A2639" s="2">
        <v>2825</v>
      </c>
      <c r="B2639" s="2" t="s">
        <v>59</v>
      </c>
      <c r="C2639" s="2">
        <v>37</v>
      </c>
      <c r="D2639" s="2">
        <f t="shared" si="410"/>
        <v>93.98</v>
      </c>
      <c r="E2639" s="2">
        <f t="shared" si="411"/>
        <v>29.914763103552648</v>
      </c>
      <c r="F2639" s="2">
        <f t="shared" si="412"/>
        <v>11.777465788800255</v>
      </c>
      <c r="G2639" s="2">
        <v>8.2227440000000005</v>
      </c>
      <c r="H2639" s="2">
        <f t="shared" si="413"/>
        <v>26.977507424960002</v>
      </c>
      <c r="I2639" s="2">
        <f>INDEX('Wood Density Lookup'!$B$2:$B$152,MATCH(B2639,'Wood Density Lookup'!$A$2:$A$152,0))</f>
        <v>0.45</v>
      </c>
      <c r="J2639" s="2">
        <f t="shared" si="414"/>
        <v>183.45750101806567</v>
      </c>
      <c r="K2639" s="2">
        <f t="shared" si="418"/>
        <v>51.368100285058389</v>
      </c>
      <c r="L2639" s="2">
        <f t="shared" si="419"/>
        <v>234.82560130312407</v>
      </c>
      <c r="M2639" s="2">
        <f t="shared" si="415"/>
        <v>170.24856094476496</v>
      </c>
      <c r="N2639" s="2">
        <f t="shared" si="416"/>
        <v>85.12428047238248</v>
      </c>
      <c r="O2639" s="2">
        <f t="shared" si="417"/>
        <v>312.40610933364371</v>
      </c>
      <c r="P2639" s="2">
        <v>72.553449999999998</v>
      </c>
      <c r="Q2639" s="2">
        <v>23.03811</v>
      </c>
    </row>
    <row r="2640" spans="1:17" x14ac:dyDescent="0.25">
      <c r="A2640" s="2">
        <v>2826</v>
      </c>
      <c r="B2640" s="2" t="s">
        <v>146</v>
      </c>
      <c r="C2640" s="2">
        <v>4</v>
      </c>
      <c r="D2640" s="2">
        <f t="shared" si="410"/>
        <v>10.16</v>
      </c>
      <c r="E2640" s="2">
        <f t="shared" si="411"/>
        <v>3.2340284436273135</v>
      </c>
      <c r="F2640" s="2">
        <f t="shared" si="412"/>
        <v>1.2732395447351628</v>
      </c>
      <c r="G2640" s="2">
        <v>2.8244579999999999</v>
      </c>
      <c r="H2640" s="2">
        <f t="shared" si="413"/>
        <v>9.2665947847200005</v>
      </c>
      <c r="I2640" s="2">
        <f>INDEX('Wood Density Lookup'!$B$2:$B$152,MATCH(B2640,'Wood Density Lookup'!$A$2:$A$152,0))</f>
        <v>0.55000000000000004</v>
      </c>
      <c r="J2640" s="2">
        <f t="shared" si="414"/>
        <v>1.0226845471994985</v>
      </c>
      <c r="K2640" s="2">
        <f t="shared" si="418"/>
        <v>0.28635167321585964</v>
      </c>
      <c r="L2640" s="2">
        <f t="shared" si="419"/>
        <v>1.3090362204153583</v>
      </c>
      <c r="M2640" s="2">
        <f t="shared" si="415"/>
        <v>0.94905125980113469</v>
      </c>
      <c r="N2640" s="2">
        <f t="shared" si="416"/>
        <v>0.47452562990056735</v>
      </c>
      <c r="O2640" s="2">
        <f t="shared" si="417"/>
        <v>1.7415090617350821</v>
      </c>
      <c r="P2640" s="2">
        <v>72.553451999999993</v>
      </c>
      <c r="Q2640" s="2">
        <v>23.038727000000002</v>
      </c>
    </row>
    <row r="2641" spans="1:17" x14ac:dyDescent="0.25">
      <c r="A2641" s="2">
        <v>2827</v>
      </c>
      <c r="B2641" s="2" t="s">
        <v>59</v>
      </c>
      <c r="C2641" s="2">
        <v>30</v>
      </c>
      <c r="D2641" s="2">
        <f t="shared" si="410"/>
        <v>76.2</v>
      </c>
      <c r="E2641" s="2">
        <f t="shared" si="411"/>
        <v>24.255213327204849</v>
      </c>
      <c r="F2641" s="2">
        <f t="shared" si="412"/>
        <v>9.5492965855137211</v>
      </c>
      <c r="G2641" s="2">
        <v>6.9004969999999997</v>
      </c>
      <c r="H2641" s="2">
        <f t="shared" si="413"/>
        <v>22.639426577479998</v>
      </c>
      <c r="I2641" s="2">
        <f>INDEX('Wood Density Lookup'!$B$2:$B$152,MATCH(B2641,'Wood Density Lookup'!$A$2:$A$152,0))</f>
        <v>0.45</v>
      </c>
      <c r="J2641" s="2">
        <f t="shared" si="414"/>
        <v>102.66851317770058</v>
      </c>
      <c r="K2641" s="2">
        <f t="shared" si="418"/>
        <v>28.747183689756163</v>
      </c>
      <c r="L2641" s="2">
        <f t="shared" si="419"/>
        <v>131.41569686745675</v>
      </c>
      <c r="M2641" s="2">
        <f t="shared" si="415"/>
        <v>95.276380228906135</v>
      </c>
      <c r="N2641" s="2">
        <f t="shared" si="416"/>
        <v>47.638190114453067</v>
      </c>
      <c r="O2641" s="2">
        <f t="shared" si="417"/>
        <v>174.83215772004274</v>
      </c>
      <c r="P2641" s="2">
        <v>72.553455999999997</v>
      </c>
      <c r="Q2641" s="2">
        <v>23.038059000000001</v>
      </c>
    </row>
    <row r="2642" spans="1:17" x14ac:dyDescent="0.25">
      <c r="A2642" s="2">
        <v>2828</v>
      </c>
      <c r="B2642" s="2" t="s">
        <v>78</v>
      </c>
      <c r="C2642" s="2">
        <v>22</v>
      </c>
      <c r="D2642" s="2">
        <f t="shared" si="410"/>
        <v>55.88</v>
      </c>
      <c r="E2642" s="2">
        <f t="shared" si="411"/>
        <v>17.787156439950223</v>
      </c>
      <c r="F2642" s="2">
        <f t="shared" si="412"/>
        <v>7.0028174960433951</v>
      </c>
      <c r="G2642" s="2">
        <v>6.9004969999999997</v>
      </c>
      <c r="H2642" s="2">
        <f t="shared" si="413"/>
        <v>22.639426577479998</v>
      </c>
      <c r="I2642" s="2">
        <f>INDEX('Wood Density Lookup'!$B$2:$B$152,MATCH(B2642,'Wood Density Lookup'!$A$2:$A$152,0))</f>
        <v>0.55000000000000004</v>
      </c>
      <c r="J2642" s="2">
        <f t="shared" si="414"/>
        <v>68.16543773826848</v>
      </c>
      <c r="K2642" s="2">
        <f t="shared" si="418"/>
        <v>19.086322566715175</v>
      </c>
      <c r="L2642" s="2">
        <f t="shared" si="419"/>
        <v>87.251760304983662</v>
      </c>
      <c r="M2642" s="2">
        <f t="shared" si="415"/>
        <v>63.257526221113153</v>
      </c>
      <c r="N2642" s="2">
        <f t="shared" si="416"/>
        <v>31.628763110556577</v>
      </c>
      <c r="O2642" s="2">
        <f t="shared" si="417"/>
        <v>116.07756061574263</v>
      </c>
      <c r="P2642" s="2">
        <v>72.553455999999997</v>
      </c>
      <c r="Q2642" s="2">
        <v>23.038059000000001</v>
      </c>
    </row>
    <row r="2643" spans="1:17" x14ac:dyDescent="0.25">
      <c r="A2643" s="2">
        <v>2829</v>
      </c>
      <c r="B2643" s="2" t="s">
        <v>93</v>
      </c>
      <c r="C2643" s="2">
        <v>6</v>
      </c>
      <c r="D2643" s="2">
        <f t="shared" si="410"/>
        <v>15.24</v>
      </c>
      <c r="E2643" s="2">
        <f t="shared" si="411"/>
        <v>4.8510426654409704</v>
      </c>
      <c r="F2643" s="2">
        <f t="shared" si="412"/>
        <v>1.909859317102744</v>
      </c>
      <c r="G2643" s="2">
        <v>2.0140560000000001</v>
      </c>
      <c r="H2643" s="2">
        <f t="shared" si="413"/>
        <v>6.6077954870399997</v>
      </c>
      <c r="I2643" s="2">
        <f>INDEX('Wood Density Lookup'!$B$2:$B$152,MATCH(B2643,'Wood Density Lookup'!$A$2:$A$152,0))</f>
        <v>0.9</v>
      </c>
      <c r="J2643" s="2">
        <f t="shared" si="414"/>
        <v>2.6234916259539935</v>
      </c>
      <c r="K2643" s="2">
        <f t="shared" si="418"/>
        <v>0.73457765526711827</v>
      </c>
      <c r="L2643" s="2">
        <f t="shared" si="419"/>
        <v>3.3580692812211117</v>
      </c>
      <c r="M2643" s="2">
        <f t="shared" si="415"/>
        <v>2.4346002288853059</v>
      </c>
      <c r="N2643" s="2">
        <f t="shared" si="416"/>
        <v>1.217300114442653</v>
      </c>
      <c r="O2643" s="2">
        <f t="shared" si="417"/>
        <v>4.4674914200045359</v>
      </c>
      <c r="P2643" s="2">
        <v>72.553459000000004</v>
      </c>
      <c r="Q2643" s="2">
        <v>23.037983000000001</v>
      </c>
    </row>
    <row r="2644" spans="1:17" x14ac:dyDescent="0.25">
      <c r="A2644" s="2">
        <v>2830</v>
      </c>
      <c r="B2644" s="2" t="s">
        <v>137</v>
      </c>
      <c r="C2644" s="2">
        <v>2</v>
      </c>
      <c r="D2644" s="2">
        <f t="shared" si="410"/>
        <v>5.08</v>
      </c>
      <c r="E2644" s="2">
        <f t="shared" si="411"/>
        <v>1.6170142218136567</v>
      </c>
      <c r="F2644" s="2">
        <f t="shared" si="412"/>
        <v>0.63661977236758138</v>
      </c>
      <c r="G2644" s="2">
        <v>1.1400729999999999</v>
      </c>
      <c r="H2644" s="2">
        <f t="shared" si="413"/>
        <v>3.7403971013199997</v>
      </c>
      <c r="I2644" s="2">
        <f>INDEX('Wood Density Lookup'!$B$2:$B$152,MATCH(B2644,'Wood Density Lookup'!$A$2:$A$152,0))</f>
        <v>0.55000000000000004</v>
      </c>
      <c r="J2644" s="2">
        <f t="shared" si="414"/>
        <v>0.10903972329223008</v>
      </c>
      <c r="K2644" s="2">
        <f t="shared" si="418"/>
        <v>3.0531122521824425E-2</v>
      </c>
      <c r="L2644" s="2">
        <f t="shared" si="419"/>
        <v>0.13957084581405449</v>
      </c>
      <c r="M2644" s="2">
        <f t="shared" si="415"/>
        <v>0.1011888632151895</v>
      </c>
      <c r="N2644" s="2">
        <f t="shared" si="416"/>
        <v>5.0594431607594748E-2</v>
      </c>
      <c r="O2644" s="2">
        <f t="shared" si="417"/>
        <v>0.18568156399987271</v>
      </c>
      <c r="P2644" s="2">
        <v>72.553460999999999</v>
      </c>
      <c r="Q2644" s="2">
        <v>23.035890999999999</v>
      </c>
    </row>
    <row r="2645" spans="1:17" x14ac:dyDescent="0.25">
      <c r="A2645" s="2">
        <v>2831</v>
      </c>
      <c r="B2645" s="2" t="s">
        <v>61</v>
      </c>
      <c r="C2645" s="2">
        <v>3</v>
      </c>
      <c r="D2645" s="2">
        <f t="shared" si="410"/>
        <v>7.62</v>
      </c>
      <c r="E2645" s="2">
        <f t="shared" si="411"/>
        <v>2.4255213327204852</v>
      </c>
      <c r="F2645" s="2">
        <f t="shared" si="412"/>
        <v>0.95492965855137202</v>
      </c>
      <c r="G2645" s="2">
        <v>1.056219</v>
      </c>
      <c r="H2645" s="2">
        <f t="shared" si="413"/>
        <v>3.4652855439599999</v>
      </c>
      <c r="I2645" s="2">
        <f>INDEX('Wood Density Lookup'!$B$2:$B$152,MATCH(B2645,'Wood Density Lookup'!$A$2:$A$152,0))</f>
        <v>0.5</v>
      </c>
      <c r="J2645" s="2">
        <f t="shared" si="414"/>
        <v>0.20348538453576093</v>
      </c>
      <c r="K2645" s="2">
        <f t="shared" si="418"/>
        <v>5.6975907670013065E-2</v>
      </c>
      <c r="L2645" s="2">
        <f t="shared" si="419"/>
        <v>0.26046129220577396</v>
      </c>
      <c r="M2645" s="2">
        <f t="shared" si="415"/>
        <v>0.1888344368491861</v>
      </c>
      <c r="N2645" s="2">
        <f t="shared" si="416"/>
        <v>9.4417218424593052E-2</v>
      </c>
      <c r="O2645" s="2">
        <f t="shared" si="417"/>
        <v>0.3465111916182565</v>
      </c>
      <c r="P2645" s="2">
        <v>72.553465000000003</v>
      </c>
      <c r="Q2645" s="2">
        <v>23.037025</v>
      </c>
    </row>
    <row r="2646" spans="1:17" x14ac:dyDescent="0.25">
      <c r="A2646" s="2">
        <v>2832</v>
      </c>
      <c r="B2646" s="2" t="s">
        <v>114</v>
      </c>
      <c r="C2646" s="2">
        <v>22</v>
      </c>
      <c r="D2646" s="2">
        <f t="shared" si="410"/>
        <v>55.88</v>
      </c>
      <c r="E2646" s="2">
        <f t="shared" si="411"/>
        <v>17.787156439950223</v>
      </c>
      <c r="F2646" s="2">
        <f t="shared" si="412"/>
        <v>7.0028174960433951</v>
      </c>
      <c r="G2646" s="2">
        <v>14.778865</v>
      </c>
      <c r="H2646" s="2">
        <f t="shared" si="413"/>
        <v>48.487091446599997</v>
      </c>
      <c r="I2646" s="2">
        <f>INDEX('Wood Density Lookup'!$B$2:$B$152,MATCH(B2646,'Wood Density Lookup'!$A$2:$A$152,0))</f>
        <v>0.55000000000000004</v>
      </c>
      <c r="J2646" s="2">
        <f t="shared" si="414"/>
        <v>143.34636401461711</v>
      </c>
      <c r="K2646" s="2">
        <f t="shared" si="418"/>
        <v>40.136981924092794</v>
      </c>
      <c r="L2646" s="2">
        <f t="shared" si="419"/>
        <v>183.4833459387099</v>
      </c>
      <c r="M2646" s="2">
        <f t="shared" si="415"/>
        <v>133.02542580556468</v>
      </c>
      <c r="N2646" s="2">
        <f t="shared" si="416"/>
        <v>66.51271290278234</v>
      </c>
      <c r="O2646" s="2">
        <f t="shared" si="417"/>
        <v>244.10165635321118</v>
      </c>
      <c r="P2646" s="2">
        <v>72.553467999999995</v>
      </c>
      <c r="Q2646" s="2">
        <v>23.036508999999999</v>
      </c>
    </row>
    <row r="2647" spans="1:17" x14ac:dyDescent="0.25">
      <c r="A2647" s="2">
        <v>2833</v>
      </c>
      <c r="B2647" s="2" t="s">
        <v>148</v>
      </c>
      <c r="C2647" s="2">
        <v>4</v>
      </c>
      <c r="D2647" s="2">
        <f t="shared" si="410"/>
        <v>10.16</v>
      </c>
      <c r="E2647" s="2">
        <f t="shared" si="411"/>
        <v>3.2340284436273135</v>
      </c>
      <c r="F2647" s="2">
        <f t="shared" si="412"/>
        <v>1.2732395447351628</v>
      </c>
      <c r="G2647" s="2">
        <v>3.4533969999999998</v>
      </c>
      <c r="H2647" s="2">
        <f t="shared" si="413"/>
        <v>11.330043013479999</v>
      </c>
      <c r="I2647" s="2">
        <f>INDEX('Wood Density Lookup'!$B$2:$B$152,MATCH(B2647,'Wood Density Lookup'!$A$2:$A$152,0))</f>
        <v>0.5</v>
      </c>
      <c r="J2647" s="2">
        <f t="shared" si="414"/>
        <v>1.1338571579962624</v>
      </c>
      <c r="K2647" s="2">
        <f t="shared" si="418"/>
        <v>0.31748000423895351</v>
      </c>
      <c r="L2647" s="2">
        <f t="shared" si="419"/>
        <v>1.451337162235216</v>
      </c>
      <c r="M2647" s="2">
        <f t="shared" si="415"/>
        <v>1.0522194426205316</v>
      </c>
      <c r="N2647" s="2">
        <f t="shared" si="416"/>
        <v>0.52610972131026579</v>
      </c>
      <c r="O2647" s="2">
        <f t="shared" si="417"/>
        <v>1.9308226772086754</v>
      </c>
      <c r="P2647" s="2">
        <v>72.553472999999997</v>
      </c>
      <c r="Q2647" s="2">
        <v>23.036783</v>
      </c>
    </row>
    <row r="2648" spans="1:17" x14ac:dyDescent="0.25">
      <c r="A2648" s="2">
        <v>2834</v>
      </c>
      <c r="B2648" s="2" t="s">
        <v>41</v>
      </c>
      <c r="C2648" s="2">
        <v>7</v>
      </c>
      <c r="D2648" s="2">
        <f t="shared" si="410"/>
        <v>17.78</v>
      </c>
      <c r="E2648" s="2">
        <f t="shared" si="411"/>
        <v>5.6595497763477987</v>
      </c>
      <c r="F2648" s="2">
        <f t="shared" si="412"/>
        <v>2.228169203286535</v>
      </c>
      <c r="G2648" s="2">
        <v>4.0485790000000001</v>
      </c>
      <c r="H2648" s="2">
        <f t="shared" si="413"/>
        <v>13.28273992636</v>
      </c>
      <c r="I2648" s="2">
        <f>INDEX('Wood Density Lookup'!$B$2:$B$152,MATCH(B2648,'Wood Density Lookup'!$A$2:$A$152,0))</f>
        <v>0.75</v>
      </c>
      <c r="J2648" s="2">
        <f t="shared" si="414"/>
        <v>5.8645197068100261</v>
      </c>
      <c r="K2648" s="2">
        <f t="shared" si="418"/>
        <v>1.6420655179068075</v>
      </c>
      <c r="L2648" s="2">
        <f t="shared" si="419"/>
        <v>7.5065852247168339</v>
      </c>
      <c r="M2648" s="2">
        <f t="shared" si="415"/>
        <v>5.4422742879197044</v>
      </c>
      <c r="N2648" s="2">
        <f t="shared" si="416"/>
        <v>2.7211371439598522</v>
      </c>
      <c r="O2648" s="2">
        <f t="shared" si="417"/>
        <v>9.9865733183326579</v>
      </c>
      <c r="P2648" s="2">
        <v>72.553483999999997</v>
      </c>
      <c r="Q2648" s="2">
        <v>23.036837999999999</v>
      </c>
    </row>
    <row r="2649" spans="1:17" x14ac:dyDescent="0.25">
      <c r="A2649" s="2">
        <v>2835</v>
      </c>
      <c r="B2649" s="2" t="s">
        <v>148</v>
      </c>
      <c r="C2649" s="2">
        <v>11</v>
      </c>
      <c r="D2649" s="2">
        <f t="shared" si="410"/>
        <v>27.94</v>
      </c>
      <c r="E2649" s="2">
        <f t="shared" si="411"/>
        <v>8.8935782199751117</v>
      </c>
      <c r="F2649" s="2">
        <f t="shared" si="412"/>
        <v>3.5014087480216975</v>
      </c>
      <c r="G2649" s="2">
        <v>3.0029840000000001</v>
      </c>
      <c r="H2649" s="2">
        <f t="shared" si="413"/>
        <v>9.8523100265599997</v>
      </c>
      <c r="I2649" s="2">
        <f>INDEX('Wood Density Lookup'!$B$2:$B$152,MATCH(B2649,'Wood Density Lookup'!$A$2:$A$152,0))</f>
        <v>0.5</v>
      </c>
      <c r="J2649" s="2">
        <f t="shared" si="414"/>
        <v>7.1268713469535543</v>
      </c>
      <c r="K2649" s="2">
        <f t="shared" si="418"/>
        <v>1.9955239771469955</v>
      </c>
      <c r="L2649" s="2">
        <f t="shared" si="419"/>
        <v>9.12239532410055</v>
      </c>
      <c r="M2649" s="2">
        <f t="shared" si="415"/>
        <v>6.6137366099728983</v>
      </c>
      <c r="N2649" s="2">
        <f t="shared" si="416"/>
        <v>3.3068683049864491</v>
      </c>
      <c r="O2649" s="2">
        <f t="shared" si="417"/>
        <v>12.136206679300267</v>
      </c>
      <c r="P2649" s="2">
        <v>72.553486000000007</v>
      </c>
      <c r="Q2649" s="2">
        <v>23.03679</v>
      </c>
    </row>
    <row r="2650" spans="1:17" x14ac:dyDescent="0.25">
      <c r="A2650" s="2">
        <v>2836</v>
      </c>
      <c r="B2650" s="2" t="s">
        <v>107</v>
      </c>
      <c r="C2650" s="2">
        <v>27</v>
      </c>
      <c r="D2650" s="2">
        <f t="shared" si="410"/>
        <v>68.58</v>
      </c>
      <c r="E2650" s="2">
        <f t="shared" si="411"/>
        <v>21.829691994484364</v>
      </c>
      <c r="F2650" s="2">
        <f t="shared" si="412"/>
        <v>8.5943669269623477</v>
      </c>
      <c r="G2650" s="2">
        <v>1.0752269999999999</v>
      </c>
      <c r="H2650" s="2">
        <f t="shared" si="413"/>
        <v>3.5276477506799999</v>
      </c>
      <c r="I2650" s="2">
        <f>INDEX('Wood Density Lookup'!$B$2:$B$152,MATCH(B2650,'Wood Density Lookup'!$A$2:$A$152,0))</f>
        <v>0.65</v>
      </c>
      <c r="J2650" s="2">
        <f t="shared" si="414"/>
        <v>19.497709201544279</v>
      </c>
      <c r="K2650" s="2">
        <f t="shared" si="418"/>
        <v>5.4593585764323986</v>
      </c>
      <c r="L2650" s="2">
        <f t="shared" si="419"/>
        <v>24.957067777976675</v>
      </c>
      <c r="M2650" s="2">
        <f t="shared" si="415"/>
        <v>18.09387413903309</v>
      </c>
      <c r="N2650" s="2">
        <f t="shared" si="416"/>
        <v>9.0469370695165452</v>
      </c>
      <c r="O2650" s="2">
        <f t="shared" si="417"/>
        <v>33.202259045125722</v>
      </c>
      <c r="P2650" s="2">
        <v>72.553488000000002</v>
      </c>
      <c r="Q2650" s="2">
        <v>23.038181999999999</v>
      </c>
    </row>
    <row r="2651" spans="1:17" x14ac:dyDescent="0.25">
      <c r="A2651" s="2">
        <v>2837</v>
      </c>
      <c r="B2651" s="2" t="s">
        <v>49</v>
      </c>
      <c r="C2651" s="2">
        <v>7</v>
      </c>
      <c r="D2651" s="2">
        <f t="shared" si="410"/>
        <v>17.78</v>
      </c>
      <c r="E2651" s="2">
        <f t="shared" si="411"/>
        <v>5.6595497763477987</v>
      </c>
      <c r="F2651" s="2">
        <f t="shared" si="412"/>
        <v>2.228169203286535</v>
      </c>
      <c r="G2651" s="2">
        <v>1.028165</v>
      </c>
      <c r="H2651" s="2">
        <f t="shared" si="413"/>
        <v>3.3732448586000001</v>
      </c>
      <c r="I2651" s="2">
        <f>INDEX('Wood Density Lookup'!$B$2:$B$152,MATCH(B2651,'Wood Density Lookup'!$A$2:$A$152,0))</f>
        <v>0.78</v>
      </c>
      <c r="J2651" s="2">
        <f t="shared" si="414"/>
        <v>1.5992005931252176</v>
      </c>
      <c r="K2651" s="2">
        <f t="shared" si="418"/>
        <v>0.44777616607506093</v>
      </c>
      <c r="L2651" s="2">
        <f t="shared" si="419"/>
        <v>2.0469767592002786</v>
      </c>
      <c r="M2651" s="2">
        <f t="shared" si="415"/>
        <v>1.4840581504202019</v>
      </c>
      <c r="N2651" s="2">
        <f t="shared" si="416"/>
        <v>0.74202907521010097</v>
      </c>
      <c r="O2651" s="2">
        <f t="shared" si="417"/>
        <v>2.7232467060210706</v>
      </c>
      <c r="P2651" s="2">
        <v>72.553488000000002</v>
      </c>
      <c r="Q2651" s="2">
        <v>23.038235</v>
      </c>
    </row>
    <row r="2652" spans="1:17" x14ac:dyDescent="0.25">
      <c r="A2652" s="2">
        <v>2838</v>
      </c>
      <c r="B2652" s="2" t="s">
        <v>17</v>
      </c>
      <c r="C2652" s="2">
        <v>21</v>
      </c>
      <c r="D2652" s="2">
        <f t="shared" si="410"/>
        <v>53.34</v>
      </c>
      <c r="E2652" s="2">
        <f t="shared" si="411"/>
        <v>16.978649329043396</v>
      </c>
      <c r="F2652" s="2">
        <f t="shared" si="412"/>
        <v>6.6845076098596046</v>
      </c>
      <c r="G2652" s="2">
        <v>4.9774690000000001</v>
      </c>
      <c r="H2652" s="2">
        <f t="shared" si="413"/>
        <v>16.330279393960001</v>
      </c>
      <c r="I2652" s="2">
        <f>INDEX('Wood Density Lookup'!$B$2:$B$152,MATCH(B2652,'Wood Density Lookup'!$A$2:$A$152,0))</f>
        <v>0.75</v>
      </c>
      <c r="J2652" s="2">
        <f t="shared" si="414"/>
        <v>61.252827682369436</v>
      </c>
      <c r="K2652" s="2">
        <f t="shared" si="418"/>
        <v>17.150791751063444</v>
      </c>
      <c r="L2652" s="2">
        <f t="shared" si="419"/>
        <v>78.40361943343288</v>
      </c>
      <c r="M2652" s="2">
        <f t="shared" si="415"/>
        <v>56.842624089238839</v>
      </c>
      <c r="N2652" s="2">
        <f t="shared" si="416"/>
        <v>28.42131204461942</v>
      </c>
      <c r="O2652" s="2">
        <f t="shared" si="417"/>
        <v>104.30621520375327</v>
      </c>
      <c r="P2652" s="2">
        <v>72.553490999999994</v>
      </c>
      <c r="Q2652" s="2">
        <v>23.036532000000001</v>
      </c>
    </row>
    <row r="2653" spans="1:17" x14ac:dyDescent="0.25">
      <c r="A2653" s="2">
        <v>2839</v>
      </c>
      <c r="B2653" s="2" t="s">
        <v>11</v>
      </c>
      <c r="C2653" s="2">
        <v>6</v>
      </c>
      <c r="D2653" s="2">
        <f t="shared" si="410"/>
        <v>15.24</v>
      </c>
      <c r="E2653" s="2">
        <f t="shared" si="411"/>
        <v>4.8510426654409704</v>
      </c>
      <c r="F2653" s="2">
        <f t="shared" si="412"/>
        <v>1.909859317102744</v>
      </c>
      <c r="G2653" s="2">
        <v>2.0018340000000001</v>
      </c>
      <c r="H2653" s="2">
        <f t="shared" si="413"/>
        <v>6.5676970605600005</v>
      </c>
      <c r="I2653" s="2">
        <f>INDEX('Wood Density Lookup'!$B$2:$B$152,MATCH(B2653,'Wood Density Lookup'!$A$2:$A$152,0))</f>
        <v>0.45</v>
      </c>
      <c r="J2653" s="2">
        <f t="shared" si="414"/>
        <v>1.3258499284266405</v>
      </c>
      <c r="K2653" s="2">
        <f t="shared" si="418"/>
        <v>0.3712379799594594</v>
      </c>
      <c r="L2653" s="2">
        <f t="shared" si="419"/>
        <v>1.6970879083860999</v>
      </c>
      <c r="M2653" s="2">
        <f t="shared" si="415"/>
        <v>1.2303887335799224</v>
      </c>
      <c r="N2653" s="2">
        <f t="shared" si="416"/>
        <v>0.6151943667899612</v>
      </c>
      <c r="O2653" s="2">
        <f t="shared" si="417"/>
        <v>2.2577633261191576</v>
      </c>
      <c r="P2653" s="2">
        <v>72.553490999999994</v>
      </c>
      <c r="Q2653" s="2">
        <v>23.038114</v>
      </c>
    </row>
    <row r="2654" spans="1:17" x14ac:dyDescent="0.25">
      <c r="A2654" s="2">
        <v>2840</v>
      </c>
      <c r="B2654" s="2" t="s">
        <v>27</v>
      </c>
      <c r="C2654" s="2">
        <v>4</v>
      </c>
      <c r="D2654" s="2">
        <f t="shared" si="410"/>
        <v>10.16</v>
      </c>
      <c r="E2654" s="2">
        <f t="shared" si="411"/>
        <v>3.2340284436273135</v>
      </c>
      <c r="F2654" s="2">
        <f t="shared" si="412"/>
        <v>1.2732395447351628</v>
      </c>
      <c r="G2654" s="2">
        <v>8.0292960000000004</v>
      </c>
      <c r="H2654" s="2">
        <f t="shared" si="413"/>
        <v>26.342835488640002</v>
      </c>
      <c r="I2654" s="2">
        <f>INDEX('Wood Density Lookup'!$B$2:$B$152,MATCH(B2654,'Wood Density Lookup'!$A$2:$A$152,0))</f>
        <v>0.6</v>
      </c>
      <c r="J2654" s="2">
        <f t="shared" si="414"/>
        <v>3.0865680776250999</v>
      </c>
      <c r="K2654" s="2">
        <f t="shared" si="418"/>
        <v>0.86423906173502807</v>
      </c>
      <c r="L2654" s="2">
        <f t="shared" si="419"/>
        <v>3.9508071393601281</v>
      </c>
      <c r="M2654" s="2">
        <f t="shared" si="415"/>
        <v>2.8643351760360929</v>
      </c>
      <c r="N2654" s="2">
        <f t="shared" si="416"/>
        <v>1.4321675880180464</v>
      </c>
      <c r="O2654" s="2">
        <f t="shared" si="417"/>
        <v>5.25605504802623</v>
      </c>
      <c r="P2654" s="2">
        <v>72.553492000000006</v>
      </c>
      <c r="Q2654" s="2">
        <v>23.036771000000002</v>
      </c>
    </row>
    <row r="2655" spans="1:17" x14ac:dyDescent="0.25">
      <c r="A2655" s="2">
        <v>2841</v>
      </c>
      <c r="B2655" s="2" t="s">
        <v>61</v>
      </c>
      <c r="C2655" s="2">
        <v>27</v>
      </c>
      <c r="D2655" s="2">
        <f t="shared" si="410"/>
        <v>68.58</v>
      </c>
      <c r="E2655" s="2">
        <f t="shared" si="411"/>
        <v>21.829691994484364</v>
      </c>
      <c r="F2655" s="2">
        <f t="shared" si="412"/>
        <v>8.5943669269623477</v>
      </c>
      <c r="G2655" s="2">
        <v>9.2218789999999995</v>
      </c>
      <c r="H2655" s="2">
        <f t="shared" si="413"/>
        <v>30.255509498359999</v>
      </c>
      <c r="I2655" s="2">
        <f>INDEX('Wood Density Lookup'!$B$2:$B$152,MATCH(B2655,'Wood Density Lookup'!$A$2:$A$152,0))</f>
        <v>0.5</v>
      </c>
      <c r="J2655" s="2">
        <f t="shared" si="414"/>
        <v>122.94035785276819</v>
      </c>
      <c r="K2655" s="2">
        <f t="shared" si="418"/>
        <v>34.423300198775095</v>
      </c>
      <c r="L2655" s="2">
        <f t="shared" si="419"/>
        <v>157.36365805154327</v>
      </c>
      <c r="M2655" s="2">
        <f t="shared" si="415"/>
        <v>114.08865208736887</v>
      </c>
      <c r="N2655" s="2">
        <f t="shared" si="416"/>
        <v>57.044326043684435</v>
      </c>
      <c r="O2655" s="2">
        <f t="shared" si="417"/>
        <v>209.35267658032188</v>
      </c>
      <c r="P2655" s="2">
        <v>72.553493000000003</v>
      </c>
      <c r="Q2655" s="2">
        <v>23.036753000000001</v>
      </c>
    </row>
    <row r="2656" spans="1:17" x14ac:dyDescent="0.25">
      <c r="A2656" s="2">
        <v>2842</v>
      </c>
      <c r="B2656" s="2" t="s">
        <v>128</v>
      </c>
      <c r="C2656" s="2">
        <v>36</v>
      </c>
      <c r="D2656" s="2">
        <f t="shared" si="410"/>
        <v>91.44</v>
      </c>
      <c r="E2656" s="2">
        <f t="shared" si="411"/>
        <v>29.106255992645821</v>
      </c>
      <c r="F2656" s="2">
        <f t="shared" si="412"/>
        <v>11.459155902616464</v>
      </c>
      <c r="G2656" s="2">
        <v>11.383307</v>
      </c>
      <c r="H2656" s="2">
        <f t="shared" si="413"/>
        <v>37.346808937879999</v>
      </c>
      <c r="I2656" s="2">
        <f>INDEX('Wood Density Lookup'!$B$2:$B$152,MATCH(B2656,'Wood Density Lookup'!$A$2:$A$152,0))</f>
        <v>0.75</v>
      </c>
      <c r="J2656" s="2">
        <f t="shared" si="414"/>
        <v>393.27306961938223</v>
      </c>
      <c r="K2656" s="2">
        <f t="shared" si="418"/>
        <v>110.11645949342703</v>
      </c>
      <c r="L2656" s="2">
        <f t="shared" si="419"/>
        <v>503.38952911280927</v>
      </c>
      <c r="M2656" s="2">
        <f t="shared" si="415"/>
        <v>364.95740860678671</v>
      </c>
      <c r="N2656" s="2">
        <f t="shared" si="416"/>
        <v>182.47870430339336</v>
      </c>
      <c r="O2656" s="2">
        <f t="shared" si="417"/>
        <v>669.69684479345358</v>
      </c>
      <c r="P2656" s="2">
        <v>72.553494999999998</v>
      </c>
      <c r="Q2656" s="2">
        <v>23.037357</v>
      </c>
    </row>
    <row r="2657" spans="1:17" x14ac:dyDescent="0.25">
      <c r="A2657" s="2">
        <v>2843</v>
      </c>
      <c r="B2657" s="2" t="s">
        <v>146</v>
      </c>
      <c r="C2657" s="2">
        <v>25</v>
      </c>
      <c r="D2657" s="2">
        <f t="shared" si="410"/>
        <v>63.5</v>
      </c>
      <c r="E2657" s="2">
        <f t="shared" si="411"/>
        <v>20.212677772670709</v>
      </c>
      <c r="F2657" s="2">
        <f t="shared" si="412"/>
        <v>7.9577471545947667</v>
      </c>
      <c r="G2657" s="2">
        <v>4.7036629999999997</v>
      </c>
      <c r="H2657" s="2">
        <f t="shared" si="413"/>
        <v>15.431965716919999</v>
      </c>
      <c r="I2657" s="2">
        <f>INDEX('Wood Density Lookup'!$B$2:$B$152,MATCH(B2657,'Wood Density Lookup'!$A$2:$A$152,0))</f>
        <v>0.55000000000000004</v>
      </c>
      <c r="J2657" s="2">
        <f t="shared" si="414"/>
        <v>60.184483705435028</v>
      </c>
      <c r="K2657" s="2">
        <f t="shared" si="418"/>
        <v>16.85165543752181</v>
      </c>
      <c r="L2657" s="2">
        <f t="shared" si="419"/>
        <v>77.036139142956841</v>
      </c>
      <c r="M2657" s="2">
        <f t="shared" si="415"/>
        <v>55.851200878643709</v>
      </c>
      <c r="N2657" s="2">
        <f t="shared" si="416"/>
        <v>27.925600439321855</v>
      </c>
      <c r="O2657" s="2">
        <f t="shared" si="417"/>
        <v>102.48695361231121</v>
      </c>
      <c r="P2657" s="2">
        <v>72.553494999999998</v>
      </c>
      <c r="Q2657" s="2">
        <v>23.038726</v>
      </c>
    </row>
    <row r="2658" spans="1:17" x14ac:dyDescent="0.25">
      <c r="A2658" s="2">
        <v>2844</v>
      </c>
      <c r="B2658" s="2" t="s">
        <v>78</v>
      </c>
      <c r="C2658" s="2">
        <v>27</v>
      </c>
      <c r="D2658" s="2">
        <f t="shared" si="410"/>
        <v>68.58</v>
      </c>
      <c r="E2658" s="2">
        <f t="shared" si="411"/>
        <v>21.829691994484364</v>
      </c>
      <c r="F2658" s="2">
        <f t="shared" si="412"/>
        <v>8.5943669269623477</v>
      </c>
      <c r="G2658" s="2">
        <v>9.1613419999999994</v>
      </c>
      <c r="H2658" s="2">
        <f t="shared" si="413"/>
        <v>30.056897287279998</v>
      </c>
      <c r="I2658" s="2">
        <f>INDEX('Wood Density Lookup'!$B$2:$B$152,MATCH(B2658,'Wood Density Lookup'!$A$2:$A$152,0))</f>
        <v>0.55000000000000004</v>
      </c>
      <c r="J2658" s="2">
        <f t="shared" si="414"/>
        <v>134.06087752641108</v>
      </c>
      <c r="K2658" s="2">
        <f t="shared" si="418"/>
        <v>37.537045707395102</v>
      </c>
      <c r="L2658" s="2">
        <f t="shared" si="419"/>
        <v>171.59792323380617</v>
      </c>
      <c r="M2658" s="2">
        <f t="shared" si="415"/>
        <v>124.40849434450946</v>
      </c>
      <c r="N2658" s="2">
        <f t="shared" si="416"/>
        <v>62.204247172254732</v>
      </c>
      <c r="O2658" s="2">
        <f t="shared" si="417"/>
        <v>228.28958712217485</v>
      </c>
      <c r="P2658" s="2">
        <v>72.553495999999996</v>
      </c>
      <c r="Q2658" s="2">
        <v>23.036574000000002</v>
      </c>
    </row>
    <row r="2659" spans="1:17" x14ac:dyDescent="0.25">
      <c r="A2659" s="2">
        <v>2845</v>
      </c>
      <c r="B2659" s="2" t="s">
        <v>140</v>
      </c>
      <c r="C2659" s="2">
        <v>6</v>
      </c>
      <c r="D2659" s="2">
        <f t="shared" si="410"/>
        <v>15.24</v>
      </c>
      <c r="E2659" s="2">
        <f t="shared" si="411"/>
        <v>4.8510426654409704</v>
      </c>
      <c r="F2659" s="2">
        <f t="shared" si="412"/>
        <v>1.909859317102744</v>
      </c>
      <c r="G2659" s="2">
        <v>3.0572370000000002</v>
      </c>
      <c r="H2659" s="2">
        <f t="shared" si="413"/>
        <v>10.030305439080001</v>
      </c>
      <c r="I2659" s="2">
        <f>INDEX('Wood Density Lookup'!$B$2:$B$152,MATCH(B2659,'Wood Density Lookup'!$A$2:$A$152,0))</f>
        <v>0.6</v>
      </c>
      <c r="J2659" s="2">
        <f t="shared" si="414"/>
        <v>2.6541288154804215</v>
      </c>
      <c r="K2659" s="2">
        <f t="shared" si="418"/>
        <v>0.74315606833451808</v>
      </c>
      <c r="L2659" s="2">
        <f t="shared" si="419"/>
        <v>3.3972848838149394</v>
      </c>
      <c r="M2659" s="2">
        <f t="shared" si="415"/>
        <v>2.4630315407658312</v>
      </c>
      <c r="N2659" s="2">
        <f t="shared" si="416"/>
        <v>1.2315157703829156</v>
      </c>
      <c r="O2659" s="2">
        <f t="shared" si="417"/>
        <v>4.5196628773052998</v>
      </c>
      <c r="P2659" s="2">
        <v>72.553498000000005</v>
      </c>
      <c r="Q2659" s="2">
        <v>23.03679</v>
      </c>
    </row>
    <row r="2660" spans="1:17" x14ac:dyDescent="0.25">
      <c r="A2660" s="2">
        <v>2846</v>
      </c>
      <c r="B2660" s="2" t="s">
        <v>72</v>
      </c>
      <c r="C2660" s="2">
        <v>43</v>
      </c>
      <c r="D2660" s="2">
        <f t="shared" si="410"/>
        <v>109.22</v>
      </c>
      <c r="E2660" s="2">
        <f t="shared" si="411"/>
        <v>34.765805768993616</v>
      </c>
      <c r="F2660" s="2">
        <f t="shared" si="412"/>
        <v>13.687325105903</v>
      </c>
      <c r="G2660" s="2">
        <v>18.401320999999999</v>
      </c>
      <c r="H2660" s="2">
        <f t="shared" si="413"/>
        <v>60.37178998964</v>
      </c>
      <c r="I2660" s="2">
        <f>INDEX('Wood Density Lookup'!$B$2:$B$152,MATCH(B2660,'Wood Density Lookup'!$A$2:$A$152,0))</f>
        <v>0.65</v>
      </c>
      <c r="J2660" s="2">
        <f t="shared" si="414"/>
        <v>773.10843970578367</v>
      </c>
      <c r="K2660" s="2">
        <f t="shared" si="418"/>
        <v>216.47036311761946</v>
      </c>
      <c r="L2660" s="2">
        <f t="shared" si="419"/>
        <v>989.57880282340307</v>
      </c>
      <c r="M2660" s="2">
        <f t="shared" si="415"/>
        <v>717.44463204696717</v>
      </c>
      <c r="N2660" s="2">
        <f t="shared" si="416"/>
        <v>358.72231602348359</v>
      </c>
      <c r="O2660" s="2">
        <f t="shared" si="417"/>
        <v>1316.5108998061846</v>
      </c>
      <c r="P2660" s="2">
        <v>72.553499000000002</v>
      </c>
      <c r="Q2660" s="2">
        <v>23.035636</v>
      </c>
    </row>
    <row r="2661" spans="1:17" x14ac:dyDescent="0.25">
      <c r="A2661" s="2">
        <v>2847</v>
      </c>
      <c r="B2661" s="2" t="s">
        <v>136</v>
      </c>
      <c r="C2661" s="2">
        <v>4</v>
      </c>
      <c r="D2661" s="2">
        <f t="shared" si="410"/>
        <v>10.16</v>
      </c>
      <c r="E2661" s="2">
        <f t="shared" si="411"/>
        <v>3.2340284436273135</v>
      </c>
      <c r="F2661" s="2">
        <f t="shared" si="412"/>
        <v>1.2732395447351628</v>
      </c>
      <c r="G2661" s="2">
        <v>1.0023610000000001</v>
      </c>
      <c r="H2661" s="2">
        <f t="shared" si="413"/>
        <v>3.2885860632400004</v>
      </c>
      <c r="I2661" s="2">
        <f>INDEX('Wood Density Lookup'!$B$2:$B$152,MATCH(B2661,'Wood Density Lookup'!$A$2:$A$152,0))</f>
        <v>0.7</v>
      </c>
      <c r="J2661" s="2">
        <f t="shared" si="414"/>
        <v>0.47081500834760176</v>
      </c>
      <c r="K2661" s="2">
        <f t="shared" si="418"/>
        <v>0.1318282023373285</v>
      </c>
      <c r="L2661" s="2">
        <f t="shared" si="419"/>
        <v>0.60264321068493021</v>
      </c>
      <c r="M2661" s="2">
        <f t="shared" si="415"/>
        <v>0.43691632774657441</v>
      </c>
      <c r="N2661" s="2">
        <f t="shared" si="416"/>
        <v>0.2184581638732872</v>
      </c>
      <c r="O2661" s="2">
        <f t="shared" si="417"/>
        <v>0.80174146141496405</v>
      </c>
      <c r="P2661" s="2">
        <v>72.553501999999995</v>
      </c>
      <c r="Q2661" s="2">
        <v>23.037886</v>
      </c>
    </row>
    <row r="2662" spans="1:17" x14ac:dyDescent="0.25">
      <c r="A2662" s="2">
        <v>2848</v>
      </c>
      <c r="B2662" s="2" t="s">
        <v>146</v>
      </c>
      <c r="C2662" s="2">
        <v>8</v>
      </c>
      <c r="D2662" s="2">
        <f t="shared" si="410"/>
        <v>20.32</v>
      </c>
      <c r="E2662" s="2">
        <f t="shared" si="411"/>
        <v>6.4680568872546269</v>
      </c>
      <c r="F2662" s="2">
        <f t="shared" si="412"/>
        <v>2.5464790894703255</v>
      </c>
      <c r="G2662" s="2">
        <v>5.3325579999999997</v>
      </c>
      <c r="H2662" s="2">
        <f t="shared" si="413"/>
        <v>17.495269588719999</v>
      </c>
      <c r="I2662" s="2">
        <f>INDEX('Wood Density Lookup'!$B$2:$B$152,MATCH(B2662,'Wood Density Lookup'!$A$2:$A$152,0))</f>
        <v>0.55000000000000004</v>
      </c>
      <c r="J2662" s="2">
        <f t="shared" si="414"/>
        <v>7.3574734027563675</v>
      </c>
      <c r="K2662" s="2">
        <f t="shared" si="418"/>
        <v>2.060092552771783</v>
      </c>
      <c r="L2662" s="2">
        <f t="shared" si="419"/>
        <v>9.4175659555281506</v>
      </c>
      <c r="M2662" s="2">
        <f t="shared" si="415"/>
        <v>6.8277353177579085</v>
      </c>
      <c r="N2662" s="2">
        <f t="shared" si="416"/>
        <v>3.4138676588789543</v>
      </c>
      <c r="O2662" s="2">
        <f t="shared" si="417"/>
        <v>12.528894308085762</v>
      </c>
      <c r="P2662" s="2">
        <v>72.553504000000004</v>
      </c>
      <c r="Q2662" s="2">
        <v>23.037029</v>
      </c>
    </row>
    <row r="2663" spans="1:17" x14ac:dyDescent="0.25">
      <c r="A2663" s="2">
        <v>2849</v>
      </c>
      <c r="B2663" s="2" t="s">
        <v>124</v>
      </c>
      <c r="C2663" s="2">
        <v>32</v>
      </c>
      <c r="D2663" s="2">
        <f t="shared" si="410"/>
        <v>81.28</v>
      </c>
      <c r="E2663" s="2">
        <f t="shared" si="411"/>
        <v>25.872227549018508</v>
      </c>
      <c r="F2663" s="2">
        <f t="shared" si="412"/>
        <v>10.185916357881302</v>
      </c>
      <c r="G2663" s="2">
        <v>2.0161229999999999</v>
      </c>
      <c r="H2663" s="2">
        <f t="shared" si="413"/>
        <v>6.6145769833199992</v>
      </c>
      <c r="I2663" s="2">
        <f>INDEX('Wood Density Lookup'!$B$2:$B$152,MATCH(B2663,'Wood Density Lookup'!$A$2:$A$152,0))</f>
        <v>0.55000000000000004</v>
      </c>
      <c r="J2663" s="2">
        <f t="shared" si="414"/>
        <v>42.625480309411977</v>
      </c>
      <c r="K2663" s="2">
        <f t="shared" si="418"/>
        <v>11.935134486635354</v>
      </c>
      <c r="L2663" s="2">
        <f t="shared" si="419"/>
        <v>54.560614796047332</v>
      </c>
      <c r="M2663" s="2">
        <f t="shared" si="415"/>
        <v>39.556445727134317</v>
      </c>
      <c r="N2663" s="2">
        <f t="shared" si="416"/>
        <v>19.778222863567159</v>
      </c>
      <c r="O2663" s="2">
        <f t="shared" si="417"/>
        <v>72.586077909291475</v>
      </c>
      <c r="P2663" s="2">
        <v>72.553505999999999</v>
      </c>
      <c r="Q2663" s="2">
        <v>23.037967999999999</v>
      </c>
    </row>
    <row r="2664" spans="1:17" x14ac:dyDescent="0.25">
      <c r="A2664" s="2">
        <v>2850</v>
      </c>
      <c r="B2664" s="2" t="s">
        <v>129</v>
      </c>
      <c r="C2664" s="2">
        <v>3</v>
      </c>
      <c r="D2664" s="2">
        <f t="shared" si="410"/>
        <v>7.62</v>
      </c>
      <c r="E2664" s="2">
        <f t="shared" si="411"/>
        <v>2.4255213327204852</v>
      </c>
      <c r="F2664" s="2">
        <f t="shared" si="412"/>
        <v>0.95492965855137202</v>
      </c>
      <c r="G2664" s="2">
        <v>2.1346569999999998</v>
      </c>
      <c r="H2664" s="2">
        <f t="shared" si="413"/>
        <v>7.0034680718799995</v>
      </c>
      <c r="I2664" s="2">
        <f>INDEX('Wood Density Lookup'!$B$2:$B$152,MATCH(B2664,'Wood Density Lookup'!$A$2:$A$152,0))</f>
        <v>0.4</v>
      </c>
      <c r="J2664" s="2">
        <f t="shared" si="414"/>
        <v>0.32522909880103068</v>
      </c>
      <c r="K2664" s="2">
        <f t="shared" si="418"/>
        <v>9.1064147664288594E-2</v>
      </c>
      <c r="L2664" s="2">
        <f t="shared" si="419"/>
        <v>0.41629324646531929</v>
      </c>
      <c r="M2664" s="2">
        <f t="shared" si="415"/>
        <v>0.30181260368735646</v>
      </c>
      <c r="N2664" s="2">
        <f t="shared" si="416"/>
        <v>0.15090630184367823</v>
      </c>
      <c r="O2664" s="2">
        <f t="shared" si="417"/>
        <v>0.55382612776629914</v>
      </c>
      <c r="P2664" s="2">
        <v>72.553505999999999</v>
      </c>
      <c r="Q2664" s="2">
        <v>23.038011000000001</v>
      </c>
    </row>
    <row r="2665" spans="1:17" x14ac:dyDescent="0.25">
      <c r="A2665" s="2">
        <v>2851</v>
      </c>
      <c r="B2665" s="2" t="s">
        <v>136</v>
      </c>
      <c r="C2665" s="2">
        <v>3</v>
      </c>
      <c r="D2665" s="2">
        <f t="shared" si="410"/>
        <v>7.62</v>
      </c>
      <c r="E2665" s="2">
        <f t="shared" si="411"/>
        <v>2.4255213327204852</v>
      </c>
      <c r="F2665" s="2">
        <f t="shared" si="412"/>
        <v>0.95492965855137202</v>
      </c>
      <c r="G2665" s="2">
        <v>2.0473430000000001</v>
      </c>
      <c r="H2665" s="2">
        <f t="shared" si="413"/>
        <v>6.7170048081200004</v>
      </c>
      <c r="I2665" s="2">
        <f>INDEX('Wood Density Lookup'!$B$2:$B$152,MATCH(B2665,'Wood Density Lookup'!$A$2:$A$152,0))</f>
        <v>0.7</v>
      </c>
      <c r="J2665" s="2">
        <f t="shared" si="414"/>
        <v>0.53912855784974112</v>
      </c>
      <c r="K2665" s="2">
        <f t="shared" si="418"/>
        <v>0.15095599619792752</v>
      </c>
      <c r="L2665" s="2">
        <f t="shared" si="419"/>
        <v>0.69008455404766866</v>
      </c>
      <c r="M2665" s="2">
        <f t="shared" si="415"/>
        <v>0.50031130168455973</v>
      </c>
      <c r="N2665" s="2">
        <f t="shared" si="416"/>
        <v>0.25015565084227986</v>
      </c>
      <c r="O2665" s="2">
        <f t="shared" si="417"/>
        <v>0.91807123859116713</v>
      </c>
      <c r="P2665" s="2">
        <v>72.553506999999996</v>
      </c>
      <c r="Q2665" s="2">
        <v>23.037924</v>
      </c>
    </row>
    <row r="2666" spans="1:17" x14ac:dyDescent="0.25">
      <c r="A2666" s="2">
        <v>2852</v>
      </c>
      <c r="B2666" s="2" t="s">
        <v>15</v>
      </c>
      <c r="C2666" s="2">
        <v>198</v>
      </c>
      <c r="D2666" s="2">
        <f t="shared" si="410"/>
        <v>502.92</v>
      </c>
      <c r="E2666" s="2">
        <f t="shared" si="411"/>
        <v>160.08440795955201</v>
      </c>
      <c r="F2666" s="2">
        <f t="shared" si="412"/>
        <v>63.025357464390552</v>
      </c>
      <c r="G2666" s="2">
        <v>14.792539</v>
      </c>
      <c r="H2666" s="2">
        <f t="shared" si="413"/>
        <v>48.531953652759995</v>
      </c>
      <c r="I2666" s="2">
        <f>INDEX('Wood Density Lookup'!$B$2:$B$152,MATCH(B2666,'Wood Density Lookup'!$A$2:$A$152,0))</f>
        <v>0.75</v>
      </c>
      <c r="J2666" s="2">
        <f t="shared" si="414"/>
        <v>14155.52136636732</v>
      </c>
      <c r="K2666" s="2">
        <f t="shared" si="418"/>
        <v>3963.5459825828502</v>
      </c>
      <c r="L2666" s="2">
        <f t="shared" si="419"/>
        <v>18119.067348950171</v>
      </c>
      <c r="M2666" s="2">
        <f t="shared" si="415"/>
        <v>13136.323827988874</v>
      </c>
      <c r="N2666" s="2">
        <f t="shared" si="416"/>
        <v>6568.1619139944369</v>
      </c>
      <c r="O2666" s="2">
        <f t="shared" si="417"/>
        <v>24105.154224359583</v>
      </c>
      <c r="P2666" s="2">
        <v>72.553511</v>
      </c>
      <c r="Q2666" s="2">
        <v>23.035800999999999</v>
      </c>
    </row>
    <row r="2667" spans="1:17" x14ac:dyDescent="0.25">
      <c r="A2667" s="2">
        <v>2853</v>
      </c>
      <c r="B2667" s="2" t="s">
        <v>115</v>
      </c>
      <c r="C2667" s="2">
        <v>3</v>
      </c>
      <c r="D2667" s="2">
        <f t="shared" si="410"/>
        <v>7.62</v>
      </c>
      <c r="E2667" s="2">
        <f t="shared" si="411"/>
        <v>2.4255213327204852</v>
      </c>
      <c r="F2667" s="2">
        <f t="shared" si="412"/>
        <v>0.95492965855137202</v>
      </c>
      <c r="G2667" s="2">
        <v>10.467912</v>
      </c>
      <c r="H2667" s="2">
        <f t="shared" si="413"/>
        <v>34.343544406079999</v>
      </c>
      <c r="I2667" s="2">
        <f>INDEX('Wood Density Lookup'!$B$2:$B$152,MATCH(B2667,'Wood Density Lookup'!$A$2:$A$152,0))</f>
        <v>0.65</v>
      </c>
      <c r="J2667" s="2">
        <f t="shared" si="414"/>
        <v>2.4657070355943862</v>
      </c>
      <c r="K2667" s="2">
        <f t="shared" si="418"/>
        <v>0.69039796996642822</v>
      </c>
      <c r="L2667" s="2">
        <f t="shared" si="419"/>
        <v>3.1561050055608142</v>
      </c>
      <c r="M2667" s="2">
        <f t="shared" si="415"/>
        <v>2.2881761290315903</v>
      </c>
      <c r="N2667" s="2">
        <f t="shared" si="416"/>
        <v>1.1440880645157951</v>
      </c>
      <c r="O2667" s="2">
        <f t="shared" si="417"/>
        <v>4.1988031967729684</v>
      </c>
      <c r="P2667" s="2">
        <v>72.553511999999998</v>
      </c>
      <c r="Q2667" s="2">
        <v>23.036446999999999</v>
      </c>
    </row>
    <row r="2668" spans="1:17" x14ac:dyDescent="0.25">
      <c r="A2668" s="2">
        <v>2854</v>
      </c>
      <c r="B2668" s="2" t="s">
        <v>129</v>
      </c>
      <c r="C2668" s="2">
        <v>3</v>
      </c>
      <c r="D2668" s="2">
        <f t="shared" si="410"/>
        <v>7.62</v>
      </c>
      <c r="E2668" s="2">
        <f t="shared" si="411"/>
        <v>2.4255213327204852</v>
      </c>
      <c r="F2668" s="2">
        <f t="shared" si="412"/>
        <v>0.95492965855137202</v>
      </c>
      <c r="G2668" s="2">
        <v>13.995672000000001</v>
      </c>
      <c r="H2668" s="2">
        <f t="shared" si="413"/>
        <v>45.917560524480002</v>
      </c>
      <c r="I2668" s="2">
        <f>INDEX('Wood Density Lookup'!$B$2:$B$152,MATCH(B2668,'Wood Density Lookup'!$A$2:$A$152,0))</f>
        <v>0.4</v>
      </c>
      <c r="J2668" s="2">
        <f t="shared" si="414"/>
        <v>2.0382388444855177</v>
      </c>
      <c r="K2668" s="2">
        <f t="shared" si="418"/>
        <v>0.57070687645594498</v>
      </c>
      <c r="L2668" s="2">
        <f t="shared" si="419"/>
        <v>2.6089457209414628</v>
      </c>
      <c r="M2668" s="2">
        <f t="shared" si="415"/>
        <v>1.8914856476825606</v>
      </c>
      <c r="N2668" s="2">
        <f t="shared" si="416"/>
        <v>0.94574282384128028</v>
      </c>
      <c r="O2668" s="2">
        <f t="shared" si="417"/>
        <v>3.4708761634974987</v>
      </c>
      <c r="P2668" s="2">
        <v>72.553511999999998</v>
      </c>
      <c r="Q2668" s="2">
        <v>23.036438</v>
      </c>
    </row>
    <row r="2669" spans="1:17" x14ac:dyDescent="0.25">
      <c r="A2669" s="2">
        <v>2855</v>
      </c>
      <c r="B2669" s="2" t="s">
        <v>129</v>
      </c>
      <c r="C2669" s="2">
        <v>2</v>
      </c>
      <c r="D2669" s="2">
        <f t="shared" si="410"/>
        <v>5.08</v>
      </c>
      <c r="E2669" s="2">
        <f t="shared" si="411"/>
        <v>1.6170142218136567</v>
      </c>
      <c r="F2669" s="2">
        <f t="shared" si="412"/>
        <v>0.63661977236758138</v>
      </c>
      <c r="G2669" s="2">
        <v>14.84492</v>
      </c>
      <c r="H2669" s="2">
        <f t="shared" si="413"/>
        <v>48.703807332799997</v>
      </c>
      <c r="I2669" s="2">
        <f>INDEX('Wood Density Lookup'!$B$2:$B$152,MATCH(B2669,'Wood Density Lookup'!$A$2:$A$152,0))</f>
        <v>0.4</v>
      </c>
      <c r="J2669" s="2">
        <f t="shared" si="414"/>
        <v>0.97835174389554946</v>
      </c>
      <c r="K2669" s="2">
        <f t="shared" si="418"/>
        <v>0.2739384882907539</v>
      </c>
      <c r="L2669" s="2">
        <f t="shared" si="419"/>
        <v>1.2522902321863034</v>
      </c>
      <c r="M2669" s="2">
        <f t="shared" si="415"/>
        <v>0.90791041833506991</v>
      </c>
      <c r="N2669" s="2">
        <f t="shared" si="416"/>
        <v>0.45395520916753496</v>
      </c>
      <c r="O2669" s="2">
        <f t="shared" si="417"/>
        <v>1.6660156176448533</v>
      </c>
      <c r="P2669" s="2">
        <v>72.553511999999998</v>
      </c>
      <c r="Q2669" s="2">
        <v>23.036431</v>
      </c>
    </row>
    <row r="2670" spans="1:17" x14ac:dyDescent="0.25">
      <c r="A2670" s="2">
        <v>2856</v>
      </c>
      <c r="B2670" s="2" t="s">
        <v>15</v>
      </c>
      <c r="C2670" s="2">
        <v>89</v>
      </c>
      <c r="D2670" s="2">
        <f t="shared" si="410"/>
        <v>226.06</v>
      </c>
      <c r="E2670" s="2">
        <f t="shared" si="411"/>
        <v>71.957132870707724</v>
      </c>
      <c r="F2670" s="2">
        <f t="shared" si="412"/>
        <v>28.329579870357371</v>
      </c>
      <c r="G2670" s="2">
        <v>12.479224</v>
      </c>
      <c r="H2670" s="2">
        <f t="shared" si="413"/>
        <v>40.942337268160003</v>
      </c>
      <c r="I2670" s="2">
        <f>INDEX('Wood Density Lookup'!$B$2:$B$152,MATCH(B2670,'Wood Density Lookup'!$A$2:$A$152,0))</f>
        <v>0.75</v>
      </c>
      <c r="J2670" s="2">
        <f t="shared" si="414"/>
        <v>2517.4571782878597</v>
      </c>
      <c r="K2670" s="2">
        <f t="shared" si="418"/>
        <v>704.88800992060078</v>
      </c>
      <c r="L2670" s="2">
        <f t="shared" si="419"/>
        <v>3222.3451882084605</v>
      </c>
      <c r="M2670" s="2">
        <f t="shared" si="415"/>
        <v>2336.2002614511339</v>
      </c>
      <c r="N2670" s="2">
        <f t="shared" si="416"/>
        <v>1168.1001307255669</v>
      </c>
      <c r="O2670" s="2">
        <f t="shared" si="417"/>
        <v>4286.9274797628304</v>
      </c>
      <c r="P2670" s="2">
        <v>72.553512999999995</v>
      </c>
      <c r="Q2670" s="2">
        <v>23.037289999999999</v>
      </c>
    </row>
    <row r="2671" spans="1:17" x14ac:dyDescent="0.25">
      <c r="A2671" s="2">
        <v>2857</v>
      </c>
      <c r="B2671" s="2" t="s">
        <v>31</v>
      </c>
      <c r="C2671" s="2">
        <v>32</v>
      </c>
      <c r="D2671" s="2">
        <f t="shared" si="410"/>
        <v>81.28</v>
      </c>
      <c r="E2671" s="2">
        <f t="shared" si="411"/>
        <v>25.872227549018508</v>
      </c>
      <c r="F2671" s="2">
        <f t="shared" si="412"/>
        <v>10.185916357881302</v>
      </c>
      <c r="G2671" s="2">
        <v>6.0905519999999997</v>
      </c>
      <c r="H2671" s="2">
        <f t="shared" si="413"/>
        <v>19.982126623679999</v>
      </c>
      <c r="I2671" s="2">
        <f>INDEX('Wood Density Lookup'!$B$2:$B$152,MATCH(B2671,'Wood Density Lookup'!$A$2:$A$152,0))</f>
        <v>0.78</v>
      </c>
      <c r="J2671" s="2">
        <f t="shared" si="414"/>
        <v>176.35018240696149</v>
      </c>
      <c r="K2671" s="2">
        <f t="shared" si="418"/>
        <v>49.378051073949223</v>
      </c>
      <c r="L2671" s="2">
        <f t="shared" si="419"/>
        <v>225.72823348091072</v>
      </c>
      <c r="M2671" s="2">
        <f t="shared" si="415"/>
        <v>163.65296927366026</v>
      </c>
      <c r="N2671" s="2">
        <f t="shared" si="416"/>
        <v>81.826484636830131</v>
      </c>
      <c r="O2671" s="2">
        <f t="shared" si="417"/>
        <v>300.30319861716657</v>
      </c>
      <c r="P2671" s="2">
        <v>72.553512999999995</v>
      </c>
      <c r="Q2671" s="2">
        <v>23.038772999999999</v>
      </c>
    </row>
    <row r="2672" spans="1:17" x14ac:dyDescent="0.25">
      <c r="A2672" s="2">
        <v>2858</v>
      </c>
      <c r="B2672" s="2" t="s">
        <v>15</v>
      </c>
      <c r="C2672" s="2">
        <v>97</v>
      </c>
      <c r="D2672" s="2">
        <f t="shared" si="410"/>
        <v>246.38</v>
      </c>
      <c r="E2672" s="2">
        <f t="shared" si="411"/>
        <v>78.425189757962343</v>
      </c>
      <c r="F2672" s="2">
        <f t="shared" si="412"/>
        <v>30.876058959827695</v>
      </c>
      <c r="G2672" s="2">
        <v>12.479224</v>
      </c>
      <c r="H2672" s="2">
        <f t="shared" si="413"/>
        <v>40.942337268160003</v>
      </c>
      <c r="I2672" s="2">
        <f>INDEX('Wood Density Lookup'!$B$2:$B$152,MATCH(B2672,'Wood Density Lookup'!$A$2:$A$152,0))</f>
        <v>0.75</v>
      </c>
      <c r="J2672" s="2">
        <f t="shared" si="414"/>
        <v>2978.0447832268419</v>
      </c>
      <c r="K2672" s="2">
        <f t="shared" si="418"/>
        <v>833.85253930351575</v>
      </c>
      <c r="L2672" s="2">
        <f t="shared" si="419"/>
        <v>3811.8973225303575</v>
      </c>
      <c r="M2672" s="2">
        <f t="shared" si="415"/>
        <v>2763.6255588345093</v>
      </c>
      <c r="N2672" s="2">
        <f t="shared" si="416"/>
        <v>1381.8127794172547</v>
      </c>
      <c r="O2672" s="2">
        <f t="shared" si="417"/>
        <v>5071.2529004613243</v>
      </c>
      <c r="P2672" s="2">
        <v>72.553512999999995</v>
      </c>
      <c r="Q2672" s="2">
        <v>23.037289999999999</v>
      </c>
    </row>
    <row r="2673" spans="1:17" x14ac:dyDescent="0.25">
      <c r="A2673" s="2">
        <v>2859</v>
      </c>
      <c r="B2673" s="2" t="s">
        <v>93</v>
      </c>
      <c r="C2673" s="2">
        <v>1</v>
      </c>
      <c r="D2673" s="2">
        <f t="shared" si="410"/>
        <v>2.54</v>
      </c>
      <c r="E2673" s="2">
        <f t="shared" si="411"/>
        <v>0.80850711090682836</v>
      </c>
      <c r="F2673" s="2">
        <f t="shared" si="412"/>
        <v>0.31830988618379069</v>
      </c>
      <c r="G2673" s="2">
        <v>11.826537</v>
      </c>
      <c r="H2673" s="2">
        <f t="shared" si="413"/>
        <v>38.800975651080002</v>
      </c>
      <c r="I2673" s="2">
        <f>INDEX('Wood Density Lookup'!$B$2:$B$152,MATCH(B2673,'Wood Density Lookup'!$A$2:$A$152,0))</f>
        <v>0.9</v>
      </c>
      <c r="J2673" s="2">
        <f t="shared" si="414"/>
        <v>0.44695482436100681</v>
      </c>
      <c r="K2673" s="2">
        <f t="shared" si="418"/>
        <v>0.12514735082108192</v>
      </c>
      <c r="L2673" s="2">
        <f t="shared" si="419"/>
        <v>0.57210217518208872</v>
      </c>
      <c r="M2673" s="2">
        <f t="shared" si="415"/>
        <v>0.4147740770070143</v>
      </c>
      <c r="N2673" s="2">
        <f t="shared" si="416"/>
        <v>0.20738703850350715</v>
      </c>
      <c r="O2673" s="2">
        <f t="shared" si="417"/>
        <v>0.76111043130787126</v>
      </c>
      <c r="P2673" s="2">
        <v>72.553512999999995</v>
      </c>
      <c r="Q2673" s="2">
        <v>23.036462</v>
      </c>
    </row>
    <row r="2674" spans="1:17" x14ac:dyDescent="0.25">
      <c r="A2674" s="2">
        <v>2860</v>
      </c>
      <c r="B2674" s="2" t="s">
        <v>124</v>
      </c>
      <c r="C2674" s="2">
        <v>28</v>
      </c>
      <c r="D2674" s="2">
        <f t="shared" si="410"/>
        <v>71.12</v>
      </c>
      <c r="E2674" s="2">
        <f t="shared" si="411"/>
        <v>22.638199105391195</v>
      </c>
      <c r="F2674" s="2">
        <f t="shared" si="412"/>
        <v>8.91267681314614</v>
      </c>
      <c r="G2674" s="2">
        <v>6.0099809999999998</v>
      </c>
      <c r="H2674" s="2">
        <f t="shared" si="413"/>
        <v>19.717786064039998</v>
      </c>
      <c r="I2674" s="2">
        <f>INDEX('Wood Density Lookup'!$B$2:$B$152,MATCH(B2674,'Wood Density Lookup'!$A$2:$A$152,0))</f>
        <v>0.55000000000000004</v>
      </c>
      <c r="J2674" s="2">
        <f t="shared" si="414"/>
        <v>95.376314012822519</v>
      </c>
      <c r="K2674" s="2">
        <f t="shared" si="418"/>
        <v>26.705367923590309</v>
      </c>
      <c r="L2674" s="2">
        <f t="shared" si="419"/>
        <v>122.08168193641282</v>
      </c>
      <c r="M2674" s="2">
        <f t="shared" si="415"/>
        <v>88.509219403899294</v>
      </c>
      <c r="N2674" s="2">
        <f t="shared" si="416"/>
        <v>44.254609701949647</v>
      </c>
      <c r="O2674" s="2">
        <f t="shared" si="417"/>
        <v>162.41441760615521</v>
      </c>
      <c r="P2674" s="2">
        <v>72.553516999999999</v>
      </c>
      <c r="Q2674" s="2">
        <v>23.038067999999999</v>
      </c>
    </row>
    <row r="2675" spans="1:17" x14ac:dyDescent="0.25">
      <c r="A2675" s="2">
        <v>2861</v>
      </c>
      <c r="B2675" s="2" t="s">
        <v>62</v>
      </c>
      <c r="C2675" s="2">
        <v>8</v>
      </c>
      <c r="D2675" s="2">
        <f t="shared" si="410"/>
        <v>20.32</v>
      </c>
      <c r="E2675" s="2">
        <f t="shared" si="411"/>
        <v>6.4680568872546269</v>
      </c>
      <c r="F2675" s="2">
        <f t="shared" si="412"/>
        <v>2.5464790894703255</v>
      </c>
      <c r="G2675" s="2">
        <v>2.9383810000000001</v>
      </c>
      <c r="H2675" s="2">
        <f t="shared" si="413"/>
        <v>9.6403579200399996</v>
      </c>
      <c r="I2675" s="2">
        <f>INDEX('Wood Density Lookup'!$B$2:$B$152,MATCH(B2675,'Wood Density Lookup'!$A$2:$A$152,0))</f>
        <v>0.47</v>
      </c>
      <c r="J2675" s="2">
        <f t="shared" si="414"/>
        <v>3.5276590530353777</v>
      </c>
      <c r="K2675" s="2">
        <f t="shared" si="418"/>
        <v>0.98774453484990588</v>
      </c>
      <c r="L2675" s="2">
        <f t="shared" si="419"/>
        <v>4.5154035878852836</v>
      </c>
      <c r="M2675" s="2">
        <f t="shared" si="415"/>
        <v>3.2736676012168306</v>
      </c>
      <c r="N2675" s="2">
        <f t="shared" si="416"/>
        <v>1.6368338006084153</v>
      </c>
      <c r="O2675" s="2">
        <f t="shared" si="417"/>
        <v>6.0071800482328843</v>
      </c>
      <c r="P2675" s="2">
        <v>72.553517999999997</v>
      </c>
      <c r="Q2675" s="2">
        <v>23.037040999999999</v>
      </c>
    </row>
    <row r="2676" spans="1:17" x14ac:dyDescent="0.25">
      <c r="A2676" s="2">
        <v>2862</v>
      </c>
      <c r="B2676" s="2" t="s">
        <v>129</v>
      </c>
      <c r="C2676" s="2">
        <v>3</v>
      </c>
      <c r="D2676" s="2">
        <f t="shared" si="410"/>
        <v>7.62</v>
      </c>
      <c r="E2676" s="2">
        <f t="shared" si="411"/>
        <v>2.4255213327204852</v>
      </c>
      <c r="F2676" s="2">
        <f t="shared" si="412"/>
        <v>0.95492965855137202</v>
      </c>
      <c r="G2676" s="2">
        <v>14.902272999999999</v>
      </c>
      <c r="H2676" s="2">
        <f t="shared" si="413"/>
        <v>48.891973349319997</v>
      </c>
      <c r="I2676" s="2">
        <f>INDEX('Wood Density Lookup'!$B$2:$B$152,MATCH(B2676,'Wood Density Lookup'!$A$2:$A$152,0))</f>
        <v>0.4</v>
      </c>
      <c r="J2676" s="2">
        <f t="shared" si="414"/>
        <v>2.1670035514805872</v>
      </c>
      <c r="K2676" s="2">
        <f t="shared" si="418"/>
        <v>0.60676099441456444</v>
      </c>
      <c r="L2676" s="2">
        <f t="shared" si="419"/>
        <v>2.7737645458951516</v>
      </c>
      <c r="M2676" s="2">
        <f t="shared" si="415"/>
        <v>2.0109792957739847</v>
      </c>
      <c r="N2676" s="2">
        <f t="shared" si="416"/>
        <v>1.0054896478869924</v>
      </c>
      <c r="O2676" s="2">
        <f t="shared" si="417"/>
        <v>3.6901470077452618</v>
      </c>
      <c r="P2676" s="2">
        <v>72.553518999999994</v>
      </c>
      <c r="Q2676" s="2">
        <v>23.0364</v>
      </c>
    </row>
    <row r="2677" spans="1:17" x14ac:dyDescent="0.25">
      <c r="A2677" s="2">
        <v>2863</v>
      </c>
      <c r="B2677" s="2" t="s">
        <v>129</v>
      </c>
      <c r="C2677" s="2">
        <v>2</v>
      </c>
      <c r="D2677" s="2">
        <f t="shared" si="410"/>
        <v>5.08</v>
      </c>
      <c r="E2677" s="2">
        <f t="shared" si="411"/>
        <v>1.6170142218136567</v>
      </c>
      <c r="F2677" s="2">
        <f t="shared" si="412"/>
        <v>0.63661977236758138</v>
      </c>
      <c r="G2677" s="2">
        <v>11.919521</v>
      </c>
      <c r="H2677" s="2">
        <f t="shared" si="413"/>
        <v>39.106041277639996</v>
      </c>
      <c r="I2677" s="2">
        <f>INDEX('Wood Density Lookup'!$B$2:$B$152,MATCH(B2677,'Wood Density Lookup'!$A$2:$A$152,0))</f>
        <v>0.4</v>
      </c>
      <c r="J2677" s="2">
        <f t="shared" si="414"/>
        <v>0.78970269929399617</v>
      </c>
      <c r="K2677" s="2">
        <f t="shared" si="418"/>
        <v>0.22111675580231896</v>
      </c>
      <c r="L2677" s="2">
        <f t="shared" si="419"/>
        <v>1.0108194550963152</v>
      </c>
      <c r="M2677" s="2">
        <f t="shared" si="415"/>
        <v>0.73284410494482854</v>
      </c>
      <c r="N2677" s="2">
        <f t="shared" si="416"/>
        <v>0.36642205247241427</v>
      </c>
      <c r="O2677" s="2">
        <f t="shared" si="417"/>
        <v>1.3447689325737604</v>
      </c>
      <c r="P2677" s="2">
        <v>72.553520000000006</v>
      </c>
      <c r="Q2677" s="2">
        <v>23.03642</v>
      </c>
    </row>
    <row r="2678" spans="1:17" x14ac:dyDescent="0.25">
      <c r="A2678" s="2">
        <v>2864</v>
      </c>
      <c r="B2678" s="2" t="s">
        <v>58</v>
      </c>
      <c r="C2678" s="2">
        <v>27</v>
      </c>
      <c r="D2678" s="2">
        <f t="shared" si="410"/>
        <v>68.58</v>
      </c>
      <c r="E2678" s="2">
        <f t="shared" si="411"/>
        <v>21.829691994484364</v>
      </c>
      <c r="F2678" s="2">
        <f t="shared" si="412"/>
        <v>8.5943669269623477</v>
      </c>
      <c r="G2678" s="2">
        <v>4.5859670000000001</v>
      </c>
      <c r="H2678" s="2">
        <f t="shared" si="413"/>
        <v>15.045823972280001</v>
      </c>
      <c r="I2678" s="2">
        <f>INDEX('Wood Density Lookup'!$B$2:$B$152,MATCH(B2678,'Wood Density Lookup'!$A$2:$A$152,0))</f>
        <v>0.5</v>
      </c>
      <c r="J2678" s="2">
        <f t="shared" si="414"/>
        <v>62.170921208611894</v>
      </c>
      <c r="K2678" s="2">
        <f t="shared" si="418"/>
        <v>17.407857938411333</v>
      </c>
      <c r="L2678" s="2">
        <f t="shared" si="419"/>
        <v>79.578779147023226</v>
      </c>
      <c r="M2678" s="2">
        <f t="shared" si="415"/>
        <v>57.694614881591839</v>
      </c>
      <c r="N2678" s="2">
        <f t="shared" si="416"/>
        <v>28.84730744079592</v>
      </c>
      <c r="O2678" s="2">
        <f t="shared" si="417"/>
        <v>105.86961830772103</v>
      </c>
      <c r="P2678" s="2">
        <v>72.553522000000001</v>
      </c>
      <c r="Q2678" s="2">
        <v>23.038224</v>
      </c>
    </row>
    <row r="2679" spans="1:17" x14ac:dyDescent="0.25">
      <c r="A2679" s="2">
        <v>2865</v>
      </c>
      <c r="B2679" s="2" t="s">
        <v>93</v>
      </c>
      <c r="C2679" s="2">
        <v>9</v>
      </c>
      <c r="D2679" s="2">
        <f t="shared" si="410"/>
        <v>22.86</v>
      </c>
      <c r="E2679" s="2">
        <f t="shared" si="411"/>
        <v>7.2765639981614552</v>
      </c>
      <c r="F2679" s="2">
        <f t="shared" si="412"/>
        <v>2.8647889756541161</v>
      </c>
      <c r="G2679" s="2">
        <v>6.1036049999999999</v>
      </c>
      <c r="H2679" s="2">
        <f t="shared" si="413"/>
        <v>20.024951428200001</v>
      </c>
      <c r="I2679" s="2">
        <f>INDEX('Wood Density Lookup'!$B$2:$B$152,MATCH(B2679,'Wood Density Lookup'!$A$2:$A$152,0))</f>
        <v>0.9</v>
      </c>
      <c r="J2679" s="2">
        <f t="shared" si="414"/>
        <v>17.083165222000776</v>
      </c>
      <c r="K2679" s="2">
        <f t="shared" si="418"/>
        <v>4.7832862621602175</v>
      </c>
      <c r="L2679" s="2">
        <f t="shared" si="419"/>
        <v>21.866451484160994</v>
      </c>
      <c r="M2679" s="2">
        <f t="shared" si="415"/>
        <v>15.85317732601672</v>
      </c>
      <c r="N2679" s="2">
        <f t="shared" si="416"/>
        <v>7.92658866300836</v>
      </c>
      <c r="O2679" s="2">
        <f t="shared" si="417"/>
        <v>29.090580393240682</v>
      </c>
      <c r="P2679" s="2">
        <v>72.553523999999996</v>
      </c>
      <c r="Q2679" s="2">
        <v>23.038240999999999</v>
      </c>
    </row>
    <row r="2680" spans="1:17" x14ac:dyDescent="0.25">
      <c r="A2680" s="2">
        <v>2866</v>
      </c>
      <c r="B2680" s="2" t="s">
        <v>129</v>
      </c>
      <c r="C2680" s="2">
        <v>4</v>
      </c>
      <c r="D2680" s="2">
        <f t="shared" si="410"/>
        <v>10.16</v>
      </c>
      <c r="E2680" s="2">
        <f t="shared" si="411"/>
        <v>3.2340284436273135</v>
      </c>
      <c r="F2680" s="2">
        <f t="shared" si="412"/>
        <v>1.2732395447351628</v>
      </c>
      <c r="G2680" s="2">
        <v>10.254129000000001</v>
      </c>
      <c r="H2680" s="2">
        <f t="shared" si="413"/>
        <v>33.642156588360002</v>
      </c>
      <c r="I2680" s="2">
        <f>INDEX('Wood Density Lookup'!$B$2:$B$152,MATCH(B2680,'Wood Density Lookup'!$A$2:$A$152,0))</f>
        <v>0.4</v>
      </c>
      <c r="J2680" s="2">
        <f t="shared" si="414"/>
        <v>2.6380485760852048</v>
      </c>
      <c r="K2680" s="2">
        <f t="shared" si="418"/>
        <v>0.73865360130385738</v>
      </c>
      <c r="L2680" s="2">
        <f t="shared" si="419"/>
        <v>3.3767021773890624</v>
      </c>
      <c r="M2680" s="2">
        <f t="shared" si="415"/>
        <v>2.4481090786070703</v>
      </c>
      <c r="N2680" s="2">
        <f t="shared" si="416"/>
        <v>1.2240545393035351</v>
      </c>
      <c r="O2680" s="2">
        <f t="shared" si="417"/>
        <v>4.4922801592439736</v>
      </c>
      <c r="P2680" s="2">
        <v>72.553523999999996</v>
      </c>
      <c r="Q2680" s="2">
        <v>23.036368</v>
      </c>
    </row>
    <row r="2681" spans="1:17" x14ac:dyDescent="0.25">
      <c r="A2681" s="2">
        <v>2867</v>
      </c>
      <c r="B2681" s="2" t="s">
        <v>93</v>
      </c>
      <c r="C2681" s="2">
        <v>4</v>
      </c>
      <c r="D2681" s="2">
        <f t="shared" si="410"/>
        <v>10.16</v>
      </c>
      <c r="E2681" s="2">
        <f t="shared" si="411"/>
        <v>3.2340284436273135</v>
      </c>
      <c r="F2681" s="2">
        <f t="shared" si="412"/>
        <v>1.2732395447351628</v>
      </c>
      <c r="G2681" s="2">
        <v>2.0351240000000002</v>
      </c>
      <c r="H2681" s="2">
        <f t="shared" si="413"/>
        <v>6.6769162241600002</v>
      </c>
      <c r="I2681" s="2">
        <f>INDEX('Wood Density Lookup'!$B$2:$B$152,MATCH(B2681,'Wood Density Lookup'!$A$2:$A$152,0))</f>
        <v>0.9</v>
      </c>
      <c r="J2681" s="2">
        <f t="shared" si="414"/>
        <v>1.2010481392911241</v>
      </c>
      <c r="K2681" s="2">
        <f t="shared" si="418"/>
        <v>0.33629347900151479</v>
      </c>
      <c r="L2681" s="2">
        <f t="shared" si="419"/>
        <v>1.5373416182926389</v>
      </c>
      <c r="M2681" s="2">
        <f t="shared" si="415"/>
        <v>1.1145726732621632</v>
      </c>
      <c r="N2681" s="2">
        <f t="shared" si="416"/>
        <v>0.55728633663108162</v>
      </c>
      <c r="O2681" s="2">
        <f t="shared" si="417"/>
        <v>2.0452408554360697</v>
      </c>
      <c r="P2681" s="2">
        <v>72.553523999999996</v>
      </c>
      <c r="Q2681" s="2">
        <v>23.038076</v>
      </c>
    </row>
    <row r="2682" spans="1:17" x14ac:dyDescent="0.25">
      <c r="A2682" s="2">
        <v>2868</v>
      </c>
      <c r="B2682" s="2" t="s">
        <v>129</v>
      </c>
      <c r="C2682" s="2">
        <v>3</v>
      </c>
      <c r="D2682" s="2">
        <f t="shared" si="410"/>
        <v>7.62</v>
      </c>
      <c r="E2682" s="2">
        <f t="shared" si="411"/>
        <v>2.4255213327204852</v>
      </c>
      <c r="F2682" s="2">
        <f t="shared" si="412"/>
        <v>0.95492965855137202</v>
      </c>
      <c r="G2682" s="2">
        <v>14.401687000000001</v>
      </c>
      <c r="H2682" s="2">
        <f t="shared" si="413"/>
        <v>47.24963077708</v>
      </c>
      <c r="I2682" s="2">
        <f>INDEX('Wood Density Lookup'!$B$2:$B$152,MATCH(B2682,'Wood Density Lookup'!$A$2:$A$152,0))</f>
        <v>0.4</v>
      </c>
      <c r="J2682" s="2">
        <f t="shared" si="414"/>
        <v>2.0959292348102858</v>
      </c>
      <c r="K2682" s="2">
        <f t="shared" si="418"/>
        <v>0.58686018574688004</v>
      </c>
      <c r="L2682" s="2">
        <f t="shared" si="419"/>
        <v>2.6827894205571656</v>
      </c>
      <c r="M2682" s="2">
        <f t="shared" si="415"/>
        <v>1.9450223299039451</v>
      </c>
      <c r="N2682" s="2">
        <f t="shared" si="416"/>
        <v>0.97251116495197254</v>
      </c>
      <c r="O2682" s="2">
        <f t="shared" si="417"/>
        <v>3.5691159753737391</v>
      </c>
      <c r="P2682" s="2">
        <v>72.553524999999993</v>
      </c>
      <c r="Q2682" s="2">
        <v>23.036345000000001</v>
      </c>
    </row>
    <row r="2683" spans="1:17" x14ac:dyDescent="0.25">
      <c r="A2683" s="2">
        <v>2869</v>
      </c>
      <c r="B2683" s="2" t="s">
        <v>129</v>
      </c>
      <c r="C2683" s="2">
        <v>2</v>
      </c>
      <c r="D2683" s="2">
        <f t="shared" si="410"/>
        <v>5.08</v>
      </c>
      <c r="E2683" s="2">
        <f t="shared" si="411"/>
        <v>1.6170142218136567</v>
      </c>
      <c r="F2683" s="2">
        <f t="shared" si="412"/>
        <v>0.63661977236758138</v>
      </c>
      <c r="G2683" s="2">
        <v>2.0341640000000001</v>
      </c>
      <c r="H2683" s="2">
        <f t="shared" si="413"/>
        <v>6.6737666177600001</v>
      </c>
      <c r="I2683" s="2">
        <f>INDEX('Wood Density Lookup'!$B$2:$B$152,MATCH(B2683,'Wood Density Lookup'!$A$2:$A$152,0))</f>
        <v>0.4</v>
      </c>
      <c r="J2683" s="2">
        <f t="shared" si="414"/>
        <v>0.14061114073064246</v>
      </c>
      <c r="K2683" s="2">
        <f t="shared" si="418"/>
        <v>3.9371119404579893E-2</v>
      </c>
      <c r="L2683" s="2">
        <f t="shared" si="419"/>
        <v>0.17998226013522234</v>
      </c>
      <c r="M2683" s="2">
        <f t="shared" si="415"/>
        <v>0.13048713859803618</v>
      </c>
      <c r="N2683" s="2">
        <f t="shared" si="416"/>
        <v>6.5243569299018089E-2</v>
      </c>
      <c r="O2683" s="2">
        <f t="shared" si="417"/>
        <v>0.23944389932739638</v>
      </c>
      <c r="P2683" s="2">
        <v>72.553524999999993</v>
      </c>
      <c r="Q2683" s="2">
        <v>23.036269999999998</v>
      </c>
    </row>
    <row r="2684" spans="1:17" x14ac:dyDescent="0.25">
      <c r="A2684" s="2">
        <v>2870</v>
      </c>
      <c r="B2684" s="2" t="s">
        <v>129</v>
      </c>
      <c r="C2684" s="2">
        <v>5</v>
      </c>
      <c r="D2684" s="2">
        <f t="shared" si="410"/>
        <v>12.7</v>
      </c>
      <c r="E2684" s="2">
        <f t="shared" si="411"/>
        <v>4.0425355545341413</v>
      </c>
      <c r="F2684" s="2">
        <f t="shared" si="412"/>
        <v>1.5915494309189535</v>
      </c>
      <c r="G2684" s="2">
        <v>11.518679000000001</v>
      </c>
      <c r="H2684" s="2">
        <f t="shared" si="413"/>
        <v>37.790942810360001</v>
      </c>
      <c r="I2684" s="2">
        <f>INDEX('Wood Density Lookup'!$B$2:$B$152,MATCH(B2684,'Wood Density Lookup'!$A$2:$A$152,0))</f>
        <v>0.4</v>
      </c>
      <c r="J2684" s="2">
        <f t="shared" si="414"/>
        <v>4.5681771693820048</v>
      </c>
      <c r="K2684" s="2">
        <f t="shared" si="418"/>
        <v>1.2790896074269615</v>
      </c>
      <c r="L2684" s="2">
        <f t="shared" si="419"/>
        <v>5.8472667768089668</v>
      </c>
      <c r="M2684" s="2">
        <f t="shared" si="415"/>
        <v>4.239268413186501</v>
      </c>
      <c r="N2684" s="2">
        <f t="shared" si="416"/>
        <v>2.1196342065932505</v>
      </c>
      <c r="O2684" s="2">
        <f t="shared" si="417"/>
        <v>7.7790575381972289</v>
      </c>
      <c r="P2684" s="2">
        <v>72.553527000000003</v>
      </c>
      <c r="Q2684" s="2">
        <v>23.036303</v>
      </c>
    </row>
    <row r="2685" spans="1:17" x14ac:dyDescent="0.25">
      <c r="A2685" s="2">
        <v>2871</v>
      </c>
      <c r="B2685" s="2" t="s">
        <v>135</v>
      </c>
      <c r="C2685" s="2">
        <v>18</v>
      </c>
      <c r="D2685" s="2">
        <f t="shared" si="410"/>
        <v>45.72</v>
      </c>
      <c r="E2685" s="2">
        <f t="shared" si="411"/>
        <v>14.55312799632291</v>
      </c>
      <c r="F2685" s="2">
        <f t="shared" si="412"/>
        <v>5.7295779513082321</v>
      </c>
      <c r="G2685" s="2">
        <v>16.701915</v>
      </c>
      <c r="H2685" s="2">
        <f t="shared" si="413"/>
        <v>54.796310808599998</v>
      </c>
      <c r="I2685" s="2">
        <f>INDEX('Wood Density Lookup'!$B$2:$B$152,MATCH(B2685,'Wood Density Lookup'!$A$2:$A$152,0))</f>
        <v>0.8</v>
      </c>
      <c r="J2685" s="2">
        <f t="shared" si="414"/>
        <v>157.3771091430433</v>
      </c>
      <c r="K2685" s="2">
        <f t="shared" si="418"/>
        <v>44.065590560052129</v>
      </c>
      <c r="L2685" s="2">
        <f t="shared" si="419"/>
        <v>201.44269970309543</v>
      </c>
      <c r="M2685" s="2">
        <f t="shared" si="415"/>
        <v>146.04595728474419</v>
      </c>
      <c r="N2685" s="2">
        <f t="shared" si="416"/>
        <v>73.022978642372095</v>
      </c>
      <c r="O2685" s="2">
        <f t="shared" si="417"/>
        <v>267.99433161750557</v>
      </c>
      <c r="P2685" s="2">
        <v>72.553528</v>
      </c>
      <c r="Q2685" s="2">
        <v>23.035546</v>
      </c>
    </row>
    <row r="2686" spans="1:17" x14ac:dyDescent="0.25">
      <c r="A2686" s="2">
        <v>2872</v>
      </c>
      <c r="B2686" s="2" t="s">
        <v>129</v>
      </c>
      <c r="C2686" s="2">
        <v>3</v>
      </c>
      <c r="D2686" s="2">
        <f t="shared" si="410"/>
        <v>7.62</v>
      </c>
      <c r="E2686" s="2">
        <f t="shared" si="411"/>
        <v>2.4255213327204852</v>
      </c>
      <c r="F2686" s="2">
        <f t="shared" si="412"/>
        <v>0.95492965855137202</v>
      </c>
      <c r="G2686" s="2">
        <v>1.010507</v>
      </c>
      <c r="H2686" s="2">
        <f t="shared" si="413"/>
        <v>3.3153117858800001</v>
      </c>
      <c r="I2686" s="2">
        <f>INDEX('Wood Density Lookup'!$B$2:$B$152,MATCH(B2686,'Wood Density Lookup'!$A$2:$A$152,0))</f>
        <v>0.4</v>
      </c>
      <c r="J2686" s="2">
        <f t="shared" si="414"/>
        <v>0.15674566936469053</v>
      </c>
      <c r="K2686" s="2">
        <f t="shared" si="418"/>
        <v>4.388878742211335E-2</v>
      </c>
      <c r="L2686" s="2">
        <f t="shared" si="419"/>
        <v>0.20063445678680389</v>
      </c>
      <c r="M2686" s="2">
        <f t="shared" si="415"/>
        <v>0.14545998117043282</v>
      </c>
      <c r="N2686" s="2">
        <f t="shared" si="416"/>
        <v>7.2729990585216411E-2</v>
      </c>
      <c r="O2686" s="2">
        <f t="shared" si="417"/>
        <v>0.26691906544774424</v>
      </c>
      <c r="P2686" s="2">
        <v>72.553528</v>
      </c>
      <c r="Q2686" s="2">
        <v>23.036235000000001</v>
      </c>
    </row>
    <row r="2687" spans="1:17" x14ac:dyDescent="0.25">
      <c r="A2687" s="2">
        <v>2873</v>
      </c>
      <c r="B2687" s="2" t="s">
        <v>129</v>
      </c>
      <c r="C2687" s="2">
        <v>4</v>
      </c>
      <c r="D2687" s="2">
        <f t="shared" si="410"/>
        <v>10.16</v>
      </c>
      <c r="E2687" s="2">
        <f t="shared" si="411"/>
        <v>3.2340284436273135</v>
      </c>
      <c r="F2687" s="2">
        <f t="shared" si="412"/>
        <v>1.2732395447351628</v>
      </c>
      <c r="G2687" s="2">
        <v>2.0394770000000002</v>
      </c>
      <c r="H2687" s="2">
        <f t="shared" si="413"/>
        <v>6.6911977206800008</v>
      </c>
      <c r="I2687" s="2">
        <f>INDEX('Wood Density Lookup'!$B$2:$B$152,MATCH(B2687,'Wood Density Lookup'!$A$2:$A$152,0))</f>
        <v>0.4</v>
      </c>
      <c r="J2687" s="2">
        <f t="shared" si="414"/>
        <v>0.54542613325381395</v>
      </c>
      <c r="K2687" s="2">
        <f t="shared" si="418"/>
        <v>0.15271931731106791</v>
      </c>
      <c r="L2687" s="2">
        <f t="shared" si="419"/>
        <v>0.69814545056488186</v>
      </c>
      <c r="M2687" s="2">
        <f t="shared" si="415"/>
        <v>0.50615545165953935</v>
      </c>
      <c r="N2687" s="2">
        <f t="shared" si="416"/>
        <v>0.25307772582976967</v>
      </c>
      <c r="O2687" s="2">
        <f t="shared" si="417"/>
        <v>0.92879525379525463</v>
      </c>
      <c r="P2687" s="2">
        <v>72.553528</v>
      </c>
      <c r="Q2687" s="2">
        <v>23.036197000000001</v>
      </c>
    </row>
    <row r="2688" spans="1:17" x14ac:dyDescent="0.25">
      <c r="A2688" s="2">
        <v>2874</v>
      </c>
      <c r="B2688" s="2" t="s">
        <v>15</v>
      </c>
      <c r="C2688" s="2">
        <v>76</v>
      </c>
      <c r="D2688" s="2">
        <f t="shared" si="410"/>
        <v>193.04</v>
      </c>
      <c r="E2688" s="2">
        <f t="shared" si="411"/>
        <v>61.446540428918951</v>
      </c>
      <c r="F2688" s="2">
        <f t="shared" si="412"/>
        <v>24.191551349968091</v>
      </c>
      <c r="G2688" s="2">
        <v>14.133905</v>
      </c>
      <c r="H2688" s="2">
        <f t="shared" si="413"/>
        <v>46.371080880199997</v>
      </c>
      <c r="I2688" s="2">
        <f>INDEX('Wood Density Lookup'!$B$2:$B$152,MATCH(B2688,'Wood Density Lookup'!$A$2:$A$152,0))</f>
        <v>0.75</v>
      </c>
      <c r="J2688" s="2">
        <f t="shared" si="414"/>
        <v>2088.7079928245753</v>
      </c>
      <c r="K2688" s="2">
        <f t="shared" si="418"/>
        <v>584.83823799088111</v>
      </c>
      <c r="L2688" s="2">
        <f t="shared" si="419"/>
        <v>2673.5462308154565</v>
      </c>
      <c r="M2688" s="2">
        <f t="shared" si="415"/>
        <v>1938.321017341206</v>
      </c>
      <c r="N2688" s="2">
        <f t="shared" si="416"/>
        <v>969.16050867060301</v>
      </c>
      <c r="O2688" s="2">
        <f t="shared" si="417"/>
        <v>3556.8190668211128</v>
      </c>
      <c r="P2688" s="2">
        <v>72.553528999999997</v>
      </c>
      <c r="Q2688" s="2">
        <v>23.036394999999999</v>
      </c>
    </row>
    <row r="2689" spans="1:17" x14ac:dyDescent="0.25">
      <c r="A2689" s="2">
        <v>2875</v>
      </c>
      <c r="B2689" s="2" t="s">
        <v>129</v>
      </c>
      <c r="C2689" s="2">
        <v>3</v>
      </c>
      <c r="D2689" s="2">
        <f t="shared" ref="D2689:D2752" si="420">C2689*2.54</f>
        <v>7.62</v>
      </c>
      <c r="E2689" s="2">
        <f t="shared" ref="E2689:E2752" si="421">D2689/PI()</f>
        <v>2.4255213327204852</v>
      </c>
      <c r="F2689" s="2">
        <f t="shared" ref="F2689:F2752" si="422">C2689/PI()</f>
        <v>0.95492965855137202</v>
      </c>
      <c r="G2689" s="2">
        <v>2.0247350000000002</v>
      </c>
      <c r="H2689" s="2">
        <f t="shared" ref="H2689:H2752" si="423">G2689*3.28084</f>
        <v>6.6428315774000009</v>
      </c>
      <c r="I2689" s="2">
        <f>INDEX('Wood Density Lookup'!$B$2:$B$152,MATCH(B2689,'Wood Density Lookup'!$A$2:$A$152,0))</f>
        <v>0.4</v>
      </c>
      <c r="J2689" s="2">
        <f t="shared" ref="J2689:J2752" si="424">0.0673*POWER(I2689*E2689^2*G2689,0.976)</f>
        <v>0.30887340943271507</v>
      </c>
      <c r="K2689" s="2">
        <f t="shared" si="418"/>
        <v>8.6484554641160227E-2</v>
      </c>
      <c r="L2689" s="2">
        <f t="shared" si="419"/>
        <v>0.3953579640738753</v>
      </c>
      <c r="M2689" s="2">
        <f t="shared" ref="M2689:M2752" si="425">0.725*L2689</f>
        <v>0.28663452395355959</v>
      </c>
      <c r="N2689" s="2">
        <f t="shared" ref="N2689:N2752" si="426">0.5*M2689</f>
        <v>0.1433172619767798</v>
      </c>
      <c r="O2689" s="2">
        <f t="shared" ref="O2689:O2752" si="427">3.67*N2689</f>
        <v>0.52597435145478189</v>
      </c>
      <c r="P2689" s="2">
        <v>72.553529999999995</v>
      </c>
      <c r="Q2689" s="2">
        <v>23.036161</v>
      </c>
    </row>
    <row r="2690" spans="1:17" x14ac:dyDescent="0.25">
      <c r="A2690" s="2">
        <v>2876</v>
      </c>
      <c r="B2690" s="2" t="s">
        <v>129</v>
      </c>
      <c r="C2690" s="2">
        <v>2</v>
      </c>
      <c r="D2690" s="2">
        <f t="shared" si="420"/>
        <v>5.08</v>
      </c>
      <c r="E2690" s="2">
        <f t="shared" si="421"/>
        <v>1.6170142218136567</v>
      </c>
      <c r="F2690" s="2">
        <f t="shared" si="422"/>
        <v>0.63661977236758138</v>
      </c>
      <c r="G2690" s="2">
        <v>1.0686279999999999</v>
      </c>
      <c r="H2690" s="2">
        <f t="shared" si="423"/>
        <v>3.5059974875199997</v>
      </c>
      <c r="I2690" s="2">
        <f>INDEX('Wood Density Lookup'!$B$2:$B$152,MATCH(B2690,'Wood Density Lookup'!$A$2:$A$152,0))</f>
        <v>0.4</v>
      </c>
      <c r="J2690" s="2">
        <f t="shared" si="424"/>
        <v>7.5018736062842512E-2</v>
      </c>
      <c r="K2690" s="2">
        <f t="shared" si="418"/>
        <v>2.1005246097595905E-2</v>
      </c>
      <c r="L2690" s="2">
        <f t="shared" si="419"/>
        <v>9.602398216043842E-2</v>
      </c>
      <c r="M2690" s="2">
        <f t="shared" si="425"/>
        <v>6.9617387066317857E-2</v>
      </c>
      <c r="N2690" s="2">
        <f t="shared" si="426"/>
        <v>3.4808693533158928E-2</v>
      </c>
      <c r="O2690" s="2">
        <f t="shared" si="427"/>
        <v>0.12774790526669327</v>
      </c>
      <c r="P2690" s="2">
        <v>72.553533000000002</v>
      </c>
      <c r="Q2690" s="2">
        <v>23.036125999999999</v>
      </c>
    </row>
    <row r="2691" spans="1:17" x14ac:dyDescent="0.25">
      <c r="A2691" s="2">
        <v>2877</v>
      </c>
      <c r="B2691" s="2" t="s">
        <v>93</v>
      </c>
      <c r="C2691" s="2">
        <v>6</v>
      </c>
      <c r="D2691" s="2">
        <f t="shared" si="420"/>
        <v>15.24</v>
      </c>
      <c r="E2691" s="2">
        <f t="shared" si="421"/>
        <v>4.8510426654409704</v>
      </c>
      <c r="F2691" s="2">
        <f t="shared" si="422"/>
        <v>1.909859317102744</v>
      </c>
      <c r="G2691" s="2">
        <v>2.7587730000000001</v>
      </c>
      <c r="H2691" s="2">
        <f t="shared" si="423"/>
        <v>9.05109280932</v>
      </c>
      <c r="I2691" s="2">
        <f>INDEX('Wood Density Lookup'!$B$2:$B$152,MATCH(B2691,'Wood Density Lookup'!$A$2:$A$152,0))</f>
        <v>0.9</v>
      </c>
      <c r="J2691" s="2">
        <f t="shared" si="424"/>
        <v>3.5665198150456048</v>
      </c>
      <c r="K2691" s="2">
        <f t="shared" ref="K2691:K2754" si="428">0.28*J2691</f>
        <v>0.99862554821276939</v>
      </c>
      <c r="L2691" s="2">
        <f t="shared" ref="L2691:L2754" si="429">J2691+K2691</f>
        <v>4.5651453632583738</v>
      </c>
      <c r="M2691" s="2">
        <f t="shared" si="425"/>
        <v>3.309730388362321</v>
      </c>
      <c r="N2691" s="2">
        <f t="shared" si="426"/>
        <v>1.6548651941811605</v>
      </c>
      <c r="O2691" s="2">
        <f t="shared" si="427"/>
        <v>6.073355262644859</v>
      </c>
      <c r="P2691" s="2">
        <v>72.553533999999999</v>
      </c>
      <c r="Q2691" s="2">
        <v>23.037886</v>
      </c>
    </row>
    <row r="2692" spans="1:17" x14ac:dyDescent="0.25">
      <c r="A2692" s="2">
        <v>2878</v>
      </c>
      <c r="B2692" s="2" t="s">
        <v>129</v>
      </c>
      <c r="C2692" s="2">
        <v>2</v>
      </c>
      <c r="D2692" s="2">
        <f t="shared" si="420"/>
        <v>5.08</v>
      </c>
      <c r="E2692" s="2">
        <f t="shared" si="421"/>
        <v>1.6170142218136567</v>
      </c>
      <c r="F2692" s="2">
        <f t="shared" si="422"/>
        <v>0.63661977236758138</v>
      </c>
      <c r="G2692" s="2">
        <v>2.0981920000000001</v>
      </c>
      <c r="H2692" s="2">
        <f t="shared" si="423"/>
        <v>6.8838322412800004</v>
      </c>
      <c r="I2692" s="2">
        <f>INDEX('Wood Density Lookup'!$B$2:$B$152,MATCH(B2692,'Wood Density Lookup'!$A$2:$A$152,0))</f>
        <v>0.4</v>
      </c>
      <c r="J2692" s="2">
        <f t="shared" si="424"/>
        <v>0.14492922572124953</v>
      </c>
      <c r="K2692" s="2">
        <f t="shared" si="428"/>
        <v>4.0580183201949872E-2</v>
      </c>
      <c r="L2692" s="2">
        <f t="shared" si="429"/>
        <v>0.18550940892319939</v>
      </c>
      <c r="M2692" s="2">
        <f t="shared" si="425"/>
        <v>0.13449432146931956</v>
      </c>
      <c r="N2692" s="2">
        <f t="shared" si="426"/>
        <v>6.7247160734659778E-2</v>
      </c>
      <c r="O2692" s="2">
        <f t="shared" si="427"/>
        <v>0.24679707989620137</v>
      </c>
      <c r="P2692" s="2">
        <v>72.553533999999999</v>
      </c>
      <c r="Q2692" s="2">
        <v>23.036090000000002</v>
      </c>
    </row>
    <row r="2693" spans="1:17" x14ac:dyDescent="0.25">
      <c r="A2693" s="2">
        <v>2879</v>
      </c>
      <c r="B2693" s="2" t="s">
        <v>129</v>
      </c>
      <c r="C2693" s="2">
        <v>3</v>
      </c>
      <c r="D2693" s="2">
        <f t="shared" si="420"/>
        <v>7.62</v>
      </c>
      <c r="E2693" s="2">
        <f t="shared" si="421"/>
        <v>2.4255213327204852</v>
      </c>
      <c r="F2693" s="2">
        <f t="shared" si="422"/>
        <v>0.95492965855137202</v>
      </c>
      <c r="G2693" s="2">
        <v>1.072964</v>
      </c>
      <c r="H2693" s="2">
        <f t="shared" si="423"/>
        <v>3.5202232097600001</v>
      </c>
      <c r="I2693" s="2">
        <f>INDEX('Wood Density Lookup'!$B$2:$B$152,MATCH(B2693,'Wood Density Lookup'!$A$2:$A$152,0))</f>
        <v>0.4</v>
      </c>
      <c r="J2693" s="2">
        <f t="shared" si="424"/>
        <v>0.16619435773744159</v>
      </c>
      <c r="K2693" s="2">
        <f t="shared" si="428"/>
        <v>4.6534420166483653E-2</v>
      </c>
      <c r="L2693" s="2">
        <f t="shared" si="429"/>
        <v>0.21272877790392525</v>
      </c>
      <c r="M2693" s="2">
        <f t="shared" si="425"/>
        <v>0.15422836398034581</v>
      </c>
      <c r="N2693" s="2">
        <f t="shared" si="426"/>
        <v>7.7114181990172906E-2</v>
      </c>
      <c r="O2693" s="2">
        <f t="shared" si="427"/>
        <v>0.28300904790393455</v>
      </c>
      <c r="P2693" s="2">
        <v>72.553533999999999</v>
      </c>
      <c r="Q2693" s="2">
        <v>23.035903000000001</v>
      </c>
    </row>
    <row r="2694" spans="1:17" x14ac:dyDescent="0.25">
      <c r="A2694" s="2">
        <v>2880</v>
      </c>
      <c r="B2694" s="2" t="s">
        <v>107</v>
      </c>
      <c r="C2694" s="2">
        <v>15</v>
      </c>
      <c r="D2694" s="2">
        <f t="shared" si="420"/>
        <v>38.1</v>
      </c>
      <c r="E2694" s="2">
        <f t="shared" si="421"/>
        <v>12.127606663602425</v>
      </c>
      <c r="F2694" s="2">
        <f t="shared" si="422"/>
        <v>4.7746482927568605</v>
      </c>
      <c r="G2694" s="2">
        <v>2.770505</v>
      </c>
      <c r="H2694" s="2">
        <f t="shared" si="423"/>
        <v>9.0895836241999994</v>
      </c>
      <c r="I2694" s="2">
        <f>INDEX('Wood Density Lookup'!$B$2:$B$152,MATCH(B2694,'Wood Density Lookup'!$A$2:$A$152,0))</f>
        <v>0.65</v>
      </c>
      <c r="J2694" s="2">
        <f t="shared" si="424"/>
        <v>15.591396822934714</v>
      </c>
      <c r="K2694" s="2">
        <f t="shared" si="428"/>
        <v>4.36559111042172</v>
      </c>
      <c r="L2694" s="2">
        <f t="shared" si="429"/>
        <v>19.956987933356434</v>
      </c>
      <c r="M2694" s="2">
        <f t="shared" si="425"/>
        <v>14.468816251683414</v>
      </c>
      <c r="N2694" s="2">
        <f t="shared" si="426"/>
        <v>7.234408125841707</v>
      </c>
      <c r="O2694" s="2">
        <f t="shared" si="427"/>
        <v>26.550277821839064</v>
      </c>
      <c r="P2694" s="2">
        <v>72.553534999999997</v>
      </c>
      <c r="Q2694" s="2">
        <v>23.037921999999998</v>
      </c>
    </row>
    <row r="2695" spans="1:17" x14ac:dyDescent="0.25">
      <c r="A2695" s="2">
        <v>2881</v>
      </c>
      <c r="B2695" s="2" t="s">
        <v>45</v>
      </c>
      <c r="C2695" s="2">
        <v>11</v>
      </c>
      <c r="D2695" s="2">
        <f t="shared" si="420"/>
        <v>27.94</v>
      </c>
      <c r="E2695" s="2">
        <f t="shared" si="421"/>
        <v>8.8935782199751117</v>
      </c>
      <c r="F2695" s="2">
        <f t="shared" si="422"/>
        <v>3.5014087480216975</v>
      </c>
      <c r="G2695" s="2">
        <v>2.2593740000000002</v>
      </c>
      <c r="H2695" s="2">
        <f t="shared" si="423"/>
        <v>7.4126445941600005</v>
      </c>
      <c r="I2695" s="2">
        <f>INDEX('Wood Density Lookup'!$B$2:$B$152,MATCH(B2695,'Wood Density Lookup'!$A$2:$A$152,0))</f>
        <v>0.6</v>
      </c>
      <c r="J2695" s="2">
        <f t="shared" si="424"/>
        <v>6.4503084238977824</v>
      </c>
      <c r="K2695" s="2">
        <f t="shared" si="428"/>
        <v>1.8060863586913791</v>
      </c>
      <c r="L2695" s="2">
        <f t="shared" si="429"/>
        <v>8.2563947825891617</v>
      </c>
      <c r="M2695" s="2">
        <f t="shared" si="425"/>
        <v>5.9858862173771419</v>
      </c>
      <c r="N2695" s="2">
        <f t="shared" si="426"/>
        <v>2.9929431086885709</v>
      </c>
      <c r="O2695" s="2">
        <f t="shared" si="427"/>
        <v>10.984101208887056</v>
      </c>
      <c r="P2695" s="2">
        <v>72.553534999999997</v>
      </c>
      <c r="Q2695" s="2">
        <v>23.037231999999999</v>
      </c>
    </row>
    <row r="2696" spans="1:17" x14ac:dyDescent="0.25">
      <c r="A2696" s="2">
        <v>2882</v>
      </c>
      <c r="B2696" s="2" t="s">
        <v>129</v>
      </c>
      <c r="C2696" s="2">
        <v>9</v>
      </c>
      <c r="D2696" s="2">
        <f t="shared" si="420"/>
        <v>22.86</v>
      </c>
      <c r="E2696" s="2">
        <f t="shared" si="421"/>
        <v>7.2765639981614552</v>
      </c>
      <c r="F2696" s="2">
        <f t="shared" si="422"/>
        <v>2.8647889756541161</v>
      </c>
      <c r="G2696" s="2">
        <v>2.0202249999999999</v>
      </c>
      <c r="H2696" s="2">
        <f t="shared" si="423"/>
        <v>6.6280349889999997</v>
      </c>
      <c r="I2696" s="2">
        <f>INDEX('Wood Density Lookup'!$B$2:$B$152,MATCH(B2696,'Wood Density Lookup'!$A$2:$A$152,0))</f>
        <v>0.4</v>
      </c>
      <c r="J2696" s="2">
        <f t="shared" si="424"/>
        <v>2.6313341666685912</v>
      </c>
      <c r="K2696" s="2">
        <f t="shared" si="428"/>
        <v>0.73677356666720561</v>
      </c>
      <c r="L2696" s="2">
        <f t="shared" si="429"/>
        <v>3.3681077333357967</v>
      </c>
      <c r="M2696" s="2">
        <f t="shared" si="425"/>
        <v>2.4418781066684527</v>
      </c>
      <c r="N2696" s="2">
        <f t="shared" si="426"/>
        <v>1.2209390533342264</v>
      </c>
      <c r="O2696" s="2">
        <f t="shared" si="427"/>
        <v>4.4808463257366107</v>
      </c>
      <c r="P2696" s="2">
        <v>72.553535999999994</v>
      </c>
      <c r="Q2696" s="2">
        <v>23.038104000000001</v>
      </c>
    </row>
    <row r="2697" spans="1:17" x14ac:dyDescent="0.25">
      <c r="A2697" s="2">
        <v>2883</v>
      </c>
      <c r="B2697" s="2" t="s">
        <v>137</v>
      </c>
      <c r="C2697" s="2">
        <v>5</v>
      </c>
      <c r="D2697" s="2">
        <f t="shared" si="420"/>
        <v>12.7</v>
      </c>
      <c r="E2697" s="2">
        <f t="shared" si="421"/>
        <v>4.0425355545341413</v>
      </c>
      <c r="F2697" s="2">
        <f t="shared" si="422"/>
        <v>1.5915494309189535</v>
      </c>
      <c r="G2697" s="2">
        <v>2.0441310000000001</v>
      </c>
      <c r="H2697" s="2">
        <f t="shared" si="423"/>
        <v>6.7064667500400006</v>
      </c>
      <c r="I2697" s="2">
        <f>INDEX('Wood Density Lookup'!$B$2:$B$152,MATCH(B2697,'Wood Density Lookup'!$A$2:$A$152,0))</f>
        <v>0.55000000000000004</v>
      </c>
      <c r="J2697" s="2">
        <f t="shared" si="424"/>
        <v>1.153065229094558</v>
      </c>
      <c r="K2697" s="2">
        <f t="shared" si="428"/>
        <v>0.32285826414647628</v>
      </c>
      <c r="L2697" s="2">
        <f t="shared" si="429"/>
        <v>1.4759234932410343</v>
      </c>
      <c r="M2697" s="2">
        <f t="shared" si="425"/>
        <v>1.0700445325997499</v>
      </c>
      <c r="N2697" s="2">
        <f t="shared" si="426"/>
        <v>0.53502226629987493</v>
      </c>
      <c r="O2697" s="2">
        <f t="shared" si="427"/>
        <v>1.9635317173205409</v>
      </c>
      <c r="P2697" s="2">
        <v>72.553537000000006</v>
      </c>
      <c r="Q2697" s="2">
        <v>23.038146000000001</v>
      </c>
    </row>
    <row r="2698" spans="1:17" x14ac:dyDescent="0.25">
      <c r="A2698" s="2">
        <v>2884</v>
      </c>
      <c r="B2698" s="2" t="s">
        <v>10</v>
      </c>
      <c r="C2698" s="2">
        <v>89</v>
      </c>
      <c r="D2698" s="2">
        <f t="shared" si="420"/>
        <v>226.06</v>
      </c>
      <c r="E2698" s="2">
        <f t="shared" si="421"/>
        <v>71.957132870707724</v>
      </c>
      <c r="F2698" s="2">
        <f t="shared" si="422"/>
        <v>28.329579870357371</v>
      </c>
      <c r="G2698" s="2">
        <v>15.243169999999999</v>
      </c>
      <c r="H2698" s="2">
        <f t="shared" si="423"/>
        <v>50.010401862799995</v>
      </c>
      <c r="I2698" s="2">
        <f>INDEX('Wood Density Lookup'!$B$2:$B$152,MATCH(B2698,'Wood Density Lookup'!$A$2:$A$152,0))</f>
        <v>0.65</v>
      </c>
      <c r="J2698" s="2">
        <f t="shared" si="424"/>
        <v>2661.3876836758077</v>
      </c>
      <c r="K2698" s="2">
        <f t="shared" si="428"/>
        <v>745.18855142922621</v>
      </c>
      <c r="L2698" s="2">
        <f t="shared" si="429"/>
        <v>3406.5762351050339</v>
      </c>
      <c r="M2698" s="2">
        <f t="shared" si="425"/>
        <v>2469.7677704511493</v>
      </c>
      <c r="N2698" s="2">
        <f t="shared" si="426"/>
        <v>1234.8838852255747</v>
      </c>
      <c r="O2698" s="2">
        <f t="shared" si="427"/>
        <v>4532.0238587778585</v>
      </c>
      <c r="P2698" s="2">
        <v>72.553538000000003</v>
      </c>
      <c r="Q2698" s="2">
        <v>23.037103999999999</v>
      </c>
    </row>
    <row r="2699" spans="1:17" x14ac:dyDescent="0.25">
      <c r="A2699" s="2">
        <v>2885</v>
      </c>
      <c r="B2699" s="2" t="s">
        <v>114</v>
      </c>
      <c r="C2699" s="2">
        <v>24</v>
      </c>
      <c r="D2699" s="2">
        <f t="shared" si="420"/>
        <v>60.96</v>
      </c>
      <c r="E2699" s="2">
        <f t="shared" si="421"/>
        <v>19.404170661763882</v>
      </c>
      <c r="F2699" s="2">
        <f t="shared" si="422"/>
        <v>7.6394372684109761</v>
      </c>
      <c r="G2699" s="2">
        <v>14.010242999999999</v>
      </c>
      <c r="H2699" s="2">
        <f t="shared" si="423"/>
        <v>45.965365644119998</v>
      </c>
      <c r="I2699" s="2">
        <f>INDEX('Wood Density Lookup'!$B$2:$B$152,MATCH(B2699,'Wood Density Lookup'!$A$2:$A$152,0))</f>
        <v>0.55000000000000004</v>
      </c>
      <c r="J2699" s="2">
        <f t="shared" si="424"/>
        <v>161.25427174986831</v>
      </c>
      <c r="K2699" s="2">
        <f t="shared" si="428"/>
        <v>45.151196089963129</v>
      </c>
      <c r="L2699" s="2">
        <f t="shared" si="429"/>
        <v>206.40546783983143</v>
      </c>
      <c r="M2699" s="2">
        <f t="shared" si="425"/>
        <v>149.64396418387778</v>
      </c>
      <c r="N2699" s="2">
        <f t="shared" si="426"/>
        <v>74.821982091938892</v>
      </c>
      <c r="O2699" s="2">
        <f t="shared" si="427"/>
        <v>274.59667427741573</v>
      </c>
      <c r="P2699" s="2">
        <v>72.553538000000003</v>
      </c>
      <c r="Q2699" s="2">
        <v>23.037199999999999</v>
      </c>
    </row>
    <row r="2700" spans="1:17" x14ac:dyDescent="0.25">
      <c r="A2700" s="2">
        <v>2886</v>
      </c>
      <c r="B2700" s="2" t="s">
        <v>58</v>
      </c>
      <c r="C2700" s="2">
        <v>29</v>
      </c>
      <c r="D2700" s="2">
        <f t="shared" si="420"/>
        <v>73.66</v>
      </c>
      <c r="E2700" s="2">
        <f t="shared" si="421"/>
        <v>23.446706216298022</v>
      </c>
      <c r="F2700" s="2">
        <f t="shared" si="422"/>
        <v>9.2309866993299305</v>
      </c>
      <c r="G2700" s="2">
        <v>5.3829529999999997</v>
      </c>
      <c r="H2700" s="2">
        <f t="shared" si="423"/>
        <v>17.660607520519999</v>
      </c>
      <c r="I2700" s="2">
        <f>INDEX('Wood Density Lookup'!$B$2:$B$152,MATCH(B2700,'Wood Density Lookup'!$A$2:$A$152,0))</f>
        <v>0.5</v>
      </c>
      <c r="J2700" s="2">
        <f t="shared" si="424"/>
        <v>83.576780501801551</v>
      </c>
      <c r="K2700" s="2">
        <f t="shared" si="428"/>
        <v>23.401498540504438</v>
      </c>
      <c r="L2700" s="2">
        <f t="shared" si="429"/>
        <v>106.97827904230599</v>
      </c>
      <c r="M2700" s="2">
        <f t="shared" si="425"/>
        <v>77.559252305671833</v>
      </c>
      <c r="N2700" s="2">
        <f t="shared" si="426"/>
        <v>38.779626152835917</v>
      </c>
      <c r="O2700" s="2">
        <f t="shared" si="427"/>
        <v>142.32122798090782</v>
      </c>
      <c r="P2700" s="2">
        <v>72.553539000000001</v>
      </c>
      <c r="Q2700" s="2">
        <v>23.038180000000001</v>
      </c>
    </row>
    <row r="2701" spans="1:17" x14ac:dyDescent="0.25">
      <c r="A2701" s="2">
        <v>2887</v>
      </c>
      <c r="B2701" s="2" t="s">
        <v>135</v>
      </c>
      <c r="C2701" s="2">
        <v>3</v>
      </c>
      <c r="D2701" s="2">
        <f t="shared" si="420"/>
        <v>7.62</v>
      </c>
      <c r="E2701" s="2">
        <f t="shared" si="421"/>
        <v>2.4255213327204852</v>
      </c>
      <c r="F2701" s="2">
        <f t="shared" si="422"/>
        <v>0.95492965855137202</v>
      </c>
      <c r="G2701" s="2">
        <v>1.0350269999999999</v>
      </c>
      <c r="H2701" s="2">
        <f t="shared" si="423"/>
        <v>3.3957579826799997</v>
      </c>
      <c r="I2701" s="2">
        <f>INDEX('Wood Density Lookup'!$B$2:$B$152,MATCH(B2701,'Wood Density Lookup'!$A$2:$A$152,0))</f>
        <v>0.8</v>
      </c>
      <c r="J2701" s="2">
        <f t="shared" si="424"/>
        <v>0.31561910418812439</v>
      </c>
      <c r="K2701" s="2">
        <f t="shared" si="428"/>
        <v>8.8373349172674837E-2</v>
      </c>
      <c r="L2701" s="2">
        <f t="shared" si="429"/>
        <v>0.40399245336079925</v>
      </c>
      <c r="M2701" s="2">
        <f t="shared" si="425"/>
        <v>0.29289452868657945</v>
      </c>
      <c r="N2701" s="2">
        <f t="shared" si="426"/>
        <v>0.14644726434328972</v>
      </c>
      <c r="O2701" s="2">
        <f t="shared" si="427"/>
        <v>0.53746146013987328</v>
      </c>
      <c r="P2701" s="2">
        <v>72.553539000000001</v>
      </c>
      <c r="Q2701" s="2">
        <v>23.035978</v>
      </c>
    </row>
    <row r="2702" spans="1:17" x14ac:dyDescent="0.25">
      <c r="A2702" s="2">
        <v>2888</v>
      </c>
      <c r="B2702" s="2" t="s">
        <v>139</v>
      </c>
      <c r="C2702" s="2">
        <v>11</v>
      </c>
      <c r="D2702" s="2">
        <f t="shared" si="420"/>
        <v>27.94</v>
      </c>
      <c r="E2702" s="2">
        <f t="shared" si="421"/>
        <v>8.8935782199751117</v>
      </c>
      <c r="F2702" s="2">
        <f t="shared" si="422"/>
        <v>3.5014087480216975</v>
      </c>
      <c r="G2702" s="2">
        <v>5.4747479999999999</v>
      </c>
      <c r="H2702" s="2">
        <f t="shared" si="423"/>
        <v>17.961772228320001</v>
      </c>
      <c r="I2702" s="2">
        <f>INDEX('Wood Density Lookup'!$B$2:$B$152,MATCH(B2702,'Wood Density Lookup'!$A$2:$A$152,0))</f>
        <v>0.9</v>
      </c>
      <c r="J2702" s="2">
        <f t="shared" si="424"/>
        <v>22.729848057958307</v>
      </c>
      <c r="K2702" s="2">
        <f t="shared" si="428"/>
        <v>6.3643574562283263</v>
      </c>
      <c r="L2702" s="2">
        <f t="shared" si="429"/>
        <v>29.094205514186633</v>
      </c>
      <c r="M2702" s="2">
        <f t="shared" si="425"/>
        <v>21.093298997785308</v>
      </c>
      <c r="N2702" s="2">
        <f t="shared" si="426"/>
        <v>10.546649498892654</v>
      </c>
      <c r="O2702" s="2">
        <f t="shared" si="427"/>
        <v>38.70620366093604</v>
      </c>
      <c r="P2702" s="2">
        <v>72.553539000000001</v>
      </c>
      <c r="Q2702" s="2">
        <v>23.038774</v>
      </c>
    </row>
    <row r="2703" spans="1:17" x14ac:dyDescent="0.25">
      <c r="A2703" s="2">
        <v>2889</v>
      </c>
      <c r="B2703" s="2" t="s">
        <v>129</v>
      </c>
      <c r="C2703" s="2">
        <v>2</v>
      </c>
      <c r="D2703" s="2">
        <f t="shared" si="420"/>
        <v>5.08</v>
      </c>
      <c r="E2703" s="2">
        <f t="shared" si="421"/>
        <v>1.6170142218136567</v>
      </c>
      <c r="F2703" s="2">
        <f t="shared" si="422"/>
        <v>0.63661977236758138</v>
      </c>
      <c r="G2703" s="2">
        <v>2.0694400000000002</v>
      </c>
      <c r="H2703" s="2">
        <f t="shared" si="423"/>
        <v>6.7895015296000008</v>
      </c>
      <c r="I2703" s="2">
        <f>INDEX('Wood Density Lookup'!$B$2:$B$152,MATCH(B2703,'Wood Density Lookup'!$A$2:$A$152,0))</f>
        <v>0.4</v>
      </c>
      <c r="J2703" s="2">
        <f t="shared" si="424"/>
        <v>0.14299057144303604</v>
      </c>
      <c r="K2703" s="2">
        <f t="shared" si="428"/>
        <v>4.0037360004050095E-2</v>
      </c>
      <c r="L2703" s="2">
        <f t="shared" si="429"/>
        <v>0.18302793144708612</v>
      </c>
      <c r="M2703" s="2">
        <f t="shared" si="425"/>
        <v>0.13269525029913742</v>
      </c>
      <c r="N2703" s="2">
        <f t="shared" si="426"/>
        <v>6.6347625149568712E-2</v>
      </c>
      <c r="O2703" s="2">
        <f t="shared" si="427"/>
        <v>0.24349578429891716</v>
      </c>
      <c r="P2703" s="2">
        <v>72.553539999999998</v>
      </c>
      <c r="Q2703" s="2">
        <v>23.036049999999999</v>
      </c>
    </row>
    <row r="2704" spans="1:17" x14ac:dyDescent="0.25">
      <c r="A2704" s="2">
        <v>2890</v>
      </c>
      <c r="B2704" s="2" t="s">
        <v>129</v>
      </c>
      <c r="C2704" s="2">
        <v>3</v>
      </c>
      <c r="D2704" s="2">
        <f t="shared" si="420"/>
        <v>7.62</v>
      </c>
      <c r="E2704" s="2">
        <f t="shared" si="421"/>
        <v>2.4255213327204852</v>
      </c>
      <c r="F2704" s="2">
        <f t="shared" si="422"/>
        <v>0.95492965855137202</v>
      </c>
      <c r="G2704" s="2">
        <v>1.0835680000000001</v>
      </c>
      <c r="H2704" s="2">
        <f t="shared" si="423"/>
        <v>3.5550132371200003</v>
      </c>
      <c r="I2704" s="2">
        <f>INDEX('Wood Density Lookup'!$B$2:$B$152,MATCH(B2704,'Wood Density Lookup'!$A$2:$A$152,0))</f>
        <v>0.4</v>
      </c>
      <c r="J2704" s="2">
        <f t="shared" si="424"/>
        <v>0.16779723152285059</v>
      </c>
      <c r="K2704" s="2">
        <f t="shared" si="428"/>
        <v>4.6983224826398169E-2</v>
      </c>
      <c r="L2704" s="2">
        <f t="shared" si="429"/>
        <v>0.21478045634924875</v>
      </c>
      <c r="M2704" s="2">
        <f t="shared" si="425"/>
        <v>0.15571583085320534</v>
      </c>
      <c r="N2704" s="2">
        <f t="shared" si="426"/>
        <v>7.785791542660267E-2</v>
      </c>
      <c r="O2704" s="2">
        <f t="shared" si="427"/>
        <v>0.28573854961563178</v>
      </c>
      <c r="P2704" s="2">
        <v>72.553540999999996</v>
      </c>
      <c r="Q2704" s="2">
        <v>23.036016</v>
      </c>
    </row>
    <row r="2705" spans="1:17" x14ac:dyDescent="0.25">
      <c r="A2705" s="2">
        <v>2891</v>
      </c>
      <c r="B2705" s="2" t="s">
        <v>129</v>
      </c>
      <c r="C2705" s="2">
        <v>3</v>
      </c>
      <c r="D2705" s="2">
        <f t="shared" si="420"/>
        <v>7.62</v>
      </c>
      <c r="E2705" s="2">
        <f t="shared" si="421"/>
        <v>2.4255213327204852</v>
      </c>
      <c r="F2705" s="2">
        <f t="shared" si="422"/>
        <v>0.95492965855137202</v>
      </c>
      <c r="G2705" s="2">
        <v>1.0450820000000001</v>
      </c>
      <c r="H2705" s="2">
        <f t="shared" si="423"/>
        <v>3.42874682888</v>
      </c>
      <c r="I2705" s="2">
        <f>INDEX('Wood Density Lookup'!$B$2:$B$152,MATCH(B2705,'Wood Density Lookup'!$A$2:$A$152,0))</f>
        <v>0.4</v>
      </c>
      <c r="J2705" s="2">
        <f t="shared" si="424"/>
        <v>0.16197796081458915</v>
      </c>
      <c r="K2705" s="2">
        <f t="shared" si="428"/>
        <v>4.5353829028084963E-2</v>
      </c>
      <c r="L2705" s="2">
        <f t="shared" si="429"/>
        <v>0.20733178984267411</v>
      </c>
      <c r="M2705" s="2">
        <f t="shared" si="425"/>
        <v>0.15031554763593874</v>
      </c>
      <c r="N2705" s="2">
        <f t="shared" si="426"/>
        <v>7.515777381796937E-2</v>
      </c>
      <c r="O2705" s="2">
        <f t="shared" si="427"/>
        <v>0.27582902991194758</v>
      </c>
      <c r="P2705" s="2">
        <v>72.553541999999993</v>
      </c>
      <c r="Q2705" s="2">
        <v>23.035941000000001</v>
      </c>
    </row>
    <row r="2706" spans="1:17" x14ac:dyDescent="0.25">
      <c r="A2706" s="2">
        <v>2892</v>
      </c>
      <c r="B2706" s="2" t="s">
        <v>146</v>
      </c>
      <c r="C2706" s="2">
        <v>8</v>
      </c>
      <c r="D2706" s="2">
        <f t="shared" si="420"/>
        <v>20.32</v>
      </c>
      <c r="E2706" s="2">
        <f t="shared" si="421"/>
        <v>6.4680568872546269</v>
      </c>
      <c r="F2706" s="2">
        <f t="shared" si="422"/>
        <v>2.5464790894703255</v>
      </c>
      <c r="G2706" s="2">
        <v>6.194877</v>
      </c>
      <c r="H2706" s="2">
        <f t="shared" si="423"/>
        <v>20.324400256680001</v>
      </c>
      <c r="I2706" s="2">
        <f>INDEX('Wood Density Lookup'!$B$2:$B$152,MATCH(B2706,'Wood Density Lookup'!$A$2:$A$152,0))</f>
        <v>0.55000000000000004</v>
      </c>
      <c r="J2706" s="2">
        <f t="shared" si="424"/>
        <v>8.5165454891628762</v>
      </c>
      <c r="K2706" s="2">
        <f t="shared" si="428"/>
        <v>2.3846327369656057</v>
      </c>
      <c r="L2706" s="2">
        <f t="shared" si="429"/>
        <v>10.901178226128483</v>
      </c>
      <c r="M2706" s="2">
        <f t="shared" si="425"/>
        <v>7.9033542139431496</v>
      </c>
      <c r="N2706" s="2">
        <f t="shared" si="426"/>
        <v>3.9516771069715748</v>
      </c>
      <c r="O2706" s="2">
        <f t="shared" si="427"/>
        <v>14.50265498258568</v>
      </c>
      <c r="P2706" s="2">
        <v>72.553543000000005</v>
      </c>
      <c r="Q2706" s="2">
        <v>23.038719</v>
      </c>
    </row>
    <row r="2707" spans="1:17" x14ac:dyDescent="0.25">
      <c r="A2707" s="2">
        <v>2893</v>
      </c>
      <c r="B2707" s="2" t="s">
        <v>72</v>
      </c>
      <c r="C2707" s="2">
        <v>26</v>
      </c>
      <c r="D2707" s="2">
        <f t="shared" si="420"/>
        <v>66.040000000000006</v>
      </c>
      <c r="E2707" s="2">
        <f t="shared" si="421"/>
        <v>21.02118488357754</v>
      </c>
      <c r="F2707" s="2">
        <f t="shared" si="422"/>
        <v>8.2760570407785572</v>
      </c>
      <c r="G2707" s="2">
        <v>12.762038</v>
      </c>
      <c r="H2707" s="2">
        <f t="shared" si="423"/>
        <v>41.870204751919999</v>
      </c>
      <c r="I2707" s="2">
        <f>INDEX('Wood Density Lookup'!$B$2:$B$152,MATCH(B2707,'Wood Density Lookup'!$A$2:$A$152,0))</f>
        <v>0.65</v>
      </c>
      <c r="J2707" s="2">
        <f t="shared" si="424"/>
        <v>202.59246633705632</v>
      </c>
      <c r="K2707" s="2">
        <f t="shared" si="428"/>
        <v>56.725890574375775</v>
      </c>
      <c r="L2707" s="2">
        <f t="shared" si="429"/>
        <v>259.31835691143209</v>
      </c>
      <c r="M2707" s="2">
        <f t="shared" si="425"/>
        <v>188.00580876078826</v>
      </c>
      <c r="N2707" s="2">
        <f t="shared" si="426"/>
        <v>94.002904380394128</v>
      </c>
      <c r="O2707" s="2">
        <f t="shared" si="427"/>
        <v>344.99065907604643</v>
      </c>
      <c r="P2707" s="2">
        <v>72.553556999999998</v>
      </c>
      <c r="Q2707" s="2">
        <v>23.035705</v>
      </c>
    </row>
    <row r="2708" spans="1:17" x14ac:dyDescent="0.25">
      <c r="A2708" s="2">
        <v>2894</v>
      </c>
      <c r="B2708" s="2" t="s">
        <v>149</v>
      </c>
      <c r="C2708" s="2">
        <v>4</v>
      </c>
      <c r="D2708" s="2">
        <f t="shared" si="420"/>
        <v>10.16</v>
      </c>
      <c r="E2708" s="2">
        <f t="shared" si="421"/>
        <v>3.2340284436273135</v>
      </c>
      <c r="F2708" s="2">
        <f t="shared" si="422"/>
        <v>1.2732395447351628</v>
      </c>
      <c r="G2708" s="2">
        <v>4.0067740000000001</v>
      </c>
      <c r="H2708" s="2">
        <f t="shared" si="423"/>
        <v>13.14558441016</v>
      </c>
      <c r="I2708" s="2">
        <f>INDEX('Wood Density Lookup'!$B$2:$B$152,MATCH(B2708,'Wood Density Lookup'!$A$2:$A$152,0))</f>
        <v>0.45</v>
      </c>
      <c r="J2708" s="2">
        <f t="shared" si="424"/>
        <v>1.1827643196475517</v>
      </c>
      <c r="K2708" s="2">
        <f t="shared" si="428"/>
        <v>0.33117400950131448</v>
      </c>
      <c r="L2708" s="2">
        <f t="shared" si="429"/>
        <v>1.5139383291488662</v>
      </c>
      <c r="M2708" s="2">
        <f t="shared" si="425"/>
        <v>1.0976052886329279</v>
      </c>
      <c r="N2708" s="2">
        <f t="shared" si="426"/>
        <v>0.54880264431646397</v>
      </c>
      <c r="O2708" s="2">
        <f t="shared" si="427"/>
        <v>2.0141057046414228</v>
      </c>
      <c r="P2708" s="2">
        <v>72.553557999999995</v>
      </c>
      <c r="Q2708" s="2">
        <v>23.038111000000001</v>
      </c>
    </row>
    <row r="2709" spans="1:17" x14ac:dyDescent="0.25">
      <c r="A2709" s="2">
        <v>2895</v>
      </c>
      <c r="B2709" s="2" t="s">
        <v>10</v>
      </c>
      <c r="C2709" s="2">
        <v>78</v>
      </c>
      <c r="D2709" s="2">
        <f t="shared" si="420"/>
        <v>198.12</v>
      </c>
      <c r="E2709" s="2">
        <f t="shared" si="421"/>
        <v>63.063554650732613</v>
      </c>
      <c r="F2709" s="2">
        <f t="shared" si="422"/>
        <v>24.828171122335672</v>
      </c>
      <c r="G2709" s="2">
        <v>14.366959</v>
      </c>
      <c r="H2709" s="2">
        <f t="shared" si="423"/>
        <v>47.135693765559999</v>
      </c>
      <c r="I2709" s="2">
        <f>INDEX('Wood Density Lookup'!$B$2:$B$152,MATCH(B2709,'Wood Density Lookup'!$A$2:$A$152,0))</f>
        <v>0.65</v>
      </c>
      <c r="J2709" s="2">
        <f t="shared" si="424"/>
        <v>1941.6642034701254</v>
      </c>
      <c r="K2709" s="2">
        <f t="shared" si="428"/>
        <v>543.66597697163513</v>
      </c>
      <c r="L2709" s="2">
        <f t="shared" si="429"/>
        <v>2485.3301804417606</v>
      </c>
      <c r="M2709" s="2">
        <f t="shared" si="425"/>
        <v>1801.8643808202764</v>
      </c>
      <c r="N2709" s="2">
        <f t="shared" si="426"/>
        <v>900.93219041013822</v>
      </c>
      <c r="O2709" s="2">
        <f t="shared" si="427"/>
        <v>3306.4211388052072</v>
      </c>
      <c r="P2709" s="2">
        <v>72.553561999999999</v>
      </c>
      <c r="Q2709" s="2">
        <v>23.035640000000001</v>
      </c>
    </row>
    <row r="2710" spans="1:17" x14ac:dyDescent="0.25">
      <c r="A2710" s="2">
        <v>2896</v>
      </c>
      <c r="B2710" s="2" t="s">
        <v>93</v>
      </c>
      <c r="C2710" s="2">
        <v>2</v>
      </c>
      <c r="D2710" s="2">
        <f t="shared" si="420"/>
        <v>5.08</v>
      </c>
      <c r="E2710" s="2">
        <f t="shared" si="421"/>
        <v>1.6170142218136567</v>
      </c>
      <c r="F2710" s="2">
        <f t="shared" si="422"/>
        <v>0.63661977236758138</v>
      </c>
      <c r="G2710" s="2">
        <v>2.155653</v>
      </c>
      <c r="H2710" s="2">
        <f t="shared" si="423"/>
        <v>7.0723525885200003</v>
      </c>
      <c r="I2710" s="2">
        <f>INDEX('Wood Density Lookup'!$B$2:$B$152,MATCH(B2710,'Wood Density Lookup'!$A$2:$A$152,0))</f>
        <v>0.9</v>
      </c>
      <c r="J2710" s="2">
        <f t="shared" si="424"/>
        <v>0.32835083776028934</v>
      </c>
      <c r="K2710" s="2">
        <f t="shared" si="428"/>
        <v>9.1938234572881028E-2</v>
      </c>
      <c r="L2710" s="2">
        <f t="shared" si="429"/>
        <v>0.42028907233317037</v>
      </c>
      <c r="M2710" s="2">
        <f t="shared" si="425"/>
        <v>0.30470957744154853</v>
      </c>
      <c r="N2710" s="2">
        <f t="shared" si="426"/>
        <v>0.15235478872077426</v>
      </c>
      <c r="O2710" s="2">
        <f t="shared" si="427"/>
        <v>0.55914207460524157</v>
      </c>
      <c r="P2710" s="2">
        <v>72.553561999999999</v>
      </c>
      <c r="Q2710" s="2">
        <v>23.036135000000002</v>
      </c>
    </row>
    <row r="2711" spans="1:17" x14ac:dyDescent="0.25">
      <c r="A2711" s="2">
        <v>2897</v>
      </c>
      <c r="B2711" s="2" t="s">
        <v>107</v>
      </c>
      <c r="C2711" s="2">
        <v>93</v>
      </c>
      <c r="D2711" s="2">
        <f t="shared" si="420"/>
        <v>236.22</v>
      </c>
      <c r="E2711" s="2">
        <f t="shared" si="421"/>
        <v>75.191161314335034</v>
      </c>
      <c r="F2711" s="2">
        <f t="shared" si="422"/>
        <v>29.602819415092533</v>
      </c>
      <c r="G2711" s="2">
        <v>15.134511</v>
      </c>
      <c r="H2711" s="2">
        <f t="shared" si="423"/>
        <v>49.653909069240001</v>
      </c>
      <c r="I2711" s="2">
        <f>INDEX('Wood Density Lookup'!$B$2:$B$152,MATCH(B2711,'Wood Density Lookup'!$A$2:$A$152,0))</f>
        <v>0.65</v>
      </c>
      <c r="J2711" s="2">
        <f t="shared" si="424"/>
        <v>2879.6866373657545</v>
      </c>
      <c r="K2711" s="2">
        <f t="shared" si="428"/>
        <v>806.31225846241136</v>
      </c>
      <c r="L2711" s="2">
        <f t="shared" si="429"/>
        <v>3685.9988958281656</v>
      </c>
      <c r="M2711" s="2">
        <f t="shared" si="425"/>
        <v>2672.3491994754199</v>
      </c>
      <c r="N2711" s="2">
        <f t="shared" si="426"/>
        <v>1336.17459973771</v>
      </c>
      <c r="O2711" s="2">
        <f t="shared" si="427"/>
        <v>4903.7607810373956</v>
      </c>
      <c r="P2711" s="2">
        <v>72.553563999999994</v>
      </c>
      <c r="Q2711" s="2">
        <v>23.036559</v>
      </c>
    </row>
    <row r="2712" spans="1:17" x14ac:dyDescent="0.25">
      <c r="A2712" s="2">
        <v>2898</v>
      </c>
      <c r="B2712" s="2" t="s">
        <v>78</v>
      </c>
      <c r="C2712" s="2">
        <v>14</v>
      </c>
      <c r="D2712" s="2">
        <f t="shared" si="420"/>
        <v>35.56</v>
      </c>
      <c r="E2712" s="2">
        <f t="shared" si="421"/>
        <v>11.319099552695597</v>
      </c>
      <c r="F2712" s="2">
        <f t="shared" si="422"/>
        <v>4.45633840657307</v>
      </c>
      <c r="G2712" s="2">
        <v>4.6119630000000003</v>
      </c>
      <c r="H2712" s="2">
        <f t="shared" si="423"/>
        <v>15.13111268892</v>
      </c>
      <c r="I2712" s="2">
        <f>INDEX('Wood Density Lookup'!$B$2:$B$152,MATCH(B2712,'Wood Density Lookup'!$A$2:$A$152,0))</f>
        <v>0.55000000000000004</v>
      </c>
      <c r="J2712" s="2">
        <f t="shared" si="424"/>
        <v>19.037170216646231</v>
      </c>
      <c r="K2712" s="2">
        <f t="shared" si="428"/>
        <v>5.3304076606609456</v>
      </c>
      <c r="L2712" s="2">
        <f t="shared" si="429"/>
        <v>24.367577877307177</v>
      </c>
      <c r="M2712" s="2">
        <f t="shared" si="425"/>
        <v>17.666493961047703</v>
      </c>
      <c r="N2712" s="2">
        <f t="shared" si="426"/>
        <v>8.8332469805238514</v>
      </c>
      <c r="O2712" s="2">
        <f t="shared" si="427"/>
        <v>32.418016418522534</v>
      </c>
      <c r="P2712" s="2">
        <v>72.553566000000004</v>
      </c>
      <c r="Q2712" s="2">
        <v>23.037883000000001</v>
      </c>
    </row>
    <row r="2713" spans="1:17" x14ac:dyDescent="0.25">
      <c r="A2713" s="2">
        <v>2899</v>
      </c>
      <c r="B2713" s="2" t="s">
        <v>78</v>
      </c>
      <c r="C2713" s="2">
        <v>13</v>
      </c>
      <c r="D2713" s="2">
        <f t="shared" si="420"/>
        <v>33.020000000000003</v>
      </c>
      <c r="E2713" s="2">
        <f t="shared" si="421"/>
        <v>10.51059244178877</v>
      </c>
      <c r="F2713" s="2">
        <f t="shared" si="422"/>
        <v>4.1380285203892786</v>
      </c>
      <c r="G2713" s="2">
        <v>4.6119630000000003</v>
      </c>
      <c r="H2713" s="2">
        <f t="shared" si="423"/>
        <v>15.13111268892</v>
      </c>
      <c r="I2713" s="2">
        <f>INDEX('Wood Density Lookup'!$B$2:$B$152,MATCH(B2713,'Wood Density Lookup'!$A$2:$A$152,0))</f>
        <v>0.55000000000000004</v>
      </c>
      <c r="J2713" s="2">
        <f t="shared" si="424"/>
        <v>16.473196962801175</v>
      </c>
      <c r="K2713" s="2">
        <f t="shared" si="428"/>
        <v>4.6124951495843298</v>
      </c>
      <c r="L2713" s="2">
        <f t="shared" si="429"/>
        <v>21.085692112385505</v>
      </c>
      <c r="M2713" s="2">
        <f t="shared" si="425"/>
        <v>15.287126781479492</v>
      </c>
      <c r="N2713" s="2">
        <f t="shared" si="426"/>
        <v>7.6435633907397458</v>
      </c>
      <c r="O2713" s="2">
        <f t="shared" si="427"/>
        <v>28.051877644014866</v>
      </c>
      <c r="P2713" s="2">
        <v>72.553566000000004</v>
      </c>
      <c r="Q2713" s="2">
        <v>23.037883000000001</v>
      </c>
    </row>
    <row r="2714" spans="1:17" x14ac:dyDescent="0.25">
      <c r="A2714" s="2">
        <v>2900</v>
      </c>
      <c r="B2714" s="2" t="s">
        <v>143</v>
      </c>
      <c r="C2714" s="2">
        <v>26</v>
      </c>
      <c r="D2714" s="2">
        <f t="shared" si="420"/>
        <v>66.040000000000006</v>
      </c>
      <c r="E2714" s="2">
        <f t="shared" si="421"/>
        <v>21.02118488357754</v>
      </c>
      <c r="F2714" s="2">
        <f t="shared" si="422"/>
        <v>8.2760570407785572</v>
      </c>
      <c r="G2714" s="2">
        <v>8.2328469999999996</v>
      </c>
      <c r="H2714" s="2">
        <f t="shared" si="423"/>
        <v>27.01065375148</v>
      </c>
      <c r="I2714" s="2">
        <f>INDEX('Wood Density Lookup'!$B$2:$B$152,MATCH(B2714,'Wood Density Lookup'!$A$2:$A$152,0))</f>
        <v>0.75</v>
      </c>
      <c r="J2714" s="2">
        <f t="shared" si="424"/>
        <v>151.87228924405849</v>
      </c>
      <c r="K2714" s="2">
        <f t="shared" si="428"/>
        <v>42.524240988336381</v>
      </c>
      <c r="L2714" s="2">
        <f t="shared" si="429"/>
        <v>194.39653023239487</v>
      </c>
      <c r="M2714" s="2">
        <f t="shared" si="425"/>
        <v>140.93748441848626</v>
      </c>
      <c r="N2714" s="2">
        <f t="shared" si="426"/>
        <v>70.468742209243132</v>
      </c>
      <c r="O2714" s="2">
        <f t="shared" si="427"/>
        <v>258.62028390792227</v>
      </c>
      <c r="P2714" s="2">
        <v>72.553573</v>
      </c>
      <c r="Q2714" s="2">
        <v>23.038231</v>
      </c>
    </row>
    <row r="2715" spans="1:17" x14ac:dyDescent="0.25">
      <c r="A2715" s="2">
        <v>2901</v>
      </c>
      <c r="B2715" s="2" t="s">
        <v>93</v>
      </c>
      <c r="C2715" s="2">
        <v>32</v>
      </c>
      <c r="D2715" s="2">
        <f t="shared" si="420"/>
        <v>81.28</v>
      </c>
      <c r="E2715" s="2">
        <f t="shared" si="421"/>
        <v>25.872227549018508</v>
      </c>
      <c r="F2715" s="2">
        <f t="shared" si="422"/>
        <v>10.185916357881302</v>
      </c>
      <c r="G2715" s="2">
        <v>9.3690960000000008</v>
      </c>
      <c r="H2715" s="2">
        <f t="shared" si="423"/>
        <v>30.738504920640004</v>
      </c>
      <c r="I2715" s="2">
        <f>INDEX('Wood Density Lookup'!$B$2:$B$152,MATCH(B2715,'Wood Density Lookup'!$A$2:$A$152,0))</f>
        <v>0.9</v>
      </c>
      <c r="J2715" s="2">
        <f t="shared" si="424"/>
        <v>308.73389986489161</v>
      </c>
      <c r="K2715" s="2">
        <f t="shared" si="428"/>
        <v>86.445491962169655</v>
      </c>
      <c r="L2715" s="2">
        <f t="shared" si="429"/>
        <v>395.17939182706129</v>
      </c>
      <c r="M2715" s="2">
        <f t="shared" si="425"/>
        <v>286.50505907461945</v>
      </c>
      <c r="N2715" s="2">
        <f t="shared" si="426"/>
        <v>143.25252953730973</v>
      </c>
      <c r="O2715" s="2">
        <f t="shared" si="427"/>
        <v>525.73678340192669</v>
      </c>
      <c r="P2715" s="2">
        <v>72.553574999999995</v>
      </c>
      <c r="Q2715" s="2">
        <v>23.037391</v>
      </c>
    </row>
    <row r="2716" spans="1:17" x14ac:dyDescent="0.25">
      <c r="A2716" s="2">
        <v>2902</v>
      </c>
      <c r="B2716" s="2" t="s">
        <v>135</v>
      </c>
      <c r="C2716" s="2">
        <v>15</v>
      </c>
      <c r="D2716" s="2">
        <f t="shared" si="420"/>
        <v>38.1</v>
      </c>
      <c r="E2716" s="2">
        <f t="shared" si="421"/>
        <v>12.127606663602425</v>
      </c>
      <c r="F2716" s="2">
        <f t="shared" si="422"/>
        <v>4.7746482927568605</v>
      </c>
      <c r="G2716" s="2">
        <v>14.969035</v>
      </c>
      <c r="H2716" s="2">
        <f t="shared" si="423"/>
        <v>49.111008789399996</v>
      </c>
      <c r="I2716" s="2">
        <f>INDEX('Wood Density Lookup'!$B$2:$B$152,MATCH(B2716,'Wood Density Lookup'!$A$2:$A$152,0))</f>
        <v>0.8</v>
      </c>
      <c r="J2716" s="2">
        <f t="shared" si="424"/>
        <v>99.071569937424911</v>
      </c>
      <c r="K2716" s="2">
        <f t="shared" si="428"/>
        <v>27.740039582478978</v>
      </c>
      <c r="L2716" s="2">
        <f t="shared" si="429"/>
        <v>126.8116095199039</v>
      </c>
      <c r="M2716" s="2">
        <f t="shared" si="425"/>
        <v>91.938416901930324</v>
      </c>
      <c r="N2716" s="2">
        <f t="shared" si="426"/>
        <v>45.969208450965162</v>
      </c>
      <c r="O2716" s="2">
        <f t="shared" si="427"/>
        <v>168.70699501504214</v>
      </c>
      <c r="P2716" s="2">
        <v>72.553577000000004</v>
      </c>
      <c r="Q2716" s="2">
        <v>23.037315</v>
      </c>
    </row>
    <row r="2717" spans="1:17" x14ac:dyDescent="0.25">
      <c r="A2717" s="2">
        <v>2903</v>
      </c>
      <c r="B2717" s="2" t="s">
        <v>15</v>
      </c>
      <c r="C2717" s="2">
        <v>46</v>
      </c>
      <c r="D2717" s="2">
        <f t="shared" si="420"/>
        <v>116.84</v>
      </c>
      <c r="E2717" s="2">
        <f t="shared" si="421"/>
        <v>37.191327101714101</v>
      </c>
      <c r="F2717" s="2">
        <f t="shared" si="422"/>
        <v>14.642254764454371</v>
      </c>
      <c r="G2717" s="2">
        <v>16.170164</v>
      </c>
      <c r="H2717" s="2">
        <f t="shared" si="423"/>
        <v>53.051720857759996</v>
      </c>
      <c r="I2717" s="2">
        <f>INDEX('Wood Density Lookup'!$B$2:$B$152,MATCH(B2717,'Wood Density Lookup'!$A$2:$A$152,0))</f>
        <v>0.75</v>
      </c>
      <c r="J2717" s="2">
        <f t="shared" si="424"/>
        <v>893.88631091984223</v>
      </c>
      <c r="K2717" s="2">
        <f t="shared" si="428"/>
        <v>250.28816705755585</v>
      </c>
      <c r="L2717" s="2">
        <f t="shared" si="429"/>
        <v>1144.1744779773981</v>
      </c>
      <c r="M2717" s="2">
        <f t="shared" si="425"/>
        <v>829.52649653361357</v>
      </c>
      <c r="N2717" s="2">
        <f t="shared" si="426"/>
        <v>414.76324826680678</v>
      </c>
      <c r="O2717" s="2">
        <f t="shared" si="427"/>
        <v>1522.181121139181</v>
      </c>
      <c r="P2717" s="2">
        <v>72.553578999999999</v>
      </c>
      <c r="Q2717" s="2">
        <v>23.035599999999999</v>
      </c>
    </row>
    <row r="2718" spans="1:17" x14ac:dyDescent="0.25">
      <c r="A2718" s="2">
        <v>2904</v>
      </c>
      <c r="B2718" s="2" t="s">
        <v>137</v>
      </c>
      <c r="C2718" s="2">
        <v>5</v>
      </c>
      <c r="D2718" s="2">
        <f t="shared" si="420"/>
        <v>12.7</v>
      </c>
      <c r="E2718" s="2">
        <f t="shared" si="421"/>
        <v>4.0425355545341413</v>
      </c>
      <c r="F2718" s="2">
        <f t="shared" si="422"/>
        <v>1.5915494309189535</v>
      </c>
      <c r="G2718" s="2">
        <v>1.0481210000000001</v>
      </c>
      <c r="H2718" s="2">
        <f t="shared" si="423"/>
        <v>3.4387173016400001</v>
      </c>
      <c r="I2718" s="2">
        <f>INDEX('Wood Density Lookup'!$B$2:$B$152,MATCH(B2718,'Wood Density Lookup'!$A$2:$A$152,0))</f>
        <v>0.55000000000000004</v>
      </c>
      <c r="J2718" s="2">
        <f t="shared" si="424"/>
        <v>0.60078476263357639</v>
      </c>
      <c r="K2718" s="2">
        <f t="shared" si="428"/>
        <v>0.16821973353740141</v>
      </c>
      <c r="L2718" s="2">
        <f t="shared" si="429"/>
        <v>0.76900449617097777</v>
      </c>
      <c r="M2718" s="2">
        <f t="shared" si="425"/>
        <v>0.55752825972395892</v>
      </c>
      <c r="N2718" s="2">
        <f t="shared" si="426"/>
        <v>0.27876412986197946</v>
      </c>
      <c r="O2718" s="2">
        <f t="shared" si="427"/>
        <v>1.0230643565934645</v>
      </c>
      <c r="P2718" s="2">
        <v>72.553579999999997</v>
      </c>
      <c r="Q2718" s="2">
        <v>23.037838000000001</v>
      </c>
    </row>
    <row r="2719" spans="1:17" x14ac:dyDescent="0.25">
      <c r="A2719" s="2">
        <v>2905</v>
      </c>
      <c r="B2719" s="2" t="s">
        <v>78</v>
      </c>
      <c r="C2719" s="2">
        <v>24</v>
      </c>
      <c r="D2719" s="2">
        <f t="shared" si="420"/>
        <v>60.96</v>
      </c>
      <c r="E2719" s="2">
        <f t="shared" si="421"/>
        <v>19.404170661763882</v>
      </c>
      <c r="F2719" s="2">
        <f t="shared" si="422"/>
        <v>7.6394372684109761</v>
      </c>
      <c r="G2719" s="2">
        <v>4.7582380000000004</v>
      </c>
      <c r="H2719" s="2">
        <f t="shared" si="423"/>
        <v>15.611017559920001</v>
      </c>
      <c r="I2719" s="2">
        <f>INDEX('Wood Density Lookup'!$B$2:$B$152,MATCH(B2719,'Wood Density Lookup'!$A$2:$A$152,0))</f>
        <v>0.55000000000000004</v>
      </c>
      <c r="J2719" s="2">
        <f t="shared" si="424"/>
        <v>56.204062684750618</v>
      </c>
      <c r="K2719" s="2">
        <f t="shared" si="428"/>
        <v>15.737137551730175</v>
      </c>
      <c r="L2719" s="2">
        <f t="shared" si="429"/>
        <v>71.941200236480796</v>
      </c>
      <c r="M2719" s="2">
        <f t="shared" si="425"/>
        <v>52.157370171448576</v>
      </c>
      <c r="N2719" s="2">
        <f t="shared" si="426"/>
        <v>26.078685085724288</v>
      </c>
      <c r="O2719" s="2">
        <f t="shared" si="427"/>
        <v>95.708774264608138</v>
      </c>
      <c r="P2719" s="2">
        <v>72.553586999999993</v>
      </c>
      <c r="Q2719" s="2">
        <v>23.037972</v>
      </c>
    </row>
    <row r="2720" spans="1:17" x14ac:dyDescent="0.25">
      <c r="A2720" s="2">
        <v>2906</v>
      </c>
      <c r="B2720" s="2" t="s">
        <v>112</v>
      </c>
      <c r="C2720" s="2">
        <v>3</v>
      </c>
      <c r="D2720" s="2">
        <f t="shared" si="420"/>
        <v>7.62</v>
      </c>
      <c r="E2720" s="2">
        <f t="shared" si="421"/>
        <v>2.4255213327204852</v>
      </c>
      <c r="F2720" s="2">
        <f t="shared" si="422"/>
        <v>0.95492965855137202</v>
      </c>
      <c r="G2720" s="2">
        <v>1.0188809999999999</v>
      </c>
      <c r="H2720" s="2">
        <f t="shared" si="423"/>
        <v>3.3427855400399999</v>
      </c>
      <c r="I2720" s="2">
        <f>INDEX('Wood Density Lookup'!$B$2:$B$152,MATCH(B2720,'Wood Density Lookup'!$A$2:$A$152,0))</f>
        <v>0.4</v>
      </c>
      <c r="J2720" s="2">
        <f t="shared" si="424"/>
        <v>0.15801330935255903</v>
      </c>
      <c r="K2720" s="2">
        <f t="shared" si="428"/>
        <v>4.4243726618716533E-2</v>
      </c>
      <c r="L2720" s="2">
        <f t="shared" si="429"/>
        <v>0.20225703597127556</v>
      </c>
      <c r="M2720" s="2">
        <f t="shared" si="425"/>
        <v>0.14663635107917478</v>
      </c>
      <c r="N2720" s="2">
        <f t="shared" si="426"/>
        <v>7.3318175539587388E-2</v>
      </c>
      <c r="O2720" s="2">
        <f t="shared" si="427"/>
        <v>0.26907770423028571</v>
      </c>
      <c r="P2720" s="2">
        <v>72.553589000000002</v>
      </c>
      <c r="Q2720" s="2">
        <v>23.037921000000001</v>
      </c>
    </row>
    <row r="2721" spans="1:17" x14ac:dyDescent="0.25">
      <c r="A2721" s="2">
        <v>2907</v>
      </c>
      <c r="B2721" s="2" t="s">
        <v>139</v>
      </c>
      <c r="C2721" s="2">
        <v>5</v>
      </c>
      <c r="D2721" s="2">
        <f t="shared" si="420"/>
        <v>12.7</v>
      </c>
      <c r="E2721" s="2">
        <f t="shared" si="421"/>
        <v>4.0425355545341413</v>
      </c>
      <c r="F2721" s="2">
        <f t="shared" si="422"/>
        <v>1.5915494309189535</v>
      </c>
      <c r="G2721" s="2">
        <v>5.1358139999999999</v>
      </c>
      <c r="H2721" s="2">
        <f t="shared" si="423"/>
        <v>16.84978400376</v>
      </c>
      <c r="I2721" s="2">
        <f>INDEX('Wood Density Lookup'!$B$2:$B$152,MATCH(B2721,'Wood Density Lookup'!$A$2:$A$152,0))</f>
        <v>0.9</v>
      </c>
      <c r="J2721" s="2">
        <f t="shared" si="424"/>
        <v>4.5824604902195061</v>
      </c>
      <c r="K2721" s="2">
        <f t="shared" si="428"/>
        <v>1.2830889372614618</v>
      </c>
      <c r="L2721" s="2">
        <f t="shared" si="429"/>
        <v>5.8655494274809676</v>
      </c>
      <c r="M2721" s="2">
        <f t="shared" si="425"/>
        <v>4.2525233349237013</v>
      </c>
      <c r="N2721" s="2">
        <f t="shared" si="426"/>
        <v>2.1262616674618506</v>
      </c>
      <c r="O2721" s="2">
        <f t="shared" si="427"/>
        <v>7.803380319584992</v>
      </c>
      <c r="P2721" s="2">
        <v>72.553590999999997</v>
      </c>
      <c r="Q2721" s="2">
        <v>23.038719</v>
      </c>
    </row>
    <row r="2722" spans="1:17" x14ac:dyDescent="0.25">
      <c r="A2722" s="2">
        <v>2908</v>
      </c>
      <c r="B2722" s="2" t="s">
        <v>111</v>
      </c>
      <c r="C2722" s="2">
        <v>8</v>
      </c>
      <c r="D2722" s="2">
        <f t="shared" si="420"/>
        <v>20.32</v>
      </c>
      <c r="E2722" s="2">
        <f t="shared" si="421"/>
        <v>6.4680568872546269</v>
      </c>
      <c r="F2722" s="2">
        <f t="shared" si="422"/>
        <v>2.5464790894703255</v>
      </c>
      <c r="G2722" s="2">
        <v>2.7112310000000002</v>
      </c>
      <c r="H2722" s="2">
        <f t="shared" si="423"/>
        <v>8.8951151140400011</v>
      </c>
      <c r="I2722" s="2">
        <f>INDEX('Wood Density Lookup'!$B$2:$B$152,MATCH(B2722,'Wood Density Lookup'!$A$2:$A$152,0))</f>
        <v>0.4</v>
      </c>
      <c r="J2722" s="2">
        <f t="shared" si="424"/>
        <v>2.7862921971937276</v>
      </c>
      <c r="K2722" s="2">
        <f t="shared" si="428"/>
        <v>0.78016181521424377</v>
      </c>
      <c r="L2722" s="2">
        <f t="shared" si="429"/>
        <v>3.5664540124079713</v>
      </c>
      <c r="M2722" s="2">
        <f t="shared" si="425"/>
        <v>2.585679158995779</v>
      </c>
      <c r="N2722" s="2">
        <f t="shared" si="426"/>
        <v>1.2928395794978895</v>
      </c>
      <c r="O2722" s="2">
        <f t="shared" si="427"/>
        <v>4.7447212567572548</v>
      </c>
      <c r="P2722" s="2">
        <v>72.553595999999999</v>
      </c>
      <c r="Q2722" s="2">
        <v>23.038423999999999</v>
      </c>
    </row>
    <row r="2723" spans="1:17" x14ac:dyDescent="0.25">
      <c r="A2723" s="2">
        <v>2909</v>
      </c>
      <c r="B2723" s="2" t="s">
        <v>112</v>
      </c>
      <c r="C2723" s="2">
        <v>4</v>
      </c>
      <c r="D2723" s="2">
        <f t="shared" si="420"/>
        <v>10.16</v>
      </c>
      <c r="E2723" s="2">
        <f t="shared" si="421"/>
        <v>3.2340284436273135</v>
      </c>
      <c r="F2723" s="2">
        <f t="shared" si="422"/>
        <v>1.2732395447351628</v>
      </c>
      <c r="G2723" s="2">
        <v>2.039536</v>
      </c>
      <c r="H2723" s="2">
        <f t="shared" si="423"/>
        <v>6.6913912902400003</v>
      </c>
      <c r="I2723" s="2">
        <f>INDEX('Wood Density Lookup'!$B$2:$B$152,MATCH(B2723,'Wood Density Lookup'!$A$2:$A$152,0))</f>
        <v>0.4</v>
      </c>
      <c r="J2723" s="2">
        <f t="shared" si="424"/>
        <v>0.54544153318602862</v>
      </c>
      <c r="K2723" s="2">
        <f t="shared" si="428"/>
        <v>0.15272362929208802</v>
      </c>
      <c r="L2723" s="2">
        <f t="shared" si="429"/>
        <v>0.69816516247811666</v>
      </c>
      <c r="M2723" s="2">
        <f t="shared" si="425"/>
        <v>0.50616974279663451</v>
      </c>
      <c r="N2723" s="2">
        <f t="shared" si="426"/>
        <v>0.25308487139831726</v>
      </c>
      <c r="O2723" s="2">
        <f t="shared" si="427"/>
        <v>0.92882147803182435</v>
      </c>
      <c r="P2723" s="2">
        <v>72.553596999999996</v>
      </c>
      <c r="Q2723" s="2">
        <v>23.037877000000002</v>
      </c>
    </row>
    <row r="2724" spans="1:17" x14ac:dyDescent="0.25">
      <c r="A2724" s="2">
        <v>2910</v>
      </c>
      <c r="B2724" s="2" t="s">
        <v>50</v>
      </c>
      <c r="C2724" s="2">
        <v>7</v>
      </c>
      <c r="D2724" s="2">
        <f t="shared" si="420"/>
        <v>17.78</v>
      </c>
      <c r="E2724" s="2">
        <f t="shared" si="421"/>
        <v>5.6595497763477987</v>
      </c>
      <c r="F2724" s="2">
        <f t="shared" si="422"/>
        <v>2.228169203286535</v>
      </c>
      <c r="G2724" s="2">
        <v>2.0299010000000002</v>
      </c>
      <c r="H2724" s="2">
        <f t="shared" si="423"/>
        <v>6.6597803968400004</v>
      </c>
      <c r="I2724" s="2">
        <f>INDEX('Wood Density Lookup'!$B$2:$B$152,MATCH(B2724,'Wood Density Lookup'!$A$2:$A$152,0))</f>
        <v>0.5</v>
      </c>
      <c r="J2724" s="2">
        <f t="shared" si="424"/>
        <v>2.0124981362467502</v>
      </c>
      <c r="K2724" s="2">
        <f t="shared" si="428"/>
        <v>0.56349947814909007</v>
      </c>
      <c r="L2724" s="2">
        <f t="shared" si="429"/>
        <v>2.5759976143958401</v>
      </c>
      <c r="M2724" s="2">
        <f t="shared" si="425"/>
        <v>1.867598270436984</v>
      </c>
      <c r="N2724" s="2">
        <f t="shared" si="426"/>
        <v>0.933799135218492</v>
      </c>
      <c r="O2724" s="2">
        <f t="shared" si="427"/>
        <v>3.4270428262518657</v>
      </c>
      <c r="P2724" s="2">
        <v>72.553599000000006</v>
      </c>
      <c r="Q2724" s="2">
        <v>23.037813</v>
      </c>
    </row>
    <row r="2725" spans="1:17" x14ac:dyDescent="0.25">
      <c r="A2725" s="2">
        <v>2911</v>
      </c>
      <c r="B2725" s="2" t="s">
        <v>31</v>
      </c>
      <c r="C2725" s="2">
        <v>31</v>
      </c>
      <c r="D2725" s="2">
        <f t="shared" si="420"/>
        <v>78.739999999999995</v>
      </c>
      <c r="E2725" s="2">
        <f t="shared" si="421"/>
        <v>25.063720438111677</v>
      </c>
      <c r="F2725" s="2">
        <f t="shared" si="422"/>
        <v>9.8676064716975116</v>
      </c>
      <c r="G2725" s="2">
        <v>6.6541199999999998</v>
      </c>
      <c r="H2725" s="2">
        <f t="shared" si="423"/>
        <v>21.8311030608</v>
      </c>
      <c r="I2725" s="2">
        <f>INDEX('Wood Density Lookup'!$B$2:$B$152,MATCH(B2725,'Wood Density Lookup'!$A$2:$A$152,0))</f>
        <v>0.78</v>
      </c>
      <c r="J2725" s="2">
        <f t="shared" si="424"/>
        <v>180.70606948270199</v>
      </c>
      <c r="K2725" s="2">
        <f t="shared" si="428"/>
        <v>50.597699455156565</v>
      </c>
      <c r="L2725" s="2">
        <f t="shared" si="429"/>
        <v>231.30376893785856</v>
      </c>
      <c r="M2725" s="2">
        <f t="shared" si="425"/>
        <v>167.69523247994746</v>
      </c>
      <c r="N2725" s="2">
        <f t="shared" si="426"/>
        <v>83.847616239973732</v>
      </c>
      <c r="O2725" s="2">
        <f t="shared" si="427"/>
        <v>307.72075160070358</v>
      </c>
      <c r="P2725" s="2">
        <v>72.553599000000006</v>
      </c>
      <c r="Q2725" s="2">
        <v>23.038744000000001</v>
      </c>
    </row>
    <row r="2726" spans="1:17" x14ac:dyDescent="0.25">
      <c r="A2726" s="2">
        <v>2912</v>
      </c>
      <c r="B2726" s="2" t="s">
        <v>112</v>
      </c>
      <c r="C2726" s="2">
        <v>3</v>
      </c>
      <c r="D2726" s="2">
        <f t="shared" si="420"/>
        <v>7.62</v>
      </c>
      <c r="E2726" s="2">
        <f t="shared" si="421"/>
        <v>2.4255213327204852</v>
      </c>
      <c r="F2726" s="2">
        <f t="shared" si="422"/>
        <v>0.95492965855137202</v>
      </c>
      <c r="G2726" s="2">
        <v>1.025976</v>
      </c>
      <c r="H2726" s="2">
        <f t="shared" si="423"/>
        <v>3.3660630998399999</v>
      </c>
      <c r="I2726" s="2">
        <f>INDEX('Wood Density Lookup'!$B$2:$B$152,MATCH(B2726,'Wood Density Lookup'!$A$2:$A$152,0))</f>
        <v>0.4</v>
      </c>
      <c r="J2726" s="2">
        <f t="shared" si="424"/>
        <v>0.15908714104286625</v>
      </c>
      <c r="K2726" s="2">
        <f t="shared" si="428"/>
        <v>4.4544399492002555E-2</v>
      </c>
      <c r="L2726" s="2">
        <f t="shared" si="429"/>
        <v>0.20363154053486882</v>
      </c>
      <c r="M2726" s="2">
        <f t="shared" si="425"/>
        <v>0.14763286688777988</v>
      </c>
      <c r="N2726" s="2">
        <f t="shared" si="426"/>
        <v>7.3816433443889939E-2</v>
      </c>
      <c r="O2726" s="2">
        <f t="shared" si="427"/>
        <v>0.27090631073907606</v>
      </c>
      <c r="P2726" s="2">
        <v>72.553602999999995</v>
      </c>
      <c r="Q2726" s="2">
        <v>23.037837</v>
      </c>
    </row>
    <row r="2727" spans="1:17" x14ac:dyDescent="0.25">
      <c r="A2727" s="2">
        <v>2913</v>
      </c>
      <c r="B2727" s="2" t="s">
        <v>58</v>
      </c>
      <c r="C2727" s="2">
        <v>13</v>
      </c>
      <c r="D2727" s="2">
        <f t="shared" si="420"/>
        <v>33.020000000000003</v>
      </c>
      <c r="E2727" s="2">
        <f t="shared" si="421"/>
        <v>10.51059244178877</v>
      </c>
      <c r="F2727" s="2">
        <f t="shared" si="422"/>
        <v>4.1380285203892786</v>
      </c>
      <c r="G2727" s="2">
        <v>6.3333849999999998</v>
      </c>
      <c r="H2727" s="2">
        <f t="shared" si="423"/>
        <v>20.7788228434</v>
      </c>
      <c r="I2727" s="2">
        <f>INDEX('Wood Density Lookup'!$B$2:$B$152,MATCH(B2727,'Wood Density Lookup'!$A$2:$A$152,0))</f>
        <v>0.5</v>
      </c>
      <c r="J2727" s="2">
        <f t="shared" si="424"/>
        <v>20.456093652091031</v>
      </c>
      <c r="K2727" s="2">
        <f t="shared" si="428"/>
        <v>5.7277062225854891</v>
      </c>
      <c r="L2727" s="2">
        <f t="shared" si="429"/>
        <v>26.18379987467652</v>
      </c>
      <c r="M2727" s="2">
        <f t="shared" si="425"/>
        <v>18.983254909140477</v>
      </c>
      <c r="N2727" s="2">
        <f t="shared" si="426"/>
        <v>9.4916274545702386</v>
      </c>
      <c r="O2727" s="2">
        <f t="shared" si="427"/>
        <v>34.834272758272775</v>
      </c>
      <c r="P2727" s="2">
        <v>72.553607</v>
      </c>
      <c r="Q2727" s="2">
        <v>23.038188999999999</v>
      </c>
    </row>
    <row r="2728" spans="1:17" x14ac:dyDescent="0.25">
      <c r="A2728" s="2">
        <v>2914</v>
      </c>
      <c r="B2728" s="2" t="s">
        <v>124</v>
      </c>
      <c r="C2728" s="2">
        <v>24</v>
      </c>
      <c r="D2728" s="2">
        <f t="shared" si="420"/>
        <v>60.96</v>
      </c>
      <c r="E2728" s="2">
        <f t="shared" si="421"/>
        <v>19.404170661763882</v>
      </c>
      <c r="F2728" s="2">
        <f t="shared" si="422"/>
        <v>7.6394372684109761</v>
      </c>
      <c r="G2728" s="2">
        <v>4.0219779999999998</v>
      </c>
      <c r="H2728" s="2">
        <f t="shared" si="423"/>
        <v>13.19546630152</v>
      </c>
      <c r="I2728" s="2">
        <f>INDEX('Wood Density Lookup'!$B$2:$B$152,MATCH(B2728,'Wood Density Lookup'!$A$2:$A$152,0))</f>
        <v>0.55000000000000004</v>
      </c>
      <c r="J2728" s="2">
        <f t="shared" si="424"/>
        <v>47.699452529983994</v>
      </c>
      <c r="K2728" s="2">
        <f t="shared" si="428"/>
        <v>13.35584670839552</v>
      </c>
      <c r="L2728" s="2">
        <f t="shared" si="429"/>
        <v>61.055299238379511</v>
      </c>
      <c r="M2728" s="2">
        <f t="shared" si="425"/>
        <v>44.265091947825141</v>
      </c>
      <c r="N2728" s="2">
        <f t="shared" si="426"/>
        <v>22.132545973912571</v>
      </c>
      <c r="O2728" s="2">
        <f t="shared" si="427"/>
        <v>81.226443724259127</v>
      </c>
      <c r="P2728" s="2">
        <v>72.553608999999994</v>
      </c>
      <c r="Q2728" s="2">
        <v>23.038117</v>
      </c>
    </row>
    <row r="2729" spans="1:17" x14ac:dyDescent="0.25">
      <c r="A2729" s="2">
        <v>2915</v>
      </c>
      <c r="B2729" s="2" t="s">
        <v>54</v>
      </c>
      <c r="C2729" s="2">
        <v>21</v>
      </c>
      <c r="D2729" s="2">
        <f t="shared" si="420"/>
        <v>53.34</v>
      </c>
      <c r="E2729" s="2">
        <f t="shared" si="421"/>
        <v>16.978649329043396</v>
      </c>
      <c r="F2729" s="2">
        <f t="shared" si="422"/>
        <v>6.6845076098596046</v>
      </c>
      <c r="G2729" s="2">
        <v>2.0517029999999998</v>
      </c>
      <c r="H2729" s="2">
        <f t="shared" si="423"/>
        <v>6.7313092705199997</v>
      </c>
      <c r="I2729" s="2">
        <f>INDEX('Wood Density Lookup'!$B$2:$B$152,MATCH(B2729,'Wood Density Lookup'!$A$2:$A$152,0))</f>
        <v>0.3</v>
      </c>
      <c r="J2729" s="2">
        <f t="shared" si="424"/>
        <v>10.545813365281532</v>
      </c>
      <c r="K2729" s="2">
        <f t="shared" si="428"/>
        <v>2.9528277422788292</v>
      </c>
      <c r="L2729" s="2">
        <f t="shared" si="429"/>
        <v>13.498641107560362</v>
      </c>
      <c r="M2729" s="2">
        <f t="shared" si="425"/>
        <v>9.7865148029812623</v>
      </c>
      <c r="N2729" s="2">
        <f t="shared" si="426"/>
        <v>4.8932574014906312</v>
      </c>
      <c r="O2729" s="2">
        <f t="shared" si="427"/>
        <v>17.958254663470615</v>
      </c>
      <c r="P2729" s="2">
        <v>72.553608999999994</v>
      </c>
      <c r="Q2729" s="2">
        <v>23.038157999999999</v>
      </c>
    </row>
    <row r="2730" spans="1:17" x14ac:dyDescent="0.25">
      <c r="A2730" s="2">
        <v>2916</v>
      </c>
      <c r="B2730" s="2" t="s">
        <v>10</v>
      </c>
      <c r="C2730" s="2">
        <v>19</v>
      </c>
      <c r="D2730" s="2">
        <f t="shared" si="420"/>
        <v>48.26</v>
      </c>
      <c r="E2730" s="2">
        <f t="shared" si="421"/>
        <v>15.361635107229738</v>
      </c>
      <c r="F2730" s="2">
        <f t="shared" si="422"/>
        <v>6.0478878374920226</v>
      </c>
      <c r="G2730" s="2">
        <v>7.2271970000000003</v>
      </c>
      <c r="H2730" s="2">
        <f t="shared" si="423"/>
        <v>23.71127700548</v>
      </c>
      <c r="I2730" s="2">
        <f>INDEX('Wood Density Lookup'!$B$2:$B$152,MATCH(B2730,'Wood Density Lookup'!$A$2:$A$152,0))</f>
        <v>0.65</v>
      </c>
      <c r="J2730" s="2">
        <f t="shared" si="424"/>
        <v>63.052020519913235</v>
      </c>
      <c r="K2730" s="2">
        <f t="shared" si="428"/>
        <v>17.654565745575706</v>
      </c>
      <c r="L2730" s="2">
        <f t="shared" si="429"/>
        <v>80.706586265488937</v>
      </c>
      <c r="M2730" s="2">
        <f t="shared" si="425"/>
        <v>58.51227504247948</v>
      </c>
      <c r="N2730" s="2">
        <f t="shared" si="426"/>
        <v>29.25613752123974</v>
      </c>
      <c r="O2730" s="2">
        <f t="shared" si="427"/>
        <v>107.37002470294985</v>
      </c>
      <c r="P2730" s="2">
        <v>72.553612000000001</v>
      </c>
      <c r="Q2730" s="2">
        <v>23.037368000000001</v>
      </c>
    </row>
    <row r="2731" spans="1:17" x14ac:dyDescent="0.25">
      <c r="A2731" s="2">
        <v>2917</v>
      </c>
      <c r="B2731" s="2" t="s">
        <v>129</v>
      </c>
      <c r="C2731" s="2">
        <v>19</v>
      </c>
      <c r="D2731" s="2">
        <f t="shared" si="420"/>
        <v>48.26</v>
      </c>
      <c r="E2731" s="2">
        <f t="shared" si="421"/>
        <v>15.361635107229738</v>
      </c>
      <c r="F2731" s="2">
        <f t="shared" si="422"/>
        <v>6.0478878374920226</v>
      </c>
      <c r="G2731" s="2">
        <v>4.4043650000000003</v>
      </c>
      <c r="H2731" s="2">
        <f t="shared" si="423"/>
        <v>14.4500168666</v>
      </c>
      <c r="I2731" s="2">
        <f>INDEX('Wood Density Lookup'!$B$2:$B$152,MATCH(B2731,'Wood Density Lookup'!$A$2:$A$152,0))</f>
        <v>0.4</v>
      </c>
      <c r="J2731" s="2">
        <f t="shared" si="424"/>
        <v>24.209265409330524</v>
      </c>
      <c r="K2731" s="2">
        <f t="shared" si="428"/>
        <v>6.7785943146125476</v>
      </c>
      <c r="L2731" s="2">
        <f t="shared" si="429"/>
        <v>30.987859723943071</v>
      </c>
      <c r="M2731" s="2">
        <f t="shared" si="425"/>
        <v>22.466198299858725</v>
      </c>
      <c r="N2731" s="2">
        <f t="shared" si="426"/>
        <v>11.233099149929362</v>
      </c>
      <c r="O2731" s="2">
        <f t="shared" si="427"/>
        <v>41.225473880240756</v>
      </c>
      <c r="P2731" s="2">
        <v>72.553616000000005</v>
      </c>
      <c r="Q2731" s="2">
        <v>23.037973999999998</v>
      </c>
    </row>
    <row r="2732" spans="1:17" x14ac:dyDescent="0.25">
      <c r="A2732" s="2">
        <v>2918</v>
      </c>
      <c r="B2732" s="2" t="s">
        <v>93</v>
      </c>
      <c r="C2732" s="2">
        <v>5</v>
      </c>
      <c r="D2732" s="2">
        <f t="shared" si="420"/>
        <v>12.7</v>
      </c>
      <c r="E2732" s="2">
        <f t="shared" si="421"/>
        <v>4.0425355545341413</v>
      </c>
      <c r="F2732" s="2">
        <f t="shared" si="422"/>
        <v>1.5915494309189535</v>
      </c>
      <c r="G2732" s="2">
        <v>1.233938</v>
      </c>
      <c r="H2732" s="2">
        <f t="shared" si="423"/>
        <v>4.0483531479200003</v>
      </c>
      <c r="I2732" s="2">
        <f>INDEX('Wood Density Lookup'!$B$2:$B$152,MATCH(B2732,'Wood Density Lookup'!$A$2:$A$152,0))</f>
        <v>0.9</v>
      </c>
      <c r="J2732" s="2">
        <f t="shared" si="424"/>
        <v>1.1393216862029625</v>
      </c>
      <c r="K2732" s="2">
        <f t="shared" si="428"/>
        <v>0.31901007213682953</v>
      </c>
      <c r="L2732" s="2">
        <f t="shared" si="429"/>
        <v>1.4583317583397921</v>
      </c>
      <c r="M2732" s="2">
        <f t="shared" si="425"/>
        <v>1.0572905247963493</v>
      </c>
      <c r="N2732" s="2">
        <f t="shared" si="426"/>
        <v>0.52864526239817466</v>
      </c>
      <c r="O2732" s="2">
        <f t="shared" si="427"/>
        <v>1.9401281130013011</v>
      </c>
      <c r="P2732" s="2">
        <v>72.553621000000007</v>
      </c>
      <c r="Q2732" s="2">
        <v>23.038055</v>
      </c>
    </row>
    <row r="2733" spans="1:17" x14ac:dyDescent="0.25">
      <c r="A2733" s="2">
        <v>2919</v>
      </c>
      <c r="B2733" s="2" t="s">
        <v>114</v>
      </c>
      <c r="C2733" s="2">
        <v>29</v>
      </c>
      <c r="D2733" s="2">
        <f t="shared" si="420"/>
        <v>73.66</v>
      </c>
      <c r="E2733" s="2">
        <f t="shared" si="421"/>
        <v>23.446706216298022</v>
      </c>
      <c r="F2733" s="2">
        <f t="shared" si="422"/>
        <v>9.2309866993299305</v>
      </c>
      <c r="G2733" s="2">
        <v>16.522863999999998</v>
      </c>
      <c r="H2733" s="2">
        <f t="shared" si="423"/>
        <v>54.208873125759993</v>
      </c>
      <c r="I2733" s="2">
        <f>INDEX('Wood Density Lookup'!$B$2:$B$152,MATCH(B2733,'Wood Density Lookup'!$A$2:$A$152,0))</f>
        <v>0.55000000000000004</v>
      </c>
      <c r="J2733" s="2">
        <f t="shared" si="424"/>
        <v>274.06910699403079</v>
      </c>
      <c r="K2733" s="2">
        <f t="shared" si="428"/>
        <v>76.739349958328631</v>
      </c>
      <c r="L2733" s="2">
        <f t="shared" si="429"/>
        <v>350.80845695235939</v>
      </c>
      <c r="M2733" s="2">
        <f t="shared" si="425"/>
        <v>254.33613129046054</v>
      </c>
      <c r="N2733" s="2">
        <f t="shared" si="426"/>
        <v>127.16806564523027</v>
      </c>
      <c r="O2733" s="2">
        <f t="shared" si="427"/>
        <v>466.70680091799511</v>
      </c>
      <c r="P2733" s="2">
        <v>72.553629999999998</v>
      </c>
      <c r="Q2733" s="2">
        <v>23.036308999999999</v>
      </c>
    </row>
    <row r="2734" spans="1:17" x14ac:dyDescent="0.25">
      <c r="A2734" s="2">
        <v>2920</v>
      </c>
      <c r="B2734" s="2" t="s">
        <v>15</v>
      </c>
      <c r="C2734" s="2">
        <v>6</v>
      </c>
      <c r="D2734" s="2">
        <f t="shared" si="420"/>
        <v>15.24</v>
      </c>
      <c r="E2734" s="2">
        <f t="shared" si="421"/>
        <v>4.8510426654409704</v>
      </c>
      <c r="F2734" s="2">
        <f t="shared" si="422"/>
        <v>1.909859317102744</v>
      </c>
      <c r="G2734" s="2">
        <v>13.870658000000001</v>
      </c>
      <c r="H2734" s="2">
        <f t="shared" si="423"/>
        <v>45.507409592720002</v>
      </c>
      <c r="I2734" s="2">
        <f>INDEX('Wood Density Lookup'!$B$2:$B$152,MATCH(B2734,'Wood Density Lookup'!$A$2:$A$152,0))</f>
        <v>0.75</v>
      </c>
      <c r="J2734" s="2">
        <f t="shared" si="424"/>
        <v>14.438154858725133</v>
      </c>
      <c r="K2734" s="2">
        <f t="shared" si="428"/>
        <v>4.0426833604430374</v>
      </c>
      <c r="L2734" s="2">
        <f t="shared" si="429"/>
        <v>18.48083821916817</v>
      </c>
      <c r="M2734" s="2">
        <f t="shared" si="425"/>
        <v>13.398607708896924</v>
      </c>
      <c r="N2734" s="2">
        <f t="shared" si="426"/>
        <v>6.6993038544484618</v>
      </c>
      <c r="O2734" s="2">
        <f t="shared" si="427"/>
        <v>24.586445145825856</v>
      </c>
      <c r="P2734" s="2">
        <v>72.553634000000002</v>
      </c>
      <c r="Q2734" s="2">
        <v>23.036563000000001</v>
      </c>
    </row>
    <row r="2735" spans="1:17" x14ac:dyDescent="0.25">
      <c r="A2735" s="2">
        <v>2921</v>
      </c>
      <c r="B2735" s="2" t="s">
        <v>10</v>
      </c>
      <c r="C2735" s="2">
        <v>26</v>
      </c>
      <c r="D2735" s="2">
        <f t="shared" si="420"/>
        <v>66.040000000000006</v>
      </c>
      <c r="E2735" s="2">
        <f t="shared" si="421"/>
        <v>21.02118488357754</v>
      </c>
      <c r="F2735" s="2">
        <f t="shared" si="422"/>
        <v>8.2760570407785572</v>
      </c>
      <c r="G2735" s="2">
        <v>17.203011</v>
      </c>
      <c r="H2735" s="2">
        <f t="shared" si="423"/>
        <v>56.440326609240003</v>
      </c>
      <c r="I2735" s="2">
        <f>INDEX('Wood Density Lookup'!$B$2:$B$152,MATCH(B2735,'Wood Density Lookup'!$A$2:$A$152,0))</f>
        <v>0.65</v>
      </c>
      <c r="J2735" s="2">
        <f t="shared" si="424"/>
        <v>271.14106572359685</v>
      </c>
      <c r="K2735" s="2">
        <f t="shared" si="428"/>
        <v>75.919498402607132</v>
      </c>
      <c r="L2735" s="2">
        <f t="shared" si="429"/>
        <v>347.06056412620399</v>
      </c>
      <c r="M2735" s="2">
        <f t="shared" si="425"/>
        <v>251.61890899149788</v>
      </c>
      <c r="N2735" s="2">
        <f t="shared" si="426"/>
        <v>125.80945449574894</v>
      </c>
      <c r="O2735" s="2">
        <f t="shared" si="427"/>
        <v>461.72069799939857</v>
      </c>
      <c r="P2735" s="2">
        <v>72.553635999999997</v>
      </c>
      <c r="Q2735" s="2">
        <v>23.036490000000001</v>
      </c>
    </row>
    <row r="2736" spans="1:17" x14ac:dyDescent="0.25">
      <c r="A2736" s="2">
        <v>2922</v>
      </c>
      <c r="B2736" s="2" t="s">
        <v>115</v>
      </c>
      <c r="C2736" s="2">
        <v>8</v>
      </c>
      <c r="D2736" s="2">
        <f t="shared" si="420"/>
        <v>20.32</v>
      </c>
      <c r="E2736" s="2">
        <f t="shared" si="421"/>
        <v>6.4680568872546269</v>
      </c>
      <c r="F2736" s="2">
        <f t="shared" si="422"/>
        <v>2.5464790894703255</v>
      </c>
      <c r="G2736" s="2">
        <v>3.0558559999999999</v>
      </c>
      <c r="H2736" s="2">
        <f t="shared" si="423"/>
        <v>10.02577459904</v>
      </c>
      <c r="I2736" s="2">
        <f>INDEX('Wood Density Lookup'!$B$2:$B$152,MATCH(B2736,'Wood Density Lookup'!$A$2:$A$152,0))</f>
        <v>0.65</v>
      </c>
      <c r="J2736" s="2">
        <f t="shared" si="424"/>
        <v>5.0296609973903568</v>
      </c>
      <c r="K2736" s="2">
        <f t="shared" si="428"/>
        <v>1.4083050792692999</v>
      </c>
      <c r="L2736" s="2">
        <f t="shared" si="429"/>
        <v>6.4379660766596567</v>
      </c>
      <c r="M2736" s="2">
        <f t="shared" si="425"/>
        <v>4.6675254055782514</v>
      </c>
      <c r="N2736" s="2">
        <f t="shared" si="426"/>
        <v>2.3337627027891257</v>
      </c>
      <c r="O2736" s="2">
        <f t="shared" si="427"/>
        <v>8.5649091192360913</v>
      </c>
      <c r="P2736" s="2">
        <v>72.553636999999995</v>
      </c>
      <c r="Q2736" s="2">
        <v>23.038713000000001</v>
      </c>
    </row>
    <row r="2737" spans="1:17" x14ac:dyDescent="0.25">
      <c r="A2737" s="2">
        <v>2923</v>
      </c>
      <c r="B2737" s="2" t="s">
        <v>72</v>
      </c>
      <c r="C2737" s="2">
        <v>48</v>
      </c>
      <c r="D2737" s="2">
        <f t="shared" si="420"/>
        <v>121.92</v>
      </c>
      <c r="E2737" s="2">
        <f t="shared" si="421"/>
        <v>38.808341323527763</v>
      </c>
      <c r="F2737" s="2">
        <f t="shared" si="422"/>
        <v>15.278874536821952</v>
      </c>
      <c r="G2737" s="2">
        <v>16.785589999999999</v>
      </c>
      <c r="H2737" s="2">
        <f t="shared" si="423"/>
        <v>55.070835095599996</v>
      </c>
      <c r="I2737" s="2">
        <f>INDEX('Wood Density Lookup'!$B$2:$B$152,MATCH(B2737,'Wood Density Lookup'!$A$2:$A$152,0))</f>
        <v>0.65</v>
      </c>
      <c r="J2737" s="2">
        <f t="shared" si="424"/>
        <v>876.06915805202675</v>
      </c>
      <c r="K2737" s="2">
        <f t="shared" si="428"/>
        <v>245.29936425456751</v>
      </c>
      <c r="L2737" s="2">
        <f t="shared" si="429"/>
        <v>1121.3685223065943</v>
      </c>
      <c r="M2737" s="2">
        <f t="shared" si="425"/>
        <v>812.99217867228083</v>
      </c>
      <c r="N2737" s="2">
        <f t="shared" si="426"/>
        <v>406.49608933614041</v>
      </c>
      <c r="O2737" s="2">
        <f t="shared" si="427"/>
        <v>1491.8406478636352</v>
      </c>
      <c r="P2737" s="2">
        <v>72.553636999999995</v>
      </c>
      <c r="Q2737" s="2">
        <v>23.035547000000001</v>
      </c>
    </row>
    <row r="2738" spans="1:17" x14ac:dyDescent="0.25">
      <c r="A2738" s="2">
        <v>2924</v>
      </c>
      <c r="B2738" s="2" t="s">
        <v>114</v>
      </c>
      <c r="C2738" s="2">
        <v>17</v>
      </c>
      <c r="D2738" s="2">
        <f t="shared" si="420"/>
        <v>43.18</v>
      </c>
      <c r="E2738" s="2">
        <f t="shared" si="421"/>
        <v>13.744620885416081</v>
      </c>
      <c r="F2738" s="2">
        <f t="shared" si="422"/>
        <v>5.4112680651244416</v>
      </c>
      <c r="G2738" s="2">
        <v>12.155633999999999</v>
      </c>
      <c r="H2738" s="2">
        <f t="shared" si="423"/>
        <v>39.880690252559994</v>
      </c>
      <c r="I2738" s="2">
        <f>INDEX('Wood Density Lookup'!$B$2:$B$152,MATCH(B2738,'Wood Density Lookup'!$A$2:$A$152,0))</f>
        <v>0.55000000000000004</v>
      </c>
      <c r="J2738" s="2">
        <f t="shared" si="424"/>
        <v>71.612223677694246</v>
      </c>
      <c r="K2738" s="2">
        <f t="shared" si="428"/>
        <v>20.051422629754391</v>
      </c>
      <c r="L2738" s="2">
        <f t="shared" si="429"/>
        <v>91.66364630744863</v>
      </c>
      <c r="M2738" s="2">
        <f t="shared" si="425"/>
        <v>66.45614357290026</v>
      </c>
      <c r="N2738" s="2">
        <f t="shared" si="426"/>
        <v>33.22807178645013</v>
      </c>
      <c r="O2738" s="2">
        <f t="shared" si="427"/>
        <v>121.94702345627198</v>
      </c>
      <c r="P2738" s="2">
        <v>72.553638000000007</v>
      </c>
      <c r="Q2738" s="2">
        <v>23.036169999999998</v>
      </c>
    </row>
    <row r="2739" spans="1:17" x14ac:dyDescent="0.25">
      <c r="A2739" s="2">
        <v>2925</v>
      </c>
      <c r="B2739" s="2" t="s">
        <v>15</v>
      </c>
      <c r="C2739" s="2">
        <v>10</v>
      </c>
      <c r="D2739" s="2">
        <f t="shared" si="420"/>
        <v>25.4</v>
      </c>
      <c r="E2739" s="2">
        <f t="shared" si="421"/>
        <v>8.0850711090682825</v>
      </c>
      <c r="F2739" s="2">
        <f t="shared" si="422"/>
        <v>3.183098861837907</v>
      </c>
      <c r="G2739" s="2">
        <v>15.837909</v>
      </c>
      <c r="H2739" s="2">
        <f t="shared" si="423"/>
        <v>51.961645363560002</v>
      </c>
      <c r="I2739" s="2">
        <f>INDEX('Wood Density Lookup'!$B$2:$B$152,MATCH(B2739,'Wood Density Lookup'!$A$2:$A$152,0))</f>
        <v>0.75</v>
      </c>
      <c r="J2739" s="2">
        <f t="shared" si="424"/>
        <v>44.542933539243485</v>
      </c>
      <c r="K2739" s="2">
        <f t="shared" si="428"/>
        <v>12.472021390988177</v>
      </c>
      <c r="L2739" s="2">
        <f t="shared" si="429"/>
        <v>57.01495493023166</v>
      </c>
      <c r="M2739" s="2">
        <f t="shared" si="425"/>
        <v>41.335842324417953</v>
      </c>
      <c r="N2739" s="2">
        <f t="shared" si="426"/>
        <v>20.667921162208977</v>
      </c>
      <c r="O2739" s="2">
        <f t="shared" si="427"/>
        <v>75.851270665306942</v>
      </c>
      <c r="P2739" s="2">
        <v>72.553640999999999</v>
      </c>
      <c r="Q2739" s="2">
        <v>23.036508999999999</v>
      </c>
    </row>
    <row r="2740" spans="1:17" x14ac:dyDescent="0.25">
      <c r="A2740" s="2">
        <v>2926</v>
      </c>
      <c r="B2740" s="2" t="s">
        <v>31</v>
      </c>
      <c r="C2740" s="2">
        <v>23</v>
      </c>
      <c r="D2740" s="2">
        <f t="shared" si="420"/>
        <v>58.42</v>
      </c>
      <c r="E2740" s="2">
        <f t="shared" si="421"/>
        <v>18.595663550857051</v>
      </c>
      <c r="F2740" s="2">
        <f t="shared" si="422"/>
        <v>7.3211273822271856</v>
      </c>
      <c r="G2740" s="2">
        <v>7.4083040000000002</v>
      </c>
      <c r="H2740" s="2">
        <f t="shared" si="423"/>
        <v>24.305460095360001</v>
      </c>
      <c r="I2740" s="2">
        <f>INDEX('Wood Density Lookup'!$B$2:$B$152,MATCH(B2740,'Wood Density Lookup'!$A$2:$A$152,0))</f>
        <v>0.78</v>
      </c>
      <c r="J2740" s="2">
        <f t="shared" si="424"/>
        <v>112.05636749556817</v>
      </c>
      <c r="K2740" s="2">
        <f t="shared" si="428"/>
        <v>31.375782898759091</v>
      </c>
      <c r="L2740" s="2">
        <f t="shared" si="429"/>
        <v>143.43215039432727</v>
      </c>
      <c r="M2740" s="2">
        <f t="shared" si="425"/>
        <v>103.98830903588727</v>
      </c>
      <c r="N2740" s="2">
        <f t="shared" si="426"/>
        <v>51.994154517943635</v>
      </c>
      <c r="O2740" s="2">
        <f t="shared" si="427"/>
        <v>190.81854708085314</v>
      </c>
      <c r="P2740" s="2">
        <v>72.553641999999996</v>
      </c>
      <c r="Q2740" s="2">
        <v>23.036252000000001</v>
      </c>
    </row>
    <row r="2741" spans="1:17" x14ac:dyDescent="0.25">
      <c r="A2741" s="2">
        <v>2927</v>
      </c>
      <c r="B2741" s="2" t="s">
        <v>114</v>
      </c>
      <c r="C2741" s="2">
        <v>23</v>
      </c>
      <c r="D2741" s="2">
        <f t="shared" si="420"/>
        <v>58.42</v>
      </c>
      <c r="E2741" s="2">
        <f t="shared" si="421"/>
        <v>18.595663550857051</v>
      </c>
      <c r="F2741" s="2">
        <f t="shared" si="422"/>
        <v>7.3211273822271856</v>
      </c>
      <c r="G2741" s="2">
        <v>12.519771</v>
      </c>
      <c r="H2741" s="2">
        <f t="shared" si="423"/>
        <v>41.075365487639999</v>
      </c>
      <c r="I2741" s="2">
        <f>INDEX('Wood Density Lookup'!$B$2:$B$152,MATCH(B2741,'Wood Density Lookup'!$A$2:$A$152,0))</f>
        <v>0.55000000000000004</v>
      </c>
      <c r="J2741" s="2">
        <f t="shared" si="424"/>
        <v>132.97032199055838</v>
      </c>
      <c r="K2741" s="2">
        <f t="shared" si="428"/>
        <v>37.231690157356347</v>
      </c>
      <c r="L2741" s="2">
        <f t="shared" si="429"/>
        <v>170.20201214791473</v>
      </c>
      <c r="M2741" s="2">
        <f t="shared" si="425"/>
        <v>123.39645880723818</v>
      </c>
      <c r="N2741" s="2">
        <f t="shared" si="426"/>
        <v>61.698229403619088</v>
      </c>
      <c r="O2741" s="2">
        <f t="shared" si="427"/>
        <v>226.43250191128206</v>
      </c>
      <c r="P2741" s="2">
        <v>72.553641999999996</v>
      </c>
      <c r="Q2741" s="2">
        <v>23.036123</v>
      </c>
    </row>
    <row r="2742" spans="1:17" x14ac:dyDescent="0.25">
      <c r="A2742" s="2">
        <v>2928</v>
      </c>
      <c r="B2742" s="2" t="s">
        <v>42</v>
      </c>
      <c r="C2742" s="2">
        <v>18</v>
      </c>
      <c r="D2742" s="2">
        <f t="shared" si="420"/>
        <v>45.72</v>
      </c>
      <c r="E2742" s="2">
        <f t="shared" si="421"/>
        <v>14.55312799632291</v>
      </c>
      <c r="F2742" s="2">
        <f t="shared" si="422"/>
        <v>5.7295779513082321</v>
      </c>
      <c r="G2742" s="2">
        <v>7.3185219999999997</v>
      </c>
      <c r="H2742" s="2">
        <f t="shared" si="423"/>
        <v>24.010899718479997</v>
      </c>
      <c r="I2742" s="2">
        <f>INDEX('Wood Density Lookup'!$B$2:$B$152,MATCH(B2742,'Wood Density Lookup'!$A$2:$A$152,0))</f>
        <v>0.9</v>
      </c>
      <c r="J2742" s="2">
        <f t="shared" si="424"/>
        <v>78.908496447219136</v>
      </c>
      <c r="K2742" s="2">
        <f t="shared" si="428"/>
        <v>22.094379005221359</v>
      </c>
      <c r="L2742" s="2">
        <f t="shared" si="429"/>
        <v>101.00287545244049</v>
      </c>
      <c r="M2742" s="2">
        <f t="shared" si="425"/>
        <v>73.227084703019358</v>
      </c>
      <c r="N2742" s="2">
        <f t="shared" si="426"/>
        <v>36.613542351509679</v>
      </c>
      <c r="O2742" s="2">
        <f t="shared" si="427"/>
        <v>134.37170043004051</v>
      </c>
      <c r="P2742" s="2">
        <v>72.553642999999994</v>
      </c>
      <c r="Q2742" s="2">
        <v>23.037822999999999</v>
      </c>
    </row>
    <row r="2743" spans="1:17" x14ac:dyDescent="0.25">
      <c r="A2743" s="2">
        <v>2929</v>
      </c>
      <c r="B2743" s="2" t="s">
        <v>137</v>
      </c>
      <c r="C2743" s="2">
        <v>7</v>
      </c>
      <c r="D2743" s="2">
        <f t="shared" si="420"/>
        <v>17.78</v>
      </c>
      <c r="E2743" s="2">
        <f t="shared" si="421"/>
        <v>5.6595497763477987</v>
      </c>
      <c r="F2743" s="2">
        <f t="shared" si="422"/>
        <v>2.228169203286535</v>
      </c>
      <c r="G2743" s="2">
        <v>6.6179810000000003</v>
      </c>
      <c r="H2743" s="2">
        <f t="shared" si="423"/>
        <v>21.712536784040001</v>
      </c>
      <c r="I2743" s="2">
        <f>INDEX('Wood Density Lookup'!$B$2:$B$152,MATCH(B2743,'Wood Density Lookup'!$A$2:$A$152,0))</f>
        <v>0.55000000000000004</v>
      </c>
      <c r="J2743" s="2">
        <f t="shared" si="424"/>
        <v>6.9995060010945807</v>
      </c>
      <c r="K2743" s="2">
        <f t="shared" si="428"/>
        <v>1.9598616803064828</v>
      </c>
      <c r="L2743" s="2">
        <f t="shared" si="429"/>
        <v>8.9593676814010639</v>
      </c>
      <c r="M2743" s="2">
        <f t="shared" si="425"/>
        <v>6.4955415690157707</v>
      </c>
      <c r="N2743" s="2">
        <f t="shared" si="426"/>
        <v>3.2477707845078854</v>
      </c>
      <c r="O2743" s="2">
        <f t="shared" si="427"/>
        <v>11.919318779143939</v>
      </c>
      <c r="P2743" s="2">
        <v>72.553646999999998</v>
      </c>
      <c r="Q2743" s="2">
        <v>23.038084000000001</v>
      </c>
    </row>
    <row r="2744" spans="1:17" x14ac:dyDescent="0.25">
      <c r="A2744" s="2">
        <v>2930</v>
      </c>
      <c r="B2744" s="2" t="s">
        <v>15</v>
      </c>
      <c r="C2744" s="2">
        <v>84</v>
      </c>
      <c r="D2744" s="2">
        <f t="shared" si="420"/>
        <v>213.36</v>
      </c>
      <c r="E2744" s="2">
        <f t="shared" si="421"/>
        <v>67.914597316173584</v>
      </c>
      <c r="F2744" s="2">
        <f t="shared" si="422"/>
        <v>26.738030439438418</v>
      </c>
      <c r="G2744" s="2">
        <v>15.122875000000001</v>
      </c>
      <c r="H2744" s="2">
        <f t="shared" si="423"/>
        <v>49.615733214999999</v>
      </c>
      <c r="I2744" s="2">
        <f>INDEX('Wood Density Lookup'!$B$2:$B$152,MATCH(B2744,'Wood Density Lookup'!$A$2:$A$152,0))</f>
        <v>0.75</v>
      </c>
      <c r="J2744" s="2">
        <f t="shared" si="424"/>
        <v>2712.6266540976471</v>
      </c>
      <c r="K2744" s="2">
        <f t="shared" si="428"/>
        <v>759.53546314734126</v>
      </c>
      <c r="L2744" s="2">
        <f t="shared" si="429"/>
        <v>3472.1621172449886</v>
      </c>
      <c r="M2744" s="2">
        <f t="shared" si="425"/>
        <v>2517.3175350026168</v>
      </c>
      <c r="N2744" s="2">
        <f t="shared" si="426"/>
        <v>1258.6587675013084</v>
      </c>
      <c r="O2744" s="2">
        <f t="shared" si="427"/>
        <v>4619.2776767298019</v>
      </c>
      <c r="P2744" s="2">
        <v>72.553648999999993</v>
      </c>
      <c r="Q2744" s="2">
        <v>23.036697</v>
      </c>
    </row>
    <row r="2745" spans="1:17" x14ac:dyDescent="0.25">
      <c r="A2745" s="2">
        <v>2931</v>
      </c>
      <c r="B2745" s="2" t="s">
        <v>49</v>
      </c>
      <c r="C2745" s="2">
        <v>9</v>
      </c>
      <c r="D2745" s="2">
        <f t="shared" si="420"/>
        <v>22.86</v>
      </c>
      <c r="E2745" s="2">
        <f t="shared" si="421"/>
        <v>7.2765639981614552</v>
      </c>
      <c r="F2745" s="2">
        <f t="shared" si="422"/>
        <v>2.8647889756541161</v>
      </c>
      <c r="G2745" s="2">
        <v>7.1909419999999997</v>
      </c>
      <c r="H2745" s="2">
        <f t="shared" si="423"/>
        <v>23.592330151279999</v>
      </c>
      <c r="I2745" s="2">
        <f>INDEX('Wood Density Lookup'!$B$2:$B$152,MATCH(B2745,'Wood Density Lookup'!$A$2:$A$152,0))</f>
        <v>0.78</v>
      </c>
      <c r="J2745" s="2">
        <f t="shared" si="424"/>
        <v>17.434221736174006</v>
      </c>
      <c r="K2745" s="2">
        <f t="shared" si="428"/>
        <v>4.8815820861287218</v>
      </c>
      <c r="L2745" s="2">
        <f t="shared" si="429"/>
        <v>22.315803822302726</v>
      </c>
      <c r="M2745" s="2">
        <f t="shared" si="425"/>
        <v>16.178957771169475</v>
      </c>
      <c r="N2745" s="2">
        <f t="shared" si="426"/>
        <v>8.0894788855847377</v>
      </c>
      <c r="O2745" s="2">
        <f t="shared" si="427"/>
        <v>29.688387510095986</v>
      </c>
      <c r="P2745" s="2">
        <v>72.553650000000005</v>
      </c>
      <c r="Q2745" s="2">
        <v>23.038174000000001</v>
      </c>
    </row>
    <row r="2746" spans="1:17" x14ac:dyDescent="0.25">
      <c r="A2746" s="2">
        <v>2932</v>
      </c>
      <c r="B2746" s="2" t="s">
        <v>78</v>
      </c>
      <c r="C2746" s="2">
        <v>11</v>
      </c>
      <c r="D2746" s="2">
        <f t="shared" si="420"/>
        <v>27.94</v>
      </c>
      <c r="E2746" s="2">
        <f t="shared" si="421"/>
        <v>8.8935782199751117</v>
      </c>
      <c r="F2746" s="2">
        <f t="shared" si="422"/>
        <v>3.5014087480216975</v>
      </c>
      <c r="G2746" s="2">
        <v>2.4177029999999999</v>
      </c>
      <c r="H2746" s="2">
        <f t="shared" si="423"/>
        <v>7.9320967105199998</v>
      </c>
      <c r="I2746" s="2">
        <f>INDEX('Wood Density Lookup'!$B$2:$B$152,MATCH(B2746,'Wood Density Lookup'!$A$2:$A$152,0))</f>
        <v>0.55000000000000004</v>
      </c>
      <c r="J2746" s="2">
        <f t="shared" si="424"/>
        <v>6.330058338526543</v>
      </c>
      <c r="K2746" s="2">
        <f t="shared" si="428"/>
        <v>1.7724163347874322</v>
      </c>
      <c r="L2746" s="2">
        <f t="shared" si="429"/>
        <v>8.1024746733139743</v>
      </c>
      <c r="M2746" s="2">
        <f t="shared" si="425"/>
        <v>5.8742941381526315</v>
      </c>
      <c r="N2746" s="2">
        <f t="shared" si="426"/>
        <v>2.9371470690763157</v>
      </c>
      <c r="O2746" s="2">
        <f t="shared" si="427"/>
        <v>10.779329743510079</v>
      </c>
      <c r="P2746" s="2">
        <v>72.553651000000002</v>
      </c>
      <c r="Q2746" s="2">
        <v>23.038141</v>
      </c>
    </row>
    <row r="2747" spans="1:17" x14ac:dyDescent="0.25">
      <c r="A2747" s="2">
        <v>2933</v>
      </c>
      <c r="B2747" s="2" t="s">
        <v>78</v>
      </c>
      <c r="C2747" s="2">
        <v>35</v>
      </c>
      <c r="D2747" s="2">
        <f t="shared" si="420"/>
        <v>88.9</v>
      </c>
      <c r="E2747" s="2">
        <f t="shared" si="421"/>
        <v>28.297748881738993</v>
      </c>
      <c r="F2747" s="2">
        <f t="shared" si="422"/>
        <v>11.140846016432674</v>
      </c>
      <c r="G2747" s="2">
        <v>6.1824279999999998</v>
      </c>
      <c r="H2747" s="2">
        <f t="shared" si="423"/>
        <v>20.283557079519998</v>
      </c>
      <c r="I2747" s="2">
        <f>INDEX('Wood Density Lookup'!$B$2:$B$152,MATCH(B2747,'Wood Density Lookup'!$A$2:$A$152,0))</f>
        <v>0.55000000000000004</v>
      </c>
      <c r="J2747" s="2">
        <f t="shared" si="424"/>
        <v>151.56537025741136</v>
      </c>
      <c r="K2747" s="2">
        <f t="shared" si="428"/>
        <v>42.438303672075186</v>
      </c>
      <c r="L2747" s="2">
        <f t="shared" si="429"/>
        <v>194.00367392948655</v>
      </c>
      <c r="M2747" s="2">
        <f t="shared" si="425"/>
        <v>140.65266359887775</v>
      </c>
      <c r="N2747" s="2">
        <f t="shared" si="426"/>
        <v>70.326331799438876</v>
      </c>
      <c r="O2747" s="2">
        <f t="shared" si="427"/>
        <v>258.09763770394068</v>
      </c>
      <c r="P2747" s="2">
        <v>72.553652</v>
      </c>
      <c r="Q2747" s="2">
        <v>23.038221</v>
      </c>
    </row>
    <row r="2748" spans="1:17" x14ac:dyDescent="0.25">
      <c r="A2748" s="2">
        <v>2934</v>
      </c>
      <c r="B2748" s="2" t="s">
        <v>114</v>
      </c>
      <c r="C2748" s="2">
        <v>16</v>
      </c>
      <c r="D2748" s="2">
        <f t="shared" si="420"/>
        <v>40.64</v>
      </c>
      <c r="E2748" s="2">
        <f t="shared" si="421"/>
        <v>12.936113774509254</v>
      </c>
      <c r="F2748" s="2">
        <f t="shared" si="422"/>
        <v>5.0929581789406511</v>
      </c>
      <c r="G2748" s="2">
        <v>10.013780000000001</v>
      </c>
      <c r="H2748" s="2">
        <f t="shared" si="423"/>
        <v>32.853609975200001</v>
      </c>
      <c r="I2748" s="2">
        <f>INDEX('Wood Density Lookup'!$B$2:$B$152,MATCH(B2748,'Wood Density Lookup'!$A$2:$A$152,0))</f>
        <v>0.55000000000000004</v>
      </c>
      <c r="J2748" s="2">
        <f t="shared" si="424"/>
        <v>52.654296105354142</v>
      </c>
      <c r="K2748" s="2">
        <f t="shared" si="428"/>
        <v>14.743202909499161</v>
      </c>
      <c r="L2748" s="2">
        <f t="shared" si="429"/>
        <v>67.39749901485331</v>
      </c>
      <c r="M2748" s="2">
        <f t="shared" si="425"/>
        <v>48.863186785768647</v>
      </c>
      <c r="N2748" s="2">
        <f t="shared" si="426"/>
        <v>24.431593392884324</v>
      </c>
      <c r="O2748" s="2">
        <f t="shared" si="427"/>
        <v>89.663947751885459</v>
      </c>
      <c r="P2748" s="2">
        <v>72.553652</v>
      </c>
      <c r="Q2748" s="2">
        <v>23.036044</v>
      </c>
    </row>
    <row r="2749" spans="1:17" x14ac:dyDescent="0.25">
      <c r="A2749" s="2">
        <v>2935</v>
      </c>
      <c r="B2749" s="2" t="s">
        <v>11</v>
      </c>
      <c r="C2749" s="2">
        <v>4</v>
      </c>
      <c r="D2749" s="2">
        <f t="shared" si="420"/>
        <v>10.16</v>
      </c>
      <c r="E2749" s="2">
        <f t="shared" si="421"/>
        <v>3.2340284436273135</v>
      </c>
      <c r="F2749" s="2">
        <f t="shared" si="422"/>
        <v>1.2732395447351628</v>
      </c>
      <c r="G2749" s="2">
        <v>1.106813</v>
      </c>
      <c r="H2749" s="2">
        <f t="shared" si="423"/>
        <v>3.63127636292</v>
      </c>
      <c r="I2749" s="2">
        <f>INDEX('Wood Density Lookup'!$B$2:$B$152,MATCH(B2749,'Wood Density Lookup'!$A$2:$A$152,0))</f>
        <v>0.45</v>
      </c>
      <c r="J2749" s="2">
        <f t="shared" si="424"/>
        <v>0.33696664470914822</v>
      </c>
      <c r="K2749" s="2">
        <f t="shared" si="428"/>
        <v>9.4350660518561516E-2</v>
      </c>
      <c r="L2749" s="2">
        <f t="shared" si="429"/>
        <v>0.43131730522770972</v>
      </c>
      <c r="M2749" s="2">
        <f t="shared" si="425"/>
        <v>0.31270504629008955</v>
      </c>
      <c r="N2749" s="2">
        <f t="shared" si="426"/>
        <v>0.15635252314504477</v>
      </c>
      <c r="O2749" s="2">
        <f t="shared" si="427"/>
        <v>0.57381375994231432</v>
      </c>
      <c r="P2749" s="2">
        <v>72.553653999999995</v>
      </c>
      <c r="Q2749" s="2">
        <v>23.035969000000001</v>
      </c>
    </row>
    <row r="2750" spans="1:17" x14ac:dyDescent="0.25">
      <c r="A2750" s="2">
        <v>2936</v>
      </c>
      <c r="B2750" s="2" t="s">
        <v>129</v>
      </c>
      <c r="C2750" s="2">
        <v>3</v>
      </c>
      <c r="D2750" s="2">
        <f t="shared" si="420"/>
        <v>7.62</v>
      </c>
      <c r="E2750" s="2">
        <f t="shared" si="421"/>
        <v>2.4255213327204852</v>
      </c>
      <c r="F2750" s="2">
        <f t="shared" si="422"/>
        <v>0.95492965855137202</v>
      </c>
      <c r="G2750" s="2">
        <v>1.0263359999999999</v>
      </c>
      <c r="H2750" s="2">
        <f t="shared" si="423"/>
        <v>3.3672442022399998</v>
      </c>
      <c r="I2750" s="2">
        <f>INDEX('Wood Density Lookup'!$B$2:$B$152,MATCH(B2750,'Wood Density Lookup'!$A$2:$A$152,0))</f>
        <v>0.4</v>
      </c>
      <c r="J2750" s="2">
        <f t="shared" si="424"/>
        <v>0.1591416224562173</v>
      </c>
      <c r="K2750" s="2">
        <f t="shared" si="428"/>
        <v>4.4559654287740849E-2</v>
      </c>
      <c r="L2750" s="2">
        <f t="shared" si="429"/>
        <v>0.20370127674395816</v>
      </c>
      <c r="M2750" s="2">
        <f t="shared" si="425"/>
        <v>0.14768342563936965</v>
      </c>
      <c r="N2750" s="2">
        <f t="shared" si="426"/>
        <v>7.3841712819684824E-2</v>
      </c>
      <c r="O2750" s="2">
        <f t="shared" si="427"/>
        <v>0.2709990860482433</v>
      </c>
      <c r="P2750" s="2">
        <v>72.553655000000006</v>
      </c>
      <c r="Q2750" s="2">
        <v>23.035934000000001</v>
      </c>
    </row>
    <row r="2751" spans="1:17" x14ac:dyDescent="0.25">
      <c r="A2751" s="2">
        <v>2937</v>
      </c>
      <c r="B2751" s="2" t="s">
        <v>114</v>
      </c>
      <c r="C2751" s="2">
        <v>13</v>
      </c>
      <c r="D2751" s="2">
        <f t="shared" si="420"/>
        <v>33.020000000000003</v>
      </c>
      <c r="E2751" s="2">
        <f t="shared" si="421"/>
        <v>10.51059244178877</v>
      </c>
      <c r="F2751" s="2">
        <f t="shared" si="422"/>
        <v>4.1380285203892786</v>
      </c>
      <c r="G2751" s="2">
        <v>6.7780610000000001</v>
      </c>
      <c r="H2751" s="2">
        <f t="shared" si="423"/>
        <v>22.237733651239999</v>
      </c>
      <c r="I2751" s="2">
        <f>INDEX('Wood Density Lookup'!$B$2:$B$152,MATCH(B2751,'Wood Density Lookup'!$A$2:$A$152,0))</f>
        <v>0.55000000000000004</v>
      </c>
      <c r="J2751" s="2">
        <f t="shared" si="424"/>
        <v>23.987460791419064</v>
      </c>
      <c r="K2751" s="2">
        <f t="shared" si="428"/>
        <v>6.7164890215973383</v>
      </c>
      <c r="L2751" s="2">
        <f t="shared" si="429"/>
        <v>30.703949813016401</v>
      </c>
      <c r="M2751" s="2">
        <f t="shared" si="425"/>
        <v>22.260363614436891</v>
      </c>
      <c r="N2751" s="2">
        <f t="shared" si="426"/>
        <v>11.130181807218445</v>
      </c>
      <c r="O2751" s="2">
        <f t="shared" si="427"/>
        <v>40.847767232491691</v>
      </c>
      <c r="P2751" s="2">
        <v>72.553656000000004</v>
      </c>
      <c r="Q2751" s="2">
        <v>23.036007000000001</v>
      </c>
    </row>
    <row r="2752" spans="1:17" x14ac:dyDescent="0.25">
      <c r="A2752" s="2">
        <v>2938</v>
      </c>
      <c r="B2752" s="2" t="s">
        <v>102</v>
      </c>
      <c r="C2752" s="2">
        <v>18</v>
      </c>
      <c r="D2752" s="2">
        <f t="shared" si="420"/>
        <v>45.72</v>
      </c>
      <c r="E2752" s="2">
        <f t="shared" si="421"/>
        <v>14.55312799632291</v>
      </c>
      <c r="F2752" s="2">
        <f t="shared" si="422"/>
        <v>5.7295779513082321</v>
      </c>
      <c r="G2752" s="2">
        <v>7.4354250000000004</v>
      </c>
      <c r="H2752" s="2">
        <f t="shared" si="423"/>
        <v>24.394439757000001</v>
      </c>
      <c r="I2752" s="2">
        <f>INDEX('Wood Density Lookup'!$B$2:$B$152,MATCH(B2752,'Wood Density Lookup'!$A$2:$A$152,0))</f>
        <v>0.45</v>
      </c>
      <c r="J2752" s="2">
        <f t="shared" si="424"/>
        <v>40.74137941250568</v>
      </c>
      <c r="K2752" s="2">
        <f t="shared" si="428"/>
        <v>11.407586235501592</v>
      </c>
      <c r="L2752" s="2">
        <f t="shared" si="429"/>
        <v>52.14896564800727</v>
      </c>
      <c r="M2752" s="2">
        <f t="shared" si="425"/>
        <v>37.808000094805273</v>
      </c>
      <c r="N2752" s="2">
        <f t="shared" si="426"/>
        <v>18.904000047402636</v>
      </c>
      <c r="O2752" s="2">
        <f t="shared" si="427"/>
        <v>69.377680173967676</v>
      </c>
      <c r="P2752" s="2">
        <v>72.553657000000001</v>
      </c>
      <c r="Q2752" s="2">
        <v>23.037949000000001</v>
      </c>
    </row>
    <row r="2753" spans="1:17" x14ac:dyDescent="0.25">
      <c r="A2753" s="2">
        <v>2939</v>
      </c>
      <c r="B2753" s="2" t="s">
        <v>114</v>
      </c>
      <c r="C2753" s="2">
        <v>42</v>
      </c>
      <c r="D2753" s="2">
        <f t="shared" ref="D2753:D2816" si="430">C2753*2.54</f>
        <v>106.68</v>
      </c>
      <c r="E2753" s="2">
        <f t="shared" ref="E2753:E2816" si="431">D2753/PI()</f>
        <v>33.957298658086792</v>
      </c>
      <c r="F2753" s="2">
        <f t="shared" ref="F2753:F2816" si="432">C2753/PI()</f>
        <v>13.369015219719209</v>
      </c>
      <c r="G2753" s="2">
        <v>10.158806999999999</v>
      </c>
      <c r="H2753" s="2">
        <f t="shared" ref="H2753:H2816" si="433">G2753*3.28084</f>
        <v>33.329420357879997</v>
      </c>
      <c r="I2753" s="2">
        <f>INDEX('Wood Density Lookup'!$B$2:$B$152,MATCH(B2753,'Wood Density Lookup'!$A$2:$A$152,0))</f>
        <v>0.55000000000000004</v>
      </c>
      <c r="J2753" s="2">
        <f t="shared" ref="J2753:J2816" si="434">0.0673*POWER(I2753*E2753^2*G2753,0.976)</f>
        <v>351.29260844541966</v>
      </c>
      <c r="K2753" s="2">
        <f t="shared" si="428"/>
        <v>98.361930364717509</v>
      </c>
      <c r="L2753" s="2">
        <f t="shared" si="429"/>
        <v>449.65453881013718</v>
      </c>
      <c r="M2753" s="2">
        <f t="shared" ref="M2753:M2816" si="435">0.725*L2753</f>
        <v>325.99954063734947</v>
      </c>
      <c r="N2753" s="2">
        <f t="shared" ref="N2753:N2816" si="436">0.5*M2753</f>
        <v>162.99977031867473</v>
      </c>
      <c r="O2753" s="2">
        <f t="shared" ref="O2753:O2816" si="437">3.67*N2753</f>
        <v>598.20915706953622</v>
      </c>
      <c r="P2753" s="2">
        <v>72.553666000000007</v>
      </c>
      <c r="Q2753" s="2">
        <v>23.037378</v>
      </c>
    </row>
    <row r="2754" spans="1:17" x14ac:dyDescent="0.25">
      <c r="A2754" s="2">
        <v>2940</v>
      </c>
      <c r="B2754" s="2" t="s">
        <v>78</v>
      </c>
      <c r="C2754" s="2">
        <v>14</v>
      </c>
      <c r="D2754" s="2">
        <f t="shared" si="430"/>
        <v>35.56</v>
      </c>
      <c r="E2754" s="2">
        <f t="shared" si="431"/>
        <v>11.319099552695597</v>
      </c>
      <c r="F2754" s="2">
        <f t="shared" si="432"/>
        <v>4.45633840657307</v>
      </c>
      <c r="G2754" s="2">
        <v>6.1079850000000002</v>
      </c>
      <c r="H2754" s="2">
        <f t="shared" si="433"/>
        <v>20.0393215074</v>
      </c>
      <c r="I2754" s="2">
        <f>INDEX('Wood Density Lookup'!$B$2:$B$152,MATCH(B2754,'Wood Density Lookup'!$A$2:$A$152,0))</f>
        <v>0.55000000000000004</v>
      </c>
      <c r="J2754" s="2">
        <f t="shared" si="434"/>
        <v>25.042993968934791</v>
      </c>
      <c r="K2754" s="2">
        <f t="shared" si="428"/>
        <v>7.0120383113017422</v>
      </c>
      <c r="L2754" s="2">
        <f t="shared" si="429"/>
        <v>32.055032280236532</v>
      </c>
      <c r="M2754" s="2">
        <f t="shared" si="435"/>
        <v>23.239898403171484</v>
      </c>
      <c r="N2754" s="2">
        <f t="shared" si="436"/>
        <v>11.619949201585742</v>
      </c>
      <c r="O2754" s="2">
        <f t="shared" si="437"/>
        <v>42.645213569819674</v>
      </c>
      <c r="P2754" s="2">
        <v>72.553666000000007</v>
      </c>
      <c r="Q2754" s="2">
        <v>23.037887999999999</v>
      </c>
    </row>
    <row r="2755" spans="1:17" x14ac:dyDescent="0.25">
      <c r="A2755" s="2">
        <v>2941</v>
      </c>
      <c r="B2755" s="2" t="s">
        <v>78</v>
      </c>
      <c r="C2755" s="2">
        <v>14</v>
      </c>
      <c r="D2755" s="2">
        <f t="shared" si="430"/>
        <v>35.56</v>
      </c>
      <c r="E2755" s="2">
        <f t="shared" si="431"/>
        <v>11.319099552695597</v>
      </c>
      <c r="F2755" s="2">
        <f t="shared" si="432"/>
        <v>4.45633840657307</v>
      </c>
      <c r="G2755" s="2">
        <v>6.1079850000000002</v>
      </c>
      <c r="H2755" s="2">
        <f t="shared" si="433"/>
        <v>20.0393215074</v>
      </c>
      <c r="I2755" s="2">
        <f>INDEX('Wood Density Lookup'!$B$2:$B$152,MATCH(B2755,'Wood Density Lookup'!$A$2:$A$152,0))</f>
        <v>0.55000000000000004</v>
      </c>
      <c r="J2755" s="2">
        <f t="shared" si="434"/>
        <v>25.042993968934791</v>
      </c>
      <c r="K2755" s="2">
        <f t="shared" ref="K2755:K2818" si="438">0.28*J2755</f>
        <v>7.0120383113017422</v>
      </c>
      <c r="L2755" s="2">
        <f t="shared" ref="L2755:L2818" si="439">J2755+K2755</f>
        <v>32.055032280236532</v>
      </c>
      <c r="M2755" s="2">
        <f t="shared" si="435"/>
        <v>23.239898403171484</v>
      </c>
      <c r="N2755" s="2">
        <f t="shared" si="436"/>
        <v>11.619949201585742</v>
      </c>
      <c r="O2755" s="2">
        <f t="shared" si="437"/>
        <v>42.645213569819674</v>
      </c>
      <c r="P2755" s="2">
        <v>72.553666000000007</v>
      </c>
      <c r="Q2755" s="2">
        <v>23.037887999999999</v>
      </c>
    </row>
    <row r="2756" spans="1:17" x14ac:dyDescent="0.25">
      <c r="A2756" s="2">
        <v>2942</v>
      </c>
      <c r="B2756" s="2" t="s">
        <v>15</v>
      </c>
      <c r="C2756" s="2">
        <v>9</v>
      </c>
      <c r="D2756" s="2">
        <f t="shared" si="430"/>
        <v>22.86</v>
      </c>
      <c r="E2756" s="2">
        <f t="shared" si="431"/>
        <v>7.2765639981614552</v>
      </c>
      <c r="F2756" s="2">
        <f t="shared" si="432"/>
        <v>2.8647889756541161</v>
      </c>
      <c r="G2756" s="2">
        <v>16.174295999999998</v>
      </c>
      <c r="H2756" s="2">
        <f t="shared" si="433"/>
        <v>53.065277288639997</v>
      </c>
      <c r="I2756" s="2">
        <f>INDEX('Wood Density Lookup'!$B$2:$B$152,MATCH(B2756,'Wood Density Lookup'!$A$2:$A$152,0))</f>
        <v>0.75</v>
      </c>
      <c r="J2756" s="2">
        <f t="shared" si="434"/>
        <v>37.014226354819748</v>
      </c>
      <c r="K2756" s="2">
        <f t="shared" si="438"/>
        <v>10.363983379349531</v>
      </c>
      <c r="L2756" s="2">
        <f t="shared" si="439"/>
        <v>47.378209734169275</v>
      </c>
      <c r="M2756" s="2">
        <f t="shared" si="435"/>
        <v>34.34920205727272</v>
      </c>
      <c r="N2756" s="2">
        <f t="shared" si="436"/>
        <v>17.17460102863636</v>
      </c>
      <c r="O2756" s="2">
        <f t="shared" si="437"/>
        <v>63.030785775095438</v>
      </c>
      <c r="P2756" s="2">
        <v>72.553668000000002</v>
      </c>
      <c r="Q2756" s="2">
        <v>23.03651</v>
      </c>
    </row>
    <row r="2757" spans="1:17" x14ac:dyDescent="0.25">
      <c r="A2757" s="2">
        <v>2943</v>
      </c>
      <c r="B2757" s="2" t="s">
        <v>114</v>
      </c>
      <c r="C2757" s="2">
        <v>11</v>
      </c>
      <c r="D2757" s="2">
        <f t="shared" si="430"/>
        <v>27.94</v>
      </c>
      <c r="E2757" s="2">
        <f t="shared" si="431"/>
        <v>8.8935782199751117</v>
      </c>
      <c r="F2757" s="2">
        <f t="shared" si="432"/>
        <v>3.5014087480216975</v>
      </c>
      <c r="G2757" s="2">
        <v>7.4437689999999996</v>
      </c>
      <c r="H2757" s="2">
        <f t="shared" si="433"/>
        <v>24.421815085959999</v>
      </c>
      <c r="I2757" s="2">
        <f>INDEX('Wood Density Lookup'!$B$2:$B$152,MATCH(B2757,'Wood Density Lookup'!$A$2:$A$152,0))</f>
        <v>0.55000000000000004</v>
      </c>
      <c r="J2757" s="2">
        <f t="shared" si="434"/>
        <v>18.970391425645943</v>
      </c>
      <c r="K2757" s="2">
        <f t="shared" si="438"/>
        <v>5.3117095991808645</v>
      </c>
      <c r="L2757" s="2">
        <f t="shared" si="439"/>
        <v>24.282101024826808</v>
      </c>
      <c r="M2757" s="2">
        <f t="shared" si="435"/>
        <v>17.604523242999434</v>
      </c>
      <c r="N2757" s="2">
        <f t="shared" si="436"/>
        <v>8.8022616214997171</v>
      </c>
      <c r="O2757" s="2">
        <f t="shared" si="437"/>
        <v>32.304300150903963</v>
      </c>
      <c r="P2757" s="2">
        <v>72.553668999999999</v>
      </c>
      <c r="Q2757" s="2">
        <v>23.035886000000001</v>
      </c>
    </row>
    <row r="2758" spans="1:17" x14ac:dyDescent="0.25">
      <c r="A2758" s="2">
        <v>2944</v>
      </c>
      <c r="B2758" s="2" t="s">
        <v>129</v>
      </c>
      <c r="C2758" s="2">
        <v>7</v>
      </c>
      <c r="D2758" s="2">
        <f t="shared" si="430"/>
        <v>17.78</v>
      </c>
      <c r="E2758" s="2">
        <f t="shared" si="431"/>
        <v>5.6595497763477987</v>
      </c>
      <c r="F2758" s="2">
        <f t="shared" si="432"/>
        <v>2.228169203286535</v>
      </c>
      <c r="G2758" s="2">
        <v>2.4472710000000002</v>
      </c>
      <c r="H2758" s="2">
        <f t="shared" si="433"/>
        <v>8.0291045876400009</v>
      </c>
      <c r="I2758" s="2">
        <f>INDEX('Wood Density Lookup'!$B$2:$B$152,MATCH(B2758,'Wood Density Lookup'!$A$2:$A$152,0))</f>
        <v>0.4</v>
      </c>
      <c r="J2758" s="2">
        <f t="shared" si="434"/>
        <v>1.9427170313383983</v>
      </c>
      <c r="K2758" s="2">
        <f t="shared" si="438"/>
        <v>0.54396076877475164</v>
      </c>
      <c r="L2758" s="2">
        <f t="shared" si="439"/>
        <v>2.4866778001131502</v>
      </c>
      <c r="M2758" s="2">
        <f t="shared" si="435"/>
        <v>1.8028414050820338</v>
      </c>
      <c r="N2758" s="2">
        <f t="shared" si="436"/>
        <v>0.90142070254101692</v>
      </c>
      <c r="O2758" s="2">
        <f t="shared" si="437"/>
        <v>3.308213978325532</v>
      </c>
      <c r="P2758" s="2">
        <v>72.553668999999999</v>
      </c>
      <c r="Q2758" s="2">
        <v>23.038070000000001</v>
      </c>
    </row>
    <row r="2759" spans="1:17" x14ac:dyDescent="0.25">
      <c r="A2759" s="2">
        <v>2945</v>
      </c>
      <c r="B2759" s="2" t="s">
        <v>93</v>
      </c>
      <c r="C2759" s="2">
        <v>3</v>
      </c>
      <c r="D2759" s="2">
        <f t="shared" si="430"/>
        <v>7.62</v>
      </c>
      <c r="E2759" s="2">
        <f t="shared" si="431"/>
        <v>2.4255213327204852</v>
      </c>
      <c r="F2759" s="2">
        <f t="shared" si="432"/>
        <v>0.95492965855137202</v>
      </c>
      <c r="G2759" s="2">
        <v>5.9887139999999999</v>
      </c>
      <c r="H2759" s="2">
        <f t="shared" si="433"/>
        <v>19.648012439759999</v>
      </c>
      <c r="I2759" s="2">
        <f>INDEX('Wood Density Lookup'!$B$2:$B$152,MATCH(B2759,'Wood Density Lookup'!$A$2:$A$152,0))</f>
        <v>0.9</v>
      </c>
      <c r="J2759" s="2">
        <f t="shared" si="434"/>
        <v>1.96414195932559</v>
      </c>
      <c r="K2759" s="2">
        <f t="shared" si="438"/>
        <v>0.54995974861116526</v>
      </c>
      <c r="L2759" s="2">
        <f t="shared" si="439"/>
        <v>2.5141017079367551</v>
      </c>
      <c r="M2759" s="2">
        <f t="shared" si="435"/>
        <v>1.8227237382541475</v>
      </c>
      <c r="N2759" s="2">
        <f t="shared" si="436"/>
        <v>0.91136186912707373</v>
      </c>
      <c r="O2759" s="2">
        <f t="shared" si="437"/>
        <v>3.3446980596963605</v>
      </c>
      <c r="P2759" s="2">
        <v>72.553674000000001</v>
      </c>
      <c r="Q2759" s="2">
        <v>23.038136999999999</v>
      </c>
    </row>
    <row r="2760" spans="1:17" x14ac:dyDescent="0.25">
      <c r="A2760" s="2">
        <v>2946</v>
      </c>
      <c r="B2760" s="2" t="s">
        <v>112</v>
      </c>
      <c r="C2760" s="2">
        <v>2</v>
      </c>
      <c r="D2760" s="2">
        <f t="shared" si="430"/>
        <v>5.08</v>
      </c>
      <c r="E2760" s="2">
        <f t="shared" si="431"/>
        <v>1.6170142218136567</v>
      </c>
      <c r="F2760" s="2">
        <f t="shared" si="432"/>
        <v>0.63661977236758138</v>
      </c>
      <c r="G2760" s="2">
        <v>2.0608520000000001</v>
      </c>
      <c r="H2760" s="2">
        <f t="shared" si="433"/>
        <v>6.7613256756800002</v>
      </c>
      <c r="I2760" s="2">
        <f>INDEX('Wood Density Lookup'!$B$2:$B$152,MATCH(B2760,'Wood Density Lookup'!$A$2:$A$152,0))</f>
        <v>0.4</v>
      </c>
      <c r="J2760" s="2">
        <f t="shared" si="434"/>
        <v>0.14241138541916831</v>
      </c>
      <c r="K2760" s="2">
        <f t="shared" si="438"/>
        <v>3.9875187917367133E-2</v>
      </c>
      <c r="L2760" s="2">
        <f t="shared" si="439"/>
        <v>0.18228657333653545</v>
      </c>
      <c r="M2760" s="2">
        <f t="shared" si="435"/>
        <v>0.13215776566898818</v>
      </c>
      <c r="N2760" s="2">
        <f t="shared" si="436"/>
        <v>6.607888283449409E-2</v>
      </c>
      <c r="O2760" s="2">
        <f t="shared" si="437"/>
        <v>0.2425095000025933</v>
      </c>
      <c r="P2760" s="2">
        <v>72.553674000000001</v>
      </c>
      <c r="Q2760" s="2">
        <v>23.037842999999999</v>
      </c>
    </row>
    <row r="2761" spans="1:17" x14ac:dyDescent="0.25">
      <c r="A2761" s="2">
        <v>2947</v>
      </c>
      <c r="B2761" s="2" t="s">
        <v>10</v>
      </c>
      <c r="C2761" s="2">
        <v>39</v>
      </c>
      <c r="D2761" s="2">
        <f t="shared" si="430"/>
        <v>99.06</v>
      </c>
      <c r="E2761" s="2">
        <f t="shared" si="431"/>
        <v>31.531777325366306</v>
      </c>
      <c r="F2761" s="2">
        <f t="shared" si="432"/>
        <v>12.414085561167836</v>
      </c>
      <c r="G2761" s="2">
        <v>16.424147999999999</v>
      </c>
      <c r="H2761" s="2">
        <f t="shared" si="433"/>
        <v>53.885001724319999</v>
      </c>
      <c r="I2761" s="2">
        <f>INDEX('Wood Density Lookup'!$B$2:$B$152,MATCH(B2761,'Wood Density Lookup'!$A$2:$A$152,0))</f>
        <v>0.65</v>
      </c>
      <c r="J2761" s="2">
        <f t="shared" si="434"/>
        <v>571.85607357767935</v>
      </c>
      <c r="K2761" s="2">
        <f t="shared" si="438"/>
        <v>160.11970060175022</v>
      </c>
      <c r="L2761" s="2">
        <f t="shared" si="439"/>
        <v>731.97577417942955</v>
      </c>
      <c r="M2761" s="2">
        <f t="shared" si="435"/>
        <v>530.68243628008645</v>
      </c>
      <c r="N2761" s="2">
        <f t="shared" si="436"/>
        <v>265.34121814004322</v>
      </c>
      <c r="O2761" s="2">
        <f t="shared" si="437"/>
        <v>973.80227057395859</v>
      </c>
      <c r="P2761" s="2">
        <v>72.553676999999993</v>
      </c>
      <c r="Q2761" s="2">
        <v>23.035689000000001</v>
      </c>
    </row>
    <row r="2762" spans="1:17" x14ac:dyDescent="0.25">
      <c r="A2762" s="2">
        <v>2948</v>
      </c>
      <c r="B2762" s="2" t="s">
        <v>135</v>
      </c>
      <c r="C2762" s="2">
        <v>23</v>
      </c>
      <c r="D2762" s="2">
        <f t="shared" si="430"/>
        <v>58.42</v>
      </c>
      <c r="E2762" s="2">
        <f t="shared" si="431"/>
        <v>18.595663550857051</v>
      </c>
      <c r="F2762" s="2">
        <f t="shared" si="432"/>
        <v>7.3211273822271856</v>
      </c>
      <c r="G2762" s="2">
        <v>13.778826</v>
      </c>
      <c r="H2762" s="2">
        <f t="shared" si="433"/>
        <v>45.206123493840003</v>
      </c>
      <c r="I2762" s="2">
        <f>INDEX('Wood Density Lookup'!$B$2:$B$152,MATCH(B2762,'Wood Density Lookup'!$A$2:$A$152,0))</f>
        <v>0.8</v>
      </c>
      <c r="J2762" s="2">
        <f t="shared" si="434"/>
        <v>210.47165374451097</v>
      </c>
      <c r="K2762" s="2">
        <f t="shared" si="438"/>
        <v>58.932063048463078</v>
      </c>
      <c r="L2762" s="2">
        <f t="shared" si="439"/>
        <v>269.40371679297402</v>
      </c>
      <c r="M2762" s="2">
        <f t="shared" si="435"/>
        <v>195.31769467490616</v>
      </c>
      <c r="N2762" s="2">
        <f t="shared" si="436"/>
        <v>97.658847337453082</v>
      </c>
      <c r="O2762" s="2">
        <f t="shared" si="437"/>
        <v>358.40796972845283</v>
      </c>
      <c r="P2762" s="2">
        <v>72.553679000000002</v>
      </c>
      <c r="Q2762" s="2">
        <v>23.037279999999999</v>
      </c>
    </row>
    <row r="2763" spans="1:17" x14ac:dyDescent="0.25">
      <c r="A2763" s="2">
        <v>2949</v>
      </c>
      <c r="B2763" s="2" t="s">
        <v>135</v>
      </c>
      <c r="C2763" s="2">
        <v>26</v>
      </c>
      <c r="D2763" s="2">
        <f t="shared" si="430"/>
        <v>66.040000000000006</v>
      </c>
      <c r="E2763" s="2">
        <f t="shared" si="431"/>
        <v>21.02118488357754</v>
      </c>
      <c r="F2763" s="2">
        <f t="shared" si="432"/>
        <v>8.2760570407785572</v>
      </c>
      <c r="G2763" s="2">
        <v>13.650949000000001</v>
      </c>
      <c r="H2763" s="2">
        <f t="shared" si="433"/>
        <v>44.78657951716</v>
      </c>
      <c r="I2763" s="2">
        <f>INDEX('Wood Density Lookup'!$B$2:$B$152,MATCH(B2763,'Wood Density Lookup'!$A$2:$A$152,0))</f>
        <v>0.8</v>
      </c>
      <c r="J2763" s="2">
        <f t="shared" si="434"/>
        <v>264.95777370721493</v>
      </c>
      <c r="K2763" s="2">
        <f t="shared" si="438"/>
        <v>74.188176638020181</v>
      </c>
      <c r="L2763" s="2">
        <f t="shared" si="439"/>
        <v>339.14595034523512</v>
      </c>
      <c r="M2763" s="2">
        <f t="shared" si="435"/>
        <v>245.88081400029546</v>
      </c>
      <c r="N2763" s="2">
        <f t="shared" si="436"/>
        <v>122.94040700014773</v>
      </c>
      <c r="O2763" s="2">
        <f t="shared" si="437"/>
        <v>451.19129369054218</v>
      </c>
      <c r="P2763" s="2">
        <v>72.553680999999997</v>
      </c>
      <c r="Q2763" s="2">
        <v>23.037227999999999</v>
      </c>
    </row>
    <row r="2764" spans="1:17" x14ac:dyDescent="0.25">
      <c r="A2764" s="2">
        <v>2950</v>
      </c>
      <c r="B2764" s="2" t="s">
        <v>107</v>
      </c>
      <c r="C2764" s="2">
        <v>14</v>
      </c>
      <c r="D2764" s="2">
        <f t="shared" si="430"/>
        <v>35.56</v>
      </c>
      <c r="E2764" s="2">
        <f t="shared" si="431"/>
        <v>11.319099552695597</v>
      </c>
      <c r="F2764" s="2">
        <f t="shared" si="432"/>
        <v>4.45633840657307</v>
      </c>
      <c r="G2764" s="2">
        <v>2.4528539999999999</v>
      </c>
      <c r="H2764" s="2">
        <f t="shared" si="433"/>
        <v>8.0474215173600001</v>
      </c>
      <c r="I2764" s="2">
        <f>INDEX('Wood Density Lookup'!$B$2:$B$152,MATCH(B2764,'Wood Density Lookup'!$A$2:$A$152,0))</f>
        <v>0.65</v>
      </c>
      <c r="J2764" s="2">
        <f t="shared" si="434"/>
        <v>12.099818816458436</v>
      </c>
      <c r="K2764" s="2">
        <f t="shared" si="438"/>
        <v>3.3879492686083625</v>
      </c>
      <c r="L2764" s="2">
        <f t="shared" si="439"/>
        <v>15.487768085066799</v>
      </c>
      <c r="M2764" s="2">
        <f t="shared" si="435"/>
        <v>11.22863186167343</v>
      </c>
      <c r="N2764" s="2">
        <f t="shared" si="436"/>
        <v>5.6143159308367148</v>
      </c>
      <c r="O2764" s="2">
        <f t="shared" si="437"/>
        <v>20.604539466170742</v>
      </c>
      <c r="P2764" s="2">
        <v>72.553683000000007</v>
      </c>
      <c r="Q2764" s="2">
        <v>23.037994000000001</v>
      </c>
    </row>
    <row r="2765" spans="1:17" x14ac:dyDescent="0.25">
      <c r="A2765" s="2">
        <v>2951</v>
      </c>
      <c r="B2765" s="2" t="s">
        <v>93</v>
      </c>
      <c r="C2765" s="2">
        <v>58</v>
      </c>
      <c r="D2765" s="2">
        <f t="shared" si="430"/>
        <v>147.32</v>
      </c>
      <c r="E2765" s="2">
        <f t="shared" si="431"/>
        <v>46.893412432596044</v>
      </c>
      <c r="F2765" s="2">
        <f t="shared" si="432"/>
        <v>18.461973398659861</v>
      </c>
      <c r="G2765" s="2">
        <v>9.7607610000000005</v>
      </c>
      <c r="H2765" s="2">
        <f t="shared" si="433"/>
        <v>32.023495119240003</v>
      </c>
      <c r="I2765" s="2">
        <f>INDEX('Wood Density Lookup'!$B$2:$B$152,MATCH(B2765,'Wood Density Lookup'!$A$2:$A$152,0))</f>
        <v>0.9</v>
      </c>
      <c r="J2765" s="2">
        <f t="shared" si="434"/>
        <v>1025.8931518541269</v>
      </c>
      <c r="K2765" s="2">
        <f t="shared" si="438"/>
        <v>287.25008251915557</v>
      </c>
      <c r="L2765" s="2">
        <f t="shared" si="439"/>
        <v>1313.1432343732824</v>
      </c>
      <c r="M2765" s="2">
        <f t="shared" si="435"/>
        <v>952.02884492062969</v>
      </c>
      <c r="N2765" s="2">
        <f t="shared" si="436"/>
        <v>476.01442246031485</v>
      </c>
      <c r="O2765" s="2">
        <f t="shared" si="437"/>
        <v>1746.9729304293555</v>
      </c>
      <c r="P2765" s="2">
        <v>72.553684000000004</v>
      </c>
      <c r="Q2765" s="2">
        <v>23.037402</v>
      </c>
    </row>
    <row r="2766" spans="1:17" x14ac:dyDescent="0.25">
      <c r="A2766" s="2">
        <v>2952</v>
      </c>
      <c r="B2766" s="2" t="s">
        <v>15</v>
      </c>
      <c r="C2766" s="2">
        <v>11</v>
      </c>
      <c r="D2766" s="2">
        <f t="shared" si="430"/>
        <v>27.94</v>
      </c>
      <c r="E2766" s="2">
        <f t="shared" si="431"/>
        <v>8.8935782199751117</v>
      </c>
      <c r="F2766" s="2">
        <f t="shared" si="432"/>
        <v>3.5014087480216975</v>
      </c>
      <c r="G2766" s="2">
        <v>15.307240999999999</v>
      </c>
      <c r="H2766" s="2">
        <f t="shared" si="433"/>
        <v>50.220608562439999</v>
      </c>
      <c r="I2766" s="2">
        <f>INDEX('Wood Density Lookup'!$B$2:$B$152,MATCH(B2766,'Wood Density Lookup'!$A$2:$A$152,0))</f>
        <v>0.75</v>
      </c>
      <c r="J2766" s="2">
        <f t="shared" si="434"/>
        <v>51.895731248487472</v>
      </c>
      <c r="K2766" s="2">
        <f t="shared" si="438"/>
        <v>14.530804749576493</v>
      </c>
      <c r="L2766" s="2">
        <f t="shared" si="439"/>
        <v>66.426535998063969</v>
      </c>
      <c r="M2766" s="2">
        <f t="shared" si="435"/>
        <v>48.159238598596374</v>
      </c>
      <c r="N2766" s="2">
        <f t="shared" si="436"/>
        <v>24.079619299298187</v>
      </c>
      <c r="O2766" s="2">
        <f t="shared" si="437"/>
        <v>88.372202828424349</v>
      </c>
      <c r="P2766" s="2">
        <v>72.553690000000003</v>
      </c>
      <c r="Q2766" s="2">
        <v>23.036508999999999</v>
      </c>
    </row>
    <row r="2767" spans="1:17" x14ac:dyDescent="0.25">
      <c r="A2767" s="2">
        <v>2953</v>
      </c>
      <c r="B2767" s="2" t="s">
        <v>107</v>
      </c>
      <c r="C2767" s="2">
        <v>12</v>
      </c>
      <c r="D2767" s="2">
        <f t="shared" si="430"/>
        <v>30.48</v>
      </c>
      <c r="E2767" s="2">
        <f t="shared" si="431"/>
        <v>9.7020853308819408</v>
      </c>
      <c r="F2767" s="2">
        <f t="shared" si="432"/>
        <v>3.8197186342054881</v>
      </c>
      <c r="G2767" s="2">
        <v>15.781948999999999</v>
      </c>
      <c r="H2767" s="2">
        <f t="shared" si="433"/>
        <v>51.778049557159996</v>
      </c>
      <c r="I2767" s="2">
        <f>INDEX('Wood Density Lookup'!$B$2:$B$152,MATCH(B2767,'Wood Density Lookup'!$A$2:$A$152,0))</f>
        <v>0.65</v>
      </c>
      <c r="J2767" s="2">
        <f t="shared" si="434"/>
        <v>55.10410288230112</v>
      </c>
      <c r="K2767" s="2">
        <f t="shared" si="438"/>
        <v>15.429148807044315</v>
      </c>
      <c r="L2767" s="2">
        <f t="shared" si="439"/>
        <v>70.533251689345434</v>
      </c>
      <c r="M2767" s="2">
        <f t="shared" si="435"/>
        <v>51.136607474775438</v>
      </c>
      <c r="N2767" s="2">
        <f t="shared" si="436"/>
        <v>25.568303737387719</v>
      </c>
      <c r="O2767" s="2">
        <f t="shared" si="437"/>
        <v>93.835674716212921</v>
      </c>
      <c r="P2767" s="2">
        <v>72.553691000000001</v>
      </c>
      <c r="Q2767" s="2">
        <v>23.036698000000001</v>
      </c>
    </row>
    <row r="2768" spans="1:17" x14ac:dyDescent="0.25">
      <c r="A2768" s="2">
        <v>2954</v>
      </c>
      <c r="B2768" s="2" t="s">
        <v>112</v>
      </c>
      <c r="C2768" s="2">
        <v>3</v>
      </c>
      <c r="D2768" s="2">
        <f t="shared" si="430"/>
        <v>7.62</v>
      </c>
      <c r="E2768" s="2">
        <f t="shared" si="431"/>
        <v>2.4255213327204852</v>
      </c>
      <c r="F2768" s="2">
        <f t="shared" si="432"/>
        <v>0.95492965855137202</v>
      </c>
      <c r="G2768" s="2">
        <v>2.56</v>
      </c>
      <c r="H2768" s="2">
        <f t="shared" si="433"/>
        <v>8.3989504000000004</v>
      </c>
      <c r="I2768" s="2">
        <f>INDEX('Wood Density Lookup'!$B$2:$B$152,MATCH(B2768,'Wood Density Lookup'!$A$2:$A$152,0))</f>
        <v>0.4</v>
      </c>
      <c r="J2768" s="2">
        <f t="shared" si="434"/>
        <v>0.38833575101528056</v>
      </c>
      <c r="K2768" s="2">
        <f t="shared" si="438"/>
        <v>0.10873401028427856</v>
      </c>
      <c r="L2768" s="2">
        <f t="shared" si="439"/>
        <v>0.49706976129955915</v>
      </c>
      <c r="M2768" s="2">
        <f t="shared" si="435"/>
        <v>0.36037557694218036</v>
      </c>
      <c r="N2768" s="2">
        <f t="shared" si="436"/>
        <v>0.18018778847109018</v>
      </c>
      <c r="O2768" s="2">
        <f t="shared" si="437"/>
        <v>0.66128918368890099</v>
      </c>
      <c r="P2768" s="2">
        <v>72.553691999999998</v>
      </c>
      <c r="Q2768" s="2">
        <v>23.037814000000001</v>
      </c>
    </row>
    <row r="2769" spans="1:17" x14ac:dyDescent="0.25">
      <c r="A2769" s="2">
        <v>2955</v>
      </c>
      <c r="B2769" s="2" t="s">
        <v>10</v>
      </c>
      <c r="C2769" s="2">
        <v>29</v>
      </c>
      <c r="D2769" s="2">
        <f t="shared" si="430"/>
        <v>73.66</v>
      </c>
      <c r="E2769" s="2">
        <f t="shared" si="431"/>
        <v>23.446706216298022</v>
      </c>
      <c r="F2769" s="2">
        <f t="shared" si="432"/>
        <v>9.2309866993299305</v>
      </c>
      <c r="G2769" s="2">
        <v>15.028135000000001</v>
      </c>
      <c r="H2769" s="2">
        <f t="shared" si="433"/>
        <v>49.304906433399999</v>
      </c>
      <c r="I2769" s="2">
        <f>INDEX('Wood Density Lookup'!$B$2:$B$152,MATCH(B2769,'Wood Density Lookup'!$A$2:$A$152,0))</f>
        <v>0.65</v>
      </c>
      <c r="J2769" s="2">
        <f t="shared" si="434"/>
        <v>294.08821487575744</v>
      </c>
      <c r="K2769" s="2">
        <f t="shared" si="438"/>
        <v>82.344700165212089</v>
      </c>
      <c r="L2769" s="2">
        <f t="shared" si="439"/>
        <v>376.43291504096953</v>
      </c>
      <c r="M2769" s="2">
        <f t="shared" si="435"/>
        <v>272.91386340470291</v>
      </c>
      <c r="N2769" s="2">
        <f t="shared" si="436"/>
        <v>136.45693170235145</v>
      </c>
      <c r="O2769" s="2">
        <f t="shared" si="437"/>
        <v>500.7969393476298</v>
      </c>
      <c r="P2769" s="2">
        <v>72.553695000000005</v>
      </c>
      <c r="Q2769" s="2">
        <v>23.036521</v>
      </c>
    </row>
    <row r="2770" spans="1:17" x14ac:dyDescent="0.25">
      <c r="A2770" s="2">
        <v>2956</v>
      </c>
      <c r="B2770" s="2" t="s">
        <v>115</v>
      </c>
      <c r="C2770" s="2">
        <v>34</v>
      </c>
      <c r="D2770" s="2">
        <f t="shared" si="430"/>
        <v>86.36</v>
      </c>
      <c r="E2770" s="2">
        <f t="shared" si="431"/>
        <v>27.489241770832162</v>
      </c>
      <c r="F2770" s="2">
        <f t="shared" si="432"/>
        <v>10.822536130248883</v>
      </c>
      <c r="G2770" s="2">
        <v>7.877821</v>
      </c>
      <c r="H2770" s="2">
        <f t="shared" si="433"/>
        <v>25.845870249640001</v>
      </c>
      <c r="I2770" s="2">
        <f>INDEX('Wood Density Lookup'!$B$2:$B$152,MATCH(B2770,'Wood Density Lookup'!$A$2:$A$152,0))</f>
        <v>0.65</v>
      </c>
      <c r="J2770" s="2">
        <f t="shared" si="434"/>
        <v>213.57802768832414</v>
      </c>
      <c r="K2770" s="2">
        <f t="shared" si="438"/>
        <v>59.801847752730765</v>
      </c>
      <c r="L2770" s="2">
        <f t="shared" si="439"/>
        <v>273.37987544105488</v>
      </c>
      <c r="M2770" s="2">
        <f t="shared" si="435"/>
        <v>198.20040969476477</v>
      </c>
      <c r="N2770" s="2">
        <f t="shared" si="436"/>
        <v>99.100204847382386</v>
      </c>
      <c r="O2770" s="2">
        <f t="shared" si="437"/>
        <v>363.69775178989335</v>
      </c>
      <c r="P2770" s="2">
        <v>72.553696000000002</v>
      </c>
      <c r="Q2770" s="2">
        <v>23.038691</v>
      </c>
    </row>
    <row r="2771" spans="1:17" x14ac:dyDescent="0.25">
      <c r="A2771" s="2">
        <v>2957</v>
      </c>
      <c r="B2771" s="2" t="s">
        <v>59</v>
      </c>
      <c r="C2771" s="2">
        <v>32</v>
      </c>
      <c r="D2771" s="2">
        <f t="shared" si="430"/>
        <v>81.28</v>
      </c>
      <c r="E2771" s="2">
        <f t="shared" si="431"/>
        <v>25.872227549018508</v>
      </c>
      <c r="F2771" s="2">
        <f t="shared" si="432"/>
        <v>10.185916357881302</v>
      </c>
      <c r="G2771" s="2">
        <v>7.1598810000000004</v>
      </c>
      <c r="H2771" s="2">
        <f t="shared" si="433"/>
        <v>23.490423980040003</v>
      </c>
      <c r="I2771" s="2">
        <f>INDEX('Wood Density Lookup'!$B$2:$B$152,MATCH(B2771,'Wood Density Lookup'!$A$2:$A$152,0))</f>
        <v>0.45</v>
      </c>
      <c r="J2771" s="2">
        <f t="shared" si="434"/>
        <v>120.72304013296535</v>
      </c>
      <c r="K2771" s="2">
        <f t="shared" si="438"/>
        <v>33.802451237230301</v>
      </c>
      <c r="L2771" s="2">
        <f t="shared" si="439"/>
        <v>154.52549137019565</v>
      </c>
      <c r="M2771" s="2">
        <f t="shared" si="435"/>
        <v>112.03098124339185</v>
      </c>
      <c r="N2771" s="2">
        <f t="shared" si="436"/>
        <v>56.015490621695925</v>
      </c>
      <c r="O2771" s="2">
        <f t="shared" si="437"/>
        <v>205.57685058162403</v>
      </c>
      <c r="P2771" s="2">
        <v>72.553697</v>
      </c>
      <c r="Q2771" s="2">
        <v>23.038224</v>
      </c>
    </row>
    <row r="2772" spans="1:17" x14ac:dyDescent="0.25">
      <c r="A2772" s="2">
        <v>2958</v>
      </c>
      <c r="B2772" s="2" t="s">
        <v>59</v>
      </c>
      <c r="C2772" s="2">
        <v>42</v>
      </c>
      <c r="D2772" s="2">
        <f t="shared" si="430"/>
        <v>106.68</v>
      </c>
      <c r="E2772" s="2">
        <f t="shared" si="431"/>
        <v>33.957298658086792</v>
      </c>
      <c r="F2772" s="2">
        <f t="shared" si="432"/>
        <v>13.369015219719209</v>
      </c>
      <c r="G2772" s="2">
        <v>13.80419</v>
      </c>
      <c r="H2772" s="2">
        <f t="shared" si="433"/>
        <v>45.289338719600003</v>
      </c>
      <c r="I2772" s="2">
        <f>INDEX('Wood Density Lookup'!$B$2:$B$152,MATCH(B2772,'Wood Density Lookup'!$A$2:$A$152,0))</f>
        <v>0.45</v>
      </c>
      <c r="J2772" s="2">
        <f t="shared" si="434"/>
        <v>389.56741345752334</v>
      </c>
      <c r="K2772" s="2">
        <f t="shared" si="438"/>
        <v>109.07887576810654</v>
      </c>
      <c r="L2772" s="2">
        <f t="shared" si="439"/>
        <v>498.64628922562986</v>
      </c>
      <c r="M2772" s="2">
        <f t="shared" si="435"/>
        <v>361.51855968858166</v>
      </c>
      <c r="N2772" s="2">
        <f t="shared" si="436"/>
        <v>180.75927984429083</v>
      </c>
      <c r="O2772" s="2">
        <f t="shared" si="437"/>
        <v>663.38655702854737</v>
      </c>
      <c r="P2772" s="2">
        <v>72.553700000000006</v>
      </c>
      <c r="Q2772" s="2">
        <v>23.035793000000002</v>
      </c>
    </row>
    <row r="2773" spans="1:17" x14ac:dyDescent="0.25">
      <c r="A2773" s="2">
        <v>2959</v>
      </c>
      <c r="B2773" s="2" t="s">
        <v>139</v>
      </c>
      <c r="C2773" s="2">
        <v>4</v>
      </c>
      <c r="D2773" s="2">
        <f t="shared" si="430"/>
        <v>10.16</v>
      </c>
      <c r="E2773" s="2">
        <f t="shared" si="431"/>
        <v>3.2340284436273135</v>
      </c>
      <c r="F2773" s="2">
        <f t="shared" si="432"/>
        <v>1.2732395447351628</v>
      </c>
      <c r="G2773" s="2">
        <v>10.742224999999999</v>
      </c>
      <c r="H2773" s="2">
        <f t="shared" si="433"/>
        <v>35.243521469000001</v>
      </c>
      <c r="I2773" s="2">
        <f>INDEX('Wood Density Lookup'!$B$2:$B$152,MATCH(B2773,'Wood Density Lookup'!$A$2:$A$152,0))</f>
        <v>0.9</v>
      </c>
      <c r="J2773" s="2">
        <f t="shared" si="434"/>
        <v>6.0914923421830585</v>
      </c>
      <c r="K2773" s="2">
        <f t="shared" si="438"/>
        <v>1.7056178558112565</v>
      </c>
      <c r="L2773" s="2">
        <f t="shared" si="439"/>
        <v>7.7971101979943152</v>
      </c>
      <c r="M2773" s="2">
        <f t="shared" si="435"/>
        <v>5.6529048935458786</v>
      </c>
      <c r="N2773" s="2">
        <f t="shared" si="436"/>
        <v>2.8264524467729393</v>
      </c>
      <c r="O2773" s="2">
        <f t="shared" si="437"/>
        <v>10.373080479656688</v>
      </c>
      <c r="P2773" s="2">
        <v>72.553701000000004</v>
      </c>
      <c r="Q2773" s="2">
        <v>23.038717999999999</v>
      </c>
    </row>
    <row r="2774" spans="1:17" x14ac:dyDescent="0.25">
      <c r="A2774" s="2">
        <v>2960</v>
      </c>
      <c r="B2774" s="2" t="s">
        <v>78</v>
      </c>
      <c r="C2774" s="2">
        <v>18</v>
      </c>
      <c r="D2774" s="2">
        <f t="shared" si="430"/>
        <v>45.72</v>
      </c>
      <c r="E2774" s="2">
        <f t="shared" si="431"/>
        <v>14.55312799632291</v>
      </c>
      <c r="F2774" s="2">
        <f t="shared" si="432"/>
        <v>5.7295779513082321</v>
      </c>
      <c r="G2774" s="2">
        <v>6.4671339999999997</v>
      </c>
      <c r="H2774" s="2">
        <f t="shared" si="433"/>
        <v>21.217631912559998</v>
      </c>
      <c r="I2774" s="2">
        <f>INDEX('Wood Density Lookup'!$B$2:$B$152,MATCH(B2774,'Wood Density Lookup'!$A$2:$A$152,0))</f>
        <v>0.55000000000000004</v>
      </c>
      <c r="J2774" s="2">
        <f t="shared" si="434"/>
        <v>43.246863699976501</v>
      </c>
      <c r="K2774" s="2">
        <f t="shared" si="438"/>
        <v>12.109121835993422</v>
      </c>
      <c r="L2774" s="2">
        <f t="shared" si="439"/>
        <v>55.355985535969921</v>
      </c>
      <c r="M2774" s="2">
        <f t="shared" si="435"/>
        <v>40.133089513578192</v>
      </c>
      <c r="N2774" s="2">
        <f t="shared" si="436"/>
        <v>20.066544756789096</v>
      </c>
      <c r="O2774" s="2">
        <f t="shared" si="437"/>
        <v>73.644219257415983</v>
      </c>
      <c r="P2774" s="2">
        <v>72.553706000000005</v>
      </c>
      <c r="Q2774" s="2">
        <v>23.038177999999998</v>
      </c>
    </row>
    <row r="2775" spans="1:17" x14ac:dyDescent="0.25">
      <c r="A2775" s="2">
        <v>2961</v>
      </c>
      <c r="B2775" s="2" t="s">
        <v>115</v>
      </c>
      <c r="C2775" s="2">
        <v>25</v>
      </c>
      <c r="D2775" s="2">
        <f t="shared" si="430"/>
        <v>63.5</v>
      </c>
      <c r="E2775" s="2">
        <f t="shared" si="431"/>
        <v>20.212677772670709</v>
      </c>
      <c r="F2775" s="2">
        <f t="shared" si="432"/>
        <v>7.9577471545947667</v>
      </c>
      <c r="G2775" s="2">
        <v>5.347092</v>
      </c>
      <c r="H2775" s="2">
        <f t="shared" si="433"/>
        <v>17.542953317279999</v>
      </c>
      <c r="I2775" s="2">
        <f>INDEX('Wood Density Lookup'!$B$2:$B$152,MATCH(B2775,'Wood Density Lookup'!$A$2:$A$152,0))</f>
        <v>0.65</v>
      </c>
      <c r="J2775" s="2">
        <f t="shared" si="434"/>
        <v>80.285865456390709</v>
      </c>
      <c r="K2775" s="2">
        <f t="shared" si="438"/>
        <v>22.480042327789402</v>
      </c>
      <c r="L2775" s="2">
        <f t="shared" si="439"/>
        <v>102.76590778418011</v>
      </c>
      <c r="M2775" s="2">
        <f t="shared" si="435"/>
        <v>74.505283143530576</v>
      </c>
      <c r="N2775" s="2">
        <f t="shared" si="436"/>
        <v>37.252641571765288</v>
      </c>
      <c r="O2775" s="2">
        <f t="shared" si="437"/>
        <v>136.7171945683786</v>
      </c>
      <c r="P2775" s="2">
        <v>72.553708</v>
      </c>
      <c r="Q2775" s="2">
        <v>23.038131</v>
      </c>
    </row>
    <row r="2776" spans="1:17" x14ac:dyDescent="0.25">
      <c r="A2776" s="2">
        <v>2962</v>
      </c>
      <c r="B2776" s="2" t="s">
        <v>146</v>
      </c>
      <c r="C2776" s="2">
        <v>6</v>
      </c>
      <c r="D2776" s="2">
        <f t="shared" si="430"/>
        <v>15.24</v>
      </c>
      <c r="E2776" s="2">
        <f t="shared" si="431"/>
        <v>4.8510426654409704</v>
      </c>
      <c r="F2776" s="2">
        <f t="shared" si="432"/>
        <v>1.909859317102744</v>
      </c>
      <c r="G2776" s="2">
        <v>5.401071</v>
      </c>
      <c r="H2776" s="2">
        <f t="shared" si="433"/>
        <v>17.72004977964</v>
      </c>
      <c r="I2776" s="2">
        <f>INDEX('Wood Density Lookup'!$B$2:$B$152,MATCH(B2776,'Wood Density Lookup'!$A$2:$A$152,0))</f>
        <v>0.55000000000000004</v>
      </c>
      <c r="J2776" s="2">
        <f t="shared" si="434"/>
        <v>4.2487338065738065</v>
      </c>
      <c r="K2776" s="2">
        <f t="shared" si="438"/>
        <v>1.1896454658406659</v>
      </c>
      <c r="L2776" s="2">
        <f t="shared" si="439"/>
        <v>5.4383792724144726</v>
      </c>
      <c r="M2776" s="2">
        <f t="shared" si="435"/>
        <v>3.9428249725004925</v>
      </c>
      <c r="N2776" s="2">
        <f t="shared" si="436"/>
        <v>1.9714124862502462</v>
      </c>
      <c r="O2776" s="2">
        <f t="shared" si="437"/>
        <v>7.2350838245384033</v>
      </c>
      <c r="P2776" s="2">
        <v>72.553708999999998</v>
      </c>
      <c r="Q2776" s="2">
        <v>23.037051000000002</v>
      </c>
    </row>
    <row r="2777" spans="1:17" x14ac:dyDescent="0.25">
      <c r="A2777" s="2">
        <v>2963</v>
      </c>
      <c r="B2777" s="2" t="s">
        <v>143</v>
      </c>
      <c r="C2777" s="2">
        <v>5</v>
      </c>
      <c r="D2777" s="2">
        <f t="shared" si="430"/>
        <v>12.7</v>
      </c>
      <c r="E2777" s="2">
        <f t="shared" si="431"/>
        <v>4.0425355545341413</v>
      </c>
      <c r="F2777" s="2">
        <f t="shared" si="432"/>
        <v>1.5915494309189535</v>
      </c>
      <c r="G2777" s="2">
        <v>2.0652910000000002</v>
      </c>
      <c r="H2777" s="2">
        <f t="shared" si="433"/>
        <v>6.7758893244400005</v>
      </c>
      <c r="I2777" s="2">
        <f>INDEX('Wood Density Lookup'!$B$2:$B$152,MATCH(B2777,'Wood Density Lookup'!$A$2:$A$152,0))</f>
        <v>0.75</v>
      </c>
      <c r="J2777" s="2">
        <f t="shared" si="434"/>
        <v>1.5764669542593728</v>
      </c>
      <c r="K2777" s="2">
        <f t="shared" si="438"/>
        <v>0.44141074719262441</v>
      </c>
      <c r="L2777" s="2">
        <f t="shared" si="439"/>
        <v>2.0178777014519973</v>
      </c>
      <c r="M2777" s="2">
        <f t="shared" si="435"/>
        <v>1.4629613335526981</v>
      </c>
      <c r="N2777" s="2">
        <f t="shared" si="436"/>
        <v>0.73148066677634904</v>
      </c>
      <c r="O2777" s="2">
        <f t="shared" si="437"/>
        <v>2.6845340470692007</v>
      </c>
      <c r="P2777" s="2">
        <v>72.553709999999995</v>
      </c>
      <c r="Q2777" s="2">
        <v>23.037936999999999</v>
      </c>
    </row>
    <row r="2778" spans="1:17" x14ac:dyDescent="0.25">
      <c r="A2778" s="2">
        <v>2964</v>
      </c>
      <c r="B2778" s="2" t="s">
        <v>124</v>
      </c>
      <c r="C2778" s="2">
        <v>28</v>
      </c>
      <c r="D2778" s="2">
        <f t="shared" si="430"/>
        <v>71.12</v>
      </c>
      <c r="E2778" s="2">
        <f t="shared" si="431"/>
        <v>22.638199105391195</v>
      </c>
      <c r="F2778" s="2">
        <f t="shared" si="432"/>
        <v>8.91267681314614</v>
      </c>
      <c r="G2778" s="2">
        <v>2.0256099999999999</v>
      </c>
      <c r="H2778" s="2">
        <f t="shared" si="433"/>
        <v>6.6457023124000001</v>
      </c>
      <c r="I2778" s="2">
        <f>INDEX('Wood Density Lookup'!$B$2:$B$152,MATCH(B2778,'Wood Density Lookup'!$A$2:$A$152,0))</f>
        <v>0.55000000000000004</v>
      </c>
      <c r="J2778" s="2">
        <f t="shared" si="434"/>
        <v>32.995816681266732</v>
      </c>
      <c r="K2778" s="2">
        <f t="shared" si="438"/>
        <v>9.2388286707546854</v>
      </c>
      <c r="L2778" s="2">
        <f t="shared" si="439"/>
        <v>42.234645352021417</v>
      </c>
      <c r="M2778" s="2">
        <f t="shared" si="435"/>
        <v>30.620117880215528</v>
      </c>
      <c r="N2778" s="2">
        <f t="shared" si="436"/>
        <v>15.310058940107764</v>
      </c>
      <c r="O2778" s="2">
        <f t="shared" si="437"/>
        <v>56.18791631019549</v>
      </c>
      <c r="P2778" s="2">
        <v>72.553713999999999</v>
      </c>
      <c r="Q2778" s="2">
        <v>23.038049000000001</v>
      </c>
    </row>
    <row r="2779" spans="1:17" x14ac:dyDescent="0.25">
      <c r="A2779" s="2">
        <v>2965</v>
      </c>
      <c r="B2779" s="2" t="s">
        <v>132</v>
      </c>
      <c r="C2779" s="2">
        <v>9</v>
      </c>
      <c r="D2779" s="2">
        <f t="shared" si="430"/>
        <v>22.86</v>
      </c>
      <c r="E2779" s="2">
        <f t="shared" si="431"/>
        <v>7.2765639981614552</v>
      </c>
      <c r="F2779" s="2">
        <f t="shared" si="432"/>
        <v>2.8647889756541161</v>
      </c>
      <c r="G2779" s="2">
        <v>7.7284509999999997</v>
      </c>
      <c r="H2779" s="2">
        <f t="shared" si="433"/>
        <v>25.35581117884</v>
      </c>
      <c r="I2779" s="2">
        <f>INDEX('Wood Density Lookup'!$B$2:$B$152,MATCH(B2779,'Wood Density Lookup'!$A$2:$A$152,0))</f>
        <v>0.85</v>
      </c>
      <c r="J2779" s="2">
        <f t="shared" si="434"/>
        <v>20.341661181253073</v>
      </c>
      <c r="K2779" s="2">
        <f t="shared" si="438"/>
        <v>5.6956651307508608</v>
      </c>
      <c r="L2779" s="2">
        <f t="shared" si="439"/>
        <v>26.037326312003934</v>
      </c>
      <c r="M2779" s="2">
        <f t="shared" si="435"/>
        <v>18.877061576202852</v>
      </c>
      <c r="N2779" s="2">
        <f t="shared" si="436"/>
        <v>9.438530788101426</v>
      </c>
      <c r="O2779" s="2">
        <f t="shared" si="437"/>
        <v>34.639407992332231</v>
      </c>
      <c r="P2779" s="2">
        <v>72.553713999999999</v>
      </c>
      <c r="Q2779" s="2">
        <v>23.036701999999998</v>
      </c>
    </row>
    <row r="2780" spans="1:17" x14ac:dyDescent="0.25">
      <c r="A2780" s="2">
        <v>2966</v>
      </c>
      <c r="B2780" s="2" t="s">
        <v>62</v>
      </c>
      <c r="C2780" s="2">
        <v>9</v>
      </c>
      <c r="D2780" s="2">
        <f t="shared" si="430"/>
        <v>22.86</v>
      </c>
      <c r="E2780" s="2">
        <f t="shared" si="431"/>
        <v>7.2765639981614552</v>
      </c>
      <c r="F2780" s="2">
        <f t="shared" si="432"/>
        <v>2.8647889756541161</v>
      </c>
      <c r="G2780" s="2">
        <v>2.0613519999999999</v>
      </c>
      <c r="H2780" s="2">
        <f t="shared" si="433"/>
        <v>6.7629660956799995</v>
      </c>
      <c r="I2780" s="2">
        <f>INDEX('Wood Density Lookup'!$B$2:$B$152,MATCH(B2780,'Wood Density Lookup'!$A$2:$A$152,0))</f>
        <v>0.47</v>
      </c>
      <c r="J2780" s="2">
        <f t="shared" si="434"/>
        <v>3.1410534198713496</v>
      </c>
      <c r="K2780" s="2">
        <f t="shared" si="438"/>
        <v>0.879494957563978</v>
      </c>
      <c r="L2780" s="2">
        <f t="shared" si="439"/>
        <v>4.0205483774353272</v>
      </c>
      <c r="M2780" s="2">
        <f t="shared" si="435"/>
        <v>2.9148975736406122</v>
      </c>
      <c r="N2780" s="2">
        <f t="shared" si="436"/>
        <v>1.4574487868203061</v>
      </c>
      <c r="O2780" s="2">
        <f t="shared" si="437"/>
        <v>5.3488370476305231</v>
      </c>
      <c r="P2780" s="2">
        <v>72.553714999999997</v>
      </c>
      <c r="Q2780" s="2">
        <v>23.037897000000001</v>
      </c>
    </row>
    <row r="2781" spans="1:17" x14ac:dyDescent="0.25">
      <c r="A2781" s="2">
        <v>2967</v>
      </c>
      <c r="B2781" s="2" t="s">
        <v>139</v>
      </c>
      <c r="C2781" s="2">
        <v>5</v>
      </c>
      <c r="D2781" s="2">
        <f t="shared" si="430"/>
        <v>12.7</v>
      </c>
      <c r="E2781" s="2">
        <f t="shared" si="431"/>
        <v>4.0425355545341413</v>
      </c>
      <c r="F2781" s="2">
        <f t="shared" si="432"/>
        <v>1.5915494309189535</v>
      </c>
      <c r="G2781" s="2">
        <v>10.76451</v>
      </c>
      <c r="H2781" s="2">
        <f t="shared" si="433"/>
        <v>35.316634988399997</v>
      </c>
      <c r="I2781" s="2">
        <f>INDEX('Wood Density Lookup'!$B$2:$B$152,MATCH(B2781,'Wood Density Lookup'!$A$2:$A$152,0))</f>
        <v>0.9</v>
      </c>
      <c r="J2781" s="2">
        <f t="shared" si="434"/>
        <v>9.4356205683161125</v>
      </c>
      <c r="K2781" s="2">
        <f t="shared" si="438"/>
        <v>2.6419737591285117</v>
      </c>
      <c r="L2781" s="2">
        <f t="shared" si="439"/>
        <v>12.077594327444624</v>
      </c>
      <c r="M2781" s="2">
        <f t="shared" si="435"/>
        <v>8.7562558873973515</v>
      </c>
      <c r="N2781" s="2">
        <f t="shared" si="436"/>
        <v>4.3781279436986758</v>
      </c>
      <c r="O2781" s="2">
        <f t="shared" si="437"/>
        <v>16.067729553374139</v>
      </c>
      <c r="P2781" s="2">
        <v>72.553717000000006</v>
      </c>
      <c r="Q2781" s="2">
        <v>23.038717999999999</v>
      </c>
    </row>
    <row r="2782" spans="1:17" x14ac:dyDescent="0.25">
      <c r="A2782" s="2">
        <v>2968</v>
      </c>
      <c r="B2782" s="2" t="s">
        <v>15</v>
      </c>
      <c r="C2782" s="2">
        <v>18</v>
      </c>
      <c r="D2782" s="2">
        <f t="shared" si="430"/>
        <v>45.72</v>
      </c>
      <c r="E2782" s="2">
        <f t="shared" si="431"/>
        <v>14.55312799632291</v>
      </c>
      <c r="F2782" s="2">
        <f t="shared" si="432"/>
        <v>5.7295779513082321</v>
      </c>
      <c r="G2782" s="2">
        <v>10.201563</v>
      </c>
      <c r="H2782" s="2">
        <f t="shared" si="433"/>
        <v>33.469695952919999</v>
      </c>
      <c r="I2782" s="2">
        <f>INDEX('Wood Density Lookup'!$B$2:$B$152,MATCH(B2782,'Wood Density Lookup'!$A$2:$A$152,0))</f>
        <v>0.75</v>
      </c>
      <c r="J2782" s="2">
        <f t="shared" si="434"/>
        <v>91.33229385952049</v>
      </c>
      <c r="K2782" s="2">
        <f t="shared" si="438"/>
        <v>25.573042280665739</v>
      </c>
      <c r="L2782" s="2">
        <f t="shared" si="439"/>
        <v>116.90533614018622</v>
      </c>
      <c r="M2782" s="2">
        <f t="shared" si="435"/>
        <v>84.756368701635012</v>
      </c>
      <c r="N2782" s="2">
        <f t="shared" si="436"/>
        <v>42.378184350817506</v>
      </c>
      <c r="O2782" s="2">
        <f t="shared" si="437"/>
        <v>155.52793656750023</v>
      </c>
      <c r="P2782" s="2">
        <v>72.553719999999998</v>
      </c>
      <c r="Q2782" s="2">
        <v>23.036614</v>
      </c>
    </row>
    <row r="2783" spans="1:17" x14ac:dyDescent="0.25">
      <c r="A2783" s="2">
        <v>2969</v>
      </c>
      <c r="B2783" s="2" t="s">
        <v>15</v>
      </c>
      <c r="C2783" s="2">
        <v>22</v>
      </c>
      <c r="D2783" s="2">
        <f t="shared" si="430"/>
        <v>55.88</v>
      </c>
      <c r="E2783" s="2">
        <f t="shared" si="431"/>
        <v>17.787156439950223</v>
      </c>
      <c r="F2783" s="2">
        <f t="shared" si="432"/>
        <v>7.0028174960433951</v>
      </c>
      <c r="G2783" s="2">
        <v>10.237969</v>
      </c>
      <c r="H2783" s="2">
        <f t="shared" si="433"/>
        <v>33.589138213959998</v>
      </c>
      <c r="I2783" s="2">
        <f>INDEX('Wood Density Lookup'!$B$2:$B$152,MATCH(B2783,'Wood Density Lookup'!$A$2:$A$152,0))</f>
        <v>0.75</v>
      </c>
      <c r="J2783" s="2">
        <f t="shared" si="434"/>
        <v>135.59743437077699</v>
      </c>
      <c r="K2783" s="2">
        <f t="shared" si="438"/>
        <v>37.967281623817563</v>
      </c>
      <c r="L2783" s="2">
        <f t="shared" si="439"/>
        <v>173.56471599459456</v>
      </c>
      <c r="M2783" s="2">
        <f t="shared" si="435"/>
        <v>125.83441909608105</v>
      </c>
      <c r="N2783" s="2">
        <f t="shared" si="436"/>
        <v>62.917209548040525</v>
      </c>
      <c r="O2783" s="2">
        <f t="shared" si="437"/>
        <v>230.90615904130871</v>
      </c>
      <c r="P2783" s="2">
        <v>72.553725999999997</v>
      </c>
      <c r="Q2783" s="2">
        <v>23.037410000000001</v>
      </c>
    </row>
    <row r="2784" spans="1:17" x14ac:dyDescent="0.25">
      <c r="A2784" s="2">
        <v>2970</v>
      </c>
      <c r="B2784" s="2" t="s">
        <v>59</v>
      </c>
      <c r="C2784" s="2">
        <v>13</v>
      </c>
      <c r="D2784" s="2">
        <f t="shared" si="430"/>
        <v>33.020000000000003</v>
      </c>
      <c r="E2784" s="2">
        <f t="shared" si="431"/>
        <v>10.51059244178877</v>
      </c>
      <c r="F2784" s="2">
        <f t="shared" si="432"/>
        <v>4.1380285203892786</v>
      </c>
      <c r="G2784" s="2">
        <v>5.9132249999999997</v>
      </c>
      <c r="H2784" s="2">
        <f t="shared" si="433"/>
        <v>19.400345109</v>
      </c>
      <c r="I2784" s="2">
        <f>INDEX('Wood Density Lookup'!$B$2:$B$152,MATCH(B2784,'Wood Density Lookup'!$A$2:$A$152,0))</f>
        <v>0.45</v>
      </c>
      <c r="J2784" s="2">
        <f t="shared" si="434"/>
        <v>17.261056867323447</v>
      </c>
      <c r="K2784" s="2">
        <f t="shared" si="438"/>
        <v>4.8330959228505659</v>
      </c>
      <c r="L2784" s="2">
        <f t="shared" si="439"/>
        <v>22.094152790174014</v>
      </c>
      <c r="M2784" s="2">
        <f t="shared" si="435"/>
        <v>16.018260772876161</v>
      </c>
      <c r="N2784" s="2">
        <f t="shared" si="436"/>
        <v>8.0091303864380805</v>
      </c>
      <c r="O2784" s="2">
        <f t="shared" si="437"/>
        <v>29.393508518227755</v>
      </c>
      <c r="P2784" s="2">
        <v>72.553726999999995</v>
      </c>
      <c r="Q2784" s="2">
        <v>23.037088000000001</v>
      </c>
    </row>
    <row r="2785" spans="1:17" x14ac:dyDescent="0.25">
      <c r="A2785" s="2">
        <v>2971</v>
      </c>
      <c r="B2785" s="2" t="s">
        <v>111</v>
      </c>
      <c r="C2785" s="2">
        <v>5</v>
      </c>
      <c r="D2785" s="2">
        <f t="shared" si="430"/>
        <v>12.7</v>
      </c>
      <c r="E2785" s="2">
        <f t="shared" si="431"/>
        <v>4.0425355545341413</v>
      </c>
      <c r="F2785" s="2">
        <f t="shared" si="432"/>
        <v>1.5915494309189535</v>
      </c>
      <c r="G2785" s="2">
        <v>3.9084859999999999</v>
      </c>
      <c r="H2785" s="2">
        <f t="shared" si="433"/>
        <v>12.823117208239999</v>
      </c>
      <c r="I2785" s="2">
        <f>INDEX('Wood Density Lookup'!$B$2:$B$152,MATCH(B2785,'Wood Density Lookup'!$A$2:$A$152,0))</f>
        <v>0.4</v>
      </c>
      <c r="J2785" s="2">
        <f t="shared" si="434"/>
        <v>1.5907952398978378</v>
      </c>
      <c r="K2785" s="2">
        <f t="shared" si="438"/>
        <v>0.44542266717139462</v>
      </c>
      <c r="L2785" s="2">
        <f t="shared" si="439"/>
        <v>2.0362179070692323</v>
      </c>
      <c r="M2785" s="2">
        <f t="shared" si="435"/>
        <v>1.4762579826251934</v>
      </c>
      <c r="N2785" s="2">
        <f t="shared" si="436"/>
        <v>0.73812899131259668</v>
      </c>
      <c r="O2785" s="2">
        <f t="shared" si="437"/>
        <v>2.7089333981172299</v>
      </c>
      <c r="P2785" s="2">
        <v>72.553729000000004</v>
      </c>
      <c r="Q2785" s="2">
        <v>23.037855</v>
      </c>
    </row>
    <row r="2786" spans="1:17" x14ac:dyDescent="0.25">
      <c r="A2786" s="2">
        <v>2972</v>
      </c>
      <c r="B2786" s="2" t="s">
        <v>10</v>
      </c>
      <c r="C2786" s="2">
        <v>31</v>
      </c>
      <c r="D2786" s="2">
        <f t="shared" si="430"/>
        <v>78.739999999999995</v>
      </c>
      <c r="E2786" s="2">
        <f t="shared" si="431"/>
        <v>25.063720438111677</v>
      </c>
      <c r="F2786" s="2">
        <f t="shared" si="432"/>
        <v>9.8676064716975116</v>
      </c>
      <c r="G2786" s="2">
        <v>14.165425000000001</v>
      </c>
      <c r="H2786" s="2">
        <f t="shared" si="433"/>
        <v>46.474492957000002</v>
      </c>
      <c r="I2786" s="2">
        <f>INDEX('Wood Density Lookup'!$B$2:$B$152,MATCH(B2786,'Wood Density Lookup'!$A$2:$A$152,0))</f>
        <v>0.65</v>
      </c>
      <c r="J2786" s="2">
        <f t="shared" si="434"/>
        <v>316.19535696115008</v>
      </c>
      <c r="K2786" s="2">
        <f t="shared" si="438"/>
        <v>88.534699949122029</v>
      </c>
      <c r="L2786" s="2">
        <f t="shared" si="439"/>
        <v>404.73005691027208</v>
      </c>
      <c r="M2786" s="2">
        <f t="shared" si="435"/>
        <v>293.42929125994726</v>
      </c>
      <c r="N2786" s="2">
        <f t="shared" si="436"/>
        <v>146.71464562997363</v>
      </c>
      <c r="O2786" s="2">
        <f t="shared" si="437"/>
        <v>538.44274946200323</v>
      </c>
      <c r="P2786" s="2">
        <v>72.553731999999997</v>
      </c>
      <c r="Q2786" s="2">
        <v>23.036491999999999</v>
      </c>
    </row>
    <row r="2787" spans="1:17" x14ac:dyDescent="0.25">
      <c r="A2787" s="2">
        <v>2973</v>
      </c>
      <c r="B2787" s="2" t="s">
        <v>115</v>
      </c>
      <c r="C2787" s="2">
        <v>3</v>
      </c>
      <c r="D2787" s="2">
        <f t="shared" si="430"/>
        <v>7.62</v>
      </c>
      <c r="E2787" s="2">
        <f t="shared" si="431"/>
        <v>2.4255213327204852</v>
      </c>
      <c r="F2787" s="2">
        <f t="shared" si="432"/>
        <v>0.95492965855137202</v>
      </c>
      <c r="G2787" s="2">
        <v>17.051041999999999</v>
      </c>
      <c r="H2787" s="2">
        <f t="shared" si="433"/>
        <v>55.941740635279999</v>
      </c>
      <c r="I2787" s="2">
        <f>INDEX('Wood Density Lookup'!$B$2:$B$152,MATCH(B2787,'Wood Density Lookup'!$A$2:$A$152,0))</f>
        <v>0.65</v>
      </c>
      <c r="J2787" s="2">
        <f t="shared" si="434"/>
        <v>3.9696019003373766</v>
      </c>
      <c r="K2787" s="2">
        <f t="shared" si="438"/>
        <v>1.1114885320944656</v>
      </c>
      <c r="L2787" s="2">
        <f t="shared" si="439"/>
        <v>5.081090432431842</v>
      </c>
      <c r="M2787" s="2">
        <f t="shared" si="435"/>
        <v>3.6837905635130852</v>
      </c>
      <c r="N2787" s="2">
        <f t="shared" si="436"/>
        <v>1.8418952817565426</v>
      </c>
      <c r="O2787" s="2">
        <f t="shared" si="437"/>
        <v>6.7597556840465112</v>
      </c>
      <c r="P2787" s="2">
        <v>72.553732999999994</v>
      </c>
      <c r="Q2787" s="2">
        <v>23.036566000000001</v>
      </c>
    </row>
    <row r="2788" spans="1:17" x14ac:dyDescent="0.25">
      <c r="A2788" s="2">
        <v>2974</v>
      </c>
      <c r="B2788" s="2" t="s">
        <v>115</v>
      </c>
      <c r="C2788" s="2">
        <v>24</v>
      </c>
      <c r="D2788" s="2">
        <f t="shared" si="430"/>
        <v>60.96</v>
      </c>
      <c r="E2788" s="2">
        <f t="shared" si="431"/>
        <v>19.404170661763882</v>
      </c>
      <c r="F2788" s="2">
        <f t="shared" si="432"/>
        <v>7.6394372684109761</v>
      </c>
      <c r="G2788" s="2">
        <v>15.536293000000001</v>
      </c>
      <c r="H2788" s="2">
        <f t="shared" si="433"/>
        <v>50.972091526120003</v>
      </c>
      <c r="I2788" s="2">
        <f>INDEX('Wood Density Lookup'!$B$2:$B$152,MATCH(B2788,'Wood Density Lookup'!$A$2:$A$152,0))</f>
        <v>0.65</v>
      </c>
      <c r="J2788" s="2">
        <f t="shared" si="434"/>
        <v>209.96396855574272</v>
      </c>
      <c r="K2788" s="2">
        <f t="shared" si="438"/>
        <v>58.789911195607971</v>
      </c>
      <c r="L2788" s="2">
        <f t="shared" si="439"/>
        <v>268.75387975135072</v>
      </c>
      <c r="M2788" s="2">
        <f t="shared" si="435"/>
        <v>194.84656281972926</v>
      </c>
      <c r="N2788" s="2">
        <f t="shared" si="436"/>
        <v>97.423281409864629</v>
      </c>
      <c r="O2788" s="2">
        <f t="shared" si="437"/>
        <v>357.54344277420319</v>
      </c>
      <c r="P2788" s="2">
        <v>72.553734000000006</v>
      </c>
      <c r="Q2788" s="2">
        <v>23.036534</v>
      </c>
    </row>
    <row r="2789" spans="1:17" x14ac:dyDescent="0.25">
      <c r="A2789" s="2">
        <v>2975</v>
      </c>
      <c r="B2789" s="2" t="s">
        <v>15</v>
      </c>
      <c r="C2789" s="2">
        <v>19</v>
      </c>
      <c r="D2789" s="2">
        <f t="shared" si="430"/>
        <v>48.26</v>
      </c>
      <c r="E2789" s="2">
        <f t="shared" si="431"/>
        <v>15.361635107229738</v>
      </c>
      <c r="F2789" s="2">
        <f t="shared" si="432"/>
        <v>6.0478878374920226</v>
      </c>
      <c r="G2789" s="2">
        <v>11.161524999999999</v>
      </c>
      <c r="H2789" s="2">
        <f t="shared" si="433"/>
        <v>36.619177680999996</v>
      </c>
      <c r="I2789" s="2">
        <f>INDEX('Wood Density Lookup'!$B$2:$B$152,MATCH(B2789,'Wood Density Lookup'!$A$2:$A$152,0))</f>
        <v>0.75</v>
      </c>
      <c r="J2789" s="2">
        <f t="shared" si="434"/>
        <v>110.80999139937637</v>
      </c>
      <c r="K2789" s="2">
        <f t="shared" si="438"/>
        <v>31.026797591825389</v>
      </c>
      <c r="L2789" s="2">
        <f t="shared" si="439"/>
        <v>141.83678899120176</v>
      </c>
      <c r="M2789" s="2">
        <f t="shared" si="435"/>
        <v>102.83167201862128</v>
      </c>
      <c r="N2789" s="2">
        <f t="shared" si="436"/>
        <v>51.415836009310638</v>
      </c>
      <c r="O2789" s="2">
        <f t="shared" si="437"/>
        <v>188.69611815417005</v>
      </c>
      <c r="P2789" s="2">
        <v>72.553735000000003</v>
      </c>
      <c r="Q2789" s="2">
        <v>23.035703999999999</v>
      </c>
    </row>
    <row r="2790" spans="1:17" x14ac:dyDescent="0.25">
      <c r="A2790" s="2">
        <v>2976</v>
      </c>
      <c r="B2790" s="2" t="s">
        <v>146</v>
      </c>
      <c r="C2790" s="2">
        <v>4</v>
      </c>
      <c r="D2790" s="2">
        <f t="shared" si="430"/>
        <v>10.16</v>
      </c>
      <c r="E2790" s="2">
        <f t="shared" si="431"/>
        <v>3.2340284436273135</v>
      </c>
      <c r="F2790" s="2">
        <f t="shared" si="432"/>
        <v>1.2732395447351628</v>
      </c>
      <c r="G2790" s="2">
        <v>2.0271140000000001</v>
      </c>
      <c r="H2790" s="2">
        <f t="shared" si="433"/>
        <v>6.6506366957600003</v>
      </c>
      <c r="I2790" s="2">
        <f>INDEX('Wood Density Lookup'!$B$2:$B$152,MATCH(B2790,'Wood Density Lookup'!$A$2:$A$152,0))</f>
        <v>0.55000000000000004</v>
      </c>
      <c r="J2790" s="2">
        <f t="shared" si="434"/>
        <v>0.73984733280342241</v>
      </c>
      <c r="K2790" s="2">
        <f t="shared" si="438"/>
        <v>0.20715725318495828</v>
      </c>
      <c r="L2790" s="2">
        <f t="shared" si="439"/>
        <v>0.94700458598838066</v>
      </c>
      <c r="M2790" s="2">
        <f t="shared" si="435"/>
        <v>0.68657832484157599</v>
      </c>
      <c r="N2790" s="2">
        <f t="shared" si="436"/>
        <v>0.343289162420788</v>
      </c>
      <c r="O2790" s="2">
        <f t="shared" si="437"/>
        <v>1.2598712260842919</v>
      </c>
      <c r="P2790" s="2">
        <v>72.553736999999998</v>
      </c>
      <c r="Q2790" s="2">
        <v>23.037817</v>
      </c>
    </row>
    <row r="2791" spans="1:17" x14ac:dyDescent="0.25">
      <c r="A2791" s="2">
        <v>2977</v>
      </c>
      <c r="B2791" s="2" t="s">
        <v>139</v>
      </c>
      <c r="C2791" s="2">
        <v>3</v>
      </c>
      <c r="D2791" s="2">
        <f t="shared" si="430"/>
        <v>7.62</v>
      </c>
      <c r="E2791" s="2">
        <f t="shared" si="431"/>
        <v>2.4255213327204852</v>
      </c>
      <c r="F2791" s="2">
        <f t="shared" si="432"/>
        <v>0.95492965855137202</v>
      </c>
      <c r="G2791" s="2">
        <v>8.7835409999999996</v>
      </c>
      <c r="H2791" s="2">
        <f t="shared" si="433"/>
        <v>28.817392654439999</v>
      </c>
      <c r="I2791" s="2">
        <f>INDEX('Wood Density Lookup'!$B$2:$B$152,MATCH(B2791,'Wood Density Lookup'!$A$2:$A$152,0))</f>
        <v>0.9</v>
      </c>
      <c r="J2791" s="2">
        <f t="shared" si="434"/>
        <v>2.8544133747699338</v>
      </c>
      <c r="K2791" s="2">
        <f t="shared" si="438"/>
        <v>0.79923574493558158</v>
      </c>
      <c r="L2791" s="2">
        <f t="shared" si="439"/>
        <v>3.6536491197055154</v>
      </c>
      <c r="M2791" s="2">
        <f t="shared" si="435"/>
        <v>2.6488956117864988</v>
      </c>
      <c r="N2791" s="2">
        <f t="shared" si="436"/>
        <v>1.3244478058932494</v>
      </c>
      <c r="O2791" s="2">
        <f t="shared" si="437"/>
        <v>4.8607234476282253</v>
      </c>
      <c r="P2791" s="2">
        <v>72.553738999999993</v>
      </c>
      <c r="Q2791" s="2">
        <v>23.038719</v>
      </c>
    </row>
    <row r="2792" spans="1:17" x14ac:dyDescent="0.25">
      <c r="A2792" s="2">
        <v>2978</v>
      </c>
      <c r="B2792" s="2" t="s">
        <v>107</v>
      </c>
      <c r="C2792" s="2">
        <v>26</v>
      </c>
      <c r="D2792" s="2">
        <f t="shared" si="430"/>
        <v>66.040000000000006</v>
      </c>
      <c r="E2792" s="2">
        <f t="shared" si="431"/>
        <v>21.02118488357754</v>
      </c>
      <c r="F2792" s="2">
        <f t="shared" si="432"/>
        <v>8.2760570407785572</v>
      </c>
      <c r="G2792" s="2">
        <v>9.6991599999999991</v>
      </c>
      <c r="H2792" s="2">
        <f t="shared" si="433"/>
        <v>31.821392094399997</v>
      </c>
      <c r="I2792" s="2">
        <f>INDEX('Wood Density Lookup'!$B$2:$B$152,MATCH(B2792,'Wood Density Lookup'!$A$2:$A$152,0))</f>
        <v>0.65</v>
      </c>
      <c r="J2792" s="2">
        <f t="shared" si="434"/>
        <v>154.98791773486039</v>
      </c>
      <c r="K2792" s="2">
        <f t="shared" si="438"/>
        <v>43.396616965760913</v>
      </c>
      <c r="L2792" s="2">
        <f t="shared" si="439"/>
        <v>198.38453470062132</v>
      </c>
      <c r="M2792" s="2">
        <f t="shared" si="435"/>
        <v>143.82878765795044</v>
      </c>
      <c r="N2792" s="2">
        <f t="shared" si="436"/>
        <v>71.914393828975221</v>
      </c>
      <c r="O2792" s="2">
        <f t="shared" si="437"/>
        <v>263.92582535233907</v>
      </c>
      <c r="P2792" s="2">
        <v>72.553741000000002</v>
      </c>
      <c r="Q2792" s="2">
        <v>23.038015999999999</v>
      </c>
    </row>
    <row r="2793" spans="1:17" x14ac:dyDescent="0.25">
      <c r="A2793" s="2">
        <v>2979</v>
      </c>
      <c r="B2793" s="2" t="s">
        <v>39</v>
      </c>
      <c r="C2793" s="2">
        <v>3</v>
      </c>
      <c r="D2793" s="2">
        <f t="shared" si="430"/>
        <v>7.62</v>
      </c>
      <c r="E2793" s="2">
        <f t="shared" si="431"/>
        <v>2.4255213327204852</v>
      </c>
      <c r="F2793" s="2">
        <f t="shared" si="432"/>
        <v>0.95492965855137202</v>
      </c>
      <c r="G2793" s="2">
        <v>1.993684</v>
      </c>
      <c r="H2793" s="2">
        <f t="shared" si="433"/>
        <v>6.5409582145599998</v>
      </c>
      <c r="I2793" s="2">
        <f>INDEX('Wood Density Lookup'!$B$2:$B$152,MATCH(B2793,'Wood Density Lookup'!$A$2:$A$152,0))</f>
        <v>0.5</v>
      </c>
      <c r="J2793" s="2">
        <f t="shared" si="434"/>
        <v>0.378280463733702</v>
      </c>
      <c r="K2793" s="2">
        <f t="shared" si="438"/>
        <v>0.10591852984543657</v>
      </c>
      <c r="L2793" s="2">
        <f t="shared" si="439"/>
        <v>0.48419899357913854</v>
      </c>
      <c r="M2793" s="2">
        <f t="shared" si="435"/>
        <v>0.35104427034487545</v>
      </c>
      <c r="N2793" s="2">
        <f t="shared" si="436"/>
        <v>0.17552213517243773</v>
      </c>
      <c r="O2793" s="2">
        <f t="shared" si="437"/>
        <v>0.6441662360828464</v>
      </c>
      <c r="P2793" s="2">
        <v>72.553741000000002</v>
      </c>
      <c r="Q2793" s="2">
        <v>23.037025</v>
      </c>
    </row>
    <row r="2794" spans="1:17" x14ac:dyDescent="0.25">
      <c r="A2794" s="2">
        <v>2980</v>
      </c>
      <c r="B2794" s="2" t="s">
        <v>137</v>
      </c>
      <c r="C2794" s="2">
        <v>5</v>
      </c>
      <c r="D2794" s="2">
        <f t="shared" si="430"/>
        <v>12.7</v>
      </c>
      <c r="E2794" s="2">
        <f t="shared" si="431"/>
        <v>4.0425355545341413</v>
      </c>
      <c r="F2794" s="2">
        <f t="shared" si="432"/>
        <v>1.5915494309189535</v>
      </c>
      <c r="G2794" s="2">
        <v>2.2584840000000002</v>
      </c>
      <c r="H2794" s="2">
        <f t="shared" si="433"/>
        <v>7.4097246465600008</v>
      </c>
      <c r="I2794" s="2">
        <f>INDEX('Wood Density Lookup'!$B$2:$B$152,MATCH(B2794,'Wood Density Lookup'!$A$2:$A$152,0))</f>
        <v>0.55000000000000004</v>
      </c>
      <c r="J2794" s="2">
        <f t="shared" si="434"/>
        <v>1.2709333346541576</v>
      </c>
      <c r="K2794" s="2">
        <f t="shared" si="438"/>
        <v>0.35586133370316414</v>
      </c>
      <c r="L2794" s="2">
        <f t="shared" si="439"/>
        <v>1.6267946683573218</v>
      </c>
      <c r="M2794" s="2">
        <f t="shared" si="435"/>
        <v>1.1794261345590582</v>
      </c>
      <c r="N2794" s="2">
        <f t="shared" si="436"/>
        <v>0.5897130672795291</v>
      </c>
      <c r="O2794" s="2">
        <f t="shared" si="437"/>
        <v>2.1642469569158718</v>
      </c>
      <c r="P2794" s="2">
        <v>72.553746000000004</v>
      </c>
      <c r="Q2794" s="2">
        <v>23.038079</v>
      </c>
    </row>
    <row r="2795" spans="1:17" x14ac:dyDescent="0.25">
      <c r="A2795" s="2">
        <v>2981</v>
      </c>
      <c r="B2795" s="2" t="s">
        <v>10</v>
      </c>
      <c r="C2795" s="2">
        <v>43</v>
      </c>
      <c r="D2795" s="2">
        <f t="shared" si="430"/>
        <v>109.22</v>
      </c>
      <c r="E2795" s="2">
        <f t="shared" si="431"/>
        <v>34.765805768993616</v>
      </c>
      <c r="F2795" s="2">
        <f t="shared" si="432"/>
        <v>13.687325105903</v>
      </c>
      <c r="G2795" s="2">
        <v>9.1752710000000004</v>
      </c>
      <c r="H2795" s="2">
        <f t="shared" si="433"/>
        <v>30.10259610764</v>
      </c>
      <c r="I2795" s="2">
        <f>INDEX('Wood Density Lookup'!$B$2:$B$152,MATCH(B2795,'Wood Density Lookup'!$A$2:$A$152,0))</f>
        <v>0.65</v>
      </c>
      <c r="J2795" s="2">
        <f t="shared" si="434"/>
        <v>391.97993425361676</v>
      </c>
      <c r="K2795" s="2">
        <f t="shared" si="438"/>
        <v>109.7543815910127</v>
      </c>
      <c r="L2795" s="2">
        <f t="shared" si="439"/>
        <v>501.73431584462946</v>
      </c>
      <c r="M2795" s="2">
        <f t="shared" si="435"/>
        <v>363.75737898735633</v>
      </c>
      <c r="N2795" s="2">
        <f t="shared" si="436"/>
        <v>181.87868949367817</v>
      </c>
      <c r="O2795" s="2">
        <f t="shared" si="437"/>
        <v>667.49479044179884</v>
      </c>
      <c r="P2795" s="2">
        <v>72.553748999999996</v>
      </c>
      <c r="Q2795" s="2">
        <v>23.036698999999999</v>
      </c>
    </row>
    <row r="2796" spans="1:17" x14ac:dyDescent="0.25">
      <c r="A2796" s="2">
        <v>2982</v>
      </c>
      <c r="B2796" s="2" t="s">
        <v>137</v>
      </c>
      <c r="C2796" s="2">
        <v>7</v>
      </c>
      <c r="D2796" s="2">
        <f t="shared" si="430"/>
        <v>17.78</v>
      </c>
      <c r="E2796" s="2">
        <f t="shared" si="431"/>
        <v>5.6595497763477987</v>
      </c>
      <c r="F2796" s="2">
        <f t="shared" si="432"/>
        <v>2.228169203286535</v>
      </c>
      <c r="G2796" s="2">
        <v>2.0577990000000002</v>
      </c>
      <c r="H2796" s="2">
        <f t="shared" si="433"/>
        <v>6.7513092711600002</v>
      </c>
      <c r="I2796" s="2">
        <f>INDEX('Wood Density Lookup'!$B$2:$B$152,MATCH(B2796,'Wood Density Lookup'!$A$2:$A$152,0))</f>
        <v>0.55000000000000004</v>
      </c>
      <c r="J2796" s="2">
        <f t="shared" si="434"/>
        <v>2.2383117143090847</v>
      </c>
      <c r="K2796" s="2">
        <f t="shared" si="438"/>
        <v>0.62672728000654376</v>
      </c>
      <c r="L2796" s="2">
        <f t="shared" si="439"/>
        <v>2.8650389943156283</v>
      </c>
      <c r="M2796" s="2">
        <f t="shared" si="435"/>
        <v>2.0771532708788305</v>
      </c>
      <c r="N2796" s="2">
        <f t="shared" si="436"/>
        <v>1.0385766354394153</v>
      </c>
      <c r="O2796" s="2">
        <f t="shared" si="437"/>
        <v>3.8115762520626539</v>
      </c>
      <c r="P2796" s="2">
        <v>72.553748999999996</v>
      </c>
      <c r="Q2796" s="2">
        <v>23.037970999999999</v>
      </c>
    </row>
    <row r="2797" spans="1:17" x14ac:dyDescent="0.25">
      <c r="A2797" s="2">
        <v>2983</v>
      </c>
      <c r="B2797" s="2" t="s">
        <v>143</v>
      </c>
      <c r="C2797" s="2">
        <v>24</v>
      </c>
      <c r="D2797" s="2">
        <f t="shared" si="430"/>
        <v>60.96</v>
      </c>
      <c r="E2797" s="2">
        <f t="shared" si="431"/>
        <v>19.404170661763882</v>
      </c>
      <c r="F2797" s="2">
        <f t="shared" si="432"/>
        <v>7.6394372684109761</v>
      </c>
      <c r="G2797" s="2">
        <v>7.7696009999999998</v>
      </c>
      <c r="H2797" s="2">
        <f t="shared" si="433"/>
        <v>25.490817744839998</v>
      </c>
      <c r="I2797" s="2">
        <f>INDEX('Wood Density Lookup'!$B$2:$B$152,MATCH(B2797,'Wood Density Lookup'!$A$2:$A$152,0))</f>
        <v>0.75</v>
      </c>
      <c r="J2797" s="2">
        <f t="shared" si="434"/>
        <v>122.76518196429703</v>
      </c>
      <c r="K2797" s="2">
        <f t="shared" si="438"/>
        <v>34.374250950003173</v>
      </c>
      <c r="L2797" s="2">
        <f t="shared" si="439"/>
        <v>157.13943291430019</v>
      </c>
      <c r="M2797" s="2">
        <f t="shared" si="435"/>
        <v>113.92608886286763</v>
      </c>
      <c r="N2797" s="2">
        <f t="shared" si="436"/>
        <v>56.963044431433815</v>
      </c>
      <c r="O2797" s="2">
        <f t="shared" si="437"/>
        <v>209.05437306336211</v>
      </c>
      <c r="P2797" s="2">
        <v>72.553749999999994</v>
      </c>
      <c r="Q2797" s="2">
        <v>23.038226999999999</v>
      </c>
    </row>
    <row r="2798" spans="1:17" x14ac:dyDescent="0.25">
      <c r="A2798" s="2">
        <v>2984</v>
      </c>
      <c r="B2798" s="2" t="s">
        <v>78</v>
      </c>
      <c r="C2798" s="2">
        <v>24</v>
      </c>
      <c r="D2798" s="2">
        <f t="shared" si="430"/>
        <v>60.96</v>
      </c>
      <c r="E2798" s="2">
        <f t="shared" si="431"/>
        <v>19.404170661763882</v>
      </c>
      <c r="F2798" s="2">
        <f t="shared" si="432"/>
        <v>7.6394372684109761</v>
      </c>
      <c r="G2798" s="2">
        <v>7.5550160000000002</v>
      </c>
      <c r="H2798" s="2">
        <f t="shared" si="433"/>
        <v>24.786798693440002</v>
      </c>
      <c r="I2798" s="2">
        <f>INDEX('Wood Density Lookup'!$B$2:$B$152,MATCH(B2798,'Wood Density Lookup'!$A$2:$A$152,0))</f>
        <v>0.55000000000000004</v>
      </c>
      <c r="J2798" s="2">
        <f t="shared" si="434"/>
        <v>88.254730975521298</v>
      </c>
      <c r="K2798" s="2">
        <f t="shared" si="438"/>
        <v>24.711324673145967</v>
      </c>
      <c r="L2798" s="2">
        <f t="shared" si="439"/>
        <v>112.96605564866726</v>
      </c>
      <c r="M2798" s="2">
        <f t="shared" si="435"/>
        <v>81.900390345283768</v>
      </c>
      <c r="N2798" s="2">
        <f t="shared" si="436"/>
        <v>40.950195172641884</v>
      </c>
      <c r="O2798" s="2">
        <f t="shared" si="437"/>
        <v>150.28721628359571</v>
      </c>
      <c r="P2798" s="2">
        <v>72.553751000000005</v>
      </c>
      <c r="Q2798" s="2">
        <v>23.038201000000001</v>
      </c>
    </row>
    <row r="2799" spans="1:17" x14ac:dyDescent="0.25">
      <c r="A2799" s="2">
        <v>2985</v>
      </c>
      <c r="B2799" s="2" t="s">
        <v>147</v>
      </c>
      <c r="C2799" s="2">
        <v>10</v>
      </c>
      <c r="D2799" s="2">
        <f t="shared" si="430"/>
        <v>25.4</v>
      </c>
      <c r="E2799" s="2">
        <f t="shared" si="431"/>
        <v>8.0850711090682825</v>
      </c>
      <c r="F2799" s="2">
        <f t="shared" si="432"/>
        <v>3.183098861837907</v>
      </c>
      <c r="G2799" s="2">
        <v>2.8011439999999999</v>
      </c>
      <c r="H2799" s="2">
        <f t="shared" si="433"/>
        <v>9.1901052809599992</v>
      </c>
      <c r="I2799" s="2">
        <f>INDEX('Wood Density Lookup'!$B$2:$B$152,MATCH(B2799,'Wood Density Lookup'!$A$2:$A$152,0))</f>
        <v>0.65</v>
      </c>
      <c r="J2799" s="2">
        <f t="shared" si="434"/>
        <v>7.1419490659442415</v>
      </c>
      <c r="K2799" s="2">
        <f t="shared" si="438"/>
        <v>1.9997457384643877</v>
      </c>
      <c r="L2799" s="2">
        <f t="shared" si="439"/>
        <v>9.1416948044086297</v>
      </c>
      <c r="M2799" s="2">
        <f t="shared" si="435"/>
        <v>6.627728733196256</v>
      </c>
      <c r="N2799" s="2">
        <f t="shared" si="436"/>
        <v>3.313864366598128</v>
      </c>
      <c r="O2799" s="2">
        <f t="shared" si="437"/>
        <v>12.161882225415129</v>
      </c>
      <c r="P2799" s="2">
        <v>72.553753</v>
      </c>
      <c r="Q2799" s="2">
        <v>23.037927</v>
      </c>
    </row>
    <row r="2800" spans="1:17" x14ac:dyDescent="0.25">
      <c r="A2800" s="2">
        <v>2986</v>
      </c>
      <c r="B2800" s="2" t="s">
        <v>49</v>
      </c>
      <c r="C2800" s="2">
        <v>2</v>
      </c>
      <c r="D2800" s="2">
        <f t="shared" si="430"/>
        <v>5.08</v>
      </c>
      <c r="E2800" s="2">
        <f t="shared" si="431"/>
        <v>1.6170142218136567</v>
      </c>
      <c r="F2800" s="2">
        <f t="shared" si="432"/>
        <v>0.63661977236758138</v>
      </c>
      <c r="G2800" s="2">
        <v>1.028672</v>
      </c>
      <c r="H2800" s="2">
        <f t="shared" si="433"/>
        <v>3.3749082444800003</v>
      </c>
      <c r="I2800" s="2">
        <f>INDEX('Wood Density Lookup'!$B$2:$B$152,MATCH(B2800,'Wood Density Lookup'!$A$2:$A$152,0))</f>
        <v>0.78</v>
      </c>
      <c r="J2800" s="2">
        <f t="shared" si="434"/>
        <v>0.13870467017230767</v>
      </c>
      <c r="K2800" s="2">
        <f t="shared" si="438"/>
        <v>3.8837307648246153E-2</v>
      </c>
      <c r="L2800" s="2">
        <f t="shared" si="439"/>
        <v>0.17754197782055381</v>
      </c>
      <c r="M2800" s="2">
        <f t="shared" si="435"/>
        <v>0.12871793391990149</v>
      </c>
      <c r="N2800" s="2">
        <f t="shared" si="436"/>
        <v>6.4358966959950747E-2</v>
      </c>
      <c r="O2800" s="2">
        <f t="shared" si="437"/>
        <v>0.23619740874301923</v>
      </c>
      <c r="P2800" s="2">
        <v>72.553753</v>
      </c>
      <c r="Q2800" s="2">
        <v>23.037889</v>
      </c>
    </row>
    <row r="2801" spans="1:17" x14ac:dyDescent="0.25">
      <c r="A2801" s="2">
        <v>2987</v>
      </c>
      <c r="B2801" s="2" t="s">
        <v>128</v>
      </c>
      <c r="C2801" s="2">
        <v>32</v>
      </c>
      <c r="D2801" s="2">
        <f t="shared" si="430"/>
        <v>81.28</v>
      </c>
      <c r="E2801" s="2">
        <f t="shared" si="431"/>
        <v>25.872227549018508</v>
      </c>
      <c r="F2801" s="2">
        <f t="shared" si="432"/>
        <v>10.185916357881302</v>
      </c>
      <c r="G2801" s="2">
        <v>16.153731000000001</v>
      </c>
      <c r="H2801" s="2">
        <f t="shared" si="433"/>
        <v>52.997806814040004</v>
      </c>
      <c r="I2801" s="2">
        <f>INDEX('Wood Density Lookup'!$B$2:$B$152,MATCH(B2801,'Wood Density Lookup'!$A$2:$A$152,0))</f>
        <v>0.75</v>
      </c>
      <c r="J2801" s="2">
        <f t="shared" si="434"/>
        <v>439.74486471025835</v>
      </c>
      <c r="K2801" s="2">
        <f t="shared" si="438"/>
        <v>123.12856211887235</v>
      </c>
      <c r="L2801" s="2">
        <f t="shared" si="439"/>
        <v>562.87342682913072</v>
      </c>
      <c r="M2801" s="2">
        <f t="shared" si="435"/>
        <v>408.08323445111978</v>
      </c>
      <c r="N2801" s="2">
        <f t="shared" si="436"/>
        <v>204.04161722555989</v>
      </c>
      <c r="O2801" s="2">
        <f t="shared" si="437"/>
        <v>748.83273521780472</v>
      </c>
      <c r="P2801" s="2">
        <v>72.553754999999995</v>
      </c>
      <c r="Q2801" s="2">
        <v>23.036636999999999</v>
      </c>
    </row>
    <row r="2802" spans="1:17" x14ac:dyDescent="0.25">
      <c r="A2802" s="2">
        <v>2988</v>
      </c>
      <c r="B2802" s="2" t="s">
        <v>55</v>
      </c>
      <c r="C2802" s="2">
        <v>63</v>
      </c>
      <c r="D2802" s="2">
        <f t="shared" si="430"/>
        <v>160.02000000000001</v>
      </c>
      <c r="E2802" s="2">
        <f t="shared" si="431"/>
        <v>50.935947987130191</v>
      </c>
      <c r="F2802" s="2">
        <f t="shared" si="432"/>
        <v>20.053522829578814</v>
      </c>
      <c r="G2802" s="2">
        <v>19.087046999999998</v>
      </c>
      <c r="H2802" s="2">
        <f t="shared" si="433"/>
        <v>62.621547279479991</v>
      </c>
      <c r="I2802" s="2">
        <f>INDEX('Wood Density Lookup'!$B$2:$B$152,MATCH(B2802,'Wood Density Lookup'!$A$2:$A$152,0))</f>
        <v>0.75</v>
      </c>
      <c r="J2802" s="2">
        <f t="shared" si="434"/>
        <v>1941.7239448419057</v>
      </c>
      <c r="K2802" s="2">
        <f t="shared" si="438"/>
        <v>543.68270455573361</v>
      </c>
      <c r="L2802" s="2">
        <f t="shared" si="439"/>
        <v>2485.4066493976393</v>
      </c>
      <c r="M2802" s="2">
        <f t="shared" si="435"/>
        <v>1801.9198208132884</v>
      </c>
      <c r="N2802" s="2">
        <f t="shared" si="436"/>
        <v>900.95991040664421</v>
      </c>
      <c r="O2802" s="2">
        <f t="shared" si="437"/>
        <v>3306.5228711923842</v>
      </c>
      <c r="P2802" s="2">
        <v>72.553757000000004</v>
      </c>
      <c r="Q2802" s="2">
        <v>23.036611000000001</v>
      </c>
    </row>
    <row r="2803" spans="1:17" x14ac:dyDescent="0.25">
      <c r="A2803" s="2">
        <v>2989</v>
      </c>
      <c r="B2803" s="2" t="s">
        <v>50</v>
      </c>
      <c r="C2803" s="2">
        <v>19</v>
      </c>
      <c r="D2803" s="2">
        <f t="shared" si="430"/>
        <v>48.26</v>
      </c>
      <c r="E2803" s="2">
        <f t="shared" si="431"/>
        <v>15.361635107229738</v>
      </c>
      <c r="F2803" s="2">
        <f t="shared" si="432"/>
        <v>6.0478878374920226</v>
      </c>
      <c r="G2803" s="2">
        <v>6.0168239999999997</v>
      </c>
      <c r="H2803" s="2">
        <f t="shared" si="433"/>
        <v>19.740236852159999</v>
      </c>
      <c r="I2803" s="2">
        <f>INDEX('Wood Density Lookup'!$B$2:$B$152,MATCH(B2803,'Wood Density Lookup'!$A$2:$A$152,0))</f>
        <v>0.5</v>
      </c>
      <c r="J2803" s="2">
        <f t="shared" si="434"/>
        <v>40.81296750972529</v>
      </c>
      <c r="K2803" s="2">
        <f t="shared" si="438"/>
        <v>11.427630902723083</v>
      </c>
      <c r="L2803" s="2">
        <f t="shared" si="439"/>
        <v>52.240598412448371</v>
      </c>
      <c r="M2803" s="2">
        <f t="shared" si="435"/>
        <v>37.874433849025067</v>
      </c>
      <c r="N2803" s="2">
        <f t="shared" si="436"/>
        <v>18.937216924512533</v>
      </c>
      <c r="O2803" s="2">
        <f t="shared" si="437"/>
        <v>69.499586112960998</v>
      </c>
      <c r="P2803" s="2">
        <v>72.553760999999994</v>
      </c>
      <c r="Q2803" s="2">
        <v>23.037212</v>
      </c>
    </row>
    <row r="2804" spans="1:17" x14ac:dyDescent="0.25">
      <c r="A2804" s="2">
        <v>2990</v>
      </c>
      <c r="B2804" s="2" t="s">
        <v>139</v>
      </c>
      <c r="C2804" s="2">
        <v>5</v>
      </c>
      <c r="D2804" s="2">
        <f t="shared" si="430"/>
        <v>12.7</v>
      </c>
      <c r="E2804" s="2">
        <f t="shared" si="431"/>
        <v>4.0425355545341413</v>
      </c>
      <c r="F2804" s="2">
        <f t="shared" si="432"/>
        <v>1.5915494309189535</v>
      </c>
      <c r="G2804" s="2">
        <v>8.4723229999999994</v>
      </c>
      <c r="H2804" s="2">
        <f t="shared" si="433"/>
        <v>27.796336191319998</v>
      </c>
      <c r="I2804" s="2">
        <f>INDEX('Wood Density Lookup'!$B$2:$B$152,MATCH(B2804,'Wood Density Lookup'!$A$2:$A$152,0))</f>
        <v>0.9</v>
      </c>
      <c r="J2804" s="2">
        <f t="shared" si="434"/>
        <v>7.4692072425514215</v>
      </c>
      <c r="K2804" s="2">
        <f t="shared" si="438"/>
        <v>2.0913780279143981</v>
      </c>
      <c r="L2804" s="2">
        <f t="shared" si="439"/>
        <v>9.5605852704658201</v>
      </c>
      <c r="M2804" s="2">
        <f t="shared" si="435"/>
        <v>6.9314243210877198</v>
      </c>
      <c r="N2804" s="2">
        <f t="shared" si="436"/>
        <v>3.4657121605438599</v>
      </c>
      <c r="O2804" s="2">
        <f t="shared" si="437"/>
        <v>12.719163629195965</v>
      </c>
      <c r="P2804" s="2">
        <v>72.553762000000006</v>
      </c>
      <c r="Q2804" s="2">
        <v>23.038717999999999</v>
      </c>
    </row>
    <row r="2805" spans="1:17" x14ac:dyDescent="0.25">
      <c r="A2805" s="2">
        <v>2991</v>
      </c>
      <c r="B2805" s="2" t="s">
        <v>60</v>
      </c>
      <c r="C2805" s="2">
        <v>4</v>
      </c>
      <c r="D2805" s="2">
        <f t="shared" si="430"/>
        <v>10.16</v>
      </c>
      <c r="E2805" s="2">
        <f t="shared" si="431"/>
        <v>3.2340284436273135</v>
      </c>
      <c r="F2805" s="2">
        <f t="shared" si="432"/>
        <v>1.2732395447351628</v>
      </c>
      <c r="G2805" s="2">
        <v>1.8850549999999999</v>
      </c>
      <c r="H2805" s="2">
        <f t="shared" si="433"/>
        <v>6.1845638461999997</v>
      </c>
      <c r="I2805" s="2">
        <f>INDEX('Wood Density Lookup'!$B$2:$B$152,MATCH(B2805,'Wood Density Lookup'!$A$2:$A$152,0))</f>
        <v>0.45</v>
      </c>
      <c r="J2805" s="2">
        <f t="shared" si="434"/>
        <v>0.56661320753287947</v>
      </c>
      <c r="K2805" s="2">
        <f t="shared" si="438"/>
        <v>0.15865169810920626</v>
      </c>
      <c r="L2805" s="2">
        <f t="shared" si="439"/>
        <v>0.72526490564208568</v>
      </c>
      <c r="M2805" s="2">
        <f t="shared" si="435"/>
        <v>0.52581705659051214</v>
      </c>
      <c r="N2805" s="2">
        <f t="shared" si="436"/>
        <v>0.26290852829525607</v>
      </c>
      <c r="O2805" s="2">
        <f t="shared" si="437"/>
        <v>0.96487429884358977</v>
      </c>
      <c r="P2805" s="2">
        <v>72.553763000000004</v>
      </c>
      <c r="Q2805" s="2">
        <v>23.037109999999998</v>
      </c>
    </row>
    <row r="2806" spans="1:17" x14ac:dyDescent="0.25">
      <c r="A2806" s="2">
        <v>2992</v>
      </c>
      <c r="B2806" s="2" t="s">
        <v>107</v>
      </c>
      <c r="C2806" s="2">
        <v>12</v>
      </c>
      <c r="D2806" s="2">
        <f t="shared" si="430"/>
        <v>30.48</v>
      </c>
      <c r="E2806" s="2">
        <f t="shared" si="431"/>
        <v>9.7020853308819408</v>
      </c>
      <c r="F2806" s="2">
        <f t="shared" si="432"/>
        <v>3.8197186342054881</v>
      </c>
      <c r="G2806" s="2">
        <v>5.7826009999999997</v>
      </c>
      <c r="H2806" s="2">
        <f t="shared" si="433"/>
        <v>18.971788664839998</v>
      </c>
      <c r="I2806" s="2">
        <f>INDEX('Wood Density Lookup'!$B$2:$B$152,MATCH(B2806,'Wood Density Lookup'!$A$2:$A$152,0))</f>
        <v>0.65</v>
      </c>
      <c r="J2806" s="2">
        <f t="shared" si="434"/>
        <v>20.682899680127434</v>
      </c>
      <c r="K2806" s="2">
        <f t="shared" si="438"/>
        <v>5.7912119104356821</v>
      </c>
      <c r="L2806" s="2">
        <f t="shared" si="439"/>
        <v>26.474111590563115</v>
      </c>
      <c r="M2806" s="2">
        <f t="shared" si="435"/>
        <v>19.193730903158258</v>
      </c>
      <c r="N2806" s="2">
        <f t="shared" si="436"/>
        <v>9.596865451579129</v>
      </c>
      <c r="O2806" s="2">
        <f t="shared" si="437"/>
        <v>35.220496207295405</v>
      </c>
      <c r="P2806" s="2">
        <v>72.55377</v>
      </c>
      <c r="Q2806" s="2">
        <v>23.038159</v>
      </c>
    </row>
    <row r="2807" spans="1:17" x14ac:dyDescent="0.25">
      <c r="A2807" s="2">
        <v>2993</v>
      </c>
      <c r="B2807" s="2" t="s">
        <v>139</v>
      </c>
      <c r="C2807" s="2">
        <v>4</v>
      </c>
      <c r="D2807" s="2">
        <f t="shared" si="430"/>
        <v>10.16</v>
      </c>
      <c r="E2807" s="2">
        <f t="shared" si="431"/>
        <v>3.2340284436273135</v>
      </c>
      <c r="F2807" s="2">
        <f t="shared" si="432"/>
        <v>1.2732395447351628</v>
      </c>
      <c r="G2807" s="2">
        <v>8.9117329999999999</v>
      </c>
      <c r="H2807" s="2">
        <f t="shared" si="433"/>
        <v>29.237970095719998</v>
      </c>
      <c r="I2807" s="2">
        <f>INDEX('Wood Density Lookup'!$B$2:$B$152,MATCH(B2807,'Wood Density Lookup'!$A$2:$A$152,0))</f>
        <v>0.9</v>
      </c>
      <c r="J2807" s="2">
        <f t="shared" si="434"/>
        <v>5.0762008115967303</v>
      </c>
      <c r="K2807" s="2">
        <f t="shared" si="438"/>
        <v>1.4213362272470846</v>
      </c>
      <c r="L2807" s="2">
        <f t="shared" si="439"/>
        <v>6.4975370388438147</v>
      </c>
      <c r="M2807" s="2">
        <f t="shared" si="435"/>
        <v>4.7107143531617659</v>
      </c>
      <c r="N2807" s="2">
        <f t="shared" si="436"/>
        <v>2.3553571765808829</v>
      </c>
      <c r="O2807" s="2">
        <f t="shared" si="437"/>
        <v>8.6441608380518407</v>
      </c>
      <c r="P2807" s="2">
        <v>72.553774000000004</v>
      </c>
      <c r="Q2807" s="2">
        <v>23.038716999999998</v>
      </c>
    </row>
    <row r="2808" spans="1:17" x14ac:dyDescent="0.25">
      <c r="A2808" s="2">
        <v>2994</v>
      </c>
      <c r="B2808" s="2" t="s">
        <v>11</v>
      </c>
      <c r="C2808" s="2">
        <v>17</v>
      </c>
      <c r="D2808" s="2">
        <f t="shared" si="430"/>
        <v>43.18</v>
      </c>
      <c r="E2808" s="2">
        <f t="shared" si="431"/>
        <v>13.744620885416081</v>
      </c>
      <c r="F2808" s="2">
        <f t="shared" si="432"/>
        <v>5.4112680651244416</v>
      </c>
      <c r="G2808" s="2">
        <v>1.102725</v>
      </c>
      <c r="H2808" s="2">
        <f t="shared" si="433"/>
        <v>3.6178642889999999</v>
      </c>
      <c r="I2808" s="2">
        <f>INDEX('Wood Density Lookup'!$B$2:$B$152,MATCH(B2808,'Wood Density Lookup'!$A$2:$A$152,0))</f>
        <v>0.45</v>
      </c>
      <c r="J2808" s="2">
        <f t="shared" si="434"/>
        <v>5.6576182884484432</v>
      </c>
      <c r="K2808" s="2">
        <f t="shared" si="438"/>
        <v>1.5841331207655642</v>
      </c>
      <c r="L2808" s="2">
        <f t="shared" si="439"/>
        <v>7.2417514092140074</v>
      </c>
      <c r="M2808" s="2">
        <f t="shared" si="435"/>
        <v>5.2502697716801556</v>
      </c>
      <c r="N2808" s="2">
        <f t="shared" si="436"/>
        <v>2.6251348858400778</v>
      </c>
      <c r="O2808" s="2">
        <f t="shared" si="437"/>
        <v>9.6342450310330854</v>
      </c>
      <c r="P2808" s="2">
        <v>72.553775000000002</v>
      </c>
      <c r="Q2808" s="2">
        <v>23.038188999999999</v>
      </c>
    </row>
    <row r="2809" spans="1:17" x14ac:dyDescent="0.25">
      <c r="A2809" s="2">
        <v>2995</v>
      </c>
      <c r="B2809" s="2" t="s">
        <v>107</v>
      </c>
      <c r="C2809" s="2">
        <v>14</v>
      </c>
      <c r="D2809" s="2">
        <f t="shared" si="430"/>
        <v>35.56</v>
      </c>
      <c r="E2809" s="2">
        <f t="shared" si="431"/>
        <v>11.319099552695597</v>
      </c>
      <c r="F2809" s="2">
        <f t="shared" si="432"/>
        <v>4.45633840657307</v>
      </c>
      <c r="G2809" s="2">
        <v>8.5707909999999998</v>
      </c>
      <c r="H2809" s="2">
        <f t="shared" si="433"/>
        <v>28.119393944439999</v>
      </c>
      <c r="I2809" s="2">
        <f>INDEX('Wood Density Lookup'!$B$2:$B$152,MATCH(B2809,'Wood Density Lookup'!$A$2:$A$152,0))</f>
        <v>0.65</v>
      </c>
      <c r="J2809" s="2">
        <f t="shared" si="434"/>
        <v>41.028693950867805</v>
      </c>
      <c r="K2809" s="2">
        <f t="shared" si="438"/>
        <v>11.488034306242985</v>
      </c>
      <c r="L2809" s="2">
        <f t="shared" si="439"/>
        <v>52.516728257110792</v>
      </c>
      <c r="M2809" s="2">
        <f t="shared" si="435"/>
        <v>38.074627986405325</v>
      </c>
      <c r="N2809" s="2">
        <f t="shared" si="436"/>
        <v>19.037313993202662</v>
      </c>
      <c r="O2809" s="2">
        <f t="shared" si="437"/>
        <v>69.866942355053766</v>
      </c>
      <c r="P2809" s="2">
        <v>72.553777999999994</v>
      </c>
      <c r="Q2809" s="2">
        <v>23.037856000000001</v>
      </c>
    </row>
    <row r="2810" spans="1:17" x14ac:dyDescent="0.25">
      <c r="A2810" s="2">
        <v>2996</v>
      </c>
      <c r="B2810" s="2" t="s">
        <v>124</v>
      </c>
      <c r="C2810" s="2">
        <v>21</v>
      </c>
      <c r="D2810" s="2">
        <f t="shared" si="430"/>
        <v>53.34</v>
      </c>
      <c r="E2810" s="2">
        <f t="shared" si="431"/>
        <v>16.978649329043396</v>
      </c>
      <c r="F2810" s="2">
        <f t="shared" si="432"/>
        <v>6.6845076098596046</v>
      </c>
      <c r="G2810" s="2">
        <v>1.034079</v>
      </c>
      <c r="H2810" s="2">
        <f t="shared" si="433"/>
        <v>3.3926477463599998</v>
      </c>
      <c r="I2810" s="2">
        <f>INDEX('Wood Density Lookup'!$B$2:$B$152,MATCH(B2810,'Wood Density Lookup'!$A$2:$A$152,0))</f>
        <v>0.55000000000000004</v>
      </c>
      <c r="J2810" s="2">
        <f t="shared" si="434"/>
        <v>9.7630250850270901</v>
      </c>
      <c r="K2810" s="2">
        <f t="shared" si="438"/>
        <v>2.7336470238075856</v>
      </c>
      <c r="L2810" s="2">
        <f t="shared" si="439"/>
        <v>12.496672108834677</v>
      </c>
      <c r="M2810" s="2">
        <f t="shared" si="435"/>
        <v>9.0600872789051401</v>
      </c>
      <c r="N2810" s="2">
        <f t="shared" si="436"/>
        <v>4.53004363945257</v>
      </c>
      <c r="O2810" s="2">
        <f t="shared" si="437"/>
        <v>16.625260156790933</v>
      </c>
      <c r="P2810" s="2">
        <v>72.553777999999994</v>
      </c>
      <c r="Q2810" s="2">
        <v>23.038111000000001</v>
      </c>
    </row>
    <row r="2811" spans="1:17" x14ac:dyDescent="0.25">
      <c r="A2811" s="2">
        <v>2997</v>
      </c>
      <c r="B2811" s="2" t="s">
        <v>137</v>
      </c>
      <c r="C2811" s="2">
        <v>7</v>
      </c>
      <c r="D2811" s="2">
        <f t="shared" si="430"/>
        <v>17.78</v>
      </c>
      <c r="E2811" s="2">
        <f t="shared" si="431"/>
        <v>5.6595497763477987</v>
      </c>
      <c r="F2811" s="2">
        <f t="shared" si="432"/>
        <v>2.228169203286535</v>
      </c>
      <c r="G2811" s="2">
        <v>2.1483780000000001</v>
      </c>
      <c r="H2811" s="2">
        <f t="shared" si="433"/>
        <v>7.0484844775200006</v>
      </c>
      <c r="I2811" s="2">
        <f>INDEX('Wood Density Lookup'!$B$2:$B$152,MATCH(B2811,'Wood Density Lookup'!$A$2:$A$152,0))</f>
        <v>0.55000000000000004</v>
      </c>
      <c r="J2811" s="2">
        <f t="shared" si="434"/>
        <v>2.3344217790741131</v>
      </c>
      <c r="K2811" s="2">
        <f t="shared" si="438"/>
        <v>0.65363809814075169</v>
      </c>
      <c r="L2811" s="2">
        <f t="shared" si="439"/>
        <v>2.988059877214865</v>
      </c>
      <c r="M2811" s="2">
        <f t="shared" si="435"/>
        <v>2.1663434109807769</v>
      </c>
      <c r="N2811" s="2">
        <f t="shared" si="436"/>
        <v>1.0831717054903884</v>
      </c>
      <c r="O2811" s="2">
        <f t="shared" si="437"/>
        <v>3.9752401591497253</v>
      </c>
      <c r="P2811" s="2">
        <v>72.553780000000003</v>
      </c>
      <c r="Q2811" s="2">
        <v>23.037818000000001</v>
      </c>
    </row>
    <row r="2812" spans="1:17" x14ac:dyDescent="0.25">
      <c r="A2812" s="2">
        <v>2998</v>
      </c>
      <c r="B2812" s="2" t="s">
        <v>103</v>
      </c>
      <c r="C2812" s="2">
        <v>2</v>
      </c>
      <c r="D2812" s="2">
        <f t="shared" si="430"/>
        <v>5.08</v>
      </c>
      <c r="E2812" s="2">
        <f t="shared" si="431"/>
        <v>1.6170142218136567</v>
      </c>
      <c r="F2812" s="2">
        <f t="shared" si="432"/>
        <v>0.63661977236758138</v>
      </c>
      <c r="G2812" s="2">
        <v>1.3345</v>
      </c>
      <c r="H2812" s="2">
        <f t="shared" si="433"/>
        <v>4.3782809800000004</v>
      </c>
      <c r="I2812" s="2">
        <f>INDEX('Wood Density Lookup'!$B$2:$B$152,MATCH(B2812,'Wood Density Lookup'!$A$2:$A$152,0))</f>
        <v>0.6</v>
      </c>
      <c r="J2812" s="2">
        <f t="shared" si="434"/>
        <v>0.13842388428490485</v>
      </c>
      <c r="K2812" s="2">
        <f t="shared" si="438"/>
        <v>3.8758687599773363E-2</v>
      </c>
      <c r="L2812" s="2">
        <f t="shared" si="439"/>
        <v>0.1771825718846782</v>
      </c>
      <c r="M2812" s="2">
        <f t="shared" si="435"/>
        <v>0.12845736461639171</v>
      </c>
      <c r="N2812" s="2">
        <f t="shared" si="436"/>
        <v>6.4228682308195853E-2</v>
      </c>
      <c r="O2812" s="2">
        <f t="shared" si="437"/>
        <v>0.23571926407107877</v>
      </c>
      <c r="P2812" s="2">
        <v>72.553781999999998</v>
      </c>
      <c r="Q2812" s="2">
        <v>23.037130999999999</v>
      </c>
    </row>
    <row r="2813" spans="1:17" x14ac:dyDescent="0.25">
      <c r="A2813" s="2">
        <v>2999</v>
      </c>
      <c r="B2813" s="2" t="s">
        <v>103</v>
      </c>
      <c r="C2813" s="2">
        <v>2</v>
      </c>
      <c r="D2813" s="2">
        <f t="shared" si="430"/>
        <v>5.08</v>
      </c>
      <c r="E2813" s="2">
        <f t="shared" si="431"/>
        <v>1.6170142218136567</v>
      </c>
      <c r="F2813" s="2">
        <f t="shared" si="432"/>
        <v>0.63661977236758138</v>
      </c>
      <c r="G2813" s="2">
        <v>1.3571709999999999</v>
      </c>
      <c r="H2813" s="2">
        <f t="shared" si="433"/>
        <v>4.45266090364</v>
      </c>
      <c r="I2813" s="2">
        <f>INDEX('Wood Density Lookup'!$B$2:$B$152,MATCH(B2813,'Wood Density Lookup'!$A$2:$A$152,0))</f>
        <v>0.6</v>
      </c>
      <c r="J2813" s="2">
        <f t="shared" si="434"/>
        <v>0.14071857898596443</v>
      </c>
      <c r="K2813" s="2">
        <f t="shared" si="438"/>
        <v>3.9401202116070046E-2</v>
      </c>
      <c r="L2813" s="2">
        <f t="shared" si="439"/>
        <v>0.18011978110203447</v>
      </c>
      <c r="M2813" s="2">
        <f t="shared" si="435"/>
        <v>0.13058684129897499</v>
      </c>
      <c r="N2813" s="2">
        <f t="shared" si="436"/>
        <v>6.5293420649487496E-2</v>
      </c>
      <c r="O2813" s="2">
        <f t="shared" si="437"/>
        <v>0.23962685378361911</v>
      </c>
      <c r="P2813" s="2">
        <v>72.553782999999996</v>
      </c>
      <c r="Q2813" s="2">
        <v>23.037134999999999</v>
      </c>
    </row>
    <row r="2814" spans="1:17" x14ac:dyDescent="0.25">
      <c r="A2814" s="2">
        <v>3000</v>
      </c>
      <c r="B2814" s="2" t="s">
        <v>103</v>
      </c>
      <c r="C2814" s="2">
        <v>1</v>
      </c>
      <c r="D2814" s="2">
        <f t="shared" si="430"/>
        <v>2.54</v>
      </c>
      <c r="E2814" s="2">
        <f t="shared" si="431"/>
        <v>0.80850711090682836</v>
      </c>
      <c r="F2814" s="2">
        <f t="shared" si="432"/>
        <v>0.31830988618379069</v>
      </c>
      <c r="G2814" s="2">
        <v>1.357694</v>
      </c>
      <c r="H2814" s="2">
        <f t="shared" si="433"/>
        <v>4.4543767829599998</v>
      </c>
      <c r="I2814" s="2">
        <f>INDEX('Wood Density Lookup'!$B$2:$B$152,MATCH(B2814,'Wood Density Lookup'!$A$2:$A$152,0))</f>
        <v>0.6</v>
      </c>
      <c r="J2814" s="2">
        <f t="shared" si="434"/>
        <v>3.6383477075418016E-2</v>
      </c>
      <c r="K2814" s="2">
        <f t="shared" si="438"/>
        <v>1.0187373581117046E-2</v>
      </c>
      <c r="L2814" s="2">
        <f t="shared" si="439"/>
        <v>4.6570850656535059E-2</v>
      </c>
      <c r="M2814" s="2">
        <f t="shared" si="435"/>
        <v>3.3763866725987919E-2</v>
      </c>
      <c r="N2814" s="2">
        <f t="shared" si="436"/>
        <v>1.688193336299396E-2</v>
      </c>
      <c r="O2814" s="2">
        <f t="shared" si="437"/>
        <v>6.1956695442187827E-2</v>
      </c>
      <c r="P2814" s="2">
        <v>72.553782999999996</v>
      </c>
      <c r="Q2814" s="2">
        <v>23.037134000000002</v>
      </c>
    </row>
    <row r="2815" spans="1:17" x14ac:dyDescent="0.25">
      <c r="A2815" s="2">
        <v>3001</v>
      </c>
      <c r="B2815" s="2" t="s">
        <v>143</v>
      </c>
      <c r="C2815" s="2">
        <v>24</v>
      </c>
      <c r="D2815" s="2">
        <f t="shared" si="430"/>
        <v>60.96</v>
      </c>
      <c r="E2815" s="2">
        <f t="shared" si="431"/>
        <v>19.404170661763882</v>
      </c>
      <c r="F2815" s="2">
        <f t="shared" si="432"/>
        <v>7.6394372684109761</v>
      </c>
      <c r="G2815" s="2">
        <v>9.2902450000000005</v>
      </c>
      <c r="H2815" s="2">
        <f t="shared" si="433"/>
        <v>30.479807405800003</v>
      </c>
      <c r="I2815" s="2">
        <f>INDEX('Wood Density Lookup'!$B$2:$B$152,MATCH(B2815,'Wood Density Lookup'!$A$2:$A$152,0))</f>
        <v>0.75</v>
      </c>
      <c r="J2815" s="2">
        <f t="shared" si="434"/>
        <v>146.16405386839381</v>
      </c>
      <c r="K2815" s="2">
        <f t="shared" si="438"/>
        <v>40.925935083150272</v>
      </c>
      <c r="L2815" s="2">
        <f t="shared" si="439"/>
        <v>187.08998895154409</v>
      </c>
      <c r="M2815" s="2">
        <f t="shared" si="435"/>
        <v>135.64024198986945</v>
      </c>
      <c r="N2815" s="2">
        <f t="shared" si="436"/>
        <v>67.820120994934726</v>
      </c>
      <c r="O2815" s="2">
        <f t="shared" si="437"/>
        <v>248.89984405141044</v>
      </c>
      <c r="P2815" s="2">
        <v>72.553783999999993</v>
      </c>
      <c r="Q2815" s="2">
        <v>23.037935000000001</v>
      </c>
    </row>
    <row r="2816" spans="1:17" x14ac:dyDescent="0.25">
      <c r="A2816" s="2">
        <v>3002</v>
      </c>
      <c r="B2816" s="2" t="s">
        <v>103</v>
      </c>
      <c r="C2816" s="2">
        <v>1</v>
      </c>
      <c r="D2816" s="2">
        <f t="shared" si="430"/>
        <v>2.54</v>
      </c>
      <c r="E2816" s="2">
        <f t="shared" si="431"/>
        <v>0.80850711090682836</v>
      </c>
      <c r="F2816" s="2">
        <f t="shared" si="432"/>
        <v>0.31830988618379069</v>
      </c>
      <c r="G2816" s="2">
        <v>1.4268190000000001</v>
      </c>
      <c r="H2816" s="2">
        <f t="shared" si="433"/>
        <v>4.6811648479599999</v>
      </c>
      <c r="I2816" s="2">
        <f>INDEX('Wood Density Lookup'!$B$2:$B$152,MATCH(B2816,'Wood Density Lookup'!$A$2:$A$152,0))</f>
        <v>0.6</v>
      </c>
      <c r="J2816" s="2">
        <f t="shared" si="434"/>
        <v>3.8190344733338044E-2</v>
      </c>
      <c r="K2816" s="2">
        <f t="shared" si="438"/>
        <v>1.0693296525334654E-2</v>
      </c>
      <c r="L2816" s="2">
        <f t="shared" si="439"/>
        <v>4.88836412586727E-2</v>
      </c>
      <c r="M2816" s="2">
        <f t="shared" si="435"/>
        <v>3.5440639912537708E-2</v>
      </c>
      <c r="N2816" s="2">
        <f t="shared" si="436"/>
        <v>1.7720319956268854E-2</v>
      </c>
      <c r="O2816" s="2">
        <f t="shared" si="437"/>
        <v>6.5033574239506689E-2</v>
      </c>
      <c r="P2816" s="2">
        <v>72.553783999999993</v>
      </c>
      <c r="Q2816" s="2">
        <v>23.037127999999999</v>
      </c>
    </row>
    <row r="2817" spans="1:17" x14ac:dyDescent="0.25">
      <c r="A2817" s="2">
        <v>3003</v>
      </c>
      <c r="B2817" s="2" t="s">
        <v>103</v>
      </c>
      <c r="C2817" s="2">
        <v>2</v>
      </c>
      <c r="D2817" s="2">
        <f t="shared" ref="D2817:D2880" si="440">C2817*2.54</f>
        <v>5.08</v>
      </c>
      <c r="E2817" s="2">
        <f t="shared" ref="E2817:E2880" si="441">D2817/PI()</f>
        <v>1.6170142218136567</v>
      </c>
      <c r="F2817" s="2">
        <f t="shared" ref="F2817:F2880" si="442">C2817/PI()</f>
        <v>0.63661977236758138</v>
      </c>
      <c r="G2817" s="2">
        <v>1.355262</v>
      </c>
      <c r="H2817" s="2">
        <f t="shared" ref="H2817:H2880" si="443">G2817*3.28084</f>
        <v>4.4463977800799999</v>
      </c>
      <c r="I2817" s="2">
        <f>INDEX('Wood Density Lookup'!$B$2:$B$152,MATCH(B2817,'Wood Density Lookup'!$A$2:$A$152,0))</f>
        <v>0.6</v>
      </c>
      <c r="J2817" s="2">
        <f t="shared" ref="J2817:J2880" si="444">0.0673*POWER(I2817*E2817^2*G2817,0.976)</f>
        <v>0.14052539107340986</v>
      </c>
      <c r="K2817" s="2">
        <f t="shared" si="438"/>
        <v>3.9347109500554762E-2</v>
      </c>
      <c r="L2817" s="2">
        <f t="shared" si="439"/>
        <v>0.17987250057396462</v>
      </c>
      <c r="M2817" s="2">
        <f t="shared" ref="M2817:M2880" si="445">0.725*L2817</f>
        <v>0.13040756291612435</v>
      </c>
      <c r="N2817" s="2">
        <f t="shared" ref="N2817:N2880" si="446">0.5*M2817</f>
        <v>6.5203781458062174E-2</v>
      </c>
      <c r="O2817" s="2">
        <f t="shared" ref="O2817:O2880" si="447">3.67*N2817</f>
        <v>0.23929787795108817</v>
      </c>
      <c r="P2817" s="2">
        <v>72.553783999999993</v>
      </c>
      <c r="Q2817" s="2">
        <v>23.037137999999999</v>
      </c>
    </row>
    <row r="2818" spans="1:17" x14ac:dyDescent="0.25">
      <c r="A2818" s="2">
        <v>3004</v>
      </c>
      <c r="B2818" s="2" t="s">
        <v>15</v>
      </c>
      <c r="C2818" s="2">
        <v>91</v>
      </c>
      <c r="D2818" s="2">
        <f t="shared" si="440"/>
        <v>231.14000000000001</v>
      </c>
      <c r="E2818" s="2">
        <f t="shared" si="441"/>
        <v>73.574147092521386</v>
      </c>
      <c r="F2818" s="2">
        <f t="shared" si="442"/>
        <v>28.966199642724952</v>
      </c>
      <c r="G2818" s="2">
        <v>12.938896</v>
      </c>
      <c r="H2818" s="2">
        <f t="shared" si="443"/>
        <v>42.45044755264</v>
      </c>
      <c r="I2818" s="2">
        <f>INDEX('Wood Density Lookup'!$B$2:$B$152,MATCH(B2818,'Wood Density Lookup'!$A$2:$A$152,0))</f>
        <v>0.75</v>
      </c>
      <c r="J2818" s="2">
        <f t="shared" si="444"/>
        <v>2723.5428169871329</v>
      </c>
      <c r="K2818" s="2">
        <f t="shared" si="438"/>
        <v>762.59198875639731</v>
      </c>
      <c r="L2818" s="2">
        <f t="shared" si="439"/>
        <v>3486.1348057435303</v>
      </c>
      <c r="M2818" s="2">
        <f t="shared" si="445"/>
        <v>2527.4477341640595</v>
      </c>
      <c r="N2818" s="2">
        <f t="shared" si="446"/>
        <v>1263.7238670820298</v>
      </c>
      <c r="O2818" s="2">
        <f t="shared" si="447"/>
        <v>4637.8665921910488</v>
      </c>
      <c r="P2818" s="2">
        <v>72.553785000000005</v>
      </c>
      <c r="Q2818" s="2">
        <v>23.038755999999999</v>
      </c>
    </row>
    <row r="2819" spans="1:17" x14ac:dyDescent="0.25">
      <c r="A2819" s="2">
        <v>3005</v>
      </c>
      <c r="B2819" s="2" t="s">
        <v>103</v>
      </c>
      <c r="C2819" s="2">
        <v>3</v>
      </c>
      <c r="D2819" s="2">
        <f t="shared" si="440"/>
        <v>7.62</v>
      </c>
      <c r="E2819" s="2">
        <f t="shared" si="441"/>
        <v>2.4255213327204852</v>
      </c>
      <c r="F2819" s="2">
        <f t="shared" si="442"/>
        <v>0.95492965855137202</v>
      </c>
      <c r="G2819" s="2">
        <v>1.4348719999999999</v>
      </c>
      <c r="H2819" s="2">
        <f t="shared" si="443"/>
        <v>4.70758545248</v>
      </c>
      <c r="I2819" s="2">
        <f>INDEX('Wood Density Lookup'!$B$2:$B$152,MATCH(B2819,'Wood Density Lookup'!$A$2:$A$152,0))</f>
        <v>0.6</v>
      </c>
      <c r="J2819" s="2">
        <f t="shared" si="444"/>
        <v>0.32785354366024311</v>
      </c>
      <c r="K2819" s="2">
        <f t="shared" ref="K2819:K2882" si="448">0.28*J2819</f>
        <v>9.1798992224868078E-2</v>
      </c>
      <c r="L2819" s="2">
        <f t="shared" ref="L2819:L2882" si="449">J2819+K2819</f>
        <v>0.4196525358851112</v>
      </c>
      <c r="M2819" s="2">
        <f t="shared" si="445"/>
        <v>0.30424808851670559</v>
      </c>
      <c r="N2819" s="2">
        <f t="shared" si="446"/>
        <v>0.1521240442583528</v>
      </c>
      <c r="O2819" s="2">
        <f t="shared" si="447"/>
        <v>0.55829524242815476</v>
      </c>
      <c r="P2819" s="2">
        <v>72.553785000000005</v>
      </c>
      <c r="Q2819" s="2">
        <v>23.037123999999999</v>
      </c>
    </row>
    <row r="2820" spans="1:17" x14ac:dyDescent="0.25">
      <c r="A2820" s="2">
        <v>3006</v>
      </c>
      <c r="B2820" s="2" t="s">
        <v>103</v>
      </c>
      <c r="C2820" s="2">
        <v>2</v>
      </c>
      <c r="D2820" s="2">
        <f t="shared" si="440"/>
        <v>5.08</v>
      </c>
      <c r="E2820" s="2">
        <f t="shared" si="441"/>
        <v>1.6170142218136567</v>
      </c>
      <c r="F2820" s="2">
        <f t="shared" si="442"/>
        <v>0.63661977236758138</v>
      </c>
      <c r="G2820" s="2">
        <v>1.399572</v>
      </c>
      <c r="H2820" s="2">
        <f t="shared" si="443"/>
        <v>4.5917718004800001</v>
      </c>
      <c r="I2820" s="2">
        <f>INDEX('Wood Density Lookup'!$B$2:$B$152,MATCH(B2820,'Wood Density Lookup'!$A$2:$A$152,0))</f>
        <v>0.6</v>
      </c>
      <c r="J2820" s="2">
        <f t="shared" si="444"/>
        <v>0.14500783181548832</v>
      </c>
      <c r="K2820" s="2">
        <f t="shared" si="448"/>
        <v>4.0602192908336734E-2</v>
      </c>
      <c r="L2820" s="2">
        <f t="shared" si="449"/>
        <v>0.18561002472382504</v>
      </c>
      <c r="M2820" s="2">
        <f t="shared" si="445"/>
        <v>0.13456726792477314</v>
      </c>
      <c r="N2820" s="2">
        <f t="shared" si="446"/>
        <v>6.7283633962386569E-2</v>
      </c>
      <c r="O2820" s="2">
        <f t="shared" si="447"/>
        <v>0.2469309366419587</v>
      </c>
      <c r="P2820" s="2">
        <v>72.553787</v>
      </c>
      <c r="Q2820" s="2">
        <v>23.037120999999999</v>
      </c>
    </row>
    <row r="2821" spans="1:17" x14ac:dyDescent="0.25">
      <c r="A2821" s="2">
        <v>3007</v>
      </c>
      <c r="B2821" s="2" t="s">
        <v>103</v>
      </c>
      <c r="C2821" s="2">
        <v>2</v>
      </c>
      <c r="D2821" s="2">
        <f t="shared" si="440"/>
        <v>5.08</v>
      </c>
      <c r="E2821" s="2">
        <f t="shared" si="441"/>
        <v>1.6170142218136567</v>
      </c>
      <c r="F2821" s="2">
        <f t="shared" si="442"/>
        <v>0.63661977236758138</v>
      </c>
      <c r="G2821" s="2">
        <v>1.3542749999999999</v>
      </c>
      <c r="H2821" s="2">
        <f t="shared" si="443"/>
        <v>4.4431595909999997</v>
      </c>
      <c r="I2821" s="2">
        <f>INDEX('Wood Density Lookup'!$B$2:$B$152,MATCH(B2821,'Wood Density Lookup'!$A$2:$A$152,0))</f>
        <v>0.6</v>
      </c>
      <c r="J2821" s="2">
        <f t="shared" si="444"/>
        <v>0.14042550560561615</v>
      </c>
      <c r="K2821" s="2">
        <f t="shared" si="448"/>
        <v>3.9319141569572523E-2</v>
      </c>
      <c r="L2821" s="2">
        <f t="shared" si="449"/>
        <v>0.17974464717518868</v>
      </c>
      <c r="M2821" s="2">
        <f t="shared" si="445"/>
        <v>0.1303148692020118</v>
      </c>
      <c r="N2821" s="2">
        <f t="shared" si="446"/>
        <v>6.5157434601005898E-2</v>
      </c>
      <c r="O2821" s="2">
        <f t="shared" si="447"/>
        <v>0.23912778498569165</v>
      </c>
      <c r="P2821" s="2">
        <v>72.553788999999995</v>
      </c>
      <c r="Q2821" s="2">
        <v>23.037116999999999</v>
      </c>
    </row>
    <row r="2822" spans="1:17" x14ac:dyDescent="0.25">
      <c r="A2822" s="2">
        <v>3008</v>
      </c>
      <c r="B2822" s="2" t="s">
        <v>103</v>
      </c>
      <c r="C2822" s="2">
        <v>2</v>
      </c>
      <c r="D2822" s="2">
        <f t="shared" si="440"/>
        <v>5.08</v>
      </c>
      <c r="E2822" s="2">
        <f t="shared" si="441"/>
        <v>1.6170142218136567</v>
      </c>
      <c r="F2822" s="2">
        <f t="shared" si="442"/>
        <v>0.63661977236758138</v>
      </c>
      <c r="G2822" s="2">
        <v>9.5804209999999994</v>
      </c>
      <c r="H2822" s="2">
        <f t="shared" si="443"/>
        <v>31.431828433639996</v>
      </c>
      <c r="I2822" s="2">
        <f>INDEX('Wood Density Lookup'!$B$2:$B$152,MATCH(B2822,'Wood Density Lookup'!$A$2:$A$152,0))</f>
        <v>0.6</v>
      </c>
      <c r="J2822" s="2">
        <f t="shared" si="444"/>
        <v>0.94783221022588449</v>
      </c>
      <c r="K2822" s="2">
        <f t="shared" si="448"/>
        <v>0.26539301886324768</v>
      </c>
      <c r="L2822" s="2">
        <f t="shared" si="449"/>
        <v>1.2132252290891321</v>
      </c>
      <c r="M2822" s="2">
        <f t="shared" si="445"/>
        <v>0.87958829108962078</v>
      </c>
      <c r="N2822" s="2">
        <f t="shared" si="446"/>
        <v>0.43979414554481039</v>
      </c>
      <c r="O2822" s="2">
        <f t="shared" si="447"/>
        <v>1.6140445141494542</v>
      </c>
      <c r="P2822" s="2">
        <v>72.553788999999995</v>
      </c>
      <c r="Q2822" s="2">
        <v>23.038716999999998</v>
      </c>
    </row>
    <row r="2823" spans="1:17" x14ac:dyDescent="0.25">
      <c r="A2823" s="2">
        <v>3009</v>
      </c>
      <c r="B2823" s="2" t="s">
        <v>103</v>
      </c>
      <c r="C2823" s="2">
        <v>1</v>
      </c>
      <c r="D2823" s="2">
        <f t="shared" si="440"/>
        <v>2.54</v>
      </c>
      <c r="E2823" s="2">
        <f t="shared" si="441"/>
        <v>0.80850711090682836</v>
      </c>
      <c r="F2823" s="2">
        <f t="shared" si="442"/>
        <v>0.31830988618379069</v>
      </c>
      <c r="G2823" s="2">
        <v>1.4611749999999999</v>
      </c>
      <c r="H2823" s="2">
        <f t="shared" si="443"/>
        <v>4.7938813869999999</v>
      </c>
      <c r="I2823" s="2">
        <f>INDEX('Wood Density Lookup'!$B$2:$B$152,MATCH(B2823,'Wood Density Lookup'!$A$2:$A$152,0))</f>
        <v>0.6</v>
      </c>
      <c r="J2823" s="2">
        <f t="shared" si="444"/>
        <v>3.9087592984357107E-2</v>
      </c>
      <c r="K2823" s="2">
        <f t="shared" si="448"/>
        <v>1.0944526035619991E-2</v>
      </c>
      <c r="L2823" s="2">
        <f t="shared" si="449"/>
        <v>5.0032119019977096E-2</v>
      </c>
      <c r="M2823" s="2">
        <f t="shared" si="445"/>
        <v>3.627328628948339E-2</v>
      </c>
      <c r="N2823" s="2">
        <f t="shared" si="446"/>
        <v>1.8136643144741695E-2</v>
      </c>
      <c r="O2823" s="2">
        <f t="shared" si="447"/>
        <v>6.6561480341202017E-2</v>
      </c>
      <c r="P2823" s="2">
        <v>72.553791000000004</v>
      </c>
      <c r="Q2823" s="2">
        <v>23.037130000000001</v>
      </c>
    </row>
    <row r="2824" spans="1:17" x14ac:dyDescent="0.25">
      <c r="A2824" s="2">
        <v>3010</v>
      </c>
      <c r="B2824" s="2" t="s">
        <v>93</v>
      </c>
      <c r="C2824" s="2">
        <v>15</v>
      </c>
      <c r="D2824" s="2">
        <f t="shared" si="440"/>
        <v>38.1</v>
      </c>
      <c r="E2824" s="2">
        <f t="shared" si="441"/>
        <v>12.127606663602425</v>
      </c>
      <c r="F2824" s="2">
        <f t="shared" si="442"/>
        <v>4.7746482927568605</v>
      </c>
      <c r="G2824" s="2">
        <v>8.6717130000000004</v>
      </c>
      <c r="H2824" s="2">
        <f t="shared" si="443"/>
        <v>28.450502878920002</v>
      </c>
      <c r="I2824" s="2">
        <f>INDEX('Wood Density Lookup'!$B$2:$B$152,MATCH(B2824,'Wood Density Lookup'!$A$2:$A$152,0))</f>
        <v>0.9</v>
      </c>
      <c r="J2824" s="2">
        <f t="shared" si="444"/>
        <v>65.234168778691355</v>
      </c>
      <c r="K2824" s="2">
        <f t="shared" si="448"/>
        <v>18.265567258033581</v>
      </c>
      <c r="L2824" s="2">
        <f t="shared" si="449"/>
        <v>83.49973603672494</v>
      </c>
      <c r="M2824" s="2">
        <f t="shared" si="445"/>
        <v>60.537308626625581</v>
      </c>
      <c r="N2824" s="2">
        <f t="shared" si="446"/>
        <v>30.268654313312791</v>
      </c>
      <c r="O2824" s="2">
        <f t="shared" si="447"/>
        <v>111.08596132985794</v>
      </c>
      <c r="P2824" s="2">
        <v>72.553792000000001</v>
      </c>
      <c r="Q2824" s="2">
        <v>23.036714</v>
      </c>
    </row>
    <row r="2825" spans="1:17" x14ac:dyDescent="0.25">
      <c r="A2825" s="2">
        <v>3011</v>
      </c>
      <c r="B2825" s="2" t="s">
        <v>103</v>
      </c>
      <c r="C2825" s="2">
        <v>2</v>
      </c>
      <c r="D2825" s="2">
        <f t="shared" si="440"/>
        <v>5.08</v>
      </c>
      <c r="E2825" s="2">
        <f t="shared" si="441"/>
        <v>1.6170142218136567</v>
      </c>
      <c r="F2825" s="2">
        <f t="shared" si="442"/>
        <v>0.63661977236758138</v>
      </c>
      <c r="G2825" s="2">
        <v>1.3663590000000001</v>
      </c>
      <c r="H2825" s="2">
        <f t="shared" si="443"/>
        <v>4.4828052615600003</v>
      </c>
      <c r="I2825" s="2">
        <f>INDEX('Wood Density Lookup'!$B$2:$B$152,MATCH(B2825,'Wood Density Lookup'!$A$2:$A$152,0))</f>
        <v>0.6</v>
      </c>
      <c r="J2825" s="2">
        <f t="shared" si="444"/>
        <v>0.14164829962465489</v>
      </c>
      <c r="K2825" s="2">
        <f t="shared" si="448"/>
        <v>3.9661523894903371E-2</v>
      </c>
      <c r="L2825" s="2">
        <f t="shared" si="449"/>
        <v>0.18130982351955827</v>
      </c>
      <c r="M2825" s="2">
        <f t="shared" si="445"/>
        <v>0.13144962205167973</v>
      </c>
      <c r="N2825" s="2">
        <f t="shared" si="446"/>
        <v>6.5724811025839866E-2</v>
      </c>
      <c r="O2825" s="2">
        <f t="shared" si="447"/>
        <v>0.24121005646483229</v>
      </c>
      <c r="P2825" s="2">
        <v>72.553792000000001</v>
      </c>
      <c r="Q2825" s="2">
        <v>23.037116999999999</v>
      </c>
    </row>
    <row r="2826" spans="1:17" x14ac:dyDescent="0.25">
      <c r="A2826" s="2">
        <v>3012</v>
      </c>
      <c r="B2826" s="2" t="s">
        <v>103</v>
      </c>
      <c r="C2826" s="2">
        <v>1</v>
      </c>
      <c r="D2826" s="2">
        <f t="shared" si="440"/>
        <v>2.54</v>
      </c>
      <c r="E2826" s="2">
        <f t="shared" si="441"/>
        <v>0.80850711090682836</v>
      </c>
      <c r="F2826" s="2">
        <f t="shared" si="442"/>
        <v>0.31830988618379069</v>
      </c>
      <c r="G2826" s="2">
        <v>1.411743</v>
      </c>
      <c r="H2826" s="2">
        <f t="shared" si="443"/>
        <v>4.63170290412</v>
      </c>
      <c r="I2826" s="2">
        <f>INDEX('Wood Density Lookup'!$B$2:$B$152,MATCH(B2826,'Wood Density Lookup'!$A$2:$A$152,0))</f>
        <v>0.6</v>
      </c>
      <c r="J2826" s="2">
        <f t="shared" si="444"/>
        <v>3.7796453873476354E-2</v>
      </c>
      <c r="K2826" s="2">
        <f t="shared" si="448"/>
        <v>1.058300708457338E-2</v>
      </c>
      <c r="L2826" s="2">
        <f t="shared" si="449"/>
        <v>4.8379460958049736E-2</v>
      </c>
      <c r="M2826" s="2">
        <f t="shared" si="445"/>
        <v>3.5075109194586056E-2</v>
      </c>
      <c r="N2826" s="2">
        <f t="shared" si="446"/>
        <v>1.7537554597293028E-2</v>
      </c>
      <c r="O2826" s="2">
        <f t="shared" si="447"/>
        <v>6.4362825372065405E-2</v>
      </c>
      <c r="P2826" s="2">
        <v>72.553792000000001</v>
      </c>
      <c r="Q2826" s="2">
        <v>23.037120000000002</v>
      </c>
    </row>
    <row r="2827" spans="1:17" x14ac:dyDescent="0.25">
      <c r="A2827" s="2">
        <v>3013</v>
      </c>
      <c r="B2827" s="2" t="s">
        <v>103</v>
      </c>
      <c r="C2827" s="2">
        <v>1</v>
      </c>
      <c r="D2827" s="2">
        <f t="shared" si="440"/>
        <v>2.54</v>
      </c>
      <c r="E2827" s="2">
        <f t="shared" si="441"/>
        <v>0.80850711090682836</v>
      </c>
      <c r="F2827" s="2">
        <f t="shared" si="442"/>
        <v>0.31830988618379069</v>
      </c>
      <c r="G2827" s="2">
        <v>1.4428620000000001</v>
      </c>
      <c r="H2827" s="2">
        <f t="shared" si="443"/>
        <v>4.7337993640800002</v>
      </c>
      <c r="I2827" s="2">
        <f>INDEX('Wood Density Lookup'!$B$2:$B$152,MATCH(B2827,'Wood Density Lookup'!$A$2:$A$152,0))</f>
        <v>0.6</v>
      </c>
      <c r="J2827" s="2">
        <f t="shared" si="444"/>
        <v>3.8609390750908405E-2</v>
      </c>
      <c r="K2827" s="2">
        <f t="shared" si="448"/>
        <v>1.0810629410254355E-2</v>
      </c>
      <c r="L2827" s="2">
        <f t="shared" si="449"/>
        <v>4.9420020161162759E-2</v>
      </c>
      <c r="M2827" s="2">
        <f t="shared" si="445"/>
        <v>3.5829514616843E-2</v>
      </c>
      <c r="N2827" s="2">
        <f t="shared" si="446"/>
        <v>1.79147573084215E-2</v>
      </c>
      <c r="O2827" s="2">
        <f t="shared" si="447"/>
        <v>6.5747159321906903E-2</v>
      </c>
      <c r="P2827" s="2">
        <v>72.553792000000001</v>
      </c>
      <c r="Q2827" s="2">
        <v>23.037126000000001</v>
      </c>
    </row>
    <row r="2828" spans="1:17" x14ac:dyDescent="0.25">
      <c r="A2828" s="2">
        <v>3014</v>
      </c>
      <c r="B2828" s="2" t="s">
        <v>103</v>
      </c>
      <c r="C2828" s="2">
        <v>3</v>
      </c>
      <c r="D2828" s="2">
        <f t="shared" si="440"/>
        <v>7.62</v>
      </c>
      <c r="E2828" s="2">
        <f t="shared" si="441"/>
        <v>2.4255213327204852</v>
      </c>
      <c r="F2828" s="2">
        <f t="shared" si="442"/>
        <v>0.95492965855137202</v>
      </c>
      <c r="G2828" s="2">
        <v>1.440766</v>
      </c>
      <c r="H2828" s="2">
        <f t="shared" si="443"/>
        <v>4.7269227234399995</v>
      </c>
      <c r="I2828" s="2">
        <f>INDEX('Wood Density Lookup'!$B$2:$B$152,MATCH(B2828,'Wood Density Lookup'!$A$2:$A$152,0))</f>
        <v>0.6</v>
      </c>
      <c r="J2828" s="2">
        <f t="shared" si="444"/>
        <v>0.32916787629816568</v>
      </c>
      <c r="K2828" s="2">
        <f t="shared" si="448"/>
        <v>9.2167005363486404E-2</v>
      </c>
      <c r="L2828" s="2">
        <f t="shared" si="449"/>
        <v>0.42133488166165212</v>
      </c>
      <c r="M2828" s="2">
        <f t="shared" si="445"/>
        <v>0.30546778920469775</v>
      </c>
      <c r="N2828" s="2">
        <f t="shared" si="446"/>
        <v>0.15273389460234887</v>
      </c>
      <c r="O2828" s="2">
        <f t="shared" si="447"/>
        <v>0.56053339319062034</v>
      </c>
      <c r="P2828" s="2">
        <v>72.553792000000001</v>
      </c>
      <c r="Q2828" s="2">
        <v>23.037134999999999</v>
      </c>
    </row>
    <row r="2829" spans="1:17" x14ac:dyDescent="0.25">
      <c r="A2829" s="2">
        <v>3015</v>
      </c>
      <c r="B2829" s="2" t="s">
        <v>103</v>
      </c>
      <c r="C2829" s="2">
        <v>2</v>
      </c>
      <c r="D2829" s="2">
        <f t="shared" si="440"/>
        <v>5.08</v>
      </c>
      <c r="E2829" s="2">
        <f t="shared" si="441"/>
        <v>1.6170142218136567</v>
      </c>
      <c r="F2829" s="2">
        <f t="shared" si="442"/>
        <v>0.63661977236758138</v>
      </c>
      <c r="G2829" s="2">
        <v>1.368239</v>
      </c>
      <c r="H2829" s="2">
        <f t="shared" si="443"/>
        <v>4.48897324076</v>
      </c>
      <c r="I2829" s="2">
        <f>INDEX('Wood Density Lookup'!$B$2:$B$152,MATCH(B2829,'Wood Density Lookup'!$A$2:$A$152,0))</f>
        <v>0.6</v>
      </c>
      <c r="J2829" s="2">
        <f t="shared" si="444"/>
        <v>0.14183851562402658</v>
      </c>
      <c r="K2829" s="2">
        <f t="shared" si="448"/>
        <v>3.9714784374727446E-2</v>
      </c>
      <c r="L2829" s="2">
        <f t="shared" si="449"/>
        <v>0.18155329999875403</v>
      </c>
      <c r="M2829" s="2">
        <f t="shared" si="445"/>
        <v>0.13162614249909665</v>
      </c>
      <c r="N2829" s="2">
        <f t="shared" si="446"/>
        <v>6.5813071249548327E-2</v>
      </c>
      <c r="O2829" s="2">
        <f t="shared" si="447"/>
        <v>0.24153397148584235</v>
      </c>
      <c r="P2829" s="2">
        <v>72.553792999999999</v>
      </c>
      <c r="Q2829" s="2">
        <v>23.037139</v>
      </c>
    </row>
    <row r="2830" spans="1:17" x14ac:dyDescent="0.25">
      <c r="A2830" s="2">
        <v>3016</v>
      </c>
      <c r="B2830" s="2" t="s">
        <v>103</v>
      </c>
      <c r="C2830" s="2">
        <v>2</v>
      </c>
      <c r="D2830" s="2">
        <f t="shared" si="440"/>
        <v>5.08</v>
      </c>
      <c r="E2830" s="2">
        <f t="shared" si="441"/>
        <v>1.6170142218136567</v>
      </c>
      <c r="F2830" s="2">
        <f t="shared" si="442"/>
        <v>0.63661977236758138</v>
      </c>
      <c r="G2830" s="2">
        <v>10.022109</v>
      </c>
      <c r="H2830" s="2">
        <f t="shared" si="443"/>
        <v>32.880936091560002</v>
      </c>
      <c r="I2830" s="2">
        <f>INDEX('Wood Density Lookup'!$B$2:$B$152,MATCH(B2830,'Wood Density Lookup'!$A$2:$A$152,0))</f>
        <v>0.6</v>
      </c>
      <c r="J2830" s="2">
        <f t="shared" si="444"/>
        <v>0.99045831514255755</v>
      </c>
      <c r="K2830" s="2">
        <f t="shared" si="448"/>
        <v>0.27732832823991616</v>
      </c>
      <c r="L2830" s="2">
        <f t="shared" si="449"/>
        <v>1.2677866433824736</v>
      </c>
      <c r="M2830" s="2">
        <f t="shared" si="445"/>
        <v>0.91914531645229336</v>
      </c>
      <c r="N2830" s="2">
        <f t="shared" si="446"/>
        <v>0.45957265822614668</v>
      </c>
      <c r="O2830" s="2">
        <f t="shared" si="447"/>
        <v>1.6866316556899583</v>
      </c>
      <c r="P2830" s="2">
        <v>72.553793999999996</v>
      </c>
      <c r="Q2830" s="2">
        <v>23.038712</v>
      </c>
    </row>
    <row r="2831" spans="1:17" x14ac:dyDescent="0.25">
      <c r="A2831" s="2">
        <v>3017</v>
      </c>
      <c r="B2831" s="2" t="s">
        <v>103</v>
      </c>
      <c r="C2831" s="2">
        <v>2</v>
      </c>
      <c r="D2831" s="2">
        <f t="shared" si="440"/>
        <v>5.08</v>
      </c>
      <c r="E2831" s="2">
        <f t="shared" si="441"/>
        <v>1.6170142218136567</v>
      </c>
      <c r="F2831" s="2">
        <f t="shared" si="442"/>
        <v>0.63661977236758138</v>
      </c>
      <c r="G2831" s="2">
        <v>1.418601</v>
      </c>
      <c r="H2831" s="2">
        <f t="shared" si="443"/>
        <v>4.65420290484</v>
      </c>
      <c r="I2831" s="2">
        <f>INDEX('Wood Density Lookup'!$B$2:$B$152,MATCH(B2831,'Wood Density Lookup'!$A$2:$A$152,0))</f>
        <v>0.6</v>
      </c>
      <c r="J2831" s="2">
        <f t="shared" si="444"/>
        <v>0.14693177153491019</v>
      </c>
      <c r="K2831" s="2">
        <f t="shared" si="448"/>
        <v>4.1140896029774859E-2</v>
      </c>
      <c r="L2831" s="2">
        <f t="shared" si="449"/>
        <v>0.18807266756468505</v>
      </c>
      <c r="M2831" s="2">
        <f t="shared" si="445"/>
        <v>0.13635268398439665</v>
      </c>
      <c r="N2831" s="2">
        <f t="shared" si="446"/>
        <v>6.8176341992198325E-2</v>
      </c>
      <c r="O2831" s="2">
        <f t="shared" si="447"/>
        <v>0.25020717511136786</v>
      </c>
      <c r="P2831" s="2">
        <v>72.553797000000003</v>
      </c>
      <c r="Q2831" s="2">
        <v>23.037133000000001</v>
      </c>
    </row>
    <row r="2832" spans="1:17" x14ac:dyDescent="0.25">
      <c r="A2832" s="2">
        <v>3018</v>
      </c>
      <c r="B2832" s="2" t="s">
        <v>103</v>
      </c>
      <c r="C2832" s="2">
        <v>2</v>
      </c>
      <c r="D2832" s="2">
        <f t="shared" si="440"/>
        <v>5.08</v>
      </c>
      <c r="E2832" s="2">
        <f t="shared" si="441"/>
        <v>1.6170142218136567</v>
      </c>
      <c r="F2832" s="2">
        <f t="shared" si="442"/>
        <v>0.63661977236758138</v>
      </c>
      <c r="G2832" s="2">
        <v>1.4252480000000001</v>
      </c>
      <c r="H2832" s="2">
        <f t="shared" si="443"/>
        <v>4.6760106483200001</v>
      </c>
      <c r="I2832" s="2">
        <f>INDEX('Wood Density Lookup'!$B$2:$B$152,MATCH(B2832,'Wood Density Lookup'!$A$2:$A$152,0))</f>
        <v>0.6</v>
      </c>
      <c r="J2832" s="2">
        <f t="shared" si="444"/>
        <v>0.14760367451720199</v>
      </c>
      <c r="K2832" s="2">
        <f t="shared" si="448"/>
        <v>4.1329028864816562E-2</v>
      </c>
      <c r="L2832" s="2">
        <f t="shared" si="449"/>
        <v>0.18893270338201856</v>
      </c>
      <c r="M2832" s="2">
        <f t="shared" si="445"/>
        <v>0.13697620995196344</v>
      </c>
      <c r="N2832" s="2">
        <f t="shared" si="446"/>
        <v>6.848810497598172E-2</v>
      </c>
      <c r="O2832" s="2">
        <f t="shared" si="447"/>
        <v>0.25135134526185293</v>
      </c>
      <c r="P2832" s="2">
        <v>72.553798</v>
      </c>
      <c r="Q2832" s="2">
        <v>23.037127000000002</v>
      </c>
    </row>
    <row r="2833" spans="1:17" x14ac:dyDescent="0.25">
      <c r="A2833" s="2">
        <v>3019</v>
      </c>
      <c r="B2833" s="2" t="s">
        <v>103</v>
      </c>
      <c r="C2833" s="2">
        <v>2</v>
      </c>
      <c r="D2833" s="2">
        <f t="shared" si="440"/>
        <v>5.08</v>
      </c>
      <c r="E2833" s="2">
        <f t="shared" si="441"/>
        <v>1.6170142218136567</v>
      </c>
      <c r="F2833" s="2">
        <f t="shared" si="442"/>
        <v>0.63661977236758138</v>
      </c>
      <c r="G2833" s="2">
        <v>1.3969560000000001</v>
      </c>
      <c r="H2833" s="2">
        <f t="shared" si="443"/>
        <v>4.5831891230400004</v>
      </c>
      <c r="I2833" s="2">
        <f>INDEX('Wood Density Lookup'!$B$2:$B$152,MATCH(B2833,'Wood Density Lookup'!$A$2:$A$152,0))</f>
        <v>0.6</v>
      </c>
      <c r="J2833" s="2">
        <f t="shared" si="444"/>
        <v>0.14474329049434548</v>
      </c>
      <c r="K2833" s="2">
        <f t="shared" si="448"/>
        <v>4.0528121338416739E-2</v>
      </c>
      <c r="L2833" s="2">
        <f t="shared" si="449"/>
        <v>0.18527141183276222</v>
      </c>
      <c r="M2833" s="2">
        <f t="shared" si="445"/>
        <v>0.13432177357875261</v>
      </c>
      <c r="N2833" s="2">
        <f t="shared" si="446"/>
        <v>6.7160886789376303E-2</v>
      </c>
      <c r="O2833" s="2">
        <f t="shared" si="447"/>
        <v>0.24648045451701103</v>
      </c>
      <c r="P2833" s="2">
        <v>72.553798</v>
      </c>
      <c r="Q2833" s="2">
        <v>23.037122</v>
      </c>
    </row>
    <row r="2834" spans="1:17" x14ac:dyDescent="0.25">
      <c r="A2834" s="2">
        <v>3020</v>
      </c>
      <c r="B2834" s="2" t="s">
        <v>103</v>
      </c>
      <c r="C2834" s="2">
        <v>1</v>
      </c>
      <c r="D2834" s="2">
        <f t="shared" si="440"/>
        <v>2.54</v>
      </c>
      <c r="E2834" s="2">
        <f t="shared" si="441"/>
        <v>0.80850711090682836</v>
      </c>
      <c r="F2834" s="2">
        <f t="shared" si="442"/>
        <v>0.31830988618379069</v>
      </c>
      <c r="G2834" s="2">
        <v>1.364147</v>
      </c>
      <c r="H2834" s="2">
        <f t="shared" si="443"/>
        <v>4.4755480434799999</v>
      </c>
      <c r="I2834" s="2">
        <f>INDEX('Wood Density Lookup'!$B$2:$B$152,MATCH(B2834,'Wood Density Lookup'!$A$2:$A$152,0))</f>
        <v>0.6</v>
      </c>
      <c r="J2834" s="2">
        <f t="shared" si="444"/>
        <v>3.6552244667693308E-2</v>
      </c>
      <c r="K2834" s="2">
        <f t="shared" si="448"/>
        <v>1.0234628506954127E-2</v>
      </c>
      <c r="L2834" s="2">
        <f t="shared" si="449"/>
        <v>4.6786873174647435E-2</v>
      </c>
      <c r="M2834" s="2">
        <f t="shared" si="445"/>
        <v>3.3920483051619391E-2</v>
      </c>
      <c r="N2834" s="2">
        <f t="shared" si="446"/>
        <v>1.6960241525809695E-2</v>
      </c>
      <c r="O2834" s="2">
        <f t="shared" si="447"/>
        <v>6.2244086399721579E-2</v>
      </c>
      <c r="P2834" s="2">
        <v>72.553798999999998</v>
      </c>
      <c r="Q2834" s="2">
        <v>23.037139</v>
      </c>
    </row>
    <row r="2835" spans="1:17" x14ac:dyDescent="0.25">
      <c r="A2835" s="2">
        <v>3021</v>
      </c>
      <c r="B2835" s="2" t="s">
        <v>114</v>
      </c>
      <c r="C2835" s="2">
        <v>41</v>
      </c>
      <c r="D2835" s="2">
        <f t="shared" si="440"/>
        <v>104.14</v>
      </c>
      <c r="E2835" s="2">
        <f t="shared" si="441"/>
        <v>33.148791547179961</v>
      </c>
      <c r="F2835" s="2">
        <f t="shared" si="442"/>
        <v>13.050705333535419</v>
      </c>
      <c r="G2835" s="2">
        <v>13.647360000000001</v>
      </c>
      <c r="H2835" s="2">
        <f t="shared" si="443"/>
        <v>44.774804582400002</v>
      </c>
      <c r="I2835" s="2">
        <f>INDEX('Wood Density Lookup'!$B$2:$B$152,MATCH(B2835,'Wood Density Lookup'!$A$2:$A$152,0))</f>
        <v>0.55000000000000004</v>
      </c>
      <c r="J2835" s="2">
        <f t="shared" si="444"/>
        <v>447.06377515049286</v>
      </c>
      <c r="K2835" s="2">
        <f t="shared" si="448"/>
        <v>125.17785704213802</v>
      </c>
      <c r="L2835" s="2">
        <f t="shared" si="449"/>
        <v>572.24163219263085</v>
      </c>
      <c r="M2835" s="2">
        <f t="shared" si="445"/>
        <v>414.87518333965733</v>
      </c>
      <c r="N2835" s="2">
        <f t="shared" si="446"/>
        <v>207.43759166982866</v>
      </c>
      <c r="O2835" s="2">
        <f t="shared" si="447"/>
        <v>761.2959614282712</v>
      </c>
      <c r="P2835" s="2">
        <v>72.553799999999995</v>
      </c>
      <c r="Q2835" s="2">
        <v>23.037400999999999</v>
      </c>
    </row>
    <row r="2836" spans="1:17" x14ac:dyDescent="0.25">
      <c r="A2836" s="2">
        <v>3022</v>
      </c>
      <c r="B2836" s="2" t="s">
        <v>33</v>
      </c>
      <c r="C2836" s="2">
        <v>33</v>
      </c>
      <c r="D2836" s="2">
        <f t="shared" si="440"/>
        <v>83.820000000000007</v>
      </c>
      <c r="E2836" s="2">
        <f t="shared" si="441"/>
        <v>26.680734659925339</v>
      </c>
      <c r="F2836" s="2">
        <f t="shared" si="442"/>
        <v>10.504226244065093</v>
      </c>
      <c r="G2836" s="2">
        <v>2.0834090000000001</v>
      </c>
      <c r="H2836" s="2">
        <f t="shared" si="443"/>
        <v>6.8353315835600004</v>
      </c>
      <c r="I2836" s="2">
        <f>INDEX('Wood Density Lookup'!$B$2:$B$152,MATCH(B2836,'Wood Density Lookup'!$A$2:$A$152,0))</f>
        <v>0.65</v>
      </c>
      <c r="J2836" s="2">
        <f t="shared" si="444"/>
        <v>55.014924506870742</v>
      </c>
      <c r="K2836" s="2">
        <f t="shared" si="448"/>
        <v>15.404178861923809</v>
      </c>
      <c r="L2836" s="2">
        <f t="shared" si="449"/>
        <v>70.419103368794552</v>
      </c>
      <c r="M2836" s="2">
        <f t="shared" si="445"/>
        <v>51.053849942376047</v>
      </c>
      <c r="N2836" s="2">
        <f t="shared" si="446"/>
        <v>25.526924971188024</v>
      </c>
      <c r="O2836" s="2">
        <f t="shared" si="447"/>
        <v>93.683814644260039</v>
      </c>
      <c r="P2836" s="2">
        <v>72.553799999999995</v>
      </c>
      <c r="Q2836" s="2">
        <v>23.038191000000001</v>
      </c>
    </row>
    <row r="2837" spans="1:17" x14ac:dyDescent="0.25">
      <c r="A2837" s="2">
        <v>3023</v>
      </c>
      <c r="B2837" s="2" t="s">
        <v>103</v>
      </c>
      <c r="C2837" s="2">
        <v>2</v>
      </c>
      <c r="D2837" s="2">
        <f t="shared" si="440"/>
        <v>5.08</v>
      </c>
      <c r="E2837" s="2">
        <f t="shared" si="441"/>
        <v>1.6170142218136567</v>
      </c>
      <c r="F2837" s="2">
        <f t="shared" si="442"/>
        <v>0.63661977236758138</v>
      </c>
      <c r="G2837" s="2">
        <v>1.3373299999999999</v>
      </c>
      <c r="H2837" s="2">
        <f t="shared" si="443"/>
        <v>4.3875657572</v>
      </c>
      <c r="I2837" s="2">
        <f>INDEX('Wood Density Lookup'!$B$2:$B$152,MATCH(B2837,'Wood Density Lookup'!$A$2:$A$152,0))</f>
        <v>0.6</v>
      </c>
      <c r="J2837" s="2">
        <f t="shared" si="444"/>
        <v>0.13871037969120639</v>
      </c>
      <c r="K2837" s="2">
        <f t="shared" si="448"/>
        <v>3.8838906313537792E-2</v>
      </c>
      <c r="L2837" s="2">
        <f t="shared" si="449"/>
        <v>0.17754928600474418</v>
      </c>
      <c r="M2837" s="2">
        <f t="shared" si="445"/>
        <v>0.12872323235343952</v>
      </c>
      <c r="N2837" s="2">
        <f t="shared" si="446"/>
        <v>6.436161617671976E-2</v>
      </c>
      <c r="O2837" s="2">
        <f t="shared" si="447"/>
        <v>0.23620713136856153</v>
      </c>
      <c r="P2837" s="2">
        <v>72.553799999999995</v>
      </c>
      <c r="Q2837" s="2">
        <v>23.037119000000001</v>
      </c>
    </row>
    <row r="2838" spans="1:17" x14ac:dyDescent="0.25">
      <c r="A2838" s="2">
        <v>3024</v>
      </c>
      <c r="B2838" s="2" t="s">
        <v>103</v>
      </c>
      <c r="C2838" s="2">
        <v>1</v>
      </c>
      <c r="D2838" s="2">
        <f t="shared" si="440"/>
        <v>2.54</v>
      </c>
      <c r="E2838" s="2">
        <f t="shared" si="441"/>
        <v>0.80850711090682836</v>
      </c>
      <c r="F2838" s="2">
        <f t="shared" si="442"/>
        <v>0.31830988618379069</v>
      </c>
      <c r="G2838" s="2">
        <v>1.4383919999999999</v>
      </c>
      <c r="H2838" s="2">
        <f t="shared" si="443"/>
        <v>4.7191340092799994</v>
      </c>
      <c r="I2838" s="2">
        <f>INDEX('Wood Density Lookup'!$B$2:$B$152,MATCH(B2838,'Wood Density Lookup'!$A$2:$A$152,0))</f>
        <v>0.6</v>
      </c>
      <c r="J2838" s="2">
        <f t="shared" si="444"/>
        <v>3.8492644845987287E-2</v>
      </c>
      <c r="K2838" s="2">
        <f t="shared" si="448"/>
        <v>1.0777940556876441E-2</v>
      </c>
      <c r="L2838" s="2">
        <f t="shared" si="449"/>
        <v>4.9270585402863727E-2</v>
      </c>
      <c r="M2838" s="2">
        <f t="shared" si="445"/>
        <v>3.5721174417076201E-2</v>
      </c>
      <c r="N2838" s="2">
        <f t="shared" si="446"/>
        <v>1.7860587208538101E-2</v>
      </c>
      <c r="O2838" s="2">
        <f t="shared" si="447"/>
        <v>6.5548355055334823E-2</v>
      </c>
      <c r="P2838" s="2">
        <v>72.553799999999995</v>
      </c>
      <c r="Q2838" s="2">
        <v>23.037133000000001</v>
      </c>
    </row>
    <row r="2839" spans="1:17" x14ac:dyDescent="0.25">
      <c r="A2839" s="2">
        <v>3025</v>
      </c>
      <c r="B2839" s="2" t="s">
        <v>103</v>
      </c>
      <c r="C2839" s="2">
        <v>2</v>
      </c>
      <c r="D2839" s="2">
        <f t="shared" si="440"/>
        <v>5.08</v>
      </c>
      <c r="E2839" s="2">
        <f t="shared" si="441"/>
        <v>1.6170142218136567</v>
      </c>
      <c r="F2839" s="2">
        <f t="shared" si="442"/>
        <v>0.63661977236758138</v>
      </c>
      <c r="G2839" s="2">
        <v>9.6775249999999993</v>
      </c>
      <c r="H2839" s="2">
        <f t="shared" si="443"/>
        <v>31.750411120999999</v>
      </c>
      <c r="I2839" s="2">
        <f>INDEX('Wood Density Lookup'!$B$2:$B$152,MATCH(B2839,'Wood Density Lookup'!$A$2:$A$152,0))</f>
        <v>0.6</v>
      </c>
      <c r="J2839" s="2">
        <f t="shared" si="444"/>
        <v>0.95720742365343237</v>
      </c>
      <c r="K2839" s="2">
        <f t="shared" si="448"/>
        <v>0.26801807862296106</v>
      </c>
      <c r="L2839" s="2">
        <f t="shared" si="449"/>
        <v>1.2252255022763934</v>
      </c>
      <c r="M2839" s="2">
        <f t="shared" si="445"/>
        <v>0.88828848915038516</v>
      </c>
      <c r="N2839" s="2">
        <f t="shared" si="446"/>
        <v>0.44414424457519258</v>
      </c>
      <c r="O2839" s="2">
        <f t="shared" si="447"/>
        <v>1.6300093775909568</v>
      </c>
      <c r="P2839" s="2">
        <v>72.553799999999995</v>
      </c>
      <c r="Q2839" s="2">
        <v>23.038716000000001</v>
      </c>
    </row>
    <row r="2840" spans="1:17" x14ac:dyDescent="0.25">
      <c r="A2840" s="2">
        <v>3026</v>
      </c>
      <c r="B2840" s="2" t="s">
        <v>103</v>
      </c>
      <c r="C2840" s="2">
        <v>1</v>
      </c>
      <c r="D2840" s="2">
        <f t="shared" si="440"/>
        <v>2.54</v>
      </c>
      <c r="E2840" s="2">
        <f t="shared" si="441"/>
        <v>0.80850711090682836</v>
      </c>
      <c r="F2840" s="2">
        <f t="shared" si="442"/>
        <v>0.31830988618379069</v>
      </c>
      <c r="G2840" s="2">
        <v>1.420588</v>
      </c>
      <c r="H2840" s="2">
        <f t="shared" si="443"/>
        <v>4.6607219339199997</v>
      </c>
      <c r="I2840" s="2">
        <f>INDEX('Wood Density Lookup'!$B$2:$B$152,MATCH(B2840,'Wood Density Lookup'!$A$2:$A$152,0))</f>
        <v>0.6</v>
      </c>
      <c r="J2840" s="2">
        <f t="shared" si="444"/>
        <v>3.8027559481359004E-2</v>
      </c>
      <c r="K2840" s="2">
        <f t="shared" si="448"/>
        <v>1.0647716654780521E-2</v>
      </c>
      <c r="L2840" s="2">
        <f t="shared" si="449"/>
        <v>4.8675276136139527E-2</v>
      </c>
      <c r="M2840" s="2">
        <f t="shared" si="445"/>
        <v>3.5289575198701156E-2</v>
      </c>
      <c r="N2840" s="2">
        <f t="shared" si="446"/>
        <v>1.7644787599350578E-2</v>
      </c>
      <c r="O2840" s="2">
        <f t="shared" si="447"/>
        <v>6.4756370489616619E-2</v>
      </c>
      <c r="P2840" s="2">
        <v>72.553801000000007</v>
      </c>
      <c r="Q2840" s="2">
        <v>23.037136</v>
      </c>
    </row>
    <row r="2841" spans="1:17" x14ac:dyDescent="0.25">
      <c r="A2841" s="2">
        <v>3027</v>
      </c>
      <c r="B2841" s="2" t="s">
        <v>103</v>
      </c>
      <c r="C2841" s="2">
        <v>2</v>
      </c>
      <c r="D2841" s="2">
        <f t="shared" si="440"/>
        <v>5.08</v>
      </c>
      <c r="E2841" s="2">
        <f t="shared" si="441"/>
        <v>1.6170142218136567</v>
      </c>
      <c r="F2841" s="2">
        <f t="shared" si="442"/>
        <v>0.63661977236758138</v>
      </c>
      <c r="G2841" s="2">
        <v>1.4138999999999999</v>
      </c>
      <c r="H2841" s="2">
        <f t="shared" si="443"/>
        <v>4.6387796759999995</v>
      </c>
      <c r="I2841" s="2">
        <f>INDEX('Wood Density Lookup'!$B$2:$B$152,MATCH(B2841,'Wood Density Lookup'!$A$2:$A$152,0))</f>
        <v>0.6</v>
      </c>
      <c r="J2841" s="2">
        <f t="shared" si="444"/>
        <v>0.14645653172729062</v>
      </c>
      <c r="K2841" s="2">
        <f t="shared" si="448"/>
        <v>4.1007828883641378E-2</v>
      </c>
      <c r="L2841" s="2">
        <f t="shared" si="449"/>
        <v>0.187464360610932</v>
      </c>
      <c r="M2841" s="2">
        <f t="shared" si="445"/>
        <v>0.13591166144292569</v>
      </c>
      <c r="N2841" s="2">
        <f t="shared" si="446"/>
        <v>6.7955830721462843E-2</v>
      </c>
      <c r="O2841" s="2">
        <f t="shared" si="447"/>
        <v>0.24939789874776863</v>
      </c>
      <c r="P2841" s="2">
        <v>72.553802000000005</v>
      </c>
      <c r="Q2841" s="2">
        <v>23.037127999999999</v>
      </c>
    </row>
    <row r="2842" spans="1:17" x14ac:dyDescent="0.25">
      <c r="A2842" s="2">
        <v>3028</v>
      </c>
      <c r="B2842" s="2" t="s">
        <v>103</v>
      </c>
      <c r="C2842" s="2">
        <v>2</v>
      </c>
      <c r="D2842" s="2">
        <f t="shared" si="440"/>
        <v>5.08</v>
      </c>
      <c r="E2842" s="2">
        <f t="shared" si="441"/>
        <v>1.6170142218136567</v>
      </c>
      <c r="F2842" s="2">
        <f t="shared" si="442"/>
        <v>0.63661977236758138</v>
      </c>
      <c r="G2842" s="2">
        <v>1.435476</v>
      </c>
      <c r="H2842" s="2">
        <f t="shared" si="443"/>
        <v>4.7095670798400002</v>
      </c>
      <c r="I2842" s="2">
        <f>INDEX('Wood Density Lookup'!$B$2:$B$152,MATCH(B2842,'Wood Density Lookup'!$A$2:$A$152,0))</f>
        <v>0.6</v>
      </c>
      <c r="J2842" s="2">
        <f t="shared" si="444"/>
        <v>0.14863741126746957</v>
      </c>
      <c r="K2842" s="2">
        <f t="shared" si="448"/>
        <v>4.1618475154891484E-2</v>
      </c>
      <c r="L2842" s="2">
        <f t="shared" si="449"/>
        <v>0.19025588642236105</v>
      </c>
      <c r="M2842" s="2">
        <f t="shared" si="445"/>
        <v>0.13793551765621176</v>
      </c>
      <c r="N2842" s="2">
        <f t="shared" si="446"/>
        <v>6.896775882810588E-2</v>
      </c>
      <c r="O2842" s="2">
        <f t="shared" si="447"/>
        <v>0.2531116748991486</v>
      </c>
      <c r="P2842" s="2">
        <v>72.553802000000005</v>
      </c>
      <c r="Q2842" s="2">
        <v>23.037130999999999</v>
      </c>
    </row>
    <row r="2843" spans="1:17" x14ac:dyDescent="0.25">
      <c r="A2843" s="2">
        <v>3029</v>
      </c>
      <c r="B2843" s="2" t="s">
        <v>103</v>
      </c>
      <c r="C2843" s="2">
        <v>4</v>
      </c>
      <c r="D2843" s="2">
        <f t="shared" si="440"/>
        <v>10.16</v>
      </c>
      <c r="E2843" s="2">
        <f t="shared" si="441"/>
        <v>3.2340284436273135</v>
      </c>
      <c r="F2843" s="2">
        <f t="shared" si="442"/>
        <v>1.2732395447351628</v>
      </c>
      <c r="G2843" s="2">
        <v>1.3640600000000001</v>
      </c>
      <c r="H2843" s="2">
        <f t="shared" si="443"/>
        <v>4.4752626103999997</v>
      </c>
      <c r="I2843" s="2">
        <f>INDEX('Wood Density Lookup'!$B$2:$B$152,MATCH(B2843,'Wood Density Lookup'!$A$2:$A$152,0))</f>
        <v>0.6</v>
      </c>
      <c r="J2843" s="2">
        <f t="shared" si="444"/>
        <v>0.54715216425188817</v>
      </c>
      <c r="K2843" s="2">
        <f t="shared" si="448"/>
        <v>0.15320260599052871</v>
      </c>
      <c r="L2843" s="2">
        <f t="shared" si="449"/>
        <v>0.70035477024241688</v>
      </c>
      <c r="M2843" s="2">
        <f t="shared" si="445"/>
        <v>0.50775720842575223</v>
      </c>
      <c r="N2843" s="2">
        <f t="shared" si="446"/>
        <v>0.25387860421287611</v>
      </c>
      <c r="O2843" s="2">
        <f t="shared" si="447"/>
        <v>0.93173447746125537</v>
      </c>
      <c r="P2843" s="2">
        <v>72.553804</v>
      </c>
      <c r="Q2843" s="2">
        <v>23.037120000000002</v>
      </c>
    </row>
    <row r="2844" spans="1:17" x14ac:dyDescent="0.25">
      <c r="A2844" s="2">
        <v>3030</v>
      </c>
      <c r="B2844" s="2" t="s">
        <v>103</v>
      </c>
      <c r="C2844" s="2">
        <v>1</v>
      </c>
      <c r="D2844" s="2">
        <f t="shared" si="440"/>
        <v>2.54</v>
      </c>
      <c r="E2844" s="2">
        <f t="shared" si="441"/>
        <v>0.80850711090682836</v>
      </c>
      <c r="F2844" s="2">
        <f t="shared" si="442"/>
        <v>0.31830988618379069</v>
      </c>
      <c r="G2844" s="2">
        <v>1.388312</v>
      </c>
      <c r="H2844" s="2">
        <f t="shared" si="443"/>
        <v>4.5548295420800002</v>
      </c>
      <c r="I2844" s="2">
        <f>INDEX('Wood Density Lookup'!$B$2:$B$152,MATCH(B2844,'Wood Density Lookup'!$A$2:$A$152,0))</f>
        <v>0.6</v>
      </c>
      <c r="J2844" s="2">
        <f t="shared" si="444"/>
        <v>3.7184070999522305E-2</v>
      </c>
      <c r="K2844" s="2">
        <f t="shared" si="448"/>
        <v>1.0411539879866247E-2</v>
      </c>
      <c r="L2844" s="2">
        <f t="shared" si="449"/>
        <v>4.7595610879388552E-2</v>
      </c>
      <c r="M2844" s="2">
        <f t="shared" si="445"/>
        <v>3.4506817887556697E-2</v>
      </c>
      <c r="N2844" s="2">
        <f t="shared" si="446"/>
        <v>1.7253408943778348E-2</v>
      </c>
      <c r="O2844" s="2">
        <f t="shared" si="447"/>
        <v>6.3320010823666534E-2</v>
      </c>
      <c r="P2844" s="2">
        <v>72.553804</v>
      </c>
      <c r="Q2844" s="2">
        <v>23.037123999999999</v>
      </c>
    </row>
    <row r="2845" spans="1:17" x14ac:dyDescent="0.25">
      <c r="A2845" s="2">
        <v>3031</v>
      </c>
      <c r="B2845" s="2" t="s">
        <v>103</v>
      </c>
      <c r="C2845" s="2">
        <v>3</v>
      </c>
      <c r="D2845" s="2">
        <f t="shared" si="440"/>
        <v>7.62</v>
      </c>
      <c r="E2845" s="2">
        <f t="shared" si="441"/>
        <v>2.4255213327204852</v>
      </c>
      <c r="F2845" s="2">
        <f t="shared" si="442"/>
        <v>0.95492965855137202</v>
      </c>
      <c r="G2845" s="2">
        <v>1.4260520000000001</v>
      </c>
      <c r="H2845" s="2">
        <f t="shared" si="443"/>
        <v>4.6786484436800002</v>
      </c>
      <c r="I2845" s="2">
        <f>INDEX('Wood Density Lookup'!$B$2:$B$152,MATCH(B2845,'Wood Density Lookup'!$A$2:$A$152,0))</f>
        <v>0.6</v>
      </c>
      <c r="J2845" s="2">
        <f t="shared" si="444"/>
        <v>0.32588648539081533</v>
      </c>
      <c r="K2845" s="2">
        <f t="shared" si="448"/>
        <v>9.1248215909428304E-2</v>
      </c>
      <c r="L2845" s="2">
        <f t="shared" si="449"/>
        <v>0.41713470130024366</v>
      </c>
      <c r="M2845" s="2">
        <f t="shared" si="445"/>
        <v>0.30242265844267663</v>
      </c>
      <c r="N2845" s="2">
        <f t="shared" si="446"/>
        <v>0.15121132922133831</v>
      </c>
      <c r="O2845" s="2">
        <f t="shared" si="447"/>
        <v>0.55494557824231161</v>
      </c>
      <c r="P2845" s="2">
        <v>72.553804999999997</v>
      </c>
      <c r="Q2845" s="2">
        <v>23.037134999999999</v>
      </c>
    </row>
    <row r="2846" spans="1:17" x14ac:dyDescent="0.25">
      <c r="A2846" s="2">
        <v>3032</v>
      </c>
      <c r="B2846" s="2" t="s">
        <v>103</v>
      </c>
      <c r="C2846" s="2">
        <v>1</v>
      </c>
      <c r="D2846" s="2">
        <f t="shared" si="440"/>
        <v>2.54</v>
      </c>
      <c r="E2846" s="2">
        <f t="shared" si="441"/>
        <v>0.80850711090682836</v>
      </c>
      <c r="F2846" s="2">
        <f t="shared" si="442"/>
        <v>0.31830988618379069</v>
      </c>
      <c r="G2846" s="2">
        <v>1.2665839999999999</v>
      </c>
      <c r="H2846" s="2">
        <f t="shared" si="443"/>
        <v>4.1554594505599995</v>
      </c>
      <c r="I2846" s="2">
        <f>INDEX('Wood Density Lookup'!$B$2:$B$152,MATCH(B2846,'Wood Density Lookup'!$A$2:$A$152,0))</f>
        <v>0.6</v>
      </c>
      <c r="J2846" s="2">
        <f t="shared" si="444"/>
        <v>3.3998544855017278E-2</v>
      </c>
      <c r="K2846" s="2">
        <f t="shared" si="448"/>
        <v>9.5195925594048388E-3</v>
      </c>
      <c r="L2846" s="2">
        <f t="shared" si="449"/>
        <v>4.351813741442212E-2</v>
      </c>
      <c r="M2846" s="2">
        <f t="shared" si="445"/>
        <v>3.1550649625456034E-2</v>
      </c>
      <c r="N2846" s="2">
        <f t="shared" si="446"/>
        <v>1.5775324812728017E-2</v>
      </c>
      <c r="O2846" s="2">
        <f t="shared" si="447"/>
        <v>5.789544206271182E-2</v>
      </c>
      <c r="P2846" s="2">
        <v>72.553804999999997</v>
      </c>
      <c r="Q2846" s="2">
        <v>23.037116999999999</v>
      </c>
    </row>
    <row r="2847" spans="1:17" x14ac:dyDescent="0.25">
      <c r="A2847" s="2">
        <v>3033</v>
      </c>
      <c r="B2847" s="2" t="s">
        <v>124</v>
      </c>
      <c r="C2847" s="2">
        <v>5</v>
      </c>
      <c r="D2847" s="2">
        <f t="shared" si="440"/>
        <v>12.7</v>
      </c>
      <c r="E2847" s="2">
        <f t="shared" si="441"/>
        <v>4.0425355545341413</v>
      </c>
      <c r="F2847" s="2">
        <f t="shared" si="442"/>
        <v>1.5915494309189535</v>
      </c>
      <c r="G2847" s="2">
        <v>5.0379009999999997</v>
      </c>
      <c r="H2847" s="2">
        <f t="shared" si="443"/>
        <v>16.528547116839999</v>
      </c>
      <c r="I2847" s="2">
        <f>INDEX('Wood Density Lookup'!$B$2:$B$152,MATCH(B2847,'Wood Density Lookup'!$A$2:$A$152,0))</f>
        <v>0.55000000000000004</v>
      </c>
      <c r="J2847" s="2">
        <f t="shared" si="444"/>
        <v>2.7809488361230543</v>
      </c>
      <c r="K2847" s="2">
        <f t="shared" si="448"/>
        <v>0.77866567411445531</v>
      </c>
      <c r="L2847" s="2">
        <f t="shared" si="449"/>
        <v>3.5596145102375099</v>
      </c>
      <c r="M2847" s="2">
        <f t="shared" si="445"/>
        <v>2.5807205199221945</v>
      </c>
      <c r="N2847" s="2">
        <f t="shared" si="446"/>
        <v>1.2903602599610973</v>
      </c>
      <c r="O2847" s="2">
        <f t="shared" si="447"/>
        <v>4.7356221540572268</v>
      </c>
      <c r="P2847" s="2">
        <v>72.553805999999994</v>
      </c>
      <c r="Q2847" s="2">
        <v>23.037818999999999</v>
      </c>
    </row>
    <row r="2848" spans="1:17" x14ac:dyDescent="0.25">
      <c r="A2848" s="2">
        <v>3034</v>
      </c>
      <c r="B2848" s="2" t="s">
        <v>103</v>
      </c>
      <c r="C2848" s="2">
        <v>2</v>
      </c>
      <c r="D2848" s="2">
        <f t="shared" si="440"/>
        <v>5.08</v>
      </c>
      <c r="E2848" s="2">
        <f t="shared" si="441"/>
        <v>1.6170142218136567</v>
      </c>
      <c r="F2848" s="2">
        <f t="shared" si="442"/>
        <v>0.63661977236758138</v>
      </c>
      <c r="G2848" s="2">
        <v>1.427278</v>
      </c>
      <c r="H2848" s="2">
        <f t="shared" si="443"/>
        <v>4.6826707535200001</v>
      </c>
      <c r="I2848" s="2">
        <f>INDEX('Wood Density Lookup'!$B$2:$B$152,MATCH(B2848,'Wood Density Lookup'!$A$2:$A$152,0))</f>
        <v>0.6</v>
      </c>
      <c r="J2848" s="2">
        <f t="shared" si="444"/>
        <v>0.14780885930770085</v>
      </c>
      <c r="K2848" s="2">
        <f t="shared" si="448"/>
        <v>4.138648060615624E-2</v>
      </c>
      <c r="L2848" s="2">
        <f t="shared" si="449"/>
        <v>0.18919533991385709</v>
      </c>
      <c r="M2848" s="2">
        <f t="shared" si="445"/>
        <v>0.13716662143754638</v>
      </c>
      <c r="N2848" s="2">
        <f t="shared" si="446"/>
        <v>6.8583310718773188E-2</v>
      </c>
      <c r="O2848" s="2">
        <f t="shared" si="447"/>
        <v>0.25170075033789757</v>
      </c>
      <c r="P2848" s="2">
        <v>72.553805999999994</v>
      </c>
      <c r="Q2848" s="2">
        <v>23.037129</v>
      </c>
    </row>
    <row r="2849" spans="1:17" x14ac:dyDescent="0.25">
      <c r="A2849" s="2">
        <v>3035</v>
      </c>
      <c r="B2849" s="2" t="s">
        <v>103</v>
      </c>
      <c r="C2849" s="2">
        <v>3</v>
      </c>
      <c r="D2849" s="2">
        <f t="shared" si="440"/>
        <v>7.62</v>
      </c>
      <c r="E2849" s="2">
        <f t="shared" si="441"/>
        <v>2.4255213327204852</v>
      </c>
      <c r="F2849" s="2">
        <f t="shared" si="442"/>
        <v>0.95492965855137202</v>
      </c>
      <c r="G2849" s="2">
        <v>1.355882</v>
      </c>
      <c r="H2849" s="2">
        <f t="shared" si="443"/>
        <v>4.4484319008800002</v>
      </c>
      <c r="I2849" s="2">
        <f>INDEX('Wood Density Lookup'!$B$2:$B$152,MATCH(B2849,'Wood Density Lookup'!$A$2:$A$152,0))</f>
        <v>0.6</v>
      </c>
      <c r="J2849" s="2">
        <f t="shared" si="444"/>
        <v>0.31022643845110215</v>
      </c>
      <c r="K2849" s="2">
        <f t="shared" si="448"/>
        <v>8.6863402766308606E-2</v>
      </c>
      <c r="L2849" s="2">
        <f t="shared" si="449"/>
        <v>0.39708984121741076</v>
      </c>
      <c r="M2849" s="2">
        <f t="shared" si="445"/>
        <v>0.28789013488262277</v>
      </c>
      <c r="N2849" s="2">
        <f t="shared" si="446"/>
        <v>0.14394506744131139</v>
      </c>
      <c r="O2849" s="2">
        <f t="shared" si="447"/>
        <v>0.52827839750961281</v>
      </c>
      <c r="P2849" s="2">
        <v>72.553805999999994</v>
      </c>
      <c r="Q2849" s="2">
        <v>23.037140000000001</v>
      </c>
    </row>
    <row r="2850" spans="1:17" x14ac:dyDescent="0.25">
      <c r="A2850" s="2">
        <v>3036</v>
      </c>
      <c r="B2850" s="2" t="s">
        <v>103</v>
      </c>
      <c r="C2850" s="2">
        <v>2</v>
      </c>
      <c r="D2850" s="2">
        <f t="shared" si="440"/>
        <v>5.08</v>
      </c>
      <c r="E2850" s="2">
        <f t="shared" si="441"/>
        <v>1.6170142218136567</v>
      </c>
      <c r="F2850" s="2">
        <f t="shared" si="442"/>
        <v>0.63661977236758138</v>
      </c>
      <c r="G2850" s="2">
        <v>10.111288</v>
      </c>
      <c r="H2850" s="2">
        <f t="shared" si="443"/>
        <v>33.173518121919997</v>
      </c>
      <c r="I2850" s="2">
        <f>INDEX('Wood Density Lookup'!$B$2:$B$152,MATCH(B2850,'Wood Density Lookup'!$A$2:$A$152,0))</f>
        <v>0.6</v>
      </c>
      <c r="J2850" s="2">
        <f t="shared" si="444"/>
        <v>0.99905920251537128</v>
      </c>
      <c r="K2850" s="2">
        <f t="shared" si="448"/>
        <v>0.27973657670430396</v>
      </c>
      <c r="L2850" s="2">
        <f t="shared" si="449"/>
        <v>1.2787957792196751</v>
      </c>
      <c r="M2850" s="2">
        <f t="shared" si="445"/>
        <v>0.92712693993426443</v>
      </c>
      <c r="N2850" s="2">
        <f t="shared" si="446"/>
        <v>0.46356346996713221</v>
      </c>
      <c r="O2850" s="2">
        <f t="shared" si="447"/>
        <v>1.7012779347793752</v>
      </c>
      <c r="P2850" s="2">
        <v>72.553807000000006</v>
      </c>
      <c r="Q2850" s="2">
        <v>23.038712</v>
      </c>
    </row>
    <row r="2851" spans="1:17" x14ac:dyDescent="0.25">
      <c r="A2851" s="2">
        <v>3037</v>
      </c>
      <c r="B2851" s="2" t="s">
        <v>15</v>
      </c>
      <c r="C2851" s="2">
        <v>29</v>
      </c>
      <c r="D2851" s="2">
        <f t="shared" si="440"/>
        <v>73.66</v>
      </c>
      <c r="E2851" s="2">
        <f t="shared" si="441"/>
        <v>23.446706216298022</v>
      </c>
      <c r="F2851" s="2">
        <f t="shared" si="442"/>
        <v>9.2309866993299305</v>
      </c>
      <c r="G2851" s="2">
        <v>10.450850000000001</v>
      </c>
      <c r="H2851" s="2">
        <f t="shared" si="443"/>
        <v>34.287566714</v>
      </c>
      <c r="I2851" s="2">
        <f>INDEX('Wood Density Lookup'!$B$2:$B$152,MATCH(B2851,'Wood Density Lookup'!$A$2:$A$152,0))</f>
        <v>0.75</v>
      </c>
      <c r="J2851" s="2">
        <f t="shared" si="444"/>
        <v>237.22834999246879</v>
      </c>
      <c r="K2851" s="2">
        <f t="shared" si="448"/>
        <v>66.423937997891272</v>
      </c>
      <c r="L2851" s="2">
        <f t="shared" si="449"/>
        <v>303.65228799036004</v>
      </c>
      <c r="M2851" s="2">
        <f t="shared" si="445"/>
        <v>220.14790879301103</v>
      </c>
      <c r="N2851" s="2">
        <f t="shared" si="446"/>
        <v>110.07395439650551</v>
      </c>
      <c r="O2851" s="2">
        <f t="shared" si="447"/>
        <v>403.97141263517523</v>
      </c>
      <c r="P2851" s="2">
        <v>72.553808000000004</v>
      </c>
      <c r="Q2851" s="2">
        <v>23.036504000000001</v>
      </c>
    </row>
    <row r="2852" spans="1:17" x14ac:dyDescent="0.25">
      <c r="A2852" s="2">
        <v>3038</v>
      </c>
      <c r="B2852" s="2" t="s">
        <v>103</v>
      </c>
      <c r="C2852" s="2">
        <v>3</v>
      </c>
      <c r="D2852" s="2">
        <f t="shared" si="440"/>
        <v>7.62</v>
      </c>
      <c r="E2852" s="2">
        <f t="shared" si="441"/>
        <v>2.4255213327204852</v>
      </c>
      <c r="F2852" s="2">
        <f t="shared" si="442"/>
        <v>0.95492965855137202</v>
      </c>
      <c r="G2852" s="2">
        <v>1.3869359999999999</v>
      </c>
      <c r="H2852" s="2">
        <f t="shared" si="443"/>
        <v>4.5503151062399994</v>
      </c>
      <c r="I2852" s="2">
        <f>INDEX('Wood Density Lookup'!$B$2:$B$152,MATCH(B2852,'Wood Density Lookup'!$A$2:$A$152,0))</f>
        <v>0.6</v>
      </c>
      <c r="J2852" s="2">
        <f t="shared" si="444"/>
        <v>0.31715919298678252</v>
      </c>
      <c r="K2852" s="2">
        <f t="shared" si="448"/>
        <v>8.8804574036299114E-2</v>
      </c>
      <c r="L2852" s="2">
        <f t="shared" si="449"/>
        <v>0.40596376702308162</v>
      </c>
      <c r="M2852" s="2">
        <f t="shared" si="445"/>
        <v>0.29432373109173415</v>
      </c>
      <c r="N2852" s="2">
        <f t="shared" si="446"/>
        <v>0.14716186554586708</v>
      </c>
      <c r="O2852" s="2">
        <f t="shared" si="447"/>
        <v>0.5400840465533322</v>
      </c>
      <c r="P2852" s="2">
        <v>72.553808000000004</v>
      </c>
      <c r="Q2852" s="2">
        <v>23.037123999999999</v>
      </c>
    </row>
    <row r="2853" spans="1:17" x14ac:dyDescent="0.25">
      <c r="A2853" s="2">
        <v>3039</v>
      </c>
      <c r="B2853" s="2" t="s">
        <v>103</v>
      </c>
      <c r="C2853" s="2">
        <v>2</v>
      </c>
      <c r="D2853" s="2">
        <f t="shared" si="440"/>
        <v>5.08</v>
      </c>
      <c r="E2853" s="2">
        <f t="shared" si="441"/>
        <v>1.6170142218136567</v>
      </c>
      <c r="F2853" s="2">
        <f t="shared" si="442"/>
        <v>0.63661977236758138</v>
      </c>
      <c r="G2853" s="2">
        <v>1.402407</v>
      </c>
      <c r="H2853" s="2">
        <f t="shared" si="443"/>
        <v>4.6010729818799998</v>
      </c>
      <c r="I2853" s="2">
        <f>INDEX('Wood Density Lookup'!$B$2:$B$152,MATCH(B2853,'Wood Density Lookup'!$A$2:$A$152,0))</f>
        <v>0.6</v>
      </c>
      <c r="J2853" s="2">
        <f t="shared" si="444"/>
        <v>0.14529450597313423</v>
      </c>
      <c r="K2853" s="2">
        <f t="shared" si="448"/>
        <v>4.0682461672477591E-2</v>
      </c>
      <c r="L2853" s="2">
        <f t="shared" si="449"/>
        <v>0.18597696764561183</v>
      </c>
      <c r="M2853" s="2">
        <f t="shared" si="445"/>
        <v>0.13483330154306858</v>
      </c>
      <c r="N2853" s="2">
        <f t="shared" si="446"/>
        <v>6.7416650771534289E-2</v>
      </c>
      <c r="O2853" s="2">
        <f t="shared" si="447"/>
        <v>0.24741910833153083</v>
      </c>
      <c r="P2853" s="2">
        <v>72.553808000000004</v>
      </c>
      <c r="Q2853" s="2">
        <v>23.037137000000001</v>
      </c>
    </row>
    <row r="2854" spans="1:17" x14ac:dyDescent="0.25">
      <c r="A2854" s="2">
        <v>3040</v>
      </c>
      <c r="B2854" s="2" t="s">
        <v>62</v>
      </c>
      <c r="C2854" s="2">
        <v>6</v>
      </c>
      <c r="D2854" s="2">
        <f t="shared" si="440"/>
        <v>15.24</v>
      </c>
      <c r="E2854" s="2">
        <f t="shared" si="441"/>
        <v>4.8510426654409704</v>
      </c>
      <c r="F2854" s="2">
        <f t="shared" si="442"/>
        <v>1.909859317102744</v>
      </c>
      <c r="G2854" s="2">
        <v>2.8740640000000002</v>
      </c>
      <c r="H2854" s="2">
        <f t="shared" si="443"/>
        <v>9.4293441337600008</v>
      </c>
      <c r="I2854" s="2">
        <f>INDEX('Wood Density Lookup'!$B$2:$B$152,MATCH(B2854,'Wood Density Lookup'!$A$2:$A$152,0))</f>
        <v>0.47</v>
      </c>
      <c r="J2854" s="2">
        <f t="shared" si="444"/>
        <v>1.9689069775056838</v>
      </c>
      <c r="K2854" s="2">
        <f t="shared" si="448"/>
        <v>0.55129395370159151</v>
      </c>
      <c r="L2854" s="2">
        <f t="shared" si="449"/>
        <v>2.5202009312072753</v>
      </c>
      <c r="M2854" s="2">
        <f t="shared" si="445"/>
        <v>1.8271456751252746</v>
      </c>
      <c r="N2854" s="2">
        <f t="shared" si="446"/>
        <v>0.9135728375626373</v>
      </c>
      <c r="O2854" s="2">
        <f t="shared" si="447"/>
        <v>3.3528123138548787</v>
      </c>
      <c r="P2854" s="2">
        <v>72.553809000000001</v>
      </c>
      <c r="Q2854" s="2">
        <v>23.037078999999999</v>
      </c>
    </row>
    <row r="2855" spans="1:17" x14ac:dyDescent="0.25">
      <c r="A2855" s="2">
        <v>3041</v>
      </c>
      <c r="B2855" s="2" t="s">
        <v>103</v>
      </c>
      <c r="C2855" s="2">
        <v>2</v>
      </c>
      <c r="D2855" s="2">
        <f t="shared" si="440"/>
        <v>5.08</v>
      </c>
      <c r="E2855" s="2">
        <f t="shared" si="441"/>
        <v>1.6170142218136567</v>
      </c>
      <c r="F2855" s="2">
        <f t="shared" si="442"/>
        <v>0.63661977236758138</v>
      </c>
      <c r="G2855" s="2">
        <v>1.2942560000000001</v>
      </c>
      <c r="H2855" s="2">
        <f t="shared" si="443"/>
        <v>4.2462468550399999</v>
      </c>
      <c r="I2855" s="2">
        <f>INDEX('Wood Density Lookup'!$B$2:$B$152,MATCH(B2855,'Wood Density Lookup'!$A$2:$A$152,0))</f>
        <v>0.6</v>
      </c>
      <c r="J2855" s="2">
        <f t="shared" si="444"/>
        <v>0.13434818448890348</v>
      </c>
      <c r="K2855" s="2">
        <f t="shared" si="448"/>
        <v>3.761749165689298E-2</v>
      </c>
      <c r="L2855" s="2">
        <f t="shared" si="449"/>
        <v>0.17196567614579647</v>
      </c>
      <c r="M2855" s="2">
        <f t="shared" si="445"/>
        <v>0.12467511520570243</v>
      </c>
      <c r="N2855" s="2">
        <f t="shared" si="446"/>
        <v>6.2337557602851215E-2</v>
      </c>
      <c r="O2855" s="2">
        <f t="shared" si="447"/>
        <v>0.22877883640246396</v>
      </c>
      <c r="P2855" s="2">
        <v>72.553809000000001</v>
      </c>
      <c r="Q2855" s="2">
        <v>23.037120000000002</v>
      </c>
    </row>
    <row r="2856" spans="1:17" x14ac:dyDescent="0.25">
      <c r="A2856" s="2">
        <v>3042</v>
      </c>
      <c r="B2856" s="2" t="s">
        <v>103</v>
      </c>
      <c r="C2856" s="2">
        <v>2</v>
      </c>
      <c r="D2856" s="2">
        <f t="shared" si="440"/>
        <v>5.08</v>
      </c>
      <c r="E2856" s="2">
        <f t="shared" si="441"/>
        <v>1.6170142218136567</v>
      </c>
      <c r="F2856" s="2">
        <f t="shared" si="442"/>
        <v>0.63661977236758138</v>
      </c>
      <c r="G2856" s="2">
        <v>1.409934</v>
      </c>
      <c r="H2856" s="2">
        <f t="shared" si="443"/>
        <v>4.6257678645600002</v>
      </c>
      <c r="I2856" s="2">
        <f>INDEX('Wood Density Lookup'!$B$2:$B$152,MATCH(B2856,'Wood Density Lookup'!$A$2:$A$152,0))</f>
        <v>0.6</v>
      </c>
      <c r="J2856" s="2">
        <f t="shared" si="444"/>
        <v>0.14605556603896286</v>
      </c>
      <c r="K2856" s="2">
        <f t="shared" si="448"/>
        <v>4.0895558490909603E-2</v>
      </c>
      <c r="L2856" s="2">
        <f t="shared" si="449"/>
        <v>0.18695112452987245</v>
      </c>
      <c r="M2856" s="2">
        <f t="shared" si="445"/>
        <v>0.13553956528415753</v>
      </c>
      <c r="N2856" s="2">
        <f t="shared" si="446"/>
        <v>6.7769782642078766E-2</v>
      </c>
      <c r="O2856" s="2">
        <f t="shared" si="447"/>
        <v>0.24871510229642907</v>
      </c>
      <c r="P2856" s="2">
        <v>72.553809000000001</v>
      </c>
      <c r="Q2856" s="2">
        <v>23.037133000000001</v>
      </c>
    </row>
    <row r="2857" spans="1:17" x14ac:dyDescent="0.25">
      <c r="A2857" s="2">
        <v>3043</v>
      </c>
      <c r="B2857" s="2" t="s">
        <v>96</v>
      </c>
      <c r="C2857" s="2">
        <v>34</v>
      </c>
      <c r="D2857" s="2">
        <f t="shared" si="440"/>
        <v>86.36</v>
      </c>
      <c r="E2857" s="2">
        <f t="shared" si="441"/>
        <v>27.489241770832162</v>
      </c>
      <c r="F2857" s="2">
        <f t="shared" si="442"/>
        <v>10.822536130248883</v>
      </c>
      <c r="G2857" s="2">
        <v>3.6145149999999999</v>
      </c>
      <c r="H2857" s="2">
        <f t="shared" si="443"/>
        <v>11.8586453926</v>
      </c>
      <c r="I2857" s="2">
        <f>INDEX('Wood Density Lookup'!$B$2:$B$152,MATCH(B2857,'Wood Density Lookup'!$A$2:$A$152,0))</f>
        <v>0.65</v>
      </c>
      <c r="J2857" s="2">
        <f t="shared" si="444"/>
        <v>99.84378590323054</v>
      </c>
      <c r="K2857" s="2">
        <f t="shared" si="448"/>
        <v>27.956260052904554</v>
      </c>
      <c r="L2857" s="2">
        <f t="shared" si="449"/>
        <v>127.80004595613509</v>
      </c>
      <c r="M2857" s="2">
        <f t="shared" si="445"/>
        <v>92.655033318197937</v>
      </c>
      <c r="N2857" s="2">
        <f t="shared" si="446"/>
        <v>46.327516659098968</v>
      </c>
      <c r="O2857" s="2">
        <f t="shared" si="447"/>
        <v>170.0219861388932</v>
      </c>
      <c r="P2857" s="2">
        <v>72.553809999999999</v>
      </c>
      <c r="Q2857" s="2">
        <v>23.037033000000001</v>
      </c>
    </row>
    <row r="2858" spans="1:17" x14ac:dyDescent="0.25">
      <c r="A2858" s="2">
        <v>3044</v>
      </c>
      <c r="B2858" s="2" t="s">
        <v>103</v>
      </c>
      <c r="C2858" s="2">
        <v>2</v>
      </c>
      <c r="D2858" s="2">
        <f t="shared" si="440"/>
        <v>5.08</v>
      </c>
      <c r="E2858" s="2">
        <f t="shared" si="441"/>
        <v>1.6170142218136567</v>
      </c>
      <c r="F2858" s="2">
        <f t="shared" si="442"/>
        <v>0.63661977236758138</v>
      </c>
      <c r="G2858" s="2">
        <v>1.3798649999999999</v>
      </c>
      <c r="H2858" s="2">
        <f t="shared" si="443"/>
        <v>4.5271162865999992</v>
      </c>
      <c r="I2858" s="2">
        <f>INDEX('Wood Density Lookup'!$B$2:$B$152,MATCH(B2858,'Wood Density Lookup'!$A$2:$A$152,0))</f>
        <v>0.6</v>
      </c>
      <c r="J2858" s="2">
        <f t="shared" si="444"/>
        <v>0.14301468046130478</v>
      </c>
      <c r="K2858" s="2">
        <f t="shared" si="448"/>
        <v>4.0044110529165344E-2</v>
      </c>
      <c r="L2858" s="2">
        <f t="shared" si="449"/>
        <v>0.18305879099047012</v>
      </c>
      <c r="M2858" s="2">
        <f t="shared" si="445"/>
        <v>0.13271762346809082</v>
      </c>
      <c r="N2858" s="2">
        <f t="shared" si="446"/>
        <v>6.6358811734045411E-2</v>
      </c>
      <c r="O2858" s="2">
        <f t="shared" si="447"/>
        <v>0.24353683906394666</v>
      </c>
      <c r="P2858" s="2">
        <v>72.553809999999999</v>
      </c>
      <c r="Q2858" s="2">
        <v>23.037127000000002</v>
      </c>
    </row>
    <row r="2859" spans="1:17" x14ac:dyDescent="0.25">
      <c r="A2859" s="2">
        <v>3045</v>
      </c>
      <c r="B2859" s="2" t="s">
        <v>103</v>
      </c>
      <c r="C2859" s="2">
        <v>2</v>
      </c>
      <c r="D2859" s="2">
        <f t="shared" si="440"/>
        <v>5.08</v>
      </c>
      <c r="E2859" s="2">
        <f t="shared" si="441"/>
        <v>1.6170142218136567</v>
      </c>
      <c r="F2859" s="2">
        <f t="shared" si="442"/>
        <v>0.63661977236758138</v>
      </c>
      <c r="G2859" s="2">
        <v>1.409823</v>
      </c>
      <c r="H2859" s="2">
        <f t="shared" si="443"/>
        <v>4.6254036913199998</v>
      </c>
      <c r="I2859" s="2">
        <f>INDEX('Wood Density Lookup'!$B$2:$B$152,MATCH(B2859,'Wood Density Lookup'!$A$2:$A$152,0))</f>
        <v>0.6</v>
      </c>
      <c r="J2859" s="2">
        <f t="shared" si="444"/>
        <v>0.14604434346347261</v>
      </c>
      <c r="K2859" s="2">
        <f t="shared" si="448"/>
        <v>4.0892416169772336E-2</v>
      </c>
      <c r="L2859" s="2">
        <f t="shared" si="449"/>
        <v>0.18693675963324496</v>
      </c>
      <c r="M2859" s="2">
        <f t="shared" si="445"/>
        <v>0.1355291507341026</v>
      </c>
      <c r="N2859" s="2">
        <f t="shared" si="446"/>
        <v>6.77645753670513E-2</v>
      </c>
      <c r="O2859" s="2">
        <f t="shared" si="447"/>
        <v>0.24869599159707825</v>
      </c>
      <c r="P2859" s="2">
        <v>72.553809999999999</v>
      </c>
      <c r="Q2859" s="2">
        <v>23.037130000000001</v>
      </c>
    </row>
    <row r="2860" spans="1:17" x14ac:dyDescent="0.25">
      <c r="A2860" s="2">
        <v>3046</v>
      </c>
      <c r="B2860" s="2" t="s">
        <v>103</v>
      </c>
      <c r="C2860" s="2">
        <v>1</v>
      </c>
      <c r="D2860" s="2">
        <f t="shared" si="440"/>
        <v>2.54</v>
      </c>
      <c r="E2860" s="2">
        <f t="shared" si="441"/>
        <v>0.80850711090682836</v>
      </c>
      <c r="F2860" s="2">
        <f t="shared" si="442"/>
        <v>0.31830988618379069</v>
      </c>
      <c r="G2860" s="2">
        <v>1.3313120000000001</v>
      </c>
      <c r="H2860" s="2">
        <f t="shared" si="443"/>
        <v>4.3678216620799999</v>
      </c>
      <c r="I2860" s="2">
        <f>INDEX('Wood Density Lookup'!$B$2:$B$152,MATCH(B2860,'Wood Density Lookup'!$A$2:$A$152,0))</f>
        <v>0.6</v>
      </c>
      <c r="J2860" s="2">
        <f t="shared" si="444"/>
        <v>3.5693298028847818E-2</v>
      </c>
      <c r="K2860" s="2">
        <f t="shared" si="448"/>
        <v>9.99412344807739E-3</v>
      </c>
      <c r="L2860" s="2">
        <f t="shared" si="449"/>
        <v>4.5687421476925207E-2</v>
      </c>
      <c r="M2860" s="2">
        <f t="shared" si="445"/>
        <v>3.3123380570770772E-2</v>
      </c>
      <c r="N2860" s="2">
        <f t="shared" si="446"/>
        <v>1.6561690285385386E-2</v>
      </c>
      <c r="O2860" s="2">
        <f t="shared" si="447"/>
        <v>6.0781403347364364E-2</v>
      </c>
      <c r="P2860" s="2">
        <v>72.553810999999996</v>
      </c>
      <c r="Q2860" s="2">
        <v>23.037140999999998</v>
      </c>
    </row>
    <row r="2861" spans="1:17" x14ac:dyDescent="0.25">
      <c r="A2861" s="2">
        <v>3047</v>
      </c>
      <c r="B2861" s="2" t="s">
        <v>103</v>
      </c>
      <c r="C2861" s="2">
        <v>1</v>
      </c>
      <c r="D2861" s="2">
        <f t="shared" si="440"/>
        <v>2.54</v>
      </c>
      <c r="E2861" s="2">
        <f t="shared" si="441"/>
        <v>0.80850711090682836</v>
      </c>
      <c r="F2861" s="2">
        <f t="shared" si="442"/>
        <v>0.31830988618379069</v>
      </c>
      <c r="G2861" s="2">
        <v>1.3927579999999999</v>
      </c>
      <c r="H2861" s="2">
        <f t="shared" si="443"/>
        <v>4.56941615672</v>
      </c>
      <c r="I2861" s="2">
        <f>INDEX('Wood Density Lookup'!$B$2:$B$152,MATCH(B2861,'Wood Density Lookup'!$A$2:$A$152,0))</f>
        <v>0.6</v>
      </c>
      <c r="J2861" s="2">
        <f t="shared" si="444"/>
        <v>3.7300288749301566E-2</v>
      </c>
      <c r="K2861" s="2">
        <f t="shared" si="448"/>
        <v>1.044408084980444E-2</v>
      </c>
      <c r="L2861" s="2">
        <f t="shared" si="449"/>
        <v>4.774436959910601E-2</v>
      </c>
      <c r="M2861" s="2">
        <f t="shared" si="445"/>
        <v>3.4614667959351857E-2</v>
      </c>
      <c r="N2861" s="2">
        <f t="shared" si="446"/>
        <v>1.7307333979675928E-2</v>
      </c>
      <c r="O2861" s="2">
        <f t="shared" si="447"/>
        <v>6.3517915705410655E-2</v>
      </c>
      <c r="P2861" s="2">
        <v>72.553810999999996</v>
      </c>
      <c r="Q2861" s="2">
        <v>23.037122</v>
      </c>
    </row>
    <row r="2862" spans="1:17" x14ac:dyDescent="0.25">
      <c r="A2862" s="2">
        <v>3048</v>
      </c>
      <c r="B2862" s="2" t="s">
        <v>103</v>
      </c>
      <c r="C2862" s="2">
        <v>2</v>
      </c>
      <c r="D2862" s="2">
        <f t="shared" si="440"/>
        <v>5.08</v>
      </c>
      <c r="E2862" s="2">
        <f t="shared" si="441"/>
        <v>1.6170142218136567</v>
      </c>
      <c r="F2862" s="2">
        <f t="shared" si="442"/>
        <v>0.63661977236758138</v>
      </c>
      <c r="G2862" s="2">
        <v>1.4078900000000001</v>
      </c>
      <c r="H2862" s="2">
        <f t="shared" si="443"/>
        <v>4.6190618276000004</v>
      </c>
      <c r="I2862" s="2">
        <f>INDEX('Wood Density Lookup'!$B$2:$B$152,MATCH(B2862,'Wood Density Lookup'!$A$2:$A$152,0))</f>
        <v>0.6</v>
      </c>
      <c r="J2862" s="2">
        <f t="shared" si="444"/>
        <v>0.14584890548142751</v>
      </c>
      <c r="K2862" s="2">
        <f t="shared" si="448"/>
        <v>4.0837693534799706E-2</v>
      </c>
      <c r="L2862" s="2">
        <f t="shared" si="449"/>
        <v>0.18668659901622722</v>
      </c>
      <c r="M2862" s="2">
        <f t="shared" si="445"/>
        <v>0.13534778428676472</v>
      </c>
      <c r="N2862" s="2">
        <f t="shared" si="446"/>
        <v>6.7673892143382361E-2</v>
      </c>
      <c r="O2862" s="2">
        <f t="shared" si="447"/>
        <v>0.24836318416621325</v>
      </c>
      <c r="P2862" s="2">
        <v>72.553810999999996</v>
      </c>
      <c r="Q2862" s="2">
        <v>23.037123999999999</v>
      </c>
    </row>
    <row r="2863" spans="1:17" x14ac:dyDescent="0.25">
      <c r="A2863" s="2">
        <v>3049</v>
      </c>
      <c r="B2863" s="2" t="s">
        <v>103</v>
      </c>
      <c r="C2863" s="2">
        <v>1</v>
      </c>
      <c r="D2863" s="2">
        <f t="shared" si="440"/>
        <v>2.54</v>
      </c>
      <c r="E2863" s="2">
        <f t="shared" si="441"/>
        <v>0.80850711090682836</v>
      </c>
      <c r="F2863" s="2">
        <f t="shared" si="442"/>
        <v>0.31830988618379069</v>
      </c>
      <c r="G2863" s="2">
        <v>1.301498</v>
      </c>
      <c r="H2863" s="2">
        <f t="shared" si="443"/>
        <v>4.2700066983200005</v>
      </c>
      <c r="I2863" s="2">
        <f>INDEX('Wood Density Lookup'!$B$2:$B$152,MATCH(B2863,'Wood Density Lookup'!$A$2:$A$152,0))</f>
        <v>0.6</v>
      </c>
      <c r="J2863" s="2">
        <f t="shared" si="444"/>
        <v>3.4912938941203737E-2</v>
      </c>
      <c r="K2863" s="2">
        <f t="shared" si="448"/>
        <v>9.7756229035370467E-3</v>
      </c>
      <c r="L2863" s="2">
        <f t="shared" si="449"/>
        <v>4.4688561844740786E-2</v>
      </c>
      <c r="M2863" s="2">
        <f t="shared" si="445"/>
        <v>3.2399207337437071E-2</v>
      </c>
      <c r="N2863" s="2">
        <f t="shared" si="446"/>
        <v>1.6199603668718535E-2</v>
      </c>
      <c r="O2863" s="2">
        <f t="shared" si="447"/>
        <v>5.9452545464197024E-2</v>
      </c>
      <c r="P2863" s="2">
        <v>72.553811999999994</v>
      </c>
      <c r="Q2863" s="2">
        <v>23.037119000000001</v>
      </c>
    </row>
    <row r="2864" spans="1:17" x14ac:dyDescent="0.25">
      <c r="A2864" s="2">
        <v>3050</v>
      </c>
      <c r="B2864" s="2" t="s">
        <v>103</v>
      </c>
      <c r="C2864" s="2">
        <v>4</v>
      </c>
      <c r="D2864" s="2">
        <f t="shared" si="440"/>
        <v>10.16</v>
      </c>
      <c r="E2864" s="2">
        <f t="shared" si="441"/>
        <v>3.2340284436273135</v>
      </c>
      <c r="F2864" s="2">
        <f t="shared" si="442"/>
        <v>1.2732395447351628</v>
      </c>
      <c r="G2864" s="2">
        <v>1.4241140000000001</v>
      </c>
      <c r="H2864" s="2">
        <f t="shared" si="443"/>
        <v>4.6722901757600006</v>
      </c>
      <c r="I2864" s="2">
        <f>INDEX('Wood Density Lookup'!$B$2:$B$152,MATCH(B2864,'Wood Density Lookup'!$A$2:$A$152,0))</f>
        <v>0.6</v>
      </c>
      <c r="J2864" s="2">
        <f t="shared" si="444"/>
        <v>0.57065067161947236</v>
      </c>
      <c r="K2864" s="2">
        <f t="shared" si="448"/>
        <v>0.15978218805345229</v>
      </c>
      <c r="L2864" s="2">
        <f t="shared" si="449"/>
        <v>0.73043285967292459</v>
      </c>
      <c r="M2864" s="2">
        <f t="shared" si="445"/>
        <v>0.52956382326287033</v>
      </c>
      <c r="N2864" s="2">
        <f t="shared" si="446"/>
        <v>0.26478191163143516</v>
      </c>
      <c r="O2864" s="2">
        <f t="shared" si="447"/>
        <v>0.97174961568736706</v>
      </c>
      <c r="P2864" s="2">
        <v>72.553813000000005</v>
      </c>
      <c r="Q2864" s="2">
        <v>23.037132</v>
      </c>
    </row>
    <row r="2865" spans="1:17" x14ac:dyDescent="0.25">
      <c r="A2865" s="2">
        <v>3051</v>
      </c>
      <c r="B2865" s="2" t="s">
        <v>103</v>
      </c>
      <c r="C2865" s="2">
        <v>1</v>
      </c>
      <c r="D2865" s="2">
        <f t="shared" si="440"/>
        <v>2.54</v>
      </c>
      <c r="E2865" s="2">
        <f t="shared" si="441"/>
        <v>0.80850711090682836</v>
      </c>
      <c r="F2865" s="2">
        <f t="shared" si="442"/>
        <v>0.31830988618379069</v>
      </c>
      <c r="G2865" s="2">
        <v>1.4080600000000001</v>
      </c>
      <c r="H2865" s="2">
        <f t="shared" si="443"/>
        <v>4.6196195704000003</v>
      </c>
      <c r="I2865" s="2">
        <f>INDEX('Wood Density Lookup'!$B$2:$B$152,MATCH(B2865,'Wood Density Lookup'!$A$2:$A$152,0))</f>
        <v>0.6</v>
      </c>
      <c r="J2865" s="2">
        <f t="shared" si="444"/>
        <v>3.7700212778180732E-2</v>
      </c>
      <c r="K2865" s="2">
        <f t="shared" si="448"/>
        <v>1.0556059577890606E-2</v>
      </c>
      <c r="L2865" s="2">
        <f t="shared" si="449"/>
        <v>4.8256272356071342E-2</v>
      </c>
      <c r="M2865" s="2">
        <f t="shared" si="445"/>
        <v>3.4985797458151724E-2</v>
      </c>
      <c r="N2865" s="2">
        <f t="shared" si="446"/>
        <v>1.7492898729075862E-2</v>
      </c>
      <c r="O2865" s="2">
        <f t="shared" si="447"/>
        <v>6.4198938335708416E-2</v>
      </c>
      <c r="P2865" s="2">
        <v>72.553813000000005</v>
      </c>
      <c r="Q2865" s="2">
        <v>23.037136</v>
      </c>
    </row>
    <row r="2866" spans="1:17" x14ac:dyDescent="0.25">
      <c r="A2866" s="2">
        <v>3052</v>
      </c>
      <c r="B2866" s="2" t="s">
        <v>103</v>
      </c>
      <c r="C2866" s="2">
        <v>2</v>
      </c>
      <c r="D2866" s="2">
        <f t="shared" si="440"/>
        <v>5.08</v>
      </c>
      <c r="E2866" s="2">
        <f t="shared" si="441"/>
        <v>1.6170142218136567</v>
      </c>
      <c r="F2866" s="2">
        <f t="shared" si="442"/>
        <v>0.63661977236758138</v>
      </c>
      <c r="G2866" s="2">
        <v>1.386906</v>
      </c>
      <c r="H2866" s="2">
        <f t="shared" si="443"/>
        <v>4.5502166810400002</v>
      </c>
      <c r="I2866" s="2">
        <f>INDEX('Wood Density Lookup'!$B$2:$B$152,MATCH(B2866,'Wood Density Lookup'!$A$2:$A$152,0))</f>
        <v>0.6</v>
      </c>
      <c r="J2866" s="2">
        <f t="shared" si="444"/>
        <v>0.14372687991420399</v>
      </c>
      <c r="K2866" s="2">
        <f t="shared" si="448"/>
        <v>4.0243526375977119E-2</v>
      </c>
      <c r="L2866" s="2">
        <f t="shared" si="449"/>
        <v>0.1839704062901811</v>
      </c>
      <c r="M2866" s="2">
        <f t="shared" si="445"/>
        <v>0.13337854456038128</v>
      </c>
      <c r="N2866" s="2">
        <f t="shared" si="446"/>
        <v>6.6689272280190642E-2</v>
      </c>
      <c r="O2866" s="2">
        <f t="shared" si="447"/>
        <v>0.24474962926829966</v>
      </c>
      <c r="P2866" s="2">
        <v>72.553815</v>
      </c>
      <c r="Q2866" s="2">
        <v>23.037140000000001</v>
      </c>
    </row>
    <row r="2867" spans="1:17" x14ac:dyDescent="0.25">
      <c r="A2867" s="2">
        <v>3053</v>
      </c>
      <c r="B2867" s="2" t="s">
        <v>103</v>
      </c>
      <c r="C2867" s="2">
        <v>3</v>
      </c>
      <c r="D2867" s="2">
        <f t="shared" si="440"/>
        <v>7.62</v>
      </c>
      <c r="E2867" s="2">
        <f t="shared" si="441"/>
        <v>2.4255213327204852</v>
      </c>
      <c r="F2867" s="2">
        <f t="shared" si="442"/>
        <v>0.95492965855137202</v>
      </c>
      <c r="G2867" s="2">
        <v>10.064965000000001</v>
      </c>
      <c r="H2867" s="2">
        <f t="shared" si="443"/>
        <v>33.0215397706</v>
      </c>
      <c r="I2867" s="2">
        <f>INDEX('Wood Density Lookup'!$B$2:$B$152,MATCH(B2867,'Wood Density Lookup'!$A$2:$A$152,0))</f>
        <v>0.6</v>
      </c>
      <c r="J2867" s="2">
        <f t="shared" si="444"/>
        <v>2.1946992321801031</v>
      </c>
      <c r="K2867" s="2">
        <f t="shared" si="448"/>
        <v>0.61451578501042892</v>
      </c>
      <c r="L2867" s="2">
        <f t="shared" si="449"/>
        <v>2.8092150171905321</v>
      </c>
      <c r="M2867" s="2">
        <f t="shared" si="445"/>
        <v>2.0366808874631359</v>
      </c>
      <c r="N2867" s="2">
        <f t="shared" si="446"/>
        <v>1.018340443731568</v>
      </c>
      <c r="O2867" s="2">
        <f t="shared" si="447"/>
        <v>3.7373094284948545</v>
      </c>
      <c r="P2867" s="2">
        <v>72.553815</v>
      </c>
      <c r="Q2867" s="2">
        <v>23.038716999999998</v>
      </c>
    </row>
    <row r="2868" spans="1:17" x14ac:dyDescent="0.25">
      <c r="A2868" s="2">
        <v>3054</v>
      </c>
      <c r="B2868" s="2" t="s">
        <v>103</v>
      </c>
      <c r="C2868" s="2">
        <v>1</v>
      </c>
      <c r="D2868" s="2">
        <f t="shared" si="440"/>
        <v>2.54</v>
      </c>
      <c r="E2868" s="2">
        <f t="shared" si="441"/>
        <v>0.80850711090682836</v>
      </c>
      <c r="F2868" s="2">
        <f t="shared" si="442"/>
        <v>0.31830988618379069</v>
      </c>
      <c r="G2868" s="2">
        <v>1.413008</v>
      </c>
      <c r="H2868" s="2">
        <f t="shared" si="443"/>
        <v>4.6358531667200005</v>
      </c>
      <c r="I2868" s="2">
        <f>INDEX('Wood Density Lookup'!$B$2:$B$152,MATCH(B2868,'Wood Density Lookup'!$A$2:$A$152,0))</f>
        <v>0.6</v>
      </c>
      <c r="J2868" s="2">
        <f t="shared" si="444"/>
        <v>3.7829508411158119E-2</v>
      </c>
      <c r="K2868" s="2">
        <f t="shared" si="448"/>
        <v>1.0592262355124274E-2</v>
      </c>
      <c r="L2868" s="2">
        <f t="shared" si="449"/>
        <v>4.8421770766282395E-2</v>
      </c>
      <c r="M2868" s="2">
        <f t="shared" si="445"/>
        <v>3.5105783805554736E-2</v>
      </c>
      <c r="N2868" s="2">
        <f t="shared" si="446"/>
        <v>1.7552891902777368E-2</v>
      </c>
      <c r="O2868" s="2">
        <f t="shared" si="447"/>
        <v>6.4419113283192941E-2</v>
      </c>
      <c r="P2868" s="2">
        <v>72.553815999999998</v>
      </c>
      <c r="Q2868" s="2">
        <v>23.037137000000001</v>
      </c>
    </row>
    <row r="2869" spans="1:17" x14ac:dyDescent="0.25">
      <c r="A2869" s="2">
        <v>3055</v>
      </c>
      <c r="B2869" s="2" t="s">
        <v>103</v>
      </c>
      <c r="C2869" s="2">
        <v>1</v>
      </c>
      <c r="D2869" s="2">
        <f t="shared" si="440"/>
        <v>2.54</v>
      </c>
      <c r="E2869" s="2">
        <f t="shared" si="441"/>
        <v>0.80850711090682836</v>
      </c>
      <c r="F2869" s="2">
        <f t="shared" si="442"/>
        <v>0.31830988618379069</v>
      </c>
      <c r="G2869" s="2">
        <v>1.41354</v>
      </c>
      <c r="H2869" s="2">
        <f t="shared" si="443"/>
        <v>4.6375985736000001</v>
      </c>
      <c r="I2869" s="2">
        <f>INDEX('Wood Density Lookup'!$B$2:$B$152,MATCH(B2869,'Wood Density Lookup'!$A$2:$A$152,0))</f>
        <v>0.6</v>
      </c>
      <c r="J2869" s="2">
        <f t="shared" si="444"/>
        <v>3.784340939585068E-2</v>
      </c>
      <c r="K2869" s="2">
        <f t="shared" si="448"/>
        <v>1.0596154630838191E-2</v>
      </c>
      <c r="L2869" s="2">
        <f t="shared" si="449"/>
        <v>4.8439564026688871E-2</v>
      </c>
      <c r="M2869" s="2">
        <f t="shared" si="445"/>
        <v>3.5118683919349428E-2</v>
      </c>
      <c r="N2869" s="2">
        <f t="shared" si="446"/>
        <v>1.7559341959674714E-2</v>
      </c>
      <c r="O2869" s="2">
        <f t="shared" si="447"/>
        <v>6.4442784992006202E-2</v>
      </c>
      <c r="P2869" s="2">
        <v>72.553815999999998</v>
      </c>
      <c r="Q2869" s="2">
        <v>23.037134999999999</v>
      </c>
    </row>
    <row r="2870" spans="1:17" x14ac:dyDescent="0.25">
      <c r="A2870" s="2">
        <v>3056</v>
      </c>
      <c r="B2870" s="2" t="s">
        <v>103</v>
      </c>
      <c r="C2870" s="2">
        <v>1</v>
      </c>
      <c r="D2870" s="2">
        <f t="shared" si="440"/>
        <v>2.54</v>
      </c>
      <c r="E2870" s="2">
        <f t="shared" si="441"/>
        <v>0.80850711090682836</v>
      </c>
      <c r="F2870" s="2">
        <f t="shared" si="442"/>
        <v>0.31830988618379069</v>
      </c>
      <c r="G2870" s="2">
        <v>1.4105920000000001</v>
      </c>
      <c r="H2870" s="2">
        <f t="shared" si="443"/>
        <v>4.6279266572800006</v>
      </c>
      <c r="I2870" s="2">
        <f>INDEX('Wood Density Lookup'!$B$2:$B$152,MATCH(B2870,'Wood Density Lookup'!$A$2:$A$152,0))</f>
        <v>0.6</v>
      </c>
      <c r="J2870" s="2">
        <f t="shared" si="444"/>
        <v>3.7766377546062373E-2</v>
      </c>
      <c r="K2870" s="2">
        <f t="shared" si="448"/>
        <v>1.0574585712897466E-2</v>
      </c>
      <c r="L2870" s="2">
        <f t="shared" si="449"/>
        <v>4.834096325895984E-2</v>
      </c>
      <c r="M2870" s="2">
        <f t="shared" si="445"/>
        <v>3.5047198362745884E-2</v>
      </c>
      <c r="N2870" s="2">
        <f t="shared" si="446"/>
        <v>1.7523599181372942E-2</v>
      </c>
      <c r="O2870" s="2">
        <f t="shared" si="447"/>
        <v>6.4311608995638689E-2</v>
      </c>
      <c r="P2870" s="2">
        <v>72.553816999999995</v>
      </c>
      <c r="Q2870" s="2">
        <v>23.037130999999999</v>
      </c>
    </row>
    <row r="2871" spans="1:17" x14ac:dyDescent="0.25">
      <c r="A2871" s="2">
        <v>3057</v>
      </c>
      <c r="B2871" s="2" t="s">
        <v>103</v>
      </c>
      <c r="C2871" s="2">
        <v>3</v>
      </c>
      <c r="D2871" s="2">
        <f t="shared" si="440"/>
        <v>7.62</v>
      </c>
      <c r="E2871" s="2">
        <f t="shared" si="441"/>
        <v>2.4255213327204852</v>
      </c>
      <c r="F2871" s="2">
        <f t="shared" si="442"/>
        <v>0.95492965855137202</v>
      </c>
      <c r="G2871" s="2">
        <v>1.3255509999999999</v>
      </c>
      <c r="H2871" s="2">
        <f t="shared" si="443"/>
        <v>4.3489207428399999</v>
      </c>
      <c r="I2871" s="2">
        <f>INDEX('Wood Density Lookup'!$B$2:$B$152,MATCH(B2871,'Wood Density Lookup'!$A$2:$A$152,0))</f>
        <v>0.6</v>
      </c>
      <c r="J2871" s="2">
        <f t="shared" si="444"/>
        <v>0.30345141310045326</v>
      </c>
      <c r="K2871" s="2">
        <f t="shared" si="448"/>
        <v>8.4966395668126915E-2</v>
      </c>
      <c r="L2871" s="2">
        <f t="shared" si="449"/>
        <v>0.38841780876858018</v>
      </c>
      <c r="M2871" s="2">
        <f t="shared" si="445"/>
        <v>0.2816029113572206</v>
      </c>
      <c r="N2871" s="2">
        <f t="shared" si="446"/>
        <v>0.1408014556786103</v>
      </c>
      <c r="O2871" s="2">
        <f t="shared" si="447"/>
        <v>0.51674134234049973</v>
      </c>
      <c r="P2871" s="2">
        <v>72.553819000000004</v>
      </c>
      <c r="Q2871" s="2">
        <v>23.037143</v>
      </c>
    </row>
    <row r="2872" spans="1:17" x14ac:dyDescent="0.25">
      <c r="A2872" s="2">
        <v>3058</v>
      </c>
      <c r="B2872" s="2" t="s">
        <v>103</v>
      </c>
      <c r="C2872" s="2">
        <v>1</v>
      </c>
      <c r="D2872" s="2">
        <f t="shared" si="440"/>
        <v>2.54</v>
      </c>
      <c r="E2872" s="2">
        <f t="shared" si="441"/>
        <v>0.80850711090682836</v>
      </c>
      <c r="F2872" s="2">
        <f t="shared" si="442"/>
        <v>0.31830988618379069</v>
      </c>
      <c r="G2872" s="2">
        <v>1.3281780000000001</v>
      </c>
      <c r="H2872" s="2">
        <f t="shared" si="443"/>
        <v>4.3575395095200005</v>
      </c>
      <c r="I2872" s="2">
        <f>INDEX('Wood Density Lookup'!$B$2:$B$152,MATCH(B2872,'Wood Density Lookup'!$A$2:$A$152,0))</f>
        <v>0.6</v>
      </c>
      <c r="J2872" s="2">
        <f t="shared" si="444"/>
        <v>3.5611287819706933E-2</v>
      </c>
      <c r="K2872" s="2">
        <f t="shared" si="448"/>
        <v>9.9711605895179429E-3</v>
      </c>
      <c r="L2872" s="2">
        <f t="shared" si="449"/>
        <v>4.5582448409224874E-2</v>
      </c>
      <c r="M2872" s="2">
        <f t="shared" si="445"/>
        <v>3.3047275096688034E-2</v>
      </c>
      <c r="N2872" s="2">
        <f t="shared" si="446"/>
        <v>1.6523637548344017E-2</v>
      </c>
      <c r="O2872" s="2">
        <f t="shared" si="447"/>
        <v>6.064174980242254E-2</v>
      </c>
      <c r="P2872" s="2">
        <v>72.553820000000002</v>
      </c>
      <c r="Q2872" s="2">
        <v>23.037140999999998</v>
      </c>
    </row>
    <row r="2873" spans="1:17" x14ac:dyDescent="0.25">
      <c r="A2873" s="2">
        <v>3059</v>
      </c>
      <c r="B2873" s="2" t="s">
        <v>103</v>
      </c>
      <c r="C2873" s="2">
        <v>2</v>
      </c>
      <c r="D2873" s="2">
        <f t="shared" si="440"/>
        <v>5.08</v>
      </c>
      <c r="E2873" s="2">
        <f t="shared" si="441"/>
        <v>1.6170142218136567</v>
      </c>
      <c r="F2873" s="2">
        <f t="shared" si="442"/>
        <v>0.63661977236758138</v>
      </c>
      <c r="G2873" s="2">
        <v>1.3682510000000001</v>
      </c>
      <c r="H2873" s="2">
        <f t="shared" si="443"/>
        <v>4.4890126108400006</v>
      </c>
      <c r="I2873" s="2">
        <f>INDEX('Wood Density Lookup'!$B$2:$B$152,MATCH(B2873,'Wood Density Lookup'!$A$2:$A$152,0))</f>
        <v>0.6</v>
      </c>
      <c r="J2873" s="2">
        <f t="shared" si="444"/>
        <v>0.14183972974854736</v>
      </c>
      <c r="K2873" s="2">
        <f t="shared" si="448"/>
        <v>3.9715124329593267E-2</v>
      </c>
      <c r="L2873" s="2">
        <f t="shared" si="449"/>
        <v>0.18155485407814062</v>
      </c>
      <c r="M2873" s="2">
        <f t="shared" si="445"/>
        <v>0.13162726920665194</v>
      </c>
      <c r="N2873" s="2">
        <f t="shared" si="446"/>
        <v>6.5813634603325968E-2</v>
      </c>
      <c r="O2873" s="2">
        <f t="shared" si="447"/>
        <v>0.24153603899420631</v>
      </c>
      <c r="P2873" s="2">
        <v>72.553820999999999</v>
      </c>
      <c r="Q2873" s="2">
        <v>23.037137999999999</v>
      </c>
    </row>
    <row r="2874" spans="1:17" x14ac:dyDescent="0.25">
      <c r="A2874" s="2">
        <v>3060</v>
      </c>
      <c r="B2874" s="2" t="s">
        <v>103</v>
      </c>
      <c r="C2874" s="2">
        <v>3</v>
      </c>
      <c r="D2874" s="2">
        <f t="shared" si="440"/>
        <v>7.62</v>
      </c>
      <c r="E2874" s="2">
        <f t="shared" si="441"/>
        <v>2.4255213327204852</v>
      </c>
      <c r="F2874" s="2">
        <f t="shared" si="442"/>
        <v>0.95492965855137202</v>
      </c>
      <c r="G2874" s="2">
        <v>1.3873679999999999</v>
      </c>
      <c r="H2874" s="2">
        <f t="shared" si="443"/>
        <v>4.5517324291199994</v>
      </c>
      <c r="I2874" s="2">
        <f>INDEX('Wood Density Lookup'!$B$2:$B$152,MATCH(B2874,'Wood Density Lookup'!$A$2:$A$152,0))</f>
        <v>0.6</v>
      </c>
      <c r="J2874" s="2">
        <f t="shared" si="444"/>
        <v>0.31725560981141171</v>
      </c>
      <c r="K2874" s="2">
        <f t="shared" si="448"/>
        <v>8.883157074719529E-2</v>
      </c>
      <c r="L2874" s="2">
        <f t="shared" si="449"/>
        <v>0.40608718055860699</v>
      </c>
      <c r="M2874" s="2">
        <f t="shared" si="445"/>
        <v>0.29441320590499004</v>
      </c>
      <c r="N2874" s="2">
        <f t="shared" si="446"/>
        <v>0.14720660295249502</v>
      </c>
      <c r="O2874" s="2">
        <f t="shared" si="447"/>
        <v>0.54024823283565671</v>
      </c>
      <c r="P2874" s="2">
        <v>72.553821999999997</v>
      </c>
      <c r="Q2874" s="2">
        <v>23.037136</v>
      </c>
    </row>
    <row r="2875" spans="1:17" x14ac:dyDescent="0.25">
      <c r="A2875" s="2">
        <v>3061</v>
      </c>
      <c r="B2875" s="2" t="s">
        <v>103</v>
      </c>
      <c r="C2875" s="2">
        <v>2</v>
      </c>
      <c r="D2875" s="2">
        <f t="shared" si="440"/>
        <v>5.08</v>
      </c>
      <c r="E2875" s="2">
        <f t="shared" si="441"/>
        <v>1.6170142218136567</v>
      </c>
      <c r="F2875" s="2">
        <f t="shared" si="442"/>
        <v>0.63661977236758138</v>
      </c>
      <c r="G2875" s="2">
        <v>9.9885760000000001</v>
      </c>
      <c r="H2875" s="2">
        <f t="shared" si="443"/>
        <v>32.770919683839999</v>
      </c>
      <c r="I2875" s="2">
        <f>INDEX('Wood Density Lookup'!$B$2:$B$152,MATCH(B2875,'Wood Density Lookup'!$A$2:$A$152,0))</f>
        <v>0.6</v>
      </c>
      <c r="J2875" s="2">
        <f t="shared" si="444"/>
        <v>0.98722374357996479</v>
      </c>
      <c r="K2875" s="2">
        <f t="shared" si="448"/>
        <v>0.27642264820239015</v>
      </c>
      <c r="L2875" s="2">
        <f t="shared" si="449"/>
        <v>1.263646391782355</v>
      </c>
      <c r="M2875" s="2">
        <f t="shared" si="445"/>
        <v>0.91614363404220733</v>
      </c>
      <c r="N2875" s="2">
        <f t="shared" si="446"/>
        <v>0.45807181702110367</v>
      </c>
      <c r="O2875" s="2">
        <f t="shared" si="447"/>
        <v>1.6811235684674504</v>
      </c>
      <c r="P2875" s="2">
        <v>72.553821999999997</v>
      </c>
      <c r="Q2875" s="2">
        <v>23.038719</v>
      </c>
    </row>
    <row r="2876" spans="1:17" x14ac:dyDescent="0.25">
      <c r="A2876" s="2">
        <v>3062</v>
      </c>
      <c r="B2876" s="2" t="s">
        <v>62</v>
      </c>
      <c r="C2876" s="2">
        <v>3</v>
      </c>
      <c r="D2876" s="2">
        <f t="shared" si="440"/>
        <v>7.62</v>
      </c>
      <c r="E2876" s="2">
        <f t="shared" si="441"/>
        <v>2.4255213327204852</v>
      </c>
      <c r="F2876" s="2">
        <f t="shared" si="442"/>
        <v>0.95492965855137202</v>
      </c>
      <c r="G2876" s="2">
        <v>1.555261</v>
      </c>
      <c r="H2876" s="2">
        <f t="shared" si="443"/>
        <v>5.1025624992400003</v>
      </c>
      <c r="I2876" s="2">
        <f>INDEX('Wood Density Lookup'!$B$2:$B$152,MATCH(B2876,'Wood Density Lookup'!$A$2:$A$152,0))</f>
        <v>0.47</v>
      </c>
      <c r="J2876" s="2">
        <f t="shared" si="444"/>
        <v>0.27946159219141187</v>
      </c>
      <c r="K2876" s="2">
        <f t="shared" si="448"/>
        <v>7.8249245813595325E-2</v>
      </c>
      <c r="L2876" s="2">
        <f t="shared" si="449"/>
        <v>0.35771083800500719</v>
      </c>
      <c r="M2876" s="2">
        <f t="shared" si="445"/>
        <v>0.25934035755363022</v>
      </c>
      <c r="N2876" s="2">
        <f t="shared" si="446"/>
        <v>0.12967017877681511</v>
      </c>
      <c r="O2876" s="2">
        <f t="shared" si="447"/>
        <v>0.47588955611091144</v>
      </c>
      <c r="P2876" s="2">
        <v>72.553825000000003</v>
      </c>
      <c r="Q2876" s="2">
        <v>23.037123999999999</v>
      </c>
    </row>
    <row r="2877" spans="1:17" x14ac:dyDescent="0.25">
      <c r="A2877" s="2">
        <v>3063</v>
      </c>
      <c r="B2877" s="2" t="s">
        <v>103</v>
      </c>
      <c r="C2877" s="2">
        <v>1</v>
      </c>
      <c r="D2877" s="2">
        <f t="shared" si="440"/>
        <v>2.54</v>
      </c>
      <c r="E2877" s="2">
        <f t="shared" si="441"/>
        <v>0.80850711090682836</v>
      </c>
      <c r="F2877" s="2">
        <f t="shared" si="442"/>
        <v>0.31830988618379069</v>
      </c>
      <c r="G2877" s="2">
        <v>9.5431000000000008</v>
      </c>
      <c r="H2877" s="2">
        <f t="shared" si="443"/>
        <v>31.309384204000004</v>
      </c>
      <c r="I2877" s="2">
        <f>INDEX('Wood Density Lookup'!$B$2:$B$152,MATCH(B2877,'Wood Density Lookup'!$A$2:$A$152,0))</f>
        <v>0.6</v>
      </c>
      <c r="J2877" s="2">
        <f t="shared" si="444"/>
        <v>0.2440430675297742</v>
      </c>
      <c r="K2877" s="2">
        <f t="shared" si="448"/>
        <v>6.8332058908336782E-2</v>
      </c>
      <c r="L2877" s="2">
        <f t="shared" si="449"/>
        <v>0.31237512643811099</v>
      </c>
      <c r="M2877" s="2">
        <f t="shared" si="445"/>
        <v>0.22647196666763048</v>
      </c>
      <c r="N2877" s="2">
        <f t="shared" si="446"/>
        <v>0.11323598333381524</v>
      </c>
      <c r="O2877" s="2">
        <f t="shared" si="447"/>
        <v>0.4155760588351019</v>
      </c>
      <c r="P2877" s="2">
        <v>72.553825000000003</v>
      </c>
      <c r="Q2877" s="2">
        <v>23.038713999999999</v>
      </c>
    </row>
    <row r="2878" spans="1:17" x14ac:dyDescent="0.25">
      <c r="A2878" s="2">
        <v>3064</v>
      </c>
      <c r="B2878" s="2" t="s">
        <v>103</v>
      </c>
      <c r="C2878" s="2">
        <v>2</v>
      </c>
      <c r="D2878" s="2">
        <f t="shared" si="440"/>
        <v>5.08</v>
      </c>
      <c r="E2878" s="2">
        <f t="shared" si="441"/>
        <v>1.6170142218136567</v>
      </c>
      <c r="F2878" s="2">
        <f t="shared" si="442"/>
        <v>0.63661977236758138</v>
      </c>
      <c r="G2878" s="2">
        <v>1.3750789999999999</v>
      </c>
      <c r="H2878" s="2">
        <f t="shared" si="443"/>
        <v>4.5114141863599997</v>
      </c>
      <c r="I2878" s="2">
        <f>INDEX('Wood Density Lookup'!$B$2:$B$152,MATCH(B2878,'Wood Density Lookup'!$A$2:$A$152,0))</f>
        <v>0.6</v>
      </c>
      <c r="J2878" s="2">
        <f t="shared" si="444"/>
        <v>0.14253052522854504</v>
      </c>
      <c r="K2878" s="2">
        <f t="shared" si="448"/>
        <v>3.9908547063992612E-2</v>
      </c>
      <c r="L2878" s="2">
        <f t="shared" si="449"/>
        <v>0.18243907229253764</v>
      </c>
      <c r="M2878" s="2">
        <f t="shared" si="445"/>
        <v>0.1322683274120898</v>
      </c>
      <c r="N2878" s="2">
        <f t="shared" si="446"/>
        <v>6.6134163706044899E-2</v>
      </c>
      <c r="O2878" s="2">
        <f t="shared" si="447"/>
        <v>0.24271238080118476</v>
      </c>
      <c r="P2878" s="2">
        <v>72.553826000000001</v>
      </c>
      <c r="Q2878" s="2">
        <v>23.037137000000001</v>
      </c>
    </row>
    <row r="2879" spans="1:17" x14ac:dyDescent="0.25">
      <c r="A2879" s="2">
        <v>3065</v>
      </c>
      <c r="B2879" s="2" t="s">
        <v>103</v>
      </c>
      <c r="C2879" s="2">
        <v>3</v>
      </c>
      <c r="D2879" s="2">
        <f t="shared" si="440"/>
        <v>7.62</v>
      </c>
      <c r="E2879" s="2">
        <f t="shared" si="441"/>
        <v>2.4255213327204852</v>
      </c>
      <c r="F2879" s="2">
        <f t="shared" si="442"/>
        <v>0.95492965855137202</v>
      </c>
      <c r="G2879" s="2">
        <v>1.4289160000000001</v>
      </c>
      <c r="H2879" s="2">
        <f t="shared" si="443"/>
        <v>4.6880447694400003</v>
      </c>
      <c r="I2879" s="2">
        <f>INDEX('Wood Density Lookup'!$B$2:$B$152,MATCH(B2879,'Wood Density Lookup'!$A$2:$A$152,0))</f>
        <v>0.6</v>
      </c>
      <c r="J2879" s="2">
        <f t="shared" si="444"/>
        <v>0.32652525369801294</v>
      </c>
      <c r="K2879" s="2">
        <f t="shared" si="448"/>
        <v>9.1427071035443633E-2</v>
      </c>
      <c r="L2879" s="2">
        <f t="shared" si="449"/>
        <v>0.41795232473345656</v>
      </c>
      <c r="M2879" s="2">
        <f t="shared" si="445"/>
        <v>0.30301543543175602</v>
      </c>
      <c r="N2879" s="2">
        <f t="shared" si="446"/>
        <v>0.15150771771587801</v>
      </c>
      <c r="O2879" s="2">
        <f t="shared" si="447"/>
        <v>0.55603332401727223</v>
      </c>
      <c r="P2879" s="2">
        <v>72.553830000000005</v>
      </c>
      <c r="Q2879" s="2">
        <v>23.037132</v>
      </c>
    </row>
    <row r="2880" spans="1:17" x14ac:dyDescent="0.25">
      <c r="A2880" s="2">
        <v>3066</v>
      </c>
      <c r="B2880" s="2" t="s">
        <v>103</v>
      </c>
      <c r="C2880" s="2">
        <v>2</v>
      </c>
      <c r="D2880" s="2">
        <f t="shared" si="440"/>
        <v>5.08</v>
      </c>
      <c r="E2880" s="2">
        <f t="shared" si="441"/>
        <v>1.6170142218136567</v>
      </c>
      <c r="F2880" s="2">
        <f t="shared" si="442"/>
        <v>0.63661977236758138</v>
      </c>
      <c r="G2880" s="2">
        <v>1.3200719999999999</v>
      </c>
      <c r="H2880" s="2">
        <f t="shared" si="443"/>
        <v>4.3309450204799997</v>
      </c>
      <c r="I2880" s="2">
        <f>INDEX('Wood Density Lookup'!$B$2:$B$152,MATCH(B2880,'Wood Density Lookup'!$A$2:$A$152,0))</f>
        <v>0.6</v>
      </c>
      <c r="J2880" s="2">
        <f t="shared" si="444"/>
        <v>0.13696303653817929</v>
      </c>
      <c r="K2880" s="2">
        <f t="shared" si="448"/>
        <v>3.8349650230690202E-2</v>
      </c>
      <c r="L2880" s="2">
        <f t="shared" si="449"/>
        <v>0.17531268676886949</v>
      </c>
      <c r="M2880" s="2">
        <f t="shared" si="445"/>
        <v>0.12710169790743037</v>
      </c>
      <c r="N2880" s="2">
        <f t="shared" si="446"/>
        <v>6.3550848953715183E-2</v>
      </c>
      <c r="O2880" s="2">
        <f t="shared" si="447"/>
        <v>0.23323161566013473</v>
      </c>
      <c r="P2880" s="2">
        <v>72.553830000000005</v>
      </c>
      <c r="Q2880" s="2">
        <v>23.037141999999999</v>
      </c>
    </row>
    <row r="2881" spans="1:17" x14ac:dyDescent="0.25">
      <c r="A2881" s="2">
        <v>3067</v>
      </c>
      <c r="B2881" s="2" t="s">
        <v>103</v>
      </c>
      <c r="C2881" s="2">
        <v>1</v>
      </c>
      <c r="D2881" s="2">
        <f t="shared" ref="D2881:D2944" si="450">C2881*2.54</f>
        <v>2.54</v>
      </c>
      <c r="E2881" s="2">
        <f t="shared" ref="E2881:E2944" si="451">D2881/PI()</f>
        <v>0.80850711090682836</v>
      </c>
      <c r="F2881" s="2">
        <f t="shared" ref="F2881:F2944" si="452">C2881/PI()</f>
        <v>0.31830988618379069</v>
      </c>
      <c r="G2881" s="2">
        <v>1.363837</v>
      </c>
      <c r="H2881" s="2">
        <f t="shared" ref="H2881:H2944" si="453">G2881*3.28084</f>
        <v>4.4745309830800002</v>
      </c>
      <c r="I2881" s="2">
        <f>INDEX('Wood Density Lookup'!$B$2:$B$152,MATCH(B2881,'Wood Density Lookup'!$A$2:$A$152,0))</f>
        <v>0.6</v>
      </c>
      <c r="J2881" s="2">
        <f t="shared" ref="J2881:J2944" si="454">0.0673*POWER(I2881*E2881^2*G2881,0.976)</f>
        <v>3.6544137566840308E-2</v>
      </c>
      <c r="K2881" s="2">
        <f t="shared" si="448"/>
        <v>1.0232358518715286E-2</v>
      </c>
      <c r="L2881" s="2">
        <f t="shared" si="449"/>
        <v>4.6776496085555591E-2</v>
      </c>
      <c r="M2881" s="2">
        <f t="shared" ref="M2881:M2944" si="455">0.725*L2881</f>
        <v>3.39129596620278E-2</v>
      </c>
      <c r="N2881" s="2">
        <f t="shared" ref="N2881:N2944" si="456">0.5*M2881</f>
        <v>1.69564798310139E-2</v>
      </c>
      <c r="O2881" s="2">
        <f t="shared" ref="O2881:O2944" si="457">3.67*N2881</f>
        <v>6.2230280979821015E-2</v>
      </c>
      <c r="P2881" s="2">
        <v>72.553830000000005</v>
      </c>
      <c r="Q2881" s="2">
        <v>23.037137999999999</v>
      </c>
    </row>
    <row r="2882" spans="1:17" x14ac:dyDescent="0.25">
      <c r="A2882" s="2">
        <v>3068</v>
      </c>
      <c r="B2882" s="2" t="s">
        <v>103</v>
      </c>
      <c r="C2882" s="2">
        <v>1</v>
      </c>
      <c r="D2882" s="2">
        <f t="shared" si="450"/>
        <v>2.54</v>
      </c>
      <c r="E2882" s="2">
        <f t="shared" si="451"/>
        <v>0.80850711090682836</v>
      </c>
      <c r="F2882" s="2">
        <f t="shared" si="452"/>
        <v>0.31830988618379069</v>
      </c>
      <c r="G2882" s="2">
        <v>7.5274140000000003</v>
      </c>
      <c r="H2882" s="2">
        <f t="shared" si="453"/>
        <v>24.69624094776</v>
      </c>
      <c r="I2882" s="2">
        <f>INDEX('Wood Density Lookup'!$B$2:$B$152,MATCH(B2882,'Wood Density Lookup'!$A$2:$A$152,0))</f>
        <v>0.6</v>
      </c>
      <c r="J2882" s="2">
        <f t="shared" si="454"/>
        <v>0.19359576430714834</v>
      </c>
      <c r="K2882" s="2">
        <f t="shared" si="448"/>
        <v>5.4206814006001539E-2</v>
      </c>
      <c r="L2882" s="2">
        <f t="shared" si="449"/>
        <v>0.24780257831314989</v>
      </c>
      <c r="M2882" s="2">
        <f t="shared" si="455"/>
        <v>0.17965686927703367</v>
      </c>
      <c r="N2882" s="2">
        <f t="shared" si="456"/>
        <v>8.9828434638516835E-2</v>
      </c>
      <c r="O2882" s="2">
        <f t="shared" si="457"/>
        <v>0.3296703551233568</v>
      </c>
      <c r="P2882" s="2">
        <v>72.553830000000005</v>
      </c>
      <c r="Q2882" s="2">
        <v>23.038719</v>
      </c>
    </row>
    <row r="2883" spans="1:17" x14ac:dyDescent="0.25">
      <c r="A2883" s="2">
        <v>3069</v>
      </c>
      <c r="B2883" s="2" t="s">
        <v>103</v>
      </c>
      <c r="C2883" s="2">
        <v>1</v>
      </c>
      <c r="D2883" s="2">
        <f t="shared" si="450"/>
        <v>2.54</v>
      </c>
      <c r="E2883" s="2">
        <f t="shared" si="451"/>
        <v>0.80850711090682836</v>
      </c>
      <c r="F2883" s="2">
        <f t="shared" si="452"/>
        <v>0.31830988618379069</v>
      </c>
      <c r="G2883" s="2">
        <v>1.3513740000000001</v>
      </c>
      <c r="H2883" s="2">
        <f t="shared" si="453"/>
        <v>4.4336418741600001</v>
      </c>
      <c r="I2883" s="2">
        <f>INDEX('Wood Density Lookup'!$B$2:$B$152,MATCH(B2883,'Wood Density Lookup'!$A$2:$A$152,0))</f>
        <v>0.6</v>
      </c>
      <c r="J2883" s="2">
        <f t="shared" si="454"/>
        <v>3.6218169218473747E-2</v>
      </c>
      <c r="K2883" s="2">
        <f t="shared" ref="K2883:K2946" si="458">0.28*J2883</f>
        <v>1.0141087381172651E-2</v>
      </c>
      <c r="L2883" s="2">
        <f t="shared" ref="L2883:L2946" si="459">J2883+K2883</f>
        <v>4.6359256599646397E-2</v>
      </c>
      <c r="M2883" s="2">
        <f t="shared" si="455"/>
        <v>3.361046103474364E-2</v>
      </c>
      <c r="N2883" s="2">
        <f t="shared" si="456"/>
        <v>1.680523051737182E-2</v>
      </c>
      <c r="O2883" s="2">
        <f t="shared" si="457"/>
        <v>6.1675195998754581E-2</v>
      </c>
      <c r="P2883" s="2">
        <v>72.553832999999997</v>
      </c>
      <c r="Q2883" s="2">
        <v>23.037137999999999</v>
      </c>
    </row>
    <row r="2884" spans="1:17" x14ac:dyDescent="0.25">
      <c r="A2884" s="2">
        <v>3070</v>
      </c>
      <c r="B2884" s="2" t="s">
        <v>137</v>
      </c>
      <c r="C2884" s="2">
        <v>3</v>
      </c>
      <c r="D2884" s="2">
        <f t="shared" si="450"/>
        <v>7.62</v>
      </c>
      <c r="E2884" s="2">
        <f t="shared" si="451"/>
        <v>2.4255213327204852</v>
      </c>
      <c r="F2884" s="2">
        <f t="shared" si="452"/>
        <v>0.95492965855137202</v>
      </c>
      <c r="G2884" s="2">
        <v>8.2718749999999996</v>
      </c>
      <c r="H2884" s="2">
        <f t="shared" si="453"/>
        <v>27.138698374999997</v>
      </c>
      <c r="I2884" s="2">
        <f>INDEX('Wood Density Lookup'!$B$2:$B$152,MATCH(B2884,'Wood Density Lookup'!$A$2:$A$152,0))</f>
        <v>0.55000000000000004</v>
      </c>
      <c r="J2884" s="2">
        <f t="shared" si="454"/>
        <v>1.6646773466929834</v>
      </c>
      <c r="K2884" s="2">
        <f t="shared" si="458"/>
        <v>0.4661096570740354</v>
      </c>
      <c r="L2884" s="2">
        <f t="shared" si="459"/>
        <v>2.1307870037670189</v>
      </c>
      <c r="M2884" s="2">
        <f t="shared" si="455"/>
        <v>1.5448205777310886</v>
      </c>
      <c r="N2884" s="2">
        <f t="shared" si="456"/>
        <v>0.7724102888655443</v>
      </c>
      <c r="O2884" s="2">
        <f t="shared" si="457"/>
        <v>2.8347457601365473</v>
      </c>
      <c r="P2884" s="2">
        <v>72.553835000000007</v>
      </c>
      <c r="Q2884" s="2">
        <v>23.037965</v>
      </c>
    </row>
    <row r="2885" spans="1:17" x14ac:dyDescent="0.25">
      <c r="A2885" s="2">
        <v>3071</v>
      </c>
      <c r="B2885" s="2" t="s">
        <v>103</v>
      </c>
      <c r="C2885" s="2">
        <v>1</v>
      </c>
      <c r="D2885" s="2">
        <f t="shared" si="450"/>
        <v>2.54</v>
      </c>
      <c r="E2885" s="2">
        <f t="shared" si="451"/>
        <v>0.80850711090682836</v>
      </c>
      <c r="F2885" s="2">
        <f t="shared" si="452"/>
        <v>0.31830988618379069</v>
      </c>
      <c r="G2885" s="2">
        <v>1.3900090000000001</v>
      </c>
      <c r="H2885" s="2">
        <f t="shared" si="453"/>
        <v>4.5603971275599999</v>
      </c>
      <c r="I2885" s="2">
        <f>INDEX('Wood Density Lookup'!$B$2:$B$152,MATCH(B2885,'Wood Density Lookup'!$A$2:$A$152,0))</f>
        <v>0.6</v>
      </c>
      <c r="J2885" s="2">
        <f t="shared" si="454"/>
        <v>3.72284313685542E-2</v>
      </c>
      <c r="K2885" s="2">
        <f t="shared" si="458"/>
        <v>1.0423960783195177E-2</v>
      </c>
      <c r="L2885" s="2">
        <f t="shared" si="459"/>
        <v>4.7652392151749379E-2</v>
      </c>
      <c r="M2885" s="2">
        <f t="shared" si="455"/>
        <v>3.45479843100183E-2</v>
      </c>
      <c r="N2885" s="2">
        <f t="shared" si="456"/>
        <v>1.727399215500915E-2</v>
      </c>
      <c r="O2885" s="2">
        <f t="shared" si="457"/>
        <v>6.3395551208883572E-2</v>
      </c>
      <c r="P2885" s="2">
        <v>72.553836000000004</v>
      </c>
      <c r="Q2885" s="2">
        <v>23.037123000000001</v>
      </c>
    </row>
    <row r="2886" spans="1:17" x14ac:dyDescent="0.25">
      <c r="A2886" s="2">
        <v>3072</v>
      </c>
      <c r="B2886" s="2" t="s">
        <v>103</v>
      </c>
      <c r="C2886" s="2">
        <v>3</v>
      </c>
      <c r="D2886" s="2">
        <f t="shared" si="450"/>
        <v>7.62</v>
      </c>
      <c r="E2886" s="2">
        <f t="shared" si="451"/>
        <v>2.4255213327204852</v>
      </c>
      <c r="F2886" s="2">
        <f t="shared" si="452"/>
        <v>0.95492965855137202</v>
      </c>
      <c r="G2886" s="2">
        <v>1.379721</v>
      </c>
      <c r="H2886" s="2">
        <f t="shared" si="453"/>
        <v>4.5266438456399998</v>
      </c>
      <c r="I2886" s="2">
        <f>INDEX('Wood Density Lookup'!$B$2:$B$152,MATCH(B2886,'Wood Density Lookup'!$A$2:$A$152,0))</f>
        <v>0.6</v>
      </c>
      <c r="J2886" s="2">
        <f t="shared" si="454"/>
        <v>0.31554879138237585</v>
      </c>
      <c r="K2886" s="2">
        <f t="shared" si="458"/>
        <v>8.8353661587065244E-2</v>
      </c>
      <c r="L2886" s="2">
        <f t="shared" si="459"/>
        <v>0.40390245296944111</v>
      </c>
      <c r="M2886" s="2">
        <f t="shared" si="455"/>
        <v>0.29282927840284478</v>
      </c>
      <c r="N2886" s="2">
        <f t="shared" si="456"/>
        <v>0.14641463920142239</v>
      </c>
      <c r="O2886" s="2">
        <f t="shared" si="457"/>
        <v>0.53734172586922013</v>
      </c>
      <c r="P2886" s="2">
        <v>72.553837000000001</v>
      </c>
      <c r="Q2886" s="2">
        <v>23.037134999999999</v>
      </c>
    </row>
    <row r="2887" spans="1:17" x14ac:dyDescent="0.25">
      <c r="A2887" s="2">
        <v>3073</v>
      </c>
      <c r="B2887" s="2" t="s">
        <v>103</v>
      </c>
      <c r="C2887" s="2">
        <v>3</v>
      </c>
      <c r="D2887" s="2">
        <f t="shared" si="450"/>
        <v>7.62</v>
      </c>
      <c r="E2887" s="2">
        <f t="shared" si="451"/>
        <v>2.4255213327204852</v>
      </c>
      <c r="F2887" s="2">
        <f t="shared" si="452"/>
        <v>0.95492965855137202</v>
      </c>
      <c r="G2887" s="2">
        <v>1.390112</v>
      </c>
      <c r="H2887" s="2">
        <f t="shared" si="453"/>
        <v>4.5607350540800002</v>
      </c>
      <c r="I2887" s="2">
        <f>INDEX('Wood Density Lookup'!$B$2:$B$152,MATCH(B2887,'Wood Density Lookup'!$A$2:$A$152,0))</f>
        <v>0.6</v>
      </c>
      <c r="J2887" s="2">
        <f t="shared" si="454"/>
        <v>0.31786801838333745</v>
      </c>
      <c r="K2887" s="2">
        <f t="shared" si="458"/>
        <v>8.9003045147334495E-2</v>
      </c>
      <c r="L2887" s="2">
        <f t="shared" si="459"/>
        <v>0.40687106353067193</v>
      </c>
      <c r="M2887" s="2">
        <f t="shared" si="455"/>
        <v>0.29498152105973713</v>
      </c>
      <c r="N2887" s="2">
        <f t="shared" si="456"/>
        <v>0.14749076052986856</v>
      </c>
      <c r="O2887" s="2">
        <f t="shared" si="457"/>
        <v>0.5412910911446176</v>
      </c>
      <c r="P2887" s="2">
        <v>72.553837999999999</v>
      </c>
      <c r="Q2887" s="2">
        <v>23.037130999999999</v>
      </c>
    </row>
    <row r="2888" spans="1:17" x14ac:dyDescent="0.25">
      <c r="A2888" s="2">
        <v>3074</v>
      </c>
      <c r="B2888" s="2" t="s">
        <v>103</v>
      </c>
      <c r="C2888" s="2">
        <v>3</v>
      </c>
      <c r="D2888" s="2">
        <f t="shared" si="450"/>
        <v>7.62</v>
      </c>
      <c r="E2888" s="2">
        <f t="shared" si="451"/>
        <v>2.4255213327204852</v>
      </c>
      <c r="F2888" s="2">
        <f t="shared" si="452"/>
        <v>0.95492965855137202</v>
      </c>
      <c r="G2888" s="2">
        <v>1.358395</v>
      </c>
      <c r="H2888" s="2">
        <f t="shared" si="453"/>
        <v>4.4566766517999996</v>
      </c>
      <c r="I2888" s="2">
        <f>INDEX('Wood Density Lookup'!$B$2:$B$152,MATCH(B2888,'Wood Density Lookup'!$A$2:$A$152,0))</f>
        <v>0.6</v>
      </c>
      <c r="J2888" s="2">
        <f t="shared" si="454"/>
        <v>0.31078760214435802</v>
      </c>
      <c r="K2888" s="2">
        <f t="shared" si="458"/>
        <v>8.7020528600420255E-2</v>
      </c>
      <c r="L2888" s="2">
        <f t="shared" si="459"/>
        <v>0.39780813074477828</v>
      </c>
      <c r="M2888" s="2">
        <f t="shared" si="455"/>
        <v>0.28841089478996423</v>
      </c>
      <c r="N2888" s="2">
        <f t="shared" si="456"/>
        <v>0.14420544739498212</v>
      </c>
      <c r="O2888" s="2">
        <f t="shared" si="457"/>
        <v>0.52923399193958431</v>
      </c>
      <c r="P2888" s="2">
        <v>72.553837999999999</v>
      </c>
      <c r="Q2888" s="2">
        <v>23.037137999999999</v>
      </c>
    </row>
    <row r="2889" spans="1:17" x14ac:dyDescent="0.25">
      <c r="A2889" s="2">
        <v>3075</v>
      </c>
      <c r="B2889" s="2" t="s">
        <v>54</v>
      </c>
      <c r="C2889" s="2">
        <v>21</v>
      </c>
      <c r="D2889" s="2">
        <f t="shared" si="450"/>
        <v>53.34</v>
      </c>
      <c r="E2889" s="2">
        <f t="shared" si="451"/>
        <v>16.978649329043396</v>
      </c>
      <c r="F2889" s="2">
        <f t="shared" si="452"/>
        <v>6.6845076098596046</v>
      </c>
      <c r="G2889" s="2">
        <v>2.4180519999999999</v>
      </c>
      <c r="H2889" s="2">
        <f t="shared" si="453"/>
        <v>7.9332417236799992</v>
      </c>
      <c r="I2889" s="2">
        <f>INDEX('Wood Density Lookup'!$B$2:$B$152,MATCH(B2889,'Wood Density Lookup'!$A$2:$A$152,0))</f>
        <v>0.3</v>
      </c>
      <c r="J2889" s="2">
        <f t="shared" si="454"/>
        <v>12.379947310598205</v>
      </c>
      <c r="K2889" s="2">
        <f t="shared" si="458"/>
        <v>3.4663852469674974</v>
      </c>
      <c r="L2889" s="2">
        <f t="shared" si="459"/>
        <v>15.846332557565702</v>
      </c>
      <c r="M2889" s="2">
        <f t="shared" si="455"/>
        <v>11.488591104235134</v>
      </c>
      <c r="N2889" s="2">
        <f t="shared" si="456"/>
        <v>5.7442955521175669</v>
      </c>
      <c r="O2889" s="2">
        <f t="shared" si="457"/>
        <v>21.081564676271469</v>
      </c>
      <c r="P2889" s="2">
        <v>72.553837999999999</v>
      </c>
      <c r="Q2889" s="2">
        <v>23.038226000000002</v>
      </c>
    </row>
    <row r="2890" spans="1:17" x14ac:dyDescent="0.25">
      <c r="A2890" s="2">
        <v>3076</v>
      </c>
      <c r="B2890" s="2" t="s">
        <v>103</v>
      </c>
      <c r="C2890" s="2">
        <v>3</v>
      </c>
      <c r="D2890" s="2">
        <f t="shared" si="450"/>
        <v>7.62</v>
      </c>
      <c r="E2890" s="2">
        <f t="shared" si="451"/>
        <v>2.4255213327204852</v>
      </c>
      <c r="F2890" s="2">
        <f t="shared" si="452"/>
        <v>0.95492965855137202</v>
      </c>
      <c r="G2890" s="2">
        <v>1.309957</v>
      </c>
      <c r="H2890" s="2">
        <f t="shared" si="453"/>
        <v>4.2977593238800003</v>
      </c>
      <c r="I2890" s="2">
        <f>INDEX('Wood Density Lookup'!$B$2:$B$152,MATCH(B2890,'Wood Density Lookup'!$A$2:$A$152,0))</f>
        <v>0.6</v>
      </c>
      <c r="J2890" s="2">
        <f t="shared" si="454"/>
        <v>0.29996674337107904</v>
      </c>
      <c r="K2890" s="2">
        <f t="shared" si="458"/>
        <v>8.3990688143902134E-2</v>
      </c>
      <c r="L2890" s="2">
        <f t="shared" si="459"/>
        <v>0.38395743151498118</v>
      </c>
      <c r="M2890" s="2">
        <f t="shared" si="455"/>
        <v>0.27836913784836137</v>
      </c>
      <c r="N2890" s="2">
        <f t="shared" si="456"/>
        <v>0.13918456892418068</v>
      </c>
      <c r="O2890" s="2">
        <f t="shared" si="457"/>
        <v>0.51080736795174309</v>
      </c>
      <c r="P2890" s="2">
        <v>72.553838999999996</v>
      </c>
      <c r="Q2890" s="2">
        <v>23.037141999999999</v>
      </c>
    </row>
    <row r="2891" spans="1:17" x14ac:dyDescent="0.25">
      <c r="A2891" s="2">
        <v>3077</v>
      </c>
      <c r="B2891" s="2" t="s">
        <v>103</v>
      </c>
      <c r="C2891" s="2">
        <v>1</v>
      </c>
      <c r="D2891" s="2">
        <f t="shared" si="450"/>
        <v>2.54</v>
      </c>
      <c r="E2891" s="2">
        <f t="shared" si="451"/>
        <v>0.80850711090682836</v>
      </c>
      <c r="F2891" s="2">
        <f t="shared" si="452"/>
        <v>0.31830988618379069</v>
      </c>
      <c r="G2891" s="2">
        <v>1.4496770000000001</v>
      </c>
      <c r="H2891" s="2">
        <f t="shared" si="453"/>
        <v>4.75615828868</v>
      </c>
      <c r="I2891" s="2">
        <f>INDEX('Wood Density Lookup'!$B$2:$B$152,MATCH(B2891,'Wood Density Lookup'!$A$2:$A$152,0))</f>
        <v>0.6</v>
      </c>
      <c r="J2891" s="2">
        <f t="shared" si="454"/>
        <v>3.8787365854417465E-2</v>
      </c>
      <c r="K2891" s="2">
        <f t="shared" si="458"/>
        <v>1.0860462439236891E-2</v>
      </c>
      <c r="L2891" s="2">
        <f t="shared" si="459"/>
        <v>4.9647828293654356E-2</v>
      </c>
      <c r="M2891" s="2">
        <f t="shared" si="455"/>
        <v>3.5994675512899407E-2</v>
      </c>
      <c r="N2891" s="2">
        <f t="shared" si="456"/>
        <v>1.7997337756449704E-2</v>
      </c>
      <c r="O2891" s="2">
        <f t="shared" si="457"/>
        <v>6.6050229566170404E-2</v>
      </c>
      <c r="P2891" s="2">
        <v>72.553839999999994</v>
      </c>
      <c r="Q2891" s="2">
        <v>23.037126000000001</v>
      </c>
    </row>
    <row r="2892" spans="1:17" x14ac:dyDescent="0.25">
      <c r="A2892" s="2">
        <v>3078</v>
      </c>
      <c r="B2892" s="2" t="s">
        <v>103</v>
      </c>
      <c r="C2892" s="2">
        <v>2</v>
      </c>
      <c r="D2892" s="2">
        <f t="shared" si="450"/>
        <v>5.08</v>
      </c>
      <c r="E2892" s="2">
        <f t="shared" si="451"/>
        <v>1.6170142218136567</v>
      </c>
      <c r="F2892" s="2">
        <f t="shared" si="452"/>
        <v>0.63661977236758138</v>
      </c>
      <c r="G2892" s="2">
        <v>7.1852270000000003</v>
      </c>
      <c r="H2892" s="2">
        <f t="shared" si="453"/>
        <v>23.573580150680002</v>
      </c>
      <c r="I2892" s="2">
        <f>INDEX('Wood Density Lookup'!$B$2:$B$152,MATCH(B2892,'Wood Density Lookup'!$A$2:$A$152,0))</f>
        <v>0.6</v>
      </c>
      <c r="J2892" s="2">
        <f t="shared" si="454"/>
        <v>0.71579064949133375</v>
      </c>
      <c r="K2892" s="2">
        <f t="shared" si="458"/>
        <v>0.20042138185757347</v>
      </c>
      <c r="L2892" s="2">
        <f t="shared" si="459"/>
        <v>0.91621203134890727</v>
      </c>
      <c r="M2892" s="2">
        <f t="shared" si="455"/>
        <v>0.6642537227279578</v>
      </c>
      <c r="N2892" s="2">
        <f t="shared" si="456"/>
        <v>0.3321268613639789</v>
      </c>
      <c r="O2892" s="2">
        <f t="shared" si="457"/>
        <v>1.2189055812058025</v>
      </c>
      <c r="P2892" s="2">
        <v>72.553839999999994</v>
      </c>
      <c r="Q2892" s="2">
        <v>23.038717999999999</v>
      </c>
    </row>
    <row r="2893" spans="1:17" x14ac:dyDescent="0.25">
      <c r="A2893" s="2">
        <v>3079</v>
      </c>
      <c r="B2893" s="2" t="s">
        <v>37</v>
      </c>
      <c r="C2893" s="2">
        <v>44</v>
      </c>
      <c r="D2893" s="2">
        <f t="shared" si="450"/>
        <v>111.76</v>
      </c>
      <c r="E2893" s="2">
        <f t="shared" si="451"/>
        <v>35.574312879900447</v>
      </c>
      <c r="F2893" s="2">
        <f t="shared" si="452"/>
        <v>14.00563499208679</v>
      </c>
      <c r="G2893" s="2">
        <v>8.2209380000000003</v>
      </c>
      <c r="H2893" s="2">
        <f t="shared" si="453"/>
        <v>26.971582227919999</v>
      </c>
      <c r="I2893" s="2">
        <f>INDEX('Wood Density Lookup'!$B$2:$B$152,MATCH(B2893,'Wood Density Lookup'!$A$2:$A$152,0))</f>
        <v>0.27</v>
      </c>
      <c r="J2893" s="2">
        <f t="shared" si="454"/>
        <v>156.24561788678935</v>
      </c>
      <c r="K2893" s="2">
        <f t="shared" si="458"/>
        <v>43.748773008301022</v>
      </c>
      <c r="L2893" s="2">
        <f t="shared" si="459"/>
        <v>199.99439089509036</v>
      </c>
      <c r="M2893" s="2">
        <f t="shared" si="455"/>
        <v>144.99593339894051</v>
      </c>
      <c r="N2893" s="2">
        <f t="shared" si="456"/>
        <v>72.497966699470254</v>
      </c>
      <c r="O2893" s="2">
        <f t="shared" si="457"/>
        <v>266.06753778705581</v>
      </c>
      <c r="P2893" s="2">
        <v>72.553841000000006</v>
      </c>
      <c r="Q2893" s="2">
        <v>23.038181000000002</v>
      </c>
    </row>
    <row r="2894" spans="1:17" x14ac:dyDescent="0.25">
      <c r="A2894" s="2">
        <v>3080</v>
      </c>
      <c r="B2894" s="2" t="s">
        <v>124</v>
      </c>
      <c r="C2894" s="2">
        <v>14</v>
      </c>
      <c r="D2894" s="2">
        <f t="shared" si="450"/>
        <v>35.56</v>
      </c>
      <c r="E2894" s="2">
        <f t="shared" si="451"/>
        <v>11.319099552695597</v>
      </c>
      <c r="F2894" s="2">
        <f t="shared" si="452"/>
        <v>4.45633840657307</v>
      </c>
      <c r="G2894" s="2">
        <v>2.6048740000000001</v>
      </c>
      <c r="H2894" s="2">
        <f t="shared" si="453"/>
        <v>8.5461748141600005</v>
      </c>
      <c r="I2894" s="2">
        <f>INDEX('Wood Density Lookup'!$B$2:$B$152,MATCH(B2894,'Wood Density Lookup'!$A$2:$A$152,0))</f>
        <v>0.55000000000000004</v>
      </c>
      <c r="J2894" s="2">
        <f t="shared" si="454"/>
        <v>10.900782585738645</v>
      </c>
      <c r="K2894" s="2">
        <f t="shared" si="458"/>
        <v>3.0522191240068208</v>
      </c>
      <c r="L2894" s="2">
        <f t="shared" si="459"/>
        <v>13.953001709745465</v>
      </c>
      <c r="M2894" s="2">
        <f t="shared" si="455"/>
        <v>10.115926239565461</v>
      </c>
      <c r="N2894" s="2">
        <f t="shared" si="456"/>
        <v>5.0579631197827304</v>
      </c>
      <c r="O2894" s="2">
        <f t="shared" si="457"/>
        <v>18.562724649602622</v>
      </c>
      <c r="P2894" s="2">
        <v>72.553841000000006</v>
      </c>
      <c r="Q2894" s="2">
        <v>23.037206999999999</v>
      </c>
    </row>
    <row r="2895" spans="1:17" x14ac:dyDescent="0.25">
      <c r="A2895" s="2">
        <v>3081</v>
      </c>
      <c r="B2895" s="2" t="s">
        <v>103</v>
      </c>
      <c r="C2895" s="2">
        <v>2</v>
      </c>
      <c r="D2895" s="2">
        <f t="shared" si="450"/>
        <v>5.08</v>
      </c>
      <c r="E2895" s="2">
        <f t="shared" si="451"/>
        <v>1.6170142218136567</v>
      </c>
      <c r="F2895" s="2">
        <f t="shared" si="452"/>
        <v>0.63661977236758138</v>
      </c>
      <c r="G2895" s="2">
        <v>1.411929</v>
      </c>
      <c r="H2895" s="2">
        <f t="shared" si="453"/>
        <v>4.63231314036</v>
      </c>
      <c r="I2895" s="2">
        <f>INDEX('Wood Density Lookup'!$B$2:$B$152,MATCH(B2895,'Wood Density Lookup'!$A$2:$A$152,0))</f>
        <v>0.6</v>
      </c>
      <c r="J2895" s="2">
        <f t="shared" si="454"/>
        <v>0.14625726547121284</v>
      </c>
      <c r="K2895" s="2">
        <f t="shared" si="458"/>
        <v>4.0952034331939599E-2</v>
      </c>
      <c r="L2895" s="2">
        <f t="shared" si="459"/>
        <v>0.18720929980315243</v>
      </c>
      <c r="M2895" s="2">
        <f t="shared" si="455"/>
        <v>0.13572674235728552</v>
      </c>
      <c r="N2895" s="2">
        <f t="shared" si="456"/>
        <v>6.7863371178642759E-2</v>
      </c>
      <c r="O2895" s="2">
        <f t="shared" si="457"/>
        <v>0.24905857222561892</v>
      </c>
      <c r="P2895" s="2">
        <v>72.553841000000006</v>
      </c>
      <c r="Q2895" s="2">
        <v>23.037122</v>
      </c>
    </row>
    <row r="2896" spans="1:17" x14ac:dyDescent="0.25">
      <c r="A2896" s="2">
        <v>3082</v>
      </c>
      <c r="B2896" s="2" t="s">
        <v>55</v>
      </c>
      <c r="C2896" s="2">
        <v>34</v>
      </c>
      <c r="D2896" s="2">
        <f t="shared" si="450"/>
        <v>86.36</v>
      </c>
      <c r="E2896" s="2">
        <f t="shared" si="451"/>
        <v>27.489241770832162</v>
      </c>
      <c r="F2896" s="2">
        <f t="shared" si="452"/>
        <v>10.822536130248883</v>
      </c>
      <c r="G2896" s="2">
        <v>16.186785</v>
      </c>
      <c r="H2896" s="2">
        <f t="shared" si="453"/>
        <v>53.106251699399998</v>
      </c>
      <c r="I2896" s="2">
        <f>INDEX('Wood Density Lookup'!$B$2:$B$152,MATCH(B2896,'Wood Density Lookup'!$A$2:$A$152,0))</f>
        <v>0.75</v>
      </c>
      <c r="J2896" s="2">
        <f t="shared" si="454"/>
        <v>495.97674103629197</v>
      </c>
      <c r="K2896" s="2">
        <f t="shared" si="458"/>
        <v>138.87348749016178</v>
      </c>
      <c r="L2896" s="2">
        <f t="shared" si="459"/>
        <v>634.85022852645375</v>
      </c>
      <c r="M2896" s="2">
        <f t="shared" si="455"/>
        <v>460.26641568167895</v>
      </c>
      <c r="N2896" s="2">
        <f t="shared" si="456"/>
        <v>230.13320784083948</v>
      </c>
      <c r="O2896" s="2">
        <f t="shared" si="457"/>
        <v>844.58887277588087</v>
      </c>
      <c r="P2896" s="2">
        <v>72.553842000000003</v>
      </c>
      <c r="Q2896" s="2">
        <v>23.036546000000001</v>
      </c>
    </row>
    <row r="2897" spans="1:17" x14ac:dyDescent="0.25">
      <c r="A2897" s="2">
        <v>3083</v>
      </c>
      <c r="B2897" s="2" t="s">
        <v>103</v>
      </c>
      <c r="C2897" s="2">
        <v>2</v>
      </c>
      <c r="D2897" s="2">
        <f t="shared" si="450"/>
        <v>5.08</v>
      </c>
      <c r="E2897" s="2">
        <f t="shared" si="451"/>
        <v>1.6170142218136567</v>
      </c>
      <c r="F2897" s="2">
        <f t="shared" si="452"/>
        <v>0.63661977236758138</v>
      </c>
      <c r="G2897" s="2">
        <v>1.3902129999999999</v>
      </c>
      <c r="H2897" s="2">
        <f t="shared" si="453"/>
        <v>4.5610664189199994</v>
      </c>
      <c r="I2897" s="2">
        <f>INDEX('Wood Density Lookup'!$B$2:$B$152,MATCH(B2897,'Wood Density Lookup'!$A$2:$A$152,0))</f>
        <v>0.6</v>
      </c>
      <c r="J2897" s="2">
        <f t="shared" si="454"/>
        <v>0.14406135407035414</v>
      </c>
      <c r="K2897" s="2">
        <f t="shared" si="458"/>
        <v>4.0337179139699163E-2</v>
      </c>
      <c r="L2897" s="2">
        <f t="shared" si="459"/>
        <v>0.18439853321005331</v>
      </c>
      <c r="M2897" s="2">
        <f t="shared" si="455"/>
        <v>0.13368893657728864</v>
      </c>
      <c r="N2897" s="2">
        <f t="shared" si="456"/>
        <v>6.6844468288644321E-2</v>
      </c>
      <c r="O2897" s="2">
        <f t="shared" si="457"/>
        <v>0.24531919861932466</v>
      </c>
      <c r="P2897" s="2">
        <v>72.553842000000003</v>
      </c>
      <c r="Q2897" s="2">
        <v>23.037130999999999</v>
      </c>
    </row>
    <row r="2898" spans="1:17" x14ac:dyDescent="0.25">
      <c r="A2898" s="2">
        <v>3084</v>
      </c>
      <c r="B2898" s="2" t="s">
        <v>103</v>
      </c>
      <c r="C2898" s="2">
        <v>4</v>
      </c>
      <c r="D2898" s="2">
        <f t="shared" si="450"/>
        <v>10.16</v>
      </c>
      <c r="E2898" s="2">
        <f t="shared" si="451"/>
        <v>3.2340284436273135</v>
      </c>
      <c r="F2898" s="2">
        <f t="shared" si="452"/>
        <v>1.2732395447351628</v>
      </c>
      <c r="G2898" s="2">
        <v>1.434388</v>
      </c>
      <c r="H2898" s="2">
        <f t="shared" si="453"/>
        <v>4.70599752592</v>
      </c>
      <c r="I2898" s="2">
        <f>INDEX('Wood Density Lookup'!$B$2:$B$152,MATCH(B2898,'Wood Density Lookup'!$A$2:$A$152,0))</f>
        <v>0.6</v>
      </c>
      <c r="J2898" s="2">
        <f t="shared" si="454"/>
        <v>0.57466837110049929</v>
      </c>
      <c r="K2898" s="2">
        <f t="shared" si="458"/>
        <v>0.16090714390813982</v>
      </c>
      <c r="L2898" s="2">
        <f t="shared" si="459"/>
        <v>0.73557551500863916</v>
      </c>
      <c r="M2898" s="2">
        <f t="shared" si="455"/>
        <v>0.53329224838126332</v>
      </c>
      <c r="N2898" s="2">
        <f t="shared" si="456"/>
        <v>0.26664612419063166</v>
      </c>
      <c r="O2898" s="2">
        <f t="shared" si="457"/>
        <v>0.97859127577961813</v>
      </c>
      <c r="P2898" s="2">
        <v>72.553843000000001</v>
      </c>
      <c r="Q2898" s="2">
        <v>23.037127000000002</v>
      </c>
    </row>
    <row r="2899" spans="1:17" x14ac:dyDescent="0.25">
      <c r="A2899" s="2">
        <v>3085</v>
      </c>
      <c r="B2899" s="2" t="s">
        <v>103</v>
      </c>
      <c r="C2899" s="2">
        <v>2</v>
      </c>
      <c r="D2899" s="2">
        <f t="shared" si="450"/>
        <v>5.08</v>
      </c>
      <c r="E2899" s="2">
        <f t="shared" si="451"/>
        <v>1.6170142218136567</v>
      </c>
      <c r="F2899" s="2">
        <f t="shared" si="452"/>
        <v>0.63661977236758138</v>
      </c>
      <c r="G2899" s="2">
        <v>1.336822</v>
      </c>
      <c r="H2899" s="2">
        <f t="shared" si="453"/>
        <v>4.3858990904799997</v>
      </c>
      <c r="I2899" s="2">
        <f>INDEX('Wood Density Lookup'!$B$2:$B$152,MATCH(B2899,'Wood Density Lookup'!$A$2:$A$152,0))</f>
        <v>0.6</v>
      </c>
      <c r="J2899" s="2">
        <f t="shared" si="454"/>
        <v>0.13865895331965389</v>
      </c>
      <c r="K2899" s="2">
        <f t="shared" si="458"/>
        <v>3.8824506929503094E-2</v>
      </c>
      <c r="L2899" s="2">
        <f t="shared" si="459"/>
        <v>0.17748346024915698</v>
      </c>
      <c r="M2899" s="2">
        <f t="shared" si="455"/>
        <v>0.12867550868063882</v>
      </c>
      <c r="N2899" s="2">
        <f t="shared" si="456"/>
        <v>6.4337754340319409E-2</v>
      </c>
      <c r="O2899" s="2">
        <f t="shared" si="457"/>
        <v>0.23611955842897223</v>
      </c>
      <c r="P2899" s="2">
        <v>72.553843000000001</v>
      </c>
      <c r="Q2899" s="2">
        <v>23.037139</v>
      </c>
    </row>
    <row r="2900" spans="1:17" x14ac:dyDescent="0.25">
      <c r="A2900" s="2">
        <v>3086</v>
      </c>
      <c r="B2900" s="2" t="s">
        <v>103</v>
      </c>
      <c r="C2900" s="2">
        <v>1</v>
      </c>
      <c r="D2900" s="2">
        <f t="shared" si="450"/>
        <v>2.54</v>
      </c>
      <c r="E2900" s="2">
        <f t="shared" si="451"/>
        <v>0.80850711090682836</v>
      </c>
      <c r="F2900" s="2">
        <f t="shared" si="452"/>
        <v>0.31830988618379069</v>
      </c>
      <c r="G2900" s="2">
        <v>1.3778109999999999</v>
      </c>
      <c r="H2900" s="2">
        <f t="shared" si="453"/>
        <v>4.52037744124</v>
      </c>
      <c r="I2900" s="2">
        <f>INDEX('Wood Density Lookup'!$B$2:$B$152,MATCH(B2900,'Wood Density Lookup'!$A$2:$A$152,0))</f>
        <v>0.6</v>
      </c>
      <c r="J2900" s="2">
        <f t="shared" si="454"/>
        <v>3.6909540971807639E-2</v>
      </c>
      <c r="K2900" s="2">
        <f t="shared" si="458"/>
        <v>1.0334671472106139E-2</v>
      </c>
      <c r="L2900" s="2">
        <f t="shared" si="459"/>
        <v>4.7244212443913775E-2</v>
      </c>
      <c r="M2900" s="2">
        <f t="shared" si="455"/>
        <v>3.4252054021837487E-2</v>
      </c>
      <c r="N2900" s="2">
        <f t="shared" si="456"/>
        <v>1.7126027010918744E-2</v>
      </c>
      <c r="O2900" s="2">
        <f t="shared" si="457"/>
        <v>6.2852519130071782E-2</v>
      </c>
      <c r="P2900" s="2">
        <v>72.553844999999995</v>
      </c>
      <c r="Q2900" s="2">
        <v>23.037136</v>
      </c>
    </row>
    <row r="2901" spans="1:17" x14ac:dyDescent="0.25">
      <c r="A2901" s="2">
        <v>3087</v>
      </c>
      <c r="B2901" s="2" t="s">
        <v>49</v>
      </c>
      <c r="C2901" s="2">
        <v>24</v>
      </c>
      <c r="D2901" s="2">
        <f t="shared" si="450"/>
        <v>60.96</v>
      </c>
      <c r="E2901" s="2">
        <f t="shared" si="451"/>
        <v>19.404170661763882</v>
      </c>
      <c r="F2901" s="2">
        <f t="shared" si="452"/>
        <v>7.6394372684109761</v>
      </c>
      <c r="G2901" s="2">
        <v>10.074127000000001</v>
      </c>
      <c r="H2901" s="2">
        <f t="shared" si="453"/>
        <v>33.051598826679999</v>
      </c>
      <c r="I2901" s="2">
        <f>INDEX('Wood Density Lookup'!$B$2:$B$152,MATCH(B2901,'Wood Density Lookup'!$A$2:$A$152,0))</f>
        <v>0.78</v>
      </c>
      <c r="J2901" s="2">
        <f t="shared" si="454"/>
        <v>164.36185988692043</v>
      </c>
      <c r="K2901" s="2">
        <f t="shared" si="458"/>
        <v>46.021320768337723</v>
      </c>
      <c r="L2901" s="2">
        <f t="shared" si="459"/>
        <v>210.38318065525814</v>
      </c>
      <c r="M2901" s="2">
        <f t="shared" si="455"/>
        <v>152.52780597506214</v>
      </c>
      <c r="N2901" s="2">
        <f t="shared" si="456"/>
        <v>76.263902987531068</v>
      </c>
      <c r="O2901" s="2">
        <f t="shared" si="457"/>
        <v>279.88852396423903</v>
      </c>
      <c r="P2901" s="2">
        <v>72.553845999999993</v>
      </c>
      <c r="Q2901" s="2">
        <v>23.038114</v>
      </c>
    </row>
    <row r="2902" spans="1:17" x14ac:dyDescent="0.25">
      <c r="A2902" s="2">
        <v>3088</v>
      </c>
      <c r="B2902" s="2" t="s">
        <v>103</v>
      </c>
      <c r="C2902" s="2">
        <v>3</v>
      </c>
      <c r="D2902" s="2">
        <f t="shared" si="450"/>
        <v>7.62</v>
      </c>
      <c r="E2902" s="2">
        <f t="shared" si="451"/>
        <v>2.4255213327204852</v>
      </c>
      <c r="F2902" s="2">
        <f t="shared" si="452"/>
        <v>0.95492965855137202</v>
      </c>
      <c r="G2902" s="2">
        <v>1.4362280000000001</v>
      </c>
      <c r="H2902" s="2">
        <f t="shared" si="453"/>
        <v>4.7120342715200003</v>
      </c>
      <c r="I2902" s="2">
        <f>INDEX('Wood Density Lookup'!$B$2:$B$152,MATCH(B2902,'Wood Density Lookup'!$A$2:$A$152,0))</f>
        <v>0.6</v>
      </c>
      <c r="J2902" s="2">
        <f t="shared" si="454"/>
        <v>0.32815593636180485</v>
      </c>
      <c r="K2902" s="2">
        <f t="shared" si="458"/>
        <v>9.1883662181305364E-2</v>
      </c>
      <c r="L2902" s="2">
        <f t="shared" si="459"/>
        <v>0.42003959854311024</v>
      </c>
      <c r="M2902" s="2">
        <f t="shared" si="455"/>
        <v>0.30452870894375489</v>
      </c>
      <c r="N2902" s="2">
        <f t="shared" si="456"/>
        <v>0.15226435447187744</v>
      </c>
      <c r="O2902" s="2">
        <f t="shared" si="457"/>
        <v>0.55881018091179024</v>
      </c>
      <c r="P2902" s="2">
        <v>72.553845999999993</v>
      </c>
      <c r="Q2902" s="2">
        <v>23.037130000000001</v>
      </c>
    </row>
    <row r="2903" spans="1:17" x14ac:dyDescent="0.25">
      <c r="A2903" s="2">
        <v>3089</v>
      </c>
      <c r="B2903" s="2" t="s">
        <v>103</v>
      </c>
      <c r="C2903" s="2">
        <v>2</v>
      </c>
      <c r="D2903" s="2">
        <f t="shared" si="450"/>
        <v>5.08</v>
      </c>
      <c r="E2903" s="2">
        <f t="shared" si="451"/>
        <v>1.6170142218136567</v>
      </c>
      <c r="F2903" s="2">
        <f t="shared" si="452"/>
        <v>0.63661977236758138</v>
      </c>
      <c r="G2903" s="2">
        <v>1.3504970000000001</v>
      </c>
      <c r="H2903" s="2">
        <f t="shared" si="453"/>
        <v>4.4307645774799997</v>
      </c>
      <c r="I2903" s="2">
        <f>INDEX('Wood Density Lookup'!$B$2:$B$152,MATCH(B2903,'Wood Density Lookup'!$A$2:$A$152,0))</f>
        <v>0.6</v>
      </c>
      <c r="J2903" s="2">
        <f t="shared" si="454"/>
        <v>0.140043151763837</v>
      </c>
      <c r="K2903" s="2">
        <f t="shared" si="458"/>
        <v>3.921208249387436E-2</v>
      </c>
      <c r="L2903" s="2">
        <f t="shared" si="459"/>
        <v>0.17925523425771137</v>
      </c>
      <c r="M2903" s="2">
        <f t="shared" si="455"/>
        <v>0.12996004483684073</v>
      </c>
      <c r="N2903" s="2">
        <f t="shared" si="456"/>
        <v>6.4980022418420366E-2</v>
      </c>
      <c r="O2903" s="2">
        <f t="shared" si="457"/>
        <v>0.23847668227560273</v>
      </c>
      <c r="P2903" s="2">
        <v>72.553848000000002</v>
      </c>
      <c r="Q2903" s="2">
        <v>23.037139</v>
      </c>
    </row>
    <row r="2904" spans="1:17" x14ac:dyDescent="0.25">
      <c r="A2904" s="2">
        <v>3090</v>
      </c>
      <c r="B2904" s="2" t="s">
        <v>103</v>
      </c>
      <c r="C2904" s="2">
        <v>1</v>
      </c>
      <c r="D2904" s="2">
        <f t="shared" si="450"/>
        <v>2.54</v>
      </c>
      <c r="E2904" s="2">
        <f t="shared" si="451"/>
        <v>0.80850711090682836</v>
      </c>
      <c r="F2904" s="2">
        <f t="shared" si="452"/>
        <v>0.31830988618379069</v>
      </c>
      <c r="G2904" s="2">
        <v>1.3828689999999999</v>
      </c>
      <c r="H2904" s="2">
        <f t="shared" si="453"/>
        <v>4.53697192996</v>
      </c>
      <c r="I2904" s="2">
        <f>INDEX('Wood Density Lookup'!$B$2:$B$152,MATCH(B2904,'Wood Density Lookup'!$A$2:$A$152,0))</f>
        <v>0.6</v>
      </c>
      <c r="J2904" s="2">
        <f t="shared" si="454"/>
        <v>3.7041779659526368E-2</v>
      </c>
      <c r="K2904" s="2">
        <f t="shared" si="458"/>
        <v>1.0371698304667384E-2</v>
      </c>
      <c r="L2904" s="2">
        <f t="shared" si="459"/>
        <v>4.7413477964193748E-2</v>
      </c>
      <c r="M2904" s="2">
        <f t="shared" si="455"/>
        <v>3.4374771524040469E-2</v>
      </c>
      <c r="N2904" s="2">
        <f t="shared" si="456"/>
        <v>1.7187385762020235E-2</v>
      </c>
      <c r="O2904" s="2">
        <f t="shared" si="457"/>
        <v>6.3077705746614254E-2</v>
      </c>
      <c r="P2904" s="2">
        <v>72.553849</v>
      </c>
      <c r="Q2904" s="2">
        <v>23.037125</v>
      </c>
    </row>
    <row r="2905" spans="1:17" x14ac:dyDescent="0.25">
      <c r="A2905" s="2">
        <v>3091</v>
      </c>
      <c r="B2905" s="2" t="s">
        <v>103</v>
      </c>
      <c r="C2905" s="2">
        <v>2</v>
      </c>
      <c r="D2905" s="2">
        <f t="shared" si="450"/>
        <v>5.08</v>
      </c>
      <c r="E2905" s="2">
        <f t="shared" si="451"/>
        <v>1.6170142218136567</v>
      </c>
      <c r="F2905" s="2">
        <f t="shared" si="452"/>
        <v>0.63661977236758138</v>
      </c>
      <c r="G2905" s="2">
        <v>1.2872079999999999</v>
      </c>
      <c r="H2905" s="2">
        <f t="shared" si="453"/>
        <v>4.2231234947199994</v>
      </c>
      <c r="I2905" s="2">
        <f>INDEX('Wood Density Lookup'!$B$2:$B$152,MATCH(B2905,'Wood Density Lookup'!$A$2:$A$152,0))</f>
        <v>0.6</v>
      </c>
      <c r="J2905" s="2">
        <f t="shared" si="454"/>
        <v>0.1336340898707975</v>
      </c>
      <c r="K2905" s="2">
        <f t="shared" si="458"/>
        <v>3.7417545163823306E-2</v>
      </c>
      <c r="L2905" s="2">
        <f t="shared" si="459"/>
        <v>0.17105163503462081</v>
      </c>
      <c r="M2905" s="2">
        <f t="shared" si="455"/>
        <v>0.12401243540010008</v>
      </c>
      <c r="N2905" s="2">
        <f t="shared" si="456"/>
        <v>6.2006217700050041E-2</v>
      </c>
      <c r="O2905" s="2">
        <f t="shared" si="457"/>
        <v>0.22756281895918365</v>
      </c>
      <c r="P2905" s="2">
        <v>72.553850999999995</v>
      </c>
      <c r="Q2905" s="2">
        <v>23.037143</v>
      </c>
    </row>
    <row r="2906" spans="1:17" x14ac:dyDescent="0.25">
      <c r="A2906" s="2">
        <v>3092</v>
      </c>
      <c r="B2906" s="2" t="s">
        <v>103</v>
      </c>
      <c r="C2906" s="2">
        <v>4</v>
      </c>
      <c r="D2906" s="2">
        <f t="shared" si="450"/>
        <v>10.16</v>
      </c>
      <c r="E2906" s="2">
        <f t="shared" si="451"/>
        <v>3.2340284436273135</v>
      </c>
      <c r="F2906" s="2">
        <f t="shared" si="452"/>
        <v>1.2732395447351628</v>
      </c>
      <c r="G2906" s="2">
        <v>1.363961</v>
      </c>
      <c r="H2906" s="2">
        <f t="shared" si="453"/>
        <v>4.4749378072399999</v>
      </c>
      <c r="I2906" s="2">
        <f>INDEX('Wood Density Lookup'!$B$2:$B$152,MATCH(B2906,'Wood Density Lookup'!$A$2:$A$152,0))</f>
        <v>0.6</v>
      </c>
      <c r="J2906" s="2">
        <f t="shared" si="454"/>
        <v>0.54711340636971006</v>
      </c>
      <c r="K2906" s="2">
        <f t="shared" si="458"/>
        <v>0.15319175378351882</v>
      </c>
      <c r="L2906" s="2">
        <f t="shared" si="459"/>
        <v>0.70030516015322886</v>
      </c>
      <c r="M2906" s="2">
        <f t="shared" si="455"/>
        <v>0.50772124111109096</v>
      </c>
      <c r="N2906" s="2">
        <f t="shared" si="456"/>
        <v>0.25386062055554548</v>
      </c>
      <c r="O2906" s="2">
        <f t="shared" si="457"/>
        <v>0.93166847743885184</v>
      </c>
      <c r="P2906" s="2">
        <v>72.553852000000006</v>
      </c>
      <c r="Q2906" s="2">
        <v>23.037130999999999</v>
      </c>
    </row>
    <row r="2907" spans="1:17" x14ac:dyDescent="0.25">
      <c r="A2907" s="2">
        <v>3093</v>
      </c>
      <c r="B2907" s="2" t="s">
        <v>103</v>
      </c>
      <c r="C2907" s="2">
        <v>1</v>
      </c>
      <c r="D2907" s="2">
        <f t="shared" si="450"/>
        <v>2.54</v>
      </c>
      <c r="E2907" s="2">
        <f t="shared" si="451"/>
        <v>0.80850711090682836</v>
      </c>
      <c r="F2907" s="2">
        <f t="shared" si="452"/>
        <v>0.31830988618379069</v>
      </c>
      <c r="G2907" s="2">
        <v>1.363961</v>
      </c>
      <c r="H2907" s="2">
        <f t="shared" si="453"/>
        <v>4.4749378072399999</v>
      </c>
      <c r="I2907" s="2">
        <f>INDEX('Wood Density Lookup'!$B$2:$B$152,MATCH(B2907,'Wood Density Lookup'!$A$2:$A$152,0))</f>
        <v>0.6</v>
      </c>
      <c r="J2907" s="2">
        <f t="shared" si="454"/>
        <v>3.6547380412488055E-2</v>
      </c>
      <c r="K2907" s="2">
        <f t="shared" si="458"/>
        <v>1.0233266515496657E-2</v>
      </c>
      <c r="L2907" s="2">
        <f t="shared" si="459"/>
        <v>4.6780646927984712E-2</v>
      </c>
      <c r="M2907" s="2">
        <f t="shared" si="455"/>
        <v>3.3915969022788914E-2</v>
      </c>
      <c r="N2907" s="2">
        <f t="shared" si="456"/>
        <v>1.6957984511394457E-2</v>
      </c>
      <c r="O2907" s="2">
        <f t="shared" si="457"/>
        <v>6.2235803156817655E-2</v>
      </c>
      <c r="P2907" s="2">
        <v>72.553852000000006</v>
      </c>
      <c r="Q2907" s="2">
        <v>23.037130999999999</v>
      </c>
    </row>
    <row r="2908" spans="1:17" x14ac:dyDescent="0.25">
      <c r="A2908" s="2">
        <v>3094</v>
      </c>
      <c r="B2908" s="2" t="s">
        <v>103</v>
      </c>
      <c r="C2908" s="2">
        <v>2</v>
      </c>
      <c r="D2908" s="2">
        <f t="shared" si="450"/>
        <v>5.08</v>
      </c>
      <c r="E2908" s="2">
        <f t="shared" si="451"/>
        <v>1.6170142218136567</v>
      </c>
      <c r="F2908" s="2">
        <f t="shared" si="452"/>
        <v>0.63661977236758138</v>
      </c>
      <c r="G2908" s="2">
        <v>1.3980950000000001</v>
      </c>
      <c r="H2908" s="2">
        <f t="shared" si="453"/>
        <v>4.5869259998</v>
      </c>
      <c r="I2908" s="2">
        <f>INDEX('Wood Density Lookup'!$B$2:$B$152,MATCH(B2908,'Wood Density Lookup'!$A$2:$A$152,0))</f>
        <v>0.6</v>
      </c>
      <c r="J2908" s="2">
        <f t="shared" si="454"/>
        <v>0.14485847259843299</v>
      </c>
      <c r="K2908" s="2">
        <f t="shared" si="458"/>
        <v>4.0560372327561239E-2</v>
      </c>
      <c r="L2908" s="2">
        <f t="shared" si="459"/>
        <v>0.18541884492599423</v>
      </c>
      <c r="M2908" s="2">
        <f t="shared" si="455"/>
        <v>0.13442866257134581</v>
      </c>
      <c r="N2908" s="2">
        <f t="shared" si="456"/>
        <v>6.7214331285672904E-2</v>
      </c>
      <c r="O2908" s="2">
        <f t="shared" si="457"/>
        <v>0.24667659581841955</v>
      </c>
      <c r="P2908" s="2">
        <v>72.553852000000006</v>
      </c>
      <c r="Q2908" s="2">
        <v>23.037136</v>
      </c>
    </row>
    <row r="2909" spans="1:17" x14ac:dyDescent="0.25">
      <c r="A2909" s="2">
        <v>3095</v>
      </c>
      <c r="B2909" s="2" t="s">
        <v>103</v>
      </c>
      <c r="C2909" s="2">
        <v>2</v>
      </c>
      <c r="D2909" s="2">
        <f t="shared" si="450"/>
        <v>5.08</v>
      </c>
      <c r="E2909" s="2">
        <f t="shared" si="451"/>
        <v>1.6170142218136567</v>
      </c>
      <c r="F2909" s="2">
        <f t="shared" si="452"/>
        <v>0.63661977236758138</v>
      </c>
      <c r="G2909" s="2">
        <v>1.3457170000000001</v>
      </c>
      <c r="H2909" s="2">
        <f t="shared" si="453"/>
        <v>4.4150821622800001</v>
      </c>
      <c r="I2909" s="2">
        <f>INDEX('Wood Density Lookup'!$B$2:$B$152,MATCH(B2909,'Wood Density Lookup'!$A$2:$A$152,0))</f>
        <v>0.6</v>
      </c>
      <c r="J2909" s="2">
        <f t="shared" si="454"/>
        <v>0.13955935335618222</v>
      </c>
      <c r="K2909" s="2">
        <f t="shared" si="458"/>
        <v>3.9076618939731023E-2</v>
      </c>
      <c r="L2909" s="2">
        <f t="shared" si="459"/>
        <v>0.17863597229591324</v>
      </c>
      <c r="M2909" s="2">
        <f t="shared" si="455"/>
        <v>0.12951107991453709</v>
      </c>
      <c r="N2909" s="2">
        <f t="shared" si="456"/>
        <v>6.4755539957268543E-2</v>
      </c>
      <c r="O2909" s="2">
        <f t="shared" si="457"/>
        <v>0.23765283164317555</v>
      </c>
      <c r="P2909" s="2">
        <v>72.553854000000001</v>
      </c>
      <c r="Q2909" s="2">
        <v>23.037140000000001</v>
      </c>
    </row>
    <row r="2910" spans="1:17" x14ac:dyDescent="0.25">
      <c r="A2910" s="2">
        <v>3096</v>
      </c>
      <c r="B2910" s="2" t="s">
        <v>103</v>
      </c>
      <c r="C2910" s="2">
        <v>1</v>
      </c>
      <c r="D2910" s="2">
        <f t="shared" si="450"/>
        <v>2.54</v>
      </c>
      <c r="E2910" s="2">
        <f t="shared" si="451"/>
        <v>0.80850711090682836</v>
      </c>
      <c r="F2910" s="2">
        <f t="shared" si="452"/>
        <v>0.31830988618379069</v>
      </c>
      <c r="G2910" s="2">
        <v>1.319993</v>
      </c>
      <c r="H2910" s="2">
        <f t="shared" si="453"/>
        <v>4.3306858341199996</v>
      </c>
      <c r="I2910" s="2">
        <f>INDEX('Wood Density Lookup'!$B$2:$B$152,MATCH(B2910,'Wood Density Lookup'!$A$2:$A$152,0))</f>
        <v>0.6</v>
      </c>
      <c r="J2910" s="2">
        <f t="shared" si="454"/>
        <v>3.5397081597655068E-2</v>
      </c>
      <c r="K2910" s="2">
        <f t="shared" si="458"/>
        <v>9.9111828473434204E-3</v>
      </c>
      <c r="L2910" s="2">
        <f t="shared" si="459"/>
        <v>4.530826444499849E-2</v>
      </c>
      <c r="M2910" s="2">
        <f t="shared" si="455"/>
        <v>3.2848491722623906E-2</v>
      </c>
      <c r="N2910" s="2">
        <f t="shared" si="456"/>
        <v>1.6424245861311953E-2</v>
      </c>
      <c r="O2910" s="2">
        <f t="shared" si="457"/>
        <v>6.0276982311014866E-2</v>
      </c>
      <c r="P2910" s="2">
        <v>72.553854999999999</v>
      </c>
      <c r="Q2910" s="2">
        <v>23.037126000000001</v>
      </c>
    </row>
    <row r="2911" spans="1:17" x14ac:dyDescent="0.25">
      <c r="A2911" s="2">
        <v>3097</v>
      </c>
      <c r="B2911" s="2" t="s">
        <v>103</v>
      </c>
      <c r="C2911" s="2">
        <v>2</v>
      </c>
      <c r="D2911" s="2">
        <f t="shared" si="450"/>
        <v>5.08</v>
      </c>
      <c r="E2911" s="2">
        <f t="shared" si="451"/>
        <v>1.6170142218136567</v>
      </c>
      <c r="F2911" s="2">
        <f t="shared" si="452"/>
        <v>0.63661977236758138</v>
      </c>
      <c r="G2911" s="2">
        <v>1.3420300000000001</v>
      </c>
      <c r="H2911" s="2">
        <f t="shared" si="453"/>
        <v>4.4029857051999999</v>
      </c>
      <c r="I2911" s="2">
        <f>INDEX('Wood Density Lookup'!$B$2:$B$152,MATCH(B2911,'Wood Density Lookup'!$A$2:$A$152,0))</f>
        <v>0.6</v>
      </c>
      <c r="J2911" s="2">
        <f t="shared" si="454"/>
        <v>0.13918615265010825</v>
      </c>
      <c r="K2911" s="2">
        <f t="shared" si="458"/>
        <v>3.8972122742030317E-2</v>
      </c>
      <c r="L2911" s="2">
        <f t="shared" si="459"/>
        <v>0.17815827539213858</v>
      </c>
      <c r="M2911" s="2">
        <f t="shared" si="455"/>
        <v>0.12916474965930047</v>
      </c>
      <c r="N2911" s="2">
        <f t="shared" si="456"/>
        <v>6.4582374829650235E-2</v>
      </c>
      <c r="O2911" s="2">
        <f t="shared" si="457"/>
        <v>0.23701731562481637</v>
      </c>
      <c r="P2911" s="2">
        <v>72.553856999999994</v>
      </c>
      <c r="Q2911" s="2">
        <v>23.037132</v>
      </c>
    </row>
    <row r="2912" spans="1:17" x14ac:dyDescent="0.25">
      <c r="A2912" s="2">
        <v>3098</v>
      </c>
      <c r="B2912" s="2" t="s">
        <v>93</v>
      </c>
      <c r="C2912" s="2">
        <v>63</v>
      </c>
      <c r="D2912" s="2">
        <f t="shared" si="450"/>
        <v>160.02000000000001</v>
      </c>
      <c r="E2912" s="2">
        <f t="shared" si="451"/>
        <v>50.935947987130191</v>
      </c>
      <c r="F2912" s="2">
        <f t="shared" si="452"/>
        <v>20.053522829578814</v>
      </c>
      <c r="G2912" s="2">
        <v>14.977593000000001</v>
      </c>
      <c r="H2912" s="2">
        <f t="shared" si="453"/>
        <v>49.139086218119999</v>
      </c>
      <c r="I2912" s="2">
        <f>INDEX('Wood Density Lookup'!$B$2:$B$152,MATCH(B2912,'Wood Density Lookup'!$A$2:$A$152,0))</f>
        <v>0.9</v>
      </c>
      <c r="J2912" s="2">
        <f t="shared" si="454"/>
        <v>1831.044021559002</v>
      </c>
      <c r="K2912" s="2">
        <f t="shared" si="458"/>
        <v>512.69232603652063</v>
      </c>
      <c r="L2912" s="2">
        <f t="shared" si="459"/>
        <v>2343.7363475955226</v>
      </c>
      <c r="M2912" s="2">
        <f t="shared" si="455"/>
        <v>1699.2088520067539</v>
      </c>
      <c r="N2912" s="2">
        <f t="shared" si="456"/>
        <v>849.60442600337694</v>
      </c>
      <c r="O2912" s="2">
        <f t="shared" si="457"/>
        <v>3118.0482434323935</v>
      </c>
      <c r="P2912" s="2">
        <v>72.553858000000005</v>
      </c>
      <c r="Q2912" s="2">
        <v>23.037305</v>
      </c>
    </row>
    <row r="2913" spans="1:17" x14ac:dyDescent="0.25">
      <c r="A2913" s="2">
        <v>3099</v>
      </c>
      <c r="B2913" s="2" t="s">
        <v>103</v>
      </c>
      <c r="C2913" s="2">
        <v>3</v>
      </c>
      <c r="D2913" s="2">
        <f t="shared" si="450"/>
        <v>7.62</v>
      </c>
      <c r="E2913" s="2">
        <f t="shared" si="451"/>
        <v>2.4255213327204852</v>
      </c>
      <c r="F2913" s="2">
        <f t="shared" si="452"/>
        <v>0.95492965855137202</v>
      </c>
      <c r="G2913" s="2">
        <v>1.3831830000000001</v>
      </c>
      <c r="H2913" s="2">
        <f t="shared" si="453"/>
        <v>4.5380021137200002</v>
      </c>
      <c r="I2913" s="2">
        <f>INDEX('Wood Density Lookup'!$B$2:$B$152,MATCH(B2913,'Wood Density Lookup'!$A$2:$A$152,0))</f>
        <v>0.6</v>
      </c>
      <c r="J2913" s="2">
        <f t="shared" si="454"/>
        <v>0.31632154146819286</v>
      </c>
      <c r="K2913" s="2">
        <f t="shared" si="458"/>
        <v>8.8570031611094002E-2</v>
      </c>
      <c r="L2913" s="2">
        <f t="shared" si="459"/>
        <v>0.40489157307928686</v>
      </c>
      <c r="M2913" s="2">
        <f t="shared" si="455"/>
        <v>0.29354639048248299</v>
      </c>
      <c r="N2913" s="2">
        <f t="shared" si="456"/>
        <v>0.14677319524124149</v>
      </c>
      <c r="O2913" s="2">
        <f t="shared" si="457"/>
        <v>0.53865762653535632</v>
      </c>
      <c r="P2913" s="2">
        <v>72.553858000000005</v>
      </c>
      <c r="Q2913" s="2">
        <v>23.037137000000001</v>
      </c>
    </row>
    <row r="2914" spans="1:17" x14ac:dyDescent="0.25">
      <c r="A2914" s="2">
        <v>3100</v>
      </c>
      <c r="B2914" s="2" t="s">
        <v>101</v>
      </c>
      <c r="C2914" s="2">
        <v>21</v>
      </c>
      <c r="D2914" s="2">
        <f t="shared" si="450"/>
        <v>53.34</v>
      </c>
      <c r="E2914" s="2">
        <f t="shared" si="451"/>
        <v>16.978649329043396</v>
      </c>
      <c r="F2914" s="2">
        <f t="shared" si="452"/>
        <v>6.6845076098596046</v>
      </c>
      <c r="G2914" s="2">
        <v>2.6701090000000001</v>
      </c>
      <c r="H2914" s="2">
        <f t="shared" si="453"/>
        <v>8.7602004115599996</v>
      </c>
      <c r="I2914" s="2">
        <f>INDEX('Wood Density Lookup'!$B$2:$B$152,MATCH(B2914,'Wood Density Lookup'!$A$2:$A$152,0))</f>
        <v>0.2</v>
      </c>
      <c r="J2914" s="2">
        <f t="shared" si="454"/>
        <v>9.1808641576121168</v>
      </c>
      <c r="K2914" s="2">
        <f t="shared" si="458"/>
        <v>2.5706419641313931</v>
      </c>
      <c r="L2914" s="2">
        <f t="shared" si="459"/>
        <v>11.75150612174351</v>
      </c>
      <c r="M2914" s="2">
        <f t="shared" si="455"/>
        <v>8.5198419382640456</v>
      </c>
      <c r="N2914" s="2">
        <f t="shared" si="456"/>
        <v>4.2599209691320228</v>
      </c>
      <c r="O2914" s="2">
        <f t="shared" si="457"/>
        <v>15.633909956714524</v>
      </c>
      <c r="P2914" s="2">
        <v>72.553858000000005</v>
      </c>
      <c r="Q2914" s="2">
        <v>23.037033000000001</v>
      </c>
    </row>
    <row r="2915" spans="1:17" x14ac:dyDescent="0.25">
      <c r="A2915" s="2">
        <v>3101</v>
      </c>
      <c r="B2915" s="2" t="s">
        <v>103</v>
      </c>
      <c r="C2915" s="2">
        <v>1</v>
      </c>
      <c r="D2915" s="2">
        <f t="shared" si="450"/>
        <v>2.54</v>
      </c>
      <c r="E2915" s="2">
        <f t="shared" si="451"/>
        <v>0.80850711090682836</v>
      </c>
      <c r="F2915" s="2">
        <f t="shared" si="452"/>
        <v>0.31830988618379069</v>
      </c>
      <c r="G2915" s="2">
        <v>1.2949619999999999</v>
      </c>
      <c r="H2915" s="2">
        <f t="shared" si="453"/>
        <v>4.2485631280799998</v>
      </c>
      <c r="I2915" s="2">
        <f>INDEX('Wood Density Lookup'!$B$2:$B$152,MATCH(B2915,'Wood Density Lookup'!$A$2:$A$152,0))</f>
        <v>0.6</v>
      </c>
      <c r="J2915" s="2">
        <f t="shared" si="454"/>
        <v>3.474180703770658E-2</v>
      </c>
      <c r="K2915" s="2">
        <f t="shared" si="458"/>
        <v>9.7277059705578438E-3</v>
      </c>
      <c r="L2915" s="2">
        <f t="shared" si="459"/>
        <v>4.4469513008264426E-2</v>
      </c>
      <c r="M2915" s="2">
        <f t="shared" si="455"/>
        <v>3.2240396930991705E-2</v>
      </c>
      <c r="N2915" s="2">
        <f t="shared" si="456"/>
        <v>1.6120198465495852E-2</v>
      </c>
      <c r="O2915" s="2">
        <f t="shared" si="457"/>
        <v>5.9161128368369779E-2</v>
      </c>
      <c r="P2915" s="2">
        <v>72.553859000000003</v>
      </c>
      <c r="Q2915" s="2">
        <v>23.037144999999999</v>
      </c>
    </row>
    <row r="2916" spans="1:17" x14ac:dyDescent="0.25">
      <c r="A2916" s="2">
        <v>3102</v>
      </c>
      <c r="B2916" s="2" t="s">
        <v>103</v>
      </c>
      <c r="C2916" s="2">
        <v>1</v>
      </c>
      <c r="D2916" s="2">
        <f t="shared" si="450"/>
        <v>2.54</v>
      </c>
      <c r="E2916" s="2">
        <f t="shared" si="451"/>
        <v>0.80850711090682836</v>
      </c>
      <c r="F2916" s="2">
        <f t="shared" si="452"/>
        <v>0.31830988618379069</v>
      </c>
      <c r="G2916" s="2">
        <v>1.3302860000000001</v>
      </c>
      <c r="H2916" s="2">
        <f t="shared" si="453"/>
        <v>4.3644555202399999</v>
      </c>
      <c r="I2916" s="2">
        <f>INDEX('Wood Density Lookup'!$B$2:$B$152,MATCH(B2916,'Wood Density Lookup'!$A$2:$A$152,0))</f>
        <v>0.6</v>
      </c>
      <c r="J2916" s="2">
        <f t="shared" si="454"/>
        <v>3.5666450270666061E-2</v>
      </c>
      <c r="K2916" s="2">
        <f t="shared" si="458"/>
        <v>9.9866060757864989E-3</v>
      </c>
      <c r="L2916" s="2">
        <f t="shared" si="459"/>
        <v>4.5653056346452559E-2</v>
      </c>
      <c r="M2916" s="2">
        <f t="shared" si="455"/>
        <v>3.3098465851178101E-2</v>
      </c>
      <c r="N2916" s="2">
        <f t="shared" si="456"/>
        <v>1.654923292558905E-2</v>
      </c>
      <c r="O2916" s="2">
        <f t="shared" si="457"/>
        <v>6.0735684836911816E-2</v>
      </c>
      <c r="P2916" s="2">
        <v>72.553860999999998</v>
      </c>
      <c r="Q2916" s="2">
        <v>23.037141999999999</v>
      </c>
    </row>
    <row r="2917" spans="1:17" x14ac:dyDescent="0.25">
      <c r="A2917" s="2">
        <v>3103</v>
      </c>
      <c r="B2917" s="2" t="s">
        <v>103</v>
      </c>
      <c r="C2917" s="2">
        <v>2</v>
      </c>
      <c r="D2917" s="2">
        <f t="shared" si="450"/>
        <v>5.08</v>
      </c>
      <c r="E2917" s="2">
        <f t="shared" si="451"/>
        <v>1.6170142218136567</v>
      </c>
      <c r="F2917" s="2">
        <f t="shared" si="452"/>
        <v>0.63661977236758138</v>
      </c>
      <c r="G2917" s="2">
        <v>1.378849</v>
      </c>
      <c r="H2917" s="2">
        <f t="shared" si="453"/>
        <v>4.5237829531599996</v>
      </c>
      <c r="I2917" s="2">
        <f>INDEX('Wood Density Lookup'!$B$2:$B$152,MATCH(B2917,'Wood Density Lookup'!$A$2:$A$152,0))</f>
        <v>0.6</v>
      </c>
      <c r="J2917" s="2">
        <f t="shared" si="454"/>
        <v>0.14291190453849467</v>
      </c>
      <c r="K2917" s="2">
        <f t="shared" si="458"/>
        <v>4.0015333270778511E-2</v>
      </c>
      <c r="L2917" s="2">
        <f t="shared" si="459"/>
        <v>0.18292723780927317</v>
      </c>
      <c r="M2917" s="2">
        <f t="shared" si="455"/>
        <v>0.13262224741172304</v>
      </c>
      <c r="N2917" s="2">
        <f t="shared" si="456"/>
        <v>6.6311123705861522E-2</v>
      </c>
      <c r="O2917" s="2">
        <f t="shared" si="457"/>
        <v>0.24336182400051179</v>
      </c>
      <c r="P2917" s="2">
        <v>72.553863000000007</v>
      </c>
      <c r="Q2917" s="2">
        <v>23.037132</v>
      </c>
    </row>
    <row r="2918" spans="1:17" x14ac:dyDescent="0.25">
      <c r="A2918" s="2">
        <v>3104</v>
      </c>
      <c r="B2918" s="2" t="s">
        <v>103</v>
      </c>
      <c r="C2918" s="2">
        <v>3</v>
      </c>
      <c r="D2918" s="2">
        <f t="shared" si="450"/>
        <v>7.62</v>
      </c>
      <c r="E2918" s="2">
        <f t="shared" si="451"/>
        <v>2.4255213327204852</v>
      </c>
      <c r="F2918" s="2">
        <f t="shared" si="452"/>
        <v>0.95492965855137202</v>
      </c>
      <c r="G2918" s="2">
        <v>1.314262</v>
      </c>
      <c r="H2918" s="2">
        <f t="shared" si="453"/>
        <v>4.3118833400800005</v>
      </c>
      <c r="I2918" s="2">
        <f>INDEX('Wood Density Lookup'!$B$2:$B$152,MATCH(B2918,'Wood Density Lookup'!$A$2:$A$152,0))</f>
        <v>0.6</v>
      </c>
      <c r="J2918" s="2">
        <f t="shared" si="454"/>
        <v>0.30092884717884494</v>
      </c>
      <c r="K2918" s="2">
        <f t="shared" si="458"/>
        <v>8.4260077210076584E-2</v>
      </c>
      <c r="L2918" s="2">
        <f t="shared" si="459"/>
        <v>0.38518892438892149</v>
      </c>
      <c r="M2918" s="2">
        <f t="shared" si="455"/>
        <v>0.27926197018196808</v>
      </c>
      <c r="N2918" s="2">
        <f t="shared" si="456"/>
        <v>0.13963098509098404</v>
      </c>
      <c r="O2918" s="2">
        <f t="shared" si="457"/>
        <v>0.51244571528391136</v>
      </c>
      <c r="P2918" s="2">
        <v>72.553863000000007</v>
      </c>
      <c r="Q2918" s="2">
        <v>23.037127000000002</v>
      </c>
    </row>
    <row r="2919" spans="1:17" x14ac:dyDescent="0.25">
      <c r="A2919" s="2">
        <v>3105</v>
      </c>
      <c r="B2919" s="2" t="s">
        <v>103</v>
      </c>
      <c r="C2919" s="2">
        <v>2</v>
      </c>
      <c r="D2919" s="2">
        <f t="shared" si="450"/>
        <v>5.08</v>
      </c>
      <c r="E2919" s="2">
        <f t="shared" si="451"/>
        <v>1.6170142218136567</v>
      </c>
      <c r="F2919" s="2">
        <f t="shared" si="452"/>
        <v>0.63661977236758138</v>
      </c>
      <c r="G2919" s="2">
        <v>1.312835</v>
      </c>
      <c r="H2919" s="2">
        <f t="shared" si="453"/>
        <v>4.3072015814000002</v>
      </c>
      <c r="I2919" s="2">
        <f>INDEX('Wood Density Lookup'!$B$2:$B$152,MATCH(B2919,'Wood Density Lookup'!$A$2:$A$152,0))</f>
        <v>0.6</v>
      </c>
      <c r="J2919" s="2">
        <f t="shared" si="454"/>
        <v>0.13623013983068913</v>
      </c>
      <c r="K2919" s="2">
        <f t="shared" si="458"/>
        <v>3.8144439152592961E-2</v>
      </c>
      <c r="L2919" s="2">
        <f t="shared" si="459"/>
        <v>0.1743745789832821</v>
      </c>
      <c r="M2919" s="2">
        <f t="shared" si="455"/>
        <v>0.12642156976287952</v>
      </c>
      <c r="N2919" s="2">
        <f t="shared" si="456"/>
        <v>6.321078488143976E-2</v>
      </c>
      <c r="O2919" s="2">
        <f t="shared" si="457"/>
        <v>0.23198358051488391</v>
      </c>
      <c r="P2919" s="2">
        <v>72.553864000000004</v>
      </c>
      <c r="Q2919" s="2">
        <v>23.037144000000001</v>
      </c>
    </row>
    <row r="2920" spans="1:17" x14ac:dyDescent="0.25">
      <c r="A2920" s="2">
        <v>3106</v>
      </c>
      <c r="B2920" s="2" t="s">
        <v>136</v>
      </c>
      <c r="C2920" s="2">
        <v>8</v>
      </c>
      <c r="D2920" s="2">
        <f t="shared" si="450"/>
        <v>20.32</v>
      </c>
      <c r="E2920" s="2">
        <f t="shared" si="451"/>
        <v>6.4680568872546269</v>
      </c>
      <c r="F2920" s="2">
        <f t="shared" si="452"/>
        <v>2.5464790894703255</v>
      </c>
      <c r="G2920" s="2">
        <v>5.2906890000000004</v>
      </c>
      <c r="H2920" s="2">
        <f t="shared" si="453"/>
        <v>17.357904098760002</v>
      </c>
      <c r="I2920" s="2">
        <f>INDEX('Wood Density Lookup'!$B$2:$B$152,MATCH(B2920,'Wood Density Lookup'!$A$2:$A$152,0))</f>
        <v>0.7</v>
      </c>
      <c r="J2920" s="2">
        <f t="shared" si="454"/>
        <v>9.2386647744046329</v>
      </c>
      <c r="K2920" s="2">
        <f t="shared" si="458"/>
        <v>2.5868261368332974</v>
      </c>
      <c r="L2920" s="2">
        <f t="shared" si="459"/>
        <v>11.82549091123793</v>
      </c>
      <c r="M2920" s="2">
        <f t="shared" si="455"/>
        <v>8.5734809106474987</v>
      </c>
      <c r="N2920" s="2">
        <f t="shared" si="456"/>
        <v>4.2867404553237494</v>
      </c>
      <c r="O2920" s="2">
        <f t="shared" si="457"/>
        <v>15.732337471038161</v>
      </c>
      <c r="P2920" s="2">
        <v>72.553865000000002</v>
      </c>
      <c r="Q2920" s="2">
        <v>23.038219999999999</v>
      </c>
    </row>
    <row r="2921" spans="1:17" x14ac:dyDescent="0.25">
      <c r="A2921" s="2">
        <v>3107</v>
      </c>
      <c r="B2921" s="2" t="s">
        <v>50</v>
      </c>
      <c r="C2921" s="2">
        <v>39</v>
      </c>
      <c r="D2921" s="2">
        <f t="shared" si="450"/>
        <v>99.06</v>
      </c>
      <c r="E2921" s="2">
        <f t="shared" si="451"/>
        <v>31.531777325366306</v>
      </c>
      <c r="F2921" s="2">
        <f t="shared" si="452"/>
        <v>12.414085561167836</v>
      </c>
      <c r="G2921" s="2">
        <v>7.3593780000000004</v>
      </c>
      <c r="H2921" s="2">
        <f t="shared" si="453"/>
        <v>24.144941717520002</v>
      </c>
      <c r="I2921" s="2">
        <f>INDEX('Wood Density Lookup'!$B$2:$B$152,MATCH(B2921,'Wood Density Lookup'!$A$2:$A$152,0))</f>
        <v>0.5</v>
      </c>
      <c r="J2921" s="2">
        <f t="shared" si="454"/>
        <v>202.21049310862227</v>
      </c>
      <c r="K2921" s="2">
        <f t="shared" si="458"/>
        <v>56.618938070414245</v>
      </c>
      <c r="L2921" s="2">
        <f t="shared" si="459"/>
        <v>258.82943117903653</v>
      </c>
      <c r="M2921" s="2">
        <f t="shared" si="455"/>
        <v>187.65133760480148</v>
      </c>
      <c r="N2921" s="2">
        <f t="shared" si="456"/>
        <v>93.825668802400742</v>
      </c>
      <c r="O2921" s="2">
        <f t="shared" si="457"/>
        <v>344.34020450481074</v>
      </c>
      <c r="P2921" s="2">
        <v>72.553865000000002</v>
      </c>
      <c r="Q2921" s="2">
        <v>23.036788000000001</v>
      </c>
    </row>
    <row r="2922" spans="1:17" x14ac:dyDescent="0.25">
      <c r="A2922" s="2">
        <v>3108</v>
      </c>
      <c r="B2922" s="2" t="s">
        <v>103</v>
      </c>
      <c r="C2922" s="2">
        <v>2</v>
      </c>
      <c r="D2922" s="2">
        <f t="shared" si="450"/>
        <v>5.08</v>
      </c>
      <c r="E2922" s="2">
        <f t="shared" si="451"/>
        <v>1.6170142218136567</v>
      </c>
      <c r="F2922" s="2">
        <f t="shared" si="452"/>
        <v>0.63661977236758138</v>
      </c>
      <c r="G2922" s="2">
        <v>1.363534</v>
      </c>
      <c r="H2922" s="2">
        <f t="shared" si="453"/>
        <v>4.47353688856</v>
      </c>
      <c r="I2922" s="2">
        <f>INDEX('Wood Density Lookup'!$B$2:$B$152,MATCH(B2922,'Wood Density Lookup'!$A$2:$A$152,0))</f>
        <v>0.6</v>
      </c>
      <c r="J2922" s="2">
        <f t="shared" si="454"/>
        <v>0.14136245791807281</v>
      </c>
      <c r="K2922" s="2">
        <f t="shared" si="458"/>
        <v>3.9581488217060389E-2</v>
      </c>
      <c r="L2922" s="2">
        <f t="shared" si="459"/>
        <v>0.1809439461351332</v>
      </c>
      <c r="M2922" s="2">
        <f t="shared" si="455"/>
        <v>0.13118436094797156</v>
      </c>
      <c r="N2922" s="2">
        <f t="shared" si="456"/>
        <v>6.5592180473985781E-2</v>
      </c>
      <c r="O2922" s="2">
        <f t="shared" si="457"/>
        <v>0.24072330233952782</v>
      </c>
      <c r="P2922" s="2">
        <v>72.553865999999999</v>
      </c>
      <c r="Q2922" s="2">
        <v>23.037137000000001</v>
      </c>
    </row>
    <row r="2923" spans="1:17" x14ac:dyDescent="0.25">
      <c r="A2923" s="2">
        <v>3109</v>
      </c>
      <c r="B2923" s="2" t="s">
        <v>93</v>
      </c>
      <c r="C2923" s="2">
        <v>72</v>
      </c>
      <c r="D2923" s="2">
        <f t="shared" si="450"/>
        <v>182.88</v>
      </c>
      <c r="E2923" s="2">
        <f t="shared" si="451"/>
        <v>58.212511985291641</v>
      </c>
      <c r="F2923" s="2">
        <f t="shared" si="452"/>
        <v>22.918311805232928</v>
      </c>
      <c r="G2923" s="2">
        <v>13.274122999999999</v>
      </c>
      <c r="H2923" s="2">
        <f t="shared" si="453"/>
        <v>43.550273703319995</v>
      </c>
      <c r="I2923" s="2">
        <f>INDEX('Wood Density Lookup'!$B$2:$B$152,MATCH(B2923,'Wood Density Lookup'!$A$2:$A$152,0))</f>
        <v>0.9</v>
      </c>
      <c r="J2923" s="2">
        <f t="shared" si="454"/>
        <v>2112.133414536906</v>
      </c>
      <c r="K2923" s="2">
        <f t="shared" si="458"/>
        <v>591.39735607033379</v>
      </c>
      <c r="L2923" s="2">
        <f t="shared" si="459"/>
        <v>2703.5307706072399</v>
      </c>
      <c r="M2923" s="2">
        <f t="shared" si="455"/>
        <v>1960.0598086902489</v>
      </c>
      <c r="N2923" s="2">
        <f t="shared" si="456"/>
        <v>980.02990434512446</v>
      </c>
      <c r="O2923" s="2">
        <f t="shared" si="457"/>
        <v>3596.7097489466069</v>
      </c>
      <c r="P2923" s="2">
        <v>72.553867999999994</v>
      </c>
      <c r="Q2923" s="2">
        <v>23.037383999999999</v>
      </c>
    </row>
    <row r="2924" spans="1:17" x14ac:dyDescent="0.25">
      <c r="A2924" s="2">
        <v>3110</v>
      </c>
      <c r="B2924" s="2" t="s">
        <v>124</v>
      </c>
      <c r="C2924" s="2">
        <v>11</v>
      </c>
      <c r="D2924" s="2">
        <f t="shared" si="450"/>
        <v>27.94</v>
      </c>
      <c r="E2924" s="2">
        <f t="shared" si="451"/>
        <v>8.8935782199751117</v>
      </c>
      <c r="F2924" s="2">
        <f t="shared" si="452"/>
        <v>3.5014087480216975</v>
      </c>
      <c r="G2924" s="2">
        <v>2.4767929999999998</v>
      </c>
      <c r="H2924" s="2">
        <f t="shared" si="453"/>
        <v>8.1259615461199992</v>
      </c>
      <c r="I2924" s="2">
        <f>INDEX('Wood Density Lookup'!$B$2:$B$152,MATCH(B2924,'Wood Density Lookup'!$A$2:$A$152,0))</f>
        <v>0.55000000000000004</v>
      </c>
      <c r="J2924" s="2">
        <f t="shared" si="454"/>
        <v>6.4810115056441022</v>
      </c>
      <c r="K2924" s="2">
        <f t="shared" si="458"/>
        <v>1.8146832215803488</v>
      </c>
      <c r="L2924" s="2">
        <f t="shared" si="459"/>
        <v>8.2956947272244506</v>
      </c>
      <c r="M2924" s="2">
        <f t="shared" si="455"/>
        <v>6.0143786772377261</v>
      </c>
      <c r="N2924" s="2">
        <f t="shared" si="456"/>
        <v>3.0071893386188631</v>
      </c>
      <c r="O2924" s="2">
        <f t="shared" si="457"/>
        <v>11.036384872731228</v>
      </c>
      <c r="P2924" s="2">
        <v>72.553867999999994</v>
      </c>
      <c r="Q2924" s="2">
        <v>23.037106999999999</v>
      </c>
    </row>
    <row r="2925" spans="1:17" x14ac:dyDescent="0.25">
      <c r="A2925" s="2">
        <v>3111</v>
      </c>
      <c r="B2925" s="2" t="s">
        <v>15</v>
      </c>
      <c r="C2925" s="2">
        <v>29</v>
      </c>
      <c r="D2925" s="2">
        <f t="shared" si="450"/>
        <v>73.66</v>
      </c>
      <c r="E2925" s="2">
        <f t="shared" si="451"/>
        <v>23.446706216298022</v>
      </c>
      <c r="F2925" s="2">
        <f t="shared" si="452"/>
        <v>9.2309866993299305</v>
      </c>
      <c r="G2925" s="2">
        <v>11.710394000000001</v>
      </c>
      <c r="H2925" s="2">
        <f t="shared" si="453"/>
        <v>38.41992905096</v>
      </c>
      <c r="I2925" s="2">
        <f>INDEX('Wood Density Lookup'!$B$2:$B$152,MATCH(B2925,'Wood Density Lookup'!$A$2:$A$152,0))</f>
        <v>0.75</v>
      </c>
      <c r="J2925" s="2">
        <f t="shared" si="454"/>
        <v>265.09430850281035</v>
      </c>
      <c r="K2925" s="2">
        <f t="shared" si="458"/>
        <v>74.226406380786898</v>
      </c>
      <c r="L2925" s="2">
        <f t="shared" si="459"/>
        <v>339.32071488359725</v>
      </c>
      <c r="M2925" s="2">
        <f t="shared" si="455"/>
        <v>246.007518290608</v>
      </c>
      <c r="N2925" s="2">
        <f t="shared" si="456"/>
        <v>123.003759145304</v>
      </c>
      <c r="O2925" s="2">
        <f t="shared" si="457"/>
        <v>451.42379606326568</v>
      </c>
      <c r="P2925" s="2">
        <v>72.553869000000006</v>
      </c>
      <c r="Q2925" s="2">
        <v>23.036670999999998</v>
      </c>
    </row>
    <row r="2926" spans="1:17" x14ac:dyDescent="0.25">
      <c r="A2926" s="2">
        <v>3112</v>
      </c>
      <c r="B2926" s="2" t="s">
        <v>103</v>
      </c>
      <c r="C2926" s="2">
        <v>2</v>
      </c>
      <c r="D2926" s="2">
        <f t="shared" si="450"/>
        <v>5.08</v>
      </c>
      <c r="E2926" s="2">
        <f t="shared" si="451"/>
        <v>1.6170142218136567</v>
      </c>
      <c r="F2926" s="2">
        <f t="shared" si="452"/>
        <v>0.63661977236758138</v>
      </c>
      <c r="G2926" s="2">
        <v>1.33602</v>
      </c>
      <c r="H2926" s="2">
        <f t="shared" si="453"/>
        <v>4.3832678567999999</v>
      </c>
      <c r="I2926" s="2">
        <f>INDEX('Wood Density Lookup'!$B$2:$B$152,MATCH(B2926,'Wood Density Lookup'!$A$2:$A$152,0))</f>
        <v>0.6</v>
      </c>
      <c r="J2926" s="2">
        <f t="shared" si="454"/>
        <v>0.13857776348693551</v>
      </c>
      <c r="K2926" s="2">
        <f t="shared" si="458"/>
        <v>3.8801773776341947E-2</v>
      </c>
      <c r="L2926" s="2">
        <f t="shared" si="459"/>
        <v>0.17737953726327746</v>
      </c>
      <c r="M2926" s="2">
        <f t="shared" si="455"/>
        <v>0.12860016451587616</v>
      </c>
      <c r="N2926" s="2">
        <f t="shared" si="456"/>
        <v>6.4300082257938082E-2</v>
      </c>
      <c r="O2926" s="2">
        <f t="shared" si="457"/>
        <v>0.23598130188663274</v>
      </c>
      <c r="P2926" s="2">
        <v>72.553869000000006</v>
      </c>
      <c r="Q2926" s="2">
        <v>23.037129</v>
      </c>
    </row>
    <row r="2927" spans="1:17" x14ac:dyDescent="0.25">
      <c r="A2927" s="2">
        <v>3113</v>
      </c>
      <c r="B2927" s="2" t="s">
        <v>103</v>
      </c>
      <c r="C2927" s="2">
        <v>3</v>
      </c>
      <c r="D2927" s="2">
        <f t="shared" si="450"/>
        <v>7.62</v>
      </c>
      <c r="E2927" s="2">
        <f t="shared" si="451"/>
        <v>2.4255213327204852</v>
      </c>
      <c r="F2927" s="2">
        <f t="shared" si="452"/>
        <v>0.95492965855137202</v>
      </c>
      <c r="G2927" s="2">
        <v>1.32789</v>
      </c>
      <c r="H2927" s="2">
        <f t="shared" si="453"/>
        <v>4.3565946275999998</v>
      </c>
      <c r="I2927" s="2">
        <f>INDEX('Wood Density Lookup'!$B$2:$B$152,MATCH(B2927,'Wood Density Lookup'!$A$2:$A$152,0))</f>
        <v>0.6</v>
      </c>
      <c r="J2927" s="2">
        <f t="shared" si="454"/>
        <v>0.30397400608034841</v>
      </c>
      <c r="K2927" s="2">
        <f t="shared" si="458"/>
        <v>8.5112721702497562E-2</v>
      </c>
      <c r="L2927" s="2">
        <f t="shared" si="459"/>
        <v>0.38908672778284598</v>
      </c>
      <c r="M2927" s="2">
        <f t="shared" si="455"/>
        <v>0.28208787764256332</v>
      </c>
      <c r="N2927" s="2">
        <f t="shared" si="456"/>
        <v>0.14104393882128166</v>
      </c>
      <c r="O2927" s="2">
        <f t="shared" si="457"/>
        <v>0.51763125547410371</v>
      </c>
      <c r="P2927" s="2">
        <v>72.553869000000006</v>
      </c>
      <c r="Q2927" s="2">
        <v>23.037133000000001</v>
      </c>
    </row>
    <row r="2928" spans="1:17" x14ac:dyDescent="0.25">
      <c r="A2928" s="2">
        <v>3114</v>
      </c>
      <c r="B2928" s="2" t="s">
        <v>103</v>
      </c>
      <c r="C2928" s="2">
        <v>1</v>
      </c>
      <c r="D2928" s="2">
        <f t="shared" si="450"/>
        <v>2.54</v>
      </c>
      <c r="E2928" s="2">
        <f t="shared" si="451"/>
        <v>0.80850711090682836</v>
      </c>
      <c r="F2928" s="2">
        <f t="shared" si="452"/>
        <v>0.31830988618379069</v>
      </c>
      <c r="G2928" s="2">
        <v>1.341259</v>
      </c>
      <c r="H2928" s="2">
        <f t="shared" si="453"/>
        <v>4.4004561775599997</v>
      </c>
      <c r="I2928" s="2">
        <f>INDEX('Wood Density Lookup'!$B$2:$B$152,MATCH(B2928,'Wood Density Lookup'!$A$2:$A$152,0))</f>
        <v>0.6</v>
      </c>
      <c r="J2928" s="2">
        <f t="shared" si="454"/>
        <v>3.5953559527388483E-2</v>
      </c>
      <c r="K2928" s="2">
        <f t="shared" si="458"/>
        <v>1.0066996667668776E-2</v>
      </c>
      <c r="L2928" s="2">
        <f t="shared" si="459"/>
        <v>4.6020556195057259E-2</v>
      </c>
      <c r="M2928" s="2">
        <f t="shared" si="455"/>
        <v>3.3364903241416513E-2</v>
      </c>
      <c r="N2928" s="2">
        <f t="shared" si="456"/>
        <v>1.6682451620708257E-2</v>
      </c>
      <c r="O2928" s="2">
        <f t="shared" si="457"/>
        <v>6.1224597447999303E-2</v>
      </c>
      <c r="P2928" s="2">
        <v>72.553869000000006</v>
      </c>
      <c r="Q2928" s="2">
        <v>23.037143</v>
      </c>
    </row>
    <row r="2929" spans="1:17" x14ac:dyDescent="0.25">
      <c r="A2929" s="2">
        <v>3115</v>
      </c>
      <c r="B2929" s="2" t="s">
        <v>103</v>
      </c>
      <c r="C2929" s="2">
        <v>1</v>
      </c>
      <c r="D2929" s="2">
        <f t="shared" si="450"/>
        <v>2.54</v>
      </c>
      <c r="E2929" s="2">
        <f t="shared" si="451"/>
        <v>0.80850711090682836</v>
      </c>
      <c r="F2929" s="2">
        <f t="shared" si="452"/>
        <v>0.31830988618379069</v>
      </c>
      <c r="G2929" s="2">
        <v>1.2907109999999999</v>
      </c>
      <c r="H2929" s="2">
        <f t="shared" si="453"/>
        <v>4.2346162772399998</v>
      </c>
      <c r="I2929" s="2">
        <f>INDEX('Wood Density Lookup'!$B$2:$B$152,MATCH(B2929,'Wood Density Lookup'!$A$2:$A$152,0))</f>
        <v>0.6</v>
      </c>
      <c r="J2929" s="2">
        <f t="shared" si="454"/>
        <v>3.4630492104803151E-2</v>
      </c>
      <c r="K2929" s="2">
        <f t="shared" si="458"/>
        <v>9.6965377893448827E-3</v>
      </c>
      <c r="L2929" s="2">
        <f t="shared" si="459"/>
        <v>4.4327029894148037E-2</v>
      </c>
      <c r="M2929" s="2">
        <f t="shared" si="455"/>
        <v>3.2137096673257329E-2</v>
      </c>
      <c r="N2929" s="2">
        <f t="shared" si="456"/>
        <v>1.6068548336628664E-2</v>
      </c>
      <c r="O2929" s="2">
        <f t="shared" si="457"/>
        <v>5.8971572395427198E-2</v>
      </c>
      <c r="P2929" s="2">
        <v>72.553870000000003</v>
      </c>
      <c r="Q2929" s="2">
        <v>23.037146</v>
      </c>
    </row>
    <row r="2930" spans="1:17" x14ac:dyDescent="0.25">
      <c r="A2930" s="2">
        <v>3116</v>
      </c>
      <c r="B2930" s="2" t="s">
        <v>61</v>
      </c>
      <c r="C2930" s="2">
        <v>23</v>
      </c>
      <c r="D2930" s="2">
        <f t="shared" si="450"/>
        <v>58.42</v>
      </c>
      <c r="E2930" s="2">
        <f t="shared" si="451"/>
        <v>18.595663550857051</v>
      </c>
      <c r="F2930" s="2">
        <f t="shared" si="452"/>
        <v>7.3211273822271856</v>
      </c>
      <c r="G2930" s="2">
        <v>10.763223</v>
      </c>
      <c r="H2930" s="2">
        <f t="shared" si="453"/>
        <v>35.312412547320001</v>
      </c>
      <c r="I2930" s="2">
        <f>INDEX('Wood Density Lookup'!$B$2:$B$152,MATCH(B2930,'Wood Density Lookup'!$A$2:$A$152,0))</f>
        <v>0.5</v>
      </c>
      <c r="J2930" s="2">
        <f t="shared" si="454"/>
        <v>104.53870358214664</v>
      </c>
      <c r="K2930" s="2">
        <f t="shared" si="458"/>
        <v>29.270837003001063</v>
      </c>
      <c r="L2930" s="2">
        <f t="shared" si="459"/>
        <v>133.80954058514772</v>
      </c>
      <c r="M2930" s="2">
        <f t="shared" si="455"/>
        <v>97.011916924232096</v>
      </c>
      <c r="N2930" s="2">
        <f t="shared" si="456"/>
        <v>48.505958462116048</v>
      </c>
      <c r="O2930" s="2">
        <f t="shared" si="457"/>
        <v>178.01686755596589</v>
      </c>
      <c r="P2930" s="2">
        <v>72.553872999999996</v>
      </c>
      <c r="Q2930" s="2">
        <v>23.036714</v>
      </c>
    </row>
    <row r="2931" spans="1:17" x14ac:dyDescent="0.25">
      <c r="A2931" s="2">
        <v>3117</v>
      </c>
      <c r="B2931" s="2" t="s">
        <v>103</v>
      </c>
      <c r="C2931" s="2">
        <v>3</v>
      </c>
      <c r="D2931" s="2">
        <f t="shared" si="450"/>
        <v>7.62</v>
      </c>
      <c r="E2931" s="2">
        <f t="shared" si="451"/>
        <v>2.4255213327204852</v>
      </c>
      <c r="F2931" s="2">
        <f t="shared" si="452"/>
        <v>0.95492965855137202</v>
      </c>
      <c r="G2931" s="2">
        <v>1.321186</v>
      </c>
      <c r="H2931" s="2">
        <f t="shared" si="453"/>
        <v>4.3345998762399995</v>
      </c>
      <c r="I2931" s="2">
        <f>INDEX('Wood Density Lookup'!$B$2:$B$152,MATCH(B2931,'Wood Density Lookup'!$A$2:$A$152,0))</f>
        <v>0.6</v>
      </c>
      <c r="J2931" s="2">
        <f t="shared" si="454"/>
        <v>0.30247610019998317</v>
      </c>
      <c r="K2931" s="2">
        <f t="shared" si="458"/>
        <v>8.4693308055995301E-2</v>
      </c>
      <c r="L2931" s="2">
        <f t="shared" si="459"/>
        <v>0.38716940825597845</v>
      </c>
      <c r="M2931" s="2">
        <f t="shared" si="455"/>
        <v>0.28069782098558438</v>
      </c>
      <c r="N2931" s="2">
        <f t="shared" si="456"/>
        <v>0.14034891049279219</v>
      </c>
      <c r="O2931" s="2">
        <f t="shared" si="457"/>
        <v>0.51508050150854734</v>
      </c>
      <c r="P2931" s="2">
        <v>72.553873999999993</v>
      </c>
      <c r="Q2931" s="2">
        <v>23.037137999999999</v>
      </c>
    </row>
    <row r="2932" spans="1:17" x14ac:dyDescent="0.25">
      <c r="A2932" s="2">
        <v>3118</v>
      </c>
      <c r="B2932" s="2" t="s">
        <v>103</v>
      </c>
      <c r="C2932" s="2">
        <v>3</v>
      </c>
      <c r="D2932" s="2">
        <f t="shared" si="450"/>
        <v>7.62</v>
      </c>
      <c r="E2932" s="2">
        <f t="shared" si="451"/>
        <v>2.4255213327204852</v>
      </c>
      <c r="F2932" s="2">
        <f t="shared" si="452"/>
        <v>0.95492965855137202</v>
      </c>
      <c r="G2932" s="2">
        <v>1.319294</v>
      </c>
      <c r="H2932" s="2">
        <f t="shared" si="453"/>
        <v>4.3283925269600001</v>
      </c>
      <c r="I2932" s="2">
        <f>INDEX('Wood Density Lookup'!$B$2:$B$152,MATCH(B2932,'Wood Density Lookup'!$A$2:$A$152,0))</f>
        <v>0.6</v>
      </c>
      <c r="J2932" s="2">
        <f t="shared" si="454"/>
        <v>0.302053328879404</v>
      </c>
      <c r="K2932" s="2">
        <f t="shared" si="458"/>
        <v>8.4574932086233123E-2</v>
      </c>
      <c r="L2932" s="2">
        <f t="shared" si="459"/>
        <v>0.38662826096563713</v>
      </c>
      <c r="M2932" s="2">
        <f t="shared" si="455"/>
        <v>0.28030548920008691</v>
      </c>
      <c r="N2932" s="2">
        <f t="shared" si="456"/>
        <v>0.14015274460004346</v>
      </c>
      <c r="O2932" s="2">
        <f t="shared" si="457"/>
        <v>0.51436057268215951</v>
      </c>
      <c r="P2932" s="2">
        <v>72.553873999999993</v>
      </c>
      <c r="Q2932" s="2">
        <v>23.037133000000001</v>
      </c>
    </row>
    <row r="2933" spans="1:17" x14ac:dyDescent="0.25">
      <c r="A2933" s="2">
        <v>3119</v>
      </c>
      <c r="B2933" s="2" t="s">
        <v>103</v>
      </c>
      <c r="C2933" s="2">
        <v>3</v>
      </c>
      <c r="D2933" s="2">
        <f t="shared" si="450"/>
        <v>7.62</v>
      </c>
      <c r="E2933" s="2">
        <f t="shared" si="451"/>
        <v>2.4255213327204852</v>
      </c>
      <c r="F2933" s="2">
        <f t="shared" si="452"/>
        <v>0.95492965855137202</v>
      </c>
      <c r="G2933" s="2">
        <v>1.334687</v>
      </c>
      <c r="H2933" s="2">
        <f t="shared" si="453"/>
        <v>4.3788944970800001</v>
      </c>
      <c r="I2933" s="2">
        <f>INDEX('Wood Density Lookup'!$B$2:$B$152,MATCH(B2933,'Wood Density Lookup'!$A$2:$A$152,0))</f>
        <v>0.6</v>
      </c>
      <c r="J2933" s="2">
        <f t="shared" si="454"/>
        <v>0.30549250610744599</v>
      </c>
      <c r="K2933" s="2">
        <f t="shared" si="458"/>
        <v>8.5537901710084893E-2</v>
      </c>
      <c r="L2933" s="2">
        <f t="shared" si="459"/>
        <v>0.3910304078175309</v>
      </c>
      <c r="M2933" s="2">
        <f t="shared" si="455"/>
        <v>0.28349704566770989</v>
      </c>
      <c r="N2933" s="2">
        <f t="shared" si="456"/>
        <v>0.14174852283385495</v>
      </c>
      <c r="O2933" s="2">
        <f t="shared" si="457"/>
        <v>0.52021707880024759</v>
      </c>
      <c r="P2933" s="2">
        <v>72.553875000000005</v>
      </c>
      <c r="Q2933" s="2">
        <v>23.037129</v>
      </c>
    </row>
    <row r="2934" spans="1:17" x14ac:dyDescent="0.25">
      <c r="A2934" s="2">
        <v>3120</v>
      </c>
      <c r="B2934" s="2" t="s">
        <v>58</v>
      </c>
      <c r="C2934" s="2">
        <v>2</v>
      </c>
      <c r="D2934" s="2">
        <f t="shared" si="450"/>
        <v>5.08</v>
      </c>
      <c r="E2934" s="2">
        <f t="shared" si="451"/>
        <v>1.6170142218136567</v>
      </c>
      <c r="F2934" s="2">
        <f t="shared" si="452"/>
        <v>0.63661977236758138</v>
      </c>
      <c r="G2934" s="2">
        <v>9.1583760000000005</v>
      </c>
      <c r="H2934" s="2">
        <f t="shared" si="453"/>
        <v>30.047166315840002</v>
      </c>
      <c r="I2934" s="2">
        <f>INDEX('Wood Density Lookup'!$B$2:$B$152,MATCH(B2934,'Wood Density Lookup'!$A$2:$A$152,0))</f>
        <v>0.5</v>
      </c>
      <c r="J2934" s="2">
        <f t="shared" si="454"/>
        <v>0.75919620710466407</v>
      </c>
      <c r="K2934" s="2">
        <f t="shared" si="458"/>
        <v>0.21257493798930596</v>
      </c>
      <c r="L2934" s="2">
        <f t="shared" si="459"/>
        <v>0.97177114509397</v>
      </c>
      <c r="M2934" s="2">
        <f t="shared" si="455"/>
        <v>0.70453408019312824</v>
      </c>
      <c r="N2934" s="2">
        <f t="shared" si="456"/>
        <v>0.35226704009656412</v>
      </c>
      <c r="O2934" s="2">
        <f t="shared" si="457"/>
        <v>1.2928200371543903</v>
      </c>
      <c r="P2934" s="2">
        <v>72.553875000000005</v>
      </c>
      <c r="Q2934" s="2">
        <v>23.038098000000002</v>
      </c>
    </row>
    <row r="2935" spans="1:17" x14ac:dyDescent="0.25">
      <c r="A2935" s="2">
        <v>3121</v>
      </c>
      <c r="B2935" s="2" t="s">
        <v>103</v>
      </c>
      <c r="C2935" s="2">
        <v>1</v>
      </c>
      <c r="D2935" s="2">
        <f t="shared" si="450"/>
        <v>2.54</v>
      </c>
      <c r="E2935" s="2">
        <f t="shared" si="451"/>
        <v>0.80850711090682836</v>
      </c>
      <c r="F2935" s="2">
        <f t="shared" si="452"/>
        <v>0.31830988618379069</v>
      </c>
      <c r="G2935" s="2">
        <v>1.3056760000000001</v>
      </c>
      <c r="H2935" s="2">
        <f t="shared" si="453"/>
        <v>4.2837140478400002</v>
      </c>
      <c r="I2935" s="2">
        <f>INDEX('Wood Density Lookup'!$B$2:$B$152,MATCH(B2935,'Wood Density Lookup'!$A$2:$A$152,0))</f>
        <v>0.6</v>
      </c>
      <c r="J2935" s="2">
        <f t="shared" si="454"/>
        <v>3.5022320584904419E-2</v>
      </c>
      <c r="K2935" s="2">
        <f t="shared" si="458"/>
        <v>9.8062497637732386E-3</v>
      </c>
      <c r="L2935" s="2">
        <f t="shared" si="459"/>
        <v>4.4828570348677654E-2</v>
      </c>
      <c r="M2935" s="2">
        <f t="shared" si="455"/>
        <v>3.2500713502791295E-2</v>
      </c>
      <c r="N2935" s="2">
        <f t="shared" si="456"/>
        <v>1.6250356751395648E-2</v>
      </c>
      <c r="O2935" s="2">
        <f t="shared" si="457"/>
        <v>5.9638809277622024E-2</v>
      </c>
      <c r="P2935" s="2">
        <v>72.553876000000002</v>
      </c>
      <c r="Q2935" s="2">
        <v>23.037144999999999</v>
      </c>
    </row>
    <row r="2936" spans="1:17" x14ac:dyDescent="0.25">
      <c r="A2936" s="2">
        <v>3122</v>
      </c>
      <c r="B2936" s="2" t="s">
        <v>103</v>
      </c>
      <c r="C2936" s="2">
        <v>1</v>
      </c>
      <c r="D2936" s="2">
        <f t="shared" si="450"/>
        <v>2.54</v>
      </c>
      <c r="E2936" s="2">
        <f t="shared" si="451"/>
        <v>0.80850711090682836</v>
      </c>
      <c r="F2936" s="2">
        <f t="shared" si="452"/>
        <v>0.31830988618379069</v>
      </c>
      <c r="G2936" s="2">
        <v>1.318497</v>
      </c>
      <c r="H2936" s="2">
        <f t="shared" si="453"/>
        <v>4.3257776974800004</v>
      </c>
      <c r="I2936" s="2">
        <f>INDEX('Wood Density Lookup'!$B$2:$B$152,MATCH(B2936,'Wood Density Lookup'!$A$2:$A$152,0))</f>
        <v>0.6</v>
      </c>
      <c r="J2936" s="2">
        <f t="shared" si="454"/>
        <v>3.5357926965457108E-2</v>
      </c>
      <c r="K2936" s="2">
        <f t="shared" si="458"/>
        <v>9.9002195503279915E-3</v>
      </c>
      <c r="L2936" s="2">
        <f t="shared" si="459"/>
        <v>4.5258146515785101E-2</v>
      </c>
      <c r="M2936" s="2">
        <f t="shared" si="455"/>
        <v>3.2812156223944199E-2</v>
      </c>
      <c r="N2936" s="2">
        <f t="shared" si="456"/>
        <v>1.6406078111972099E-2</v>
      </c>
      <c r="O2936" s="2">
        <f t="shared" si="457"/>
        <v>6.0210306670937602E-2</v>
      </c>
      <c r="P2936" s="2">
        <v>72.553876000000002</v>
      </c>
      <c r="Q2936" s="2">
        <v>23.037143</v>
      </c>
    </row>
    <row r="2937" spans="1:17" x14ac:dyDescent="0.25">
      <c r="A2937" s="2">
        <v>3123</v>
      </c>
      <c r="B2937" s="2" t="s">
        <v>137</v>
      </c>
      <c r="C2937" s="2">
        <v>6</v>
      </c>
      <c r="D2937" s="2">
        <f t="shared" si="450"/>
        <v>15.24</v>
      </c>
      <c r="E2937" s="2">
        <f t="shared" si="451"/>
        <v>4.8510426654409704</v>
      </c>
      <c r="F2937" s="2">
        <f t="shared" si="452"/>
        <v>1.909859317102744</v>
      </c>
      <c r="G2937" s="2">
        <v>1.5669999999999999</v>
      </c>
      <c r="H2937" s="2">
        <f t="shared" si="453"/>
        <v>5.1410762800000001</v>
      </c>
      <c r="I2937" s="2">
        <f>INDEX('Wood Density Lookup'!$B$2:$B$152,MATCH(B2937,'Wood Density Lookup'!$A$2:$A$152,0))</f>
        <v>0.55000000000000004</v>
      </c>
      <c r="J2937" s="2">
        <f t="shared" si="454"/>
        <v>1.2698326626681351</v>
      </c>
      <c r="K2937" s="2">
        <f t="shared" si="458"/>
        <v>0.35555314554707784</v>
      </c>
      <c r="L2937" s="2">
        <f t="shared" si="459"/>
        <v>1.6253858082152131</v>
      </c>
      <c r="M2937" s="2">
        <f t="shared" si="455"/>
        <v>1.1784047109560294</v>
      </c>
      <c r="N2937" s="2">
        <f t="shared" si="456"/>
        <v>0.58920235547801469</v>
      </c>
      <c r="O2937" s="2">
        <f t="shared" si="457"/>
        <v>2.1623726446043139</v>
      </c>
      <c r="P2937" s="2">
        <v>72.553877</v>
      </c>
      <c r="Q2937" s="2">
        <v>23.037904999999999</v>
      </c>
    </row>
    <row r="2938" spans="1:17" x14ac:dyDescent="0.25">
      <c r="A2938" s="2">
        <v>3124</v>
      </c>
      <c r="B2938" s="2" t="s">
        <v>103</v>
      </c>
      <c r="C2938" s="2">
        <v>2</v>
      </c>
      <c r="D2938" s="2">
        <f t="shared" si="450"/>
        <v>5.08</v>
      </c>
      <c r="E2938" s="2">
        <f t="shared" si="451"/>
        <v>1.6170142218136567</v>
      </c>
      <c r="F2938" s="2">
        <f t="shared" si="452"/>
        <v>0.63661977236758138</v>
      </c>
      <c r="G2938" s="2">
        <v>1.343691</v>
      </c>
      <c r="H2938" s="2">
        <f t="shared" si="453"/>
        <v>4.4084351804399997</v>
      </c>
      <c r="I2938" s="2">
        <f>INDEX('Wood Density Lookup'!$B$2:$B$152,MATCH(B2938,'Wood Density Lookup'!$A$2:$A$152,0))</f>
        <v>0.6</v>
      </c>
      <c r="J2938" s="2">
        <f t="shared" si="454"/>
        <v>0.13935428326786509</v>
      </c>
      <c r="K2938" s="2">
        <f t="shared" si="458"/>
        <v>3.901919931500223E-2</v>
      </c>
      <c r="L2938" s="2">
        <f t="shared" si="459"/>
        <v>0.17837348258286731</v>
      </c>
      <c r="M2938" s="2">
        <f t="shared" si="455"/>
        <v>0.12932077487257879</v>
      </c>
      <c r="N2938" s="2">
        <f t="shared" si="456"/>
        <v>6.4660387436289393E-2</v>
      </c>
      <c r="O2938" s="2">
        <f t="shared" si="457"/>
        <v>0.23730362189118206</v>
      </c>
      <c r="P2938" s="2">
        <v>72.553877999999997</v>
      </c>
      <c r="Q2938" s="2">
        <v>23.037130000000001</v>
      </c>
    </row>
    <row r="2939" spans="1:17" x14ac:dyDescent="0.25">
      <c r="A2939" s="2">
        <v>3125</v>
      </c>
      <c r="B2939" s="2" t="s">
        <v>103</v>
      </c>
      <c r="C2939" s="2">
        <v>1</v>
      </c>
      <c r="D2939" s="2">
        <f t="shared" si="450"/>
        <v>2.54</v>
      </c>
      <c r="E2939" s="2">
        <f t="shared" si="451"/>
        <v>0.80850711090682836</v>
      </c>
      <c r="F2939" s="2">
        <f t="shared" si="452"/>
        <v>0.31830988618379069</v>
      </c>
      <c r="G2939" s="2">
        <v>1.3403099999999999</v>
      </c>
      <c r="H2939" s="2">
        <f t="shared" si="453"/>
        <v>4.3973426603999997</v>
      </c>
      <c r="I2939" s="2">
        <f>INDEX('Wood Density Lookup'!$B$2:$B$152,MATCH(B2939,'Wood Density Lookup'!$A$2:$A$152,0))</f>
        <v>0.6</v>
      </c>
      <c r="J2939" s="2">
        <f t="shared" si="454"/>
        <v>3.5928731114284393E-2</v>
      </c>
      <c r="K2939" s="2">
        <f t="shared" si="458"/>
        <v>1.0060044711999632E-2</v>
      </c>
      <c r="L2939" s="2">
        <f t="shared" si="459"/>
        <v>4.5988775826284023E-2</v>
      </c>
      <c r="M2939" s="2">
        <f t="shared" si="455"/>
        <v>3.3341862474055912E-2</v>
      </c>
      <c r="N2939" s="2">
        <f t="shared" si="456"/>
        <v>1.6670931237027956E-2</v>
      </c>
      <c r="O2939" s="2">
        <f t="shared" si="457"/>
        <v>6.1182317639892597E-2</v>
      </c>
      <c r="P2939" s="2">
        <v>72.553877999999997</v>
      </c>
      <c r="Q2939" s="2">
        <v>23.037132</v>
      </c>
    </row>
    <row r="2940" spans="1:17" x14ac:dyDescent="0.25">
      <c r="A2940" s="2">
        <v>3126</v>
      </c>
      <c r="B2940" s="2" t="s">
        <v>103</v>
      </c>
      <c r="C2940" s="2">
        <v>2</v>
      </c>
      <c r="D2940" s="2">
        <f t="shared" si="450"/>
        <v>5.08</v>
      </c>
      <c r="E2940" s="2">
        <f t="shared" si="451"/>
        <v>1.6170142218136567</v>
      </c>
      <c r="F2940" s="2">
        <f t="shared" si="452"/>
        <v>0.63661977236758138</v>
      </c>
      <c r="G2940" s="2">
        <v>1.3471660000000001</v>
      </c>
      <c r="H2940" s="2">
        <f t="shared" si="453"/>
        <v>4.4198360994400003</v>
      </c>
      <c r="I2940" s="2">
        <f>INDEX('Wood Density Lookup'!$B$2:$B$152,MATCH(B2940,'Wood Density Lookup'!$A$2:$A$152,0))</f>
        <v>0.6</v>
      </c>
      <c r="J2940" s="2">
        <f t="shared" si="454"/>
        <v>0.13970601542382688</v>
      </c>
      <c r="K2940" s="2">
        <f t="shared" si="458"/>
        <v>3.9117684318671526E-2</v>
      </c>
      <c r="L2940" s="2">
        <f t="shared" si="459"/>
        <v>0.1788236997424984</v>
      </c>
      <c r="M2940" s="2">
        <f t="shared" si="455"/>
        <v>0.12964718231331135</v>
      </c>
      <c r="N2940" s="2">
        <f t="shared" si="456"/>
        <v>6.4823591156655674E-2</v>
      </c>
      <c r="O2940" s="2">
        <f t="shared" si="457"/>
        <v>0.23790257954492633</v>
      </c>
      <c r="P2940" s="2">
        <v>72.553877999999997</v>
      </c>
      <c r="Q2940" s="2">
        <v>23.037136</v>
      </c>
    </row>
    <row r="2941" spans="1:17" x14ac:dyDescent="0.25">
      <c r="A2941" s="2">
        <v>3127</v>
      </c>
      <c r="B2941" s="2" t="s">
        <v>103</v>
      </c>
      <c r="C2941" s="2">
        <v>2</v>
      </c>
      <c r="D2941" s="2">
        <f t="shared" si="450"/>
        <v>5.08</v>
      </c>
      <c r="E2941" s="2">
        <f t="shared" si="451"/>
        <v>1.6170142218136567</v>
      </c>
      <c r="F2941" s="2">
        <f t="shared" si="452"/>
        <v>0.63661977236758138</v>
      </c>
      <c r="G2941" s="2">
        <v>1.436431</v>
      </c>
      <c r="H2941" s="2">
        <f t="shared" si="453"/>
        <v>4.7127002820400001</v>
      </c>
      <c r="I2941" s="2">
        <f>INDEX('Wood Density Lookup'!$B$2:$B$152,MATCH(B2941,'Wood Density Lookup'!$A$2:$A$152,0))</f>
        <v>0.6</v>
      </c>
      <c r="J2941" s="2">
        <f t="shared" si="454"/>
        <v>0.14873392340177721</v>
      </c>
      <c r="K2941" s="2">
        <f t="shared" si="458"/>
        <v>4.164549855249762E-2</v>
      </c>
      <c r="L2941" s="2">
        <f t="shared" si="459"/>
        <v>0.19037942195427482</v>
      </c>
      <c r="M2941" s="2">
        <f t="shared" si="455"/>
        <v>0.13802508091684923</v>
      </c>
      <c r="N2941" s="2">
        <f t="shared" si="456"/>
        <v>6.9012540458424615E-2</v>
      </c>
      <c r="O2941" s="2">
        <f t="shared" si="457"/>
        <v>0.25327602348241834</v>
      </c>
      <c r="P2941" s="2">
        <v>72.553878999999995</v>
      </c>
      <c r="Q2941" s="2">
        <v>23.037139</v>
      </c>
    </row>
    <row r="2942" spans="1:17" x14ac:dyDescent="0.25">
      <c r="A2942" s="2">
        <v>3128</v>
      </c>
      <c r="B2942" s="2" t="s">
        <v>62</v>
      </c>
      <c r="C2942" s="2">
        <v>7</v>
      </c>
      <c r="D2942" s="2">
        <f t="shared" si="450"/>
        <v>17.78</v>
      </c>
      <c r="E2942" s="2">
        <f t="shared" si="451"/>
        <v>5.6595497763477987</v>
      </c>
      <c r="F2942" s="2">
        <f t="shared" si="452"/>
        <v>2.228169203286535</v>
      </c>
      <c r="G2942" s="2">
        <v>2.0902780000000001</v>
      </c>
      <c r="H2942" s="2">
        <f t="shared" si="453"/>
        <v>6.8578676735200004</v>
      </c>
      <c r="I2942" s="2">
        <f>INDEX('Wood Density Lookup'!$B$2:$B$152,MATCH(B2942,'Wood Density Lookup'!$A$2:$A$152,0))</f>
        <v>0.47</v>
      </c>
      <c r="J2942" s="2">
        <f t="shared" si="454"/>
        <v>1.9495391613480244</v>
      </c>
      <c r="K2942" s="2">
        <f t="shared" si="458"/>
        <v>0.54587096517744693</v>
      </c>
      <c r="L2942" s="2">
        <f t="shared" si="459"/>
        <v>2.4954101265254716</v>
      </c>
      <c r="M2942" s="2">
        <f t="shared" si="455"/>
        <v>1.8091723417309669</v>
      </c>
      <c r="N2942" s="2">
        <f t="shared" si="456"/>
        <v>0.90458617086548343</v>
      </c>
      <c r="O2942" s="2">
        <f t="shared" si="457"/>
        <v>3.319831247076324</v>
      </c>
      <c r="P2942" s="2">
        <v>72.553881000000004</v>
      </c>
      <c r="Q2942" s="2">
        <v>23.037852999999998</v>
      </c>
    </row>
    <row r="2943" spans="1:17" x14ac:dyDescent="0.25">
      <c r="A2943" s="2">
        <v>3129</v>
      </c>
      <c r="B2943" s="2" t="s">
        <v>55</v>
      </c>
      <c r="C2943" s="2">
        <v>42</v>
      </c>
      <c r="D2943" s="2">
        <f t="shared" si="450"/>
        <v>106.68</v>
      </c>
      <c r="E2943" s="2">
        <f t="shared" si="451"/>
        <v>33.957298658086792</v>
      </c>
      <c r="F2943" s="2">
        <f t="shared" si="452"/>
        <v>13.369015219719209</v>
      </c>
      <c r="G2943" s="2">
        <v>9.2034559999999992</v>
      </c>
      <c r="H2943" s="2">
        <f t="shared" si="453"/>
        <v>30.195066583039996</v>
      </c>
      <c r="I2943" s="2">
        <f>INDEX('Wood Density Lookup'!$B$2:$B$152,MATCH(B2943,'Wood Density Lookup'!$A$2:$A$152,0))</f>
        <v>0.75</v>
      </c>
      <c r="J2943" s="2">
        <f t="shared" si="454"/>
        <v>431.78987392088106</v>
      </c>
      <c r="K2943" s="2">
        <f t="shared" si="458"/>
        <v>120.90116469784671</v>
      </c>
      <c r="L2943" s="2">
        <f t="shared" si="459"/>
        <v>552.69103861872782</v>
      </c>
      <c r="M2943" s="2">
        <f t="shared" si="455"/>
        <v>400.70100299857768</v>
      </c>
      <c r="N2943" s="2">
        <f t="shared" si="456"/>
        <v>200.35050149928884</v>
      </c>
      <c r="O2943" s="2">
        <f t="shared" si="457"/>
        <v>735.28634050238998</v>
      </c>
      <c r="P2943" s="2">
        <v>72.553881000000004</v>
      </c>
      <c r="Q2943" s="2">
        <v>23.036619999999999</v>
      </c>
    </row>
    <row r="2944" spans="1:17" x14ac:dyDescent="0.25">
      <c r="A2944" s="2">
        <v>3130</v>
      </c>
      <c r="B2944" s="2" t="s">
        <v>103</v>
      </c>
      <c r="C2944" s="2">
        <v>2</v>
      </c>
      <c r="D2944" s="2">
        <f t="shared" si="450"/>
        <v>5.08</v>
      </c>
      <c r="E2944" s="2">
        <f t="shared" si="451"/>
        <v>1.6170142218136567</v>
      </c>
      <c r="F2944" s="2">
        <f t="shared" si="452"/>
        <v>0.63661977236758138</v>
      </c>
      <c r="G2944" s="2">
        <v>1.4770509999999999</v>
      </c>
      <c r="H2944" s="2">
        <f t="shared" si="453"/>
        <v>4.8459680028399994</v>
      </c>
      <c r="I2944" s="2">
        <f>INDEX('Wood Density Lookup'!$B$2:$B$152,MATCH(B2944,'Wood Density Lookup'!$A$2:$A$152,0))</f>
        <v>0.6</v>
      </c>
      <c r="J2944" s="2">
        <f t="shared" si="454"/>
        <v>0.1528375610522007</v>
      </c>
      <c r="K2944" s="2">
        <f t="shared" si="458"/>
        <v>4.2794517094616201E-2</v>
      </c>
      <c r="L2944" s="2">
        <f t="shared" si="459"/>
        <v>0.19563207814681691</v>
      </c>
      <c r="M2944" s="2">
        <f t="shared" si="455"/>
        <v>0.14183325665644225</v>
      </c>
      <c r="N2944" s="2">
        <f t="shared" si="456"/>
        <v>7.0916628328221126E-2</v>
      </c>
      <c r="O2944" s="2">
        <f t="shared" si="457"/>
        <v>0.26026402596457154</v>
      </c>
      <c r="P2944" s="2">
        <v>72.553881000000004</v>
      </c>
      <c r="Q2944" s="2">
        <v>23.037137999999999</v>
      </c>
    </row>
    <row r="2945" spans="1:17" x14ac:dyDescent="0.25">
      <c r="A2945" s="2">
        <v>3131</v>
      </c>
      <c r="B2945" s="2" t="s">
        <v>23</v>
      </c>
      <c r="C2945" s="2">
        <v>3</v>
      </c>
      <c r="D2945" s="2">
        <f t="shared" ref="D2945:D3008" si="460">C2945*2.54</f>
        <v>7.62</v>
      </c>
      <c r="E2945" s="2">
        <f t="shared" ref="E2945:E3008" si="461">D2945/PI()</f>
        <v>2.4255213327204852</v>
      </c>
      <c r="F2945" s="2">
        <f t="shared" ref="F2945:F3008" si="462">C2945/PI()</f>
        <v>0.95492965855137202</v>
      </c>
      <c r="G2945" s="2">
        <v>1.008202</v>
      </c>
      <c r="H2945" s="2">
        <f t="shared" ref="H2945:H3008" si="463">G2945*3.28084</f>
        <v>3.3077494496800002</v>
      </c>
      <c r="I2945" s="2">
        <f>INDEX('Wood Density Lookup'!$B$2:$B$152,MATCH(B2945,'Wood Density Lookup'!$A$2:$A$152,0))</f>
        <v>0.65</v>
      </c>
      <c r="J2945" s="2">
        <f t="shared" ref="J2945:J3008" si="464">0.0673*POWER(I2945*E2945^2*G2945,0.976)</f>
        <v>0.25120048072396434</v>
      </c>
      <c r="K2945" s="2">
        <f t="shared" si="458"/>
        <v>7.0336134602710015E-2</v>
      </c>
      <c r="L2945" s="2">
        <f t="shared" si="459"/>
        <v>0.32153661532667432</v>
      </c>
      <c r="M2945" s="2">
        <f t="shared" ref="M2945:M3008" si="465">0.725*L2945</f>
        <v>0.23311404611183889</v>
      </c>
      <c r="N2945" s="2">
        <f t="shared" ref="N2945:N3008" si="466">0.5*M2945</f>
        <v>0.11655702305591945</v>
      </c>
      <c r="O2945" s="2">
        <f t="shared" ref="O2945:O3008" si="467">3.67*N2945</f>
        <v>0.42776427461522437</v>
      </c>
      <c r="P2945" s="2">
        <v>72.553886000000006</v>
      </c>
      <c r="Q2945" s="2">
        <v>23.037814000000001</v>
      </c>
    </row>
    <row r="2946" spans="1:17" x14ac:dyDescent="0.25">
      <c r="A2946" s="2">
        <v>3132</v>
      </c>
      <c r="B2946" s="2" t="s">
        <v>55</v>
      </c>
      <c r="C2946" s="2">
        <v>43</v>
      </c>
      <c r="D2946" s="2">
        <f t="shared" si="460"/>
        <v>109.22</v>
      </c>
      <c r="E2946" s="2">
        <f t="shared" si="461"/>
        <v>34.765805768993616</v>
      </c>
      <c r="F2946" s="2">
        <f t="shared" si="462"/>
        <v>13.687325105903</v>
      </c>
      <c r="G2946" s="2">
        <v>9.4962850000000003</v>
      </c>
      <c r="H2946" s="2">
        <f t="shared" si="463"/>
        <v>31.1557916794</v>
      </c>
      <c r="I2946" s="2">
        <f>INDEX('Wood Density Lookup'!$B$2:$B$152,MATCH(B2946,'Wood Density Lookup'!$A$2:$A$152,0))</f>
        <v>0.75</v>
      </c>
      <c r="J2946" s="2">
        <f t="shared" si="464"/>
        <v>466.11877480697137</v>
      </c>
      <c r="K2946" s="2">
        <f t="shared" si="458"/>
        <v>130.51325694595201</v>
      </c>
      <c r="L2946" s="2">
        <f t="shared" si="459"/>
        <v>596.63203175292335</v>
      </c>
      <c r="M2946" s="2">
        <f t="shared" si="465"/>
        <v>432.55822302086943</v>
      </c>
      <c r="N2946" s="2">
        <f t="shared" si="466"/>
        <v>216.27911151043472</v>
      </c>
      <c r="O2946" s="2">
        <f t="shared" si="467"/>
        <v>793.74433924329537</v>
      </c>
      <c r="P2946" s="2">
        <v>72.553886000000006</v>
      </c>
      <c r="Q2946" s="2">
        <v>23.036584000000001</v>
      </c>
    </row>
    <row r="2947" spans="1:17" x14ac:dyDescent="0.25">
      <c r="A2947" s="2">
        <v>3133</v>
      </c>
      <c r="B2947" s="2" t="s">
        <v>139</v>
      </c>
      <c r="C2947" s="2">
        <v>4</v>
      </c>
      <c r="D2947" s="2">
        <f t="shared" si="460"/>
        <v>10.16</v>
      </c>
      <c r="E2947" s="2">
        <f t="shared" si="461"/>
        <v>3.2340284436273135</v>
      </c>
      <c r="F2947" s="2">
        <f t="shared" si="462"/>
        <v>1.2732395447351628</v>
      </c>
      <c r="G2947" s="2">
        <v>3.5378509999999999</v>
      </c>
      <c r="H2947" s="2">
        <f t="shared" si="463"/>
        <v>11.607123074839999</v>
      </c>
      <c r="I2947" s="2">
        <f>INDEX('Wood Density Lookup'!$B$2:$B$152,MATCH(B2947,'Wood Density Lookup'!$A$2:$A$152,0))</f>
        <v>0.9</v>
      </c>
      <c r="J2947" s="2">
        <f t="shared" si="464"/>
        <v>2.0603713826906054</v>
      </c>
      <c r="K2947" s="2">
        <f t="shared" ref="K2947:K3010" si="468">0.28*J2947</f>
        <v>0.57690398715336955</v>
      </c>
      <c r="L2947" s="2">
        <f t="shared" ref="L2947:L3010" si="469">J2947+K2947</f>
        <v>2.6372753698439748</v>
      </c>
      <c r="M2947" s="2">
        <f t="shared" si="465"/>
        <v>1.9120246431368817</v>
      </c>
      <c r="N2947" s="2">
        <f t="shared" si="466"/>
        <v>0.95601232156844085</v>
      </c>
      <c r="O2947" s="2">
        <f t="shared" si="467"/>
        <v>3.5085652201561777</v>
      </c>
      <c r="P2947" s="2">
        <v>72.553888000000001</v>
      </c>
      <c r="Q2947" s="2">
        <v>23.038723999999998</v>
      </c>
    </row>
    <row r="2948" spans="1:17" x14ac:dyDescent="0.25">
      <c r="A2948" s="2">
        <v>3134</v>
      </c>
      <c r="B2948" s="2" t="s">
        <v>129</v>
      </c>
      <c r="C2948" s="2">
        <v>23</v>
      </c>
      <c r="D2948" s="2">
        <f t="shared" si="460"/>
        <v>58.42</v>
      </c>
      <c r="E2948" s="2">
        <f t="shared" si="461"/>
        <v>18.595663550857051</v>
      </c>
      <c r="F2948" s="2">
        <f t="shared" si="462"/>
        <v>7.3211273822271856</v>
      </c>
      <c r="G2948" s="2">
        <v>2.4462790000000001</v>
      </c>
      <c r="H2948" s="2">
        <f t="shared" si="463"/>
        <v>8.0258499943599997</v>
      </c>
      <c r="I2948" s="2">
        <f>INDEX('Wood Density Lookup'!$B$2:$B$152,MATCH(B2948,'Wood Density Lookup'!$A$2:$A$152,0))</f>
        <v>0.4</v>
      </c>
      <c r="J2948" s="2">
        <f t="shared" si="464"/>
        <v>19.801544151623563</v>
      </c>
      <c r="K2948" s="2">
        <f t="shared" si="468"/>
        <v>5.5444323624545984</v>
      </c>
      <c r="L2948" s="2">
        <f t="shared" si="469"/>
        <v>25.34597651407816</v>
      </c>
      <c r="M2948" s="2">
        <f t="shared" si="465"/>
        <v>18.375832972706664</v>
      </c>
      <c r="N2948" s="2">
        <f t="shared" si="466"/>
        <v>9.1879164863533322</v>
      </c>
      <c r="O2948" s="2">
        <f t="shared" si="467"/>
        <v>33.719653504916728</v>
      </c>
      <c r="P2948" s="2">
        <v>72.553890999999993</v>
      </c>
      <c r="Q2948" s="2">
        <v>23.038139999999999</v>
      </c>
    </row>
    <row r="2949" spans="1:17" x14ac:dyDescent="0.25">
      <c r="A2949" s="2">
        <v>3135</v>
      </c>
      <c r="B2949" s="2" t="s">
        <v>62</v>
      </c>
      <c r="C2949" s="2">
        <v>45</v>
      </c>
      <c r="D2949" s="2">
        <f t="shared" si="460"/>
        <v>114.3</v>
      </c>
      <c r="E2949" s="2">
        <f t="shared" si="461"/>
        <v>36.382819990807278</v>
      </c>
      <c r="F2949" s="2">
        <f t="shared" si="462"/>
        <v>14.323944878270581</v>
      </c>
      <c r="G2949" s="2">
        <v>5.6093679999999999</v>
      </c>
      <c r="H2949" s="2">
        <f t="shared" si="463"/>
        <v>18.403438909119998</v>
      </c>
      <c r="I2949" s="2">
        <f>INDEX('Wood Density Lookup'!$B$2:$B$152,MATCH(B2949,'Wood Density Lookup'!$A$2:$A$152,0))</f>
        <v>0.47</v>
      </c>
      <c r="J2949" s="2">
        <f t="shared" si="464"/>
        <v>193.10444112852969</v>
      </c>
      <c r="K2949" s="2">
        <f t="shared" si="468"/>
        <v>54.069243515988319</v>
      </c>
      <c r="L2949" s="2">
        <f t="shared" si="469"/>
        <v>247.173684644518</v>
      </c>
      <c r="M2949" s="2">
        <f t="shared" si="465"/>
        <v>179.20092136727555</v>
      </c>
      <c r="N2949" s="2">
        <f t="shared" si="466"/>
        <v>89.600460683637777</v>
      </c>
      <c r="O2949" s="2">
        <f t="shared" si="467"/>
        <v>328.83369070895066</v>
      </c>
      <c r="P2949" s="2">
        <v>72.553893000000002</v>
      </c>
      <c r="Q2949" s="2">
        <v>23.037983000000001</v>
      </c>
    </row>
    <row r="2950" spans="1:17" x14ac:dyDescent="0.25">
      <c r="A2950" s="2">
        <v>3136</v>
      </c>
      <c r="B2950" s="2" t="s">
        <v>115</v>
      </c>
      <c r="C2950" s="2">
        <v>28</v>
      </c>
      <c r="D2950" s="2">
        <f t="shared" si="460"/>
        <v>71.12</v>
      </c>
      <c r="E2950" s="2">
        <f t="shared" si="461"/>
        <v>22.638199105391195</v>
      </c>
      <c r="F2950" s="2">
        <f t="shared" si="462"/>
        <v>8.91267681314614</v>
      </c>
      <c r="G2950" s="2">
        <v>7.0411070000000002</v>
      </c>
      <c r="H2950" s="2">
        <f t="shared" si="463"/>
        <v>23.100745489880001</v>
      </c>
      <c r="I2950" s="2">
        <f>INDEX('Wood Density Lookup'!$B$2:$B$152,MATCH(B2950,'Wood Density Lookup'!$A$2:$A$152,0))</f>
        <v>0.65</v>
      </c>
      <c r="J2950" s="2">
        <f t="shared" si="464"/>
        <v>131.02899268149034</v>
      </c>
      <c r="K2950" s="2">
        <f t="shared" si="468"/>
        <v>36.688117950817301</v>
      </c>
      <c r="L2950" s="2">
        <f t="shared" si="469"/>
        <v>167.71711063230765</v>
      </c>
      <c r="M2950" s="2">
        <f t="shared" si="465"/>
        <v>121.59490520842304</v>
      </c>
      <c r="N2950" s="2">
        <f t="shared" si="466"/>
        <v>60.797452604211522</v>
      </c>
      <c r="O2950" s="2">
        <f t="shared" si="467"/>
        <v>223.12665105745629</v>
      </c>
      <c r="P2950" s="2">
        <v>72.553893000000002</v>
      </c>
      <c r="Q2950" s="2">
        <v>23.038184000000001</v>
      </c>
    </row>
    <row r="2951" spans="1:17" x14ac:dyDescent="0.25">
      <c r="A2951" s="2">
        <v>3137</v>
      </c>
      <c r="B2951" s="2" t="s">
        <v>146</v>
      </c>
      <c r="C2951" s="2">
        <v>22</v>
      </c>
      <c r="D2951" s="2">
        <f t="shared" si="460"/>
        <v>55.88</v>
      </c>
      <c r="E2951" s="2">
        <f t="shared" si="461"/>
        <v>17.787156439950223</v>
      </c>
      <c r="F2951" s="2">
        <f t="shared" si="462"/>
        <v>7.0028174960433951</v>
      </c>
      <c r="G2951" s="2">
        <v>8.8243910000000003</v>
      </c>
      <c r="H2951" s="2">
        <f t="shared" si="463"/>
        <v>28.951414968440002</v>
      </c>
      <c r="I2951" s="2">
        <f>INDEX('Wood Density Lookup'!$B$2:$B$152,MATCH(B2951,'Wood Density Lookup'!$A$2:$A$152,0))</f>
        <v>0.55000000000000004</v>
      </c>
      <c r="J2951" s="2">
        <f t="shared" si="464"/>
        <v>86.657328166167289</v>
      </c>
      <c r="K2951" s="2">
        <f t="shared" si="468"/>
        <v>24.264051886526843</v>
      </c>
      <c r="L2951" s="2">
        <f t="shared" si="469"/>
        <v>110.92138005269413</v>
      </c>
      <c r="M2951" s="2">
        <f t="shared" si="465"/>
        <v>80.418000538203245</v>
      </c>
      <c r="N2951" s="2">
        <f t="shared" si="466"/>
        <v>40.209000269101622</v>
      </c>
      <c r="O2951" s="2">
        <f t="shared" si="467"/>
        <v>147.56703098760295</v>
      </c>
      <c r="P2951" s="2">
        <v>72.553893000000002</v>
      </c>
      <c r="Q2951" s="2">
        <v>23.038094000000001</v>
      </c>
    </row>
    <row r="2952" spans="1:17" x14ac:dyDescent="0.25">
      <c r="A2952" s="2">
        <v>3138</v>
      </c>
      <c r="B2952" s="2" t="s">
        <v>59</v>
      </c>
      <c r="C2952" s="2">
        <v>8</v>
      </c>
      <c r="D2952" s="2">
        <f t="shared" si="460"/>
        <v>20.32</v>
      </c>
      <c r="E2952" s="2">
        <f t="shared" si="461"/>
        <v>6.4680568872546269</v>
      </c>
      <c r="F2952" s="2">
        <f t="shared" si="462"/>
        <v>2.5464790894703255</v>
      </c>
      <c r="G2952" s="2">
        <v>5.8098979999999996</v>
      </c>
      <c r="H2952" s="2">
        <f t="shared" si="463"/>
        <v>19.061345754319998</v>
      </c>
      <c r="I2952" s="2">
        <f>INDEX('Wood Density Lookup'!$B$2:$B$152,MATCH(B2952,'Wood Density Lookup'!$A$2:$A$152,0))</f>
        <v>0.45</v>
      </c>
      <c r="J2952" s="2">
        <f t="shared" si="464"/>
        <v>6.5767216186500912</v>
      </c>
      <c r="K2952" s="2">
        <f t="shared" si="468"/>
        <v>1.8414820532220257</v>
      </c>
      <c r="L2952" s="2">
        <f t="shared" si="469"/>
        <v>8.4182036718721172</v>
      </c>
      <c r="M2952" s="2">
        <f t="shared" si="465"/>
        <v>6.1031976621072843</v>
      </c>
      <c r="N2952" s="2">
        <f t="shared" si="466"/>
        <v>3.0515988310536422</v>
      </c>
      <c r="O2952" s="2">
        <f t="shared" si="467"/>
        <v>11.199367709966866</v>
      </c>
      <c r="P2952" s="2">
        <v>72.553893000000002</v>
      </c>
      <c r="Q2952" s="2">
        <v>23.038221</v>
      </c>
    </row>
    <row r="2953" spans="1:17" x14ac:dyDescent="0.25">
      <c r="A2953" s="2">
        <v>3139</v>
      </c>
      <c r="B2953" s="2" t="s">
        <v>137</v>
      </c>
      <c r="C2953" s="2">
        <v>3</v>
      </c>
      <c r="D2953" s="2">
        <f t="shared" si="460"/>
        <v>7.62</v>
      </c>
      <c r="E2953" s="2">
        <f t="shared" si="461"/>
        <v>2.4255213327204852</v>
      </c>
      <c r="F2953" s="2">
        <f t="shared" si="462"/>
        <v>0.95492965855137202</v>
      </c>
      <c r="G2953" s="2">
        <v>1.098876</v>
      </c>
      <c r="H2953" s="2">
        <f t="shared" si="463"/>
        <v>3.6052363358399999</v>
      </c>
      <c r="I2953" s="2">
        <f>INDEX('Wood Density Lookup'!$B$2:$B$152,MATCH(B2953,'Wood Density Lookup'!$A$2:$A$152,0))</f>
        <v>0.55000000000000004</v>
      </c>
      <c r="J2953" s="2">
        <f t="shared" si="464"/>
        <v>0.23212104735883601</v>
      </c>
      <c r="K2953" s="2">
        <f t="shared" si="468"/>
        <v>6.4993893260474084E-2</v>
      </c>
      <c r="L2953" s="2">
        <f t="shared" si="469"/>
        <v>0.2971149406193101</v>
      </c>
      <c r="M2953" s="2">
        <f t="shared" si="465"/>
        <v>0.2154083319489998</v>
      </c>
      <c r="N2953" s="2">
        <f t="shared" si="466"/>
        <v>0.1077041659744999</v>
      </c>
      <c r="O2953" s="2">
        <f t="shared" si="467"/>
        <v>0.39527428912641466</v>
      </c>
      <c r="P2953" s="2">
        <v>72.553899999999999</v>
      </c>
      <c r="Q2953" s="2">
        <v>23.037980999999998</v>
      </c>
    </row>
    <row r="2954" spans="1:17" x14ac:dyDescent="0.25">
      <c r="A2954" s="2">
        <v>3140</v>
      </c>
      <c r="B2954" s="2" t="s">
        <v>30</v>
      </c>
      <c r="C2954" s="2">
        <v>8</v>
      </c>
      <c r="D2954" s="2">
        <f t="shared" si="460"/>
        <v>20.32</v>
      </c>
      <c r="E2954" s="2">
        <f t="shared" si="461"/>
        <v>6.4680568872546269</v>
      </c>
      <c r="F2954" s="2">
        <f t="shared" si="462"/>
        <v>2.5464790894703255</v>
      </c>
      <c r="G2954" s="2">
        <v>1.577456</v>
      </c>
      <c r="H2954" s="2">
        <f t="shared" si="463"/>
        <v>5.1753807430399998</v>
      </c>
      <c r="I2954" s="2">
        <f>INDEX('Wood Density Lookup'!$B$2:$B$152,MATCH(B2954,'Wood Density Lookup'!$A$2:$A$152,0))</f>
        <v>0.2</v>
      </c>
      <c r="J2954" s="2">
        <f t="shared" si="464"/>
        <v>0.83494359621793823</v>
      </c>
      <c r="K2954" s="2">
        <f t="shared" si="468"/>
        <v>0.23378420694102273</v>
      </c>
      <c r="L2954" s="2">
        <f t="shared" si="469"/>
        <v>1.0687278031589609</v>
      </c>
      <c r="M2954" s="2">
        <f t="shared" si="465"/>
        <v>0.77482765729024661</v>
      </c>
      <c r="N2954" s="2">
        <f t="shared" si="466"/>
        <v>0.3874138286451233</v>
      </c>
      <c r="O2954" s="2">
        <f t="shared" si="467"/>
        <v>1.4218087511276025</v>
      </c>
      <c r="P2954" s="2">
        <v>72.553903000000005</v>
      </c>
      <c r="Q2954" s="2">
        <v>23.037078999999999</v>
      </c>
    </row>
    <row r="2955" spans="1:17" x14ac:dyDescent="0.25">
      <c r="A2955" s="2">
        <v>3141</v>
      </c>
      <c r="B2955" s="2" t="s">
        <v>114</v>
      </c>
      <c r="C2955" s="2">
        <v>29</v>
      </c>
      <c r="D2955" s="2">
        <f t="shared" si="460"/>
        <v>73.66</v>
      </c>
      <c r="E2955" s="2">
        <f t="shared" si="461"/>
        <v>23.446706216298022</v>
      </c>
      <c r="F2955" s="2">
        <f t="shared" si="462"/>
        <v>9.2309866993299305</v>
      </c>
      <c r="G2955" s="2">
        <v>13.682325000000001</v>
      </c>
      <c r="H2955" s="2">
        <f t="shared" si="463"/>
        <v>44.889519153000002</v>
      </c>
      <c r="I2955" s="2">
        <f>INDEX('Wood Density Lookup'!$B$2:$B$152,MATCH(B2955,'Wood Density Lookup'!$A$2:$A$152,0))</f>
        <v>0.55000000000000004</v>
      </c>
      <c r="J2955" s="2">
        <f t="shared" si="464"/>
        <v>227.98216254870212</v>
      </c>
      <c r="K2955" s="2">
        <f t="shared" si="468"/>
        <v>63.835005513636602</v>
      </c>
      <c r="L2955" s="2">
        <f t="shared" si="469"/>
        <v>291.81716806233874</v>
      </c>
      <c r="M2955" s="2">
        <f t="shared" si="465"/>
        <v>211.56744684519558</v>
      </c>
      <c r="N2955" s="2">
        <f t="shared" si="466"/>
        <v>105.78372342259779</v>
      </c>
      <c r="O2955" s="2">
        <f t="shared" si="467"/>
        <v>388.22626496093386</v>
      </c>
      <c r="P2955" s="2">
        <v>72.553916000000001</v>
      </c>
      <c r="Q2955" s="2">
        <v>23.037427000000001</v>
      </c>
    </row>
    <row r="2956" spans="1:17" x14ac:dyDescent="0.25">
      <c r="A2956" s="2">
        <v>3142</v>
      </c>
      <c r="B2956" s="2" t="s">
        <v>135</v>
      </c>
      <c r="C2956" s="2">
        <v>26</v>
      </c>
      <c r="D2956" s="2">
        <f t="shared" si="460"/>
        <v>66.040000000000006</v>
      </c>
      <c r="E2956" s="2">
        <f t="shared" si="461"/>
        <v>21.02118488357754</v>
      </c>
      <c r="F2956" s="2">
        <f t="shared" si="462"/>
        <v>8.2760570407785572</v>
      </c>
      <c r="G2956" s="2">
        <v>10.063425000000001</v>
      </c>
      <c r="H2956" s="2">
        <f t="shared" si="463"/>
        <v>33.016487277000003</v>
      </c>
      <c r="I2956" s="2">
        <f>INDEX('Wood Density Lookup'!$B$2:$B$152,MATCH(B2956,'Wood Density Lookup'!$A$2:$A$152,0))</f>
        <v>0.8</v>
      </c>
      <c r="J2956" s="2">
        <f t="shared" si="464"/>
        <v>196.76037646521297</v>
      </c>
      <c r="K2956" s="2">
        <f t="shared" si="468"/>
        <v>55.09290541025964</v>
      </c>
      <c r="L2956" s="2">
        <f t="shared" si="469"/>
        <v>251.85328187547262</v>
      </c>
      <c r="M2956" s="2">
        <f t="shared" si="465"/>
        <v>182.59362935971765</v>
      </c>
      <c r="N2956" s="2">
        <f t="shared" si="466"/>
        <v>91.296814679858826</v>
      </c>
      <c r="O2956" s="2">
        <f t="shared" si="467"/>
        <v>335.05930987508191</v>
      </c>
      <c r="P2956" s="2">
        <v>72.553916000000001</v>
      </c>
      <c r="Q2956" s="2">
        <v>23.037137000000001</v>
      </c>
    </row>
    <row r="2957" spans="1:17" x14ac:dyDescent="0.25">
      <c r="A2957" s="2">
        <v>3143</v>
      </c>
      <c r="B2957" s="2" t="s">
        <v>59</v>
      </c>
      <c r="C2957" s="2">
        <v>19</v>
      </c>
      <c r="D2957" s="2">
        <f t="shared" si="460"/>
        <v>48.26</v>
      </c>
      <c r="E2957" s="2">
        <f t="shared" si="461"/>
        <v>15.361635107229738</v>
      </c>
      <c r="F2957" s="2">
        <f t="shared" si="462"/>
        <v>6.0478878374920226</v>
      </c>
      <c r="G2957" s="2">
        <v>2.1520809999999999</v>
      </c>
      <c r="H2957" s="2">
        <f t="shared" si="463"/>
        <v>7.06063342804</v>
      </c>
      <c r="I2957" s="2">
        <f>INDEX('Wood Density Lookup'!$B$2:$B$152,MATCH(B2957,'Wood Density Lookup'!$A$2:$A$152,0))</f>
        <v>0.45</v>
      </c>
      <c r="J2957" s="2">
        <f t="shared" si="464"/>
        <v>13.50039192816336</v>
      </c>
      <c r="K2957" s="2">
        <f t="shared" si="468"/>
        <v>3.7801097398857411</v>
      </c>
      <c r="L2957" s="2">
        <f t="shared" si="469"/>
        <v>17.280501668049101</v>
      </c>
      <c r="M2957" s="2">
        <f t="shared" si="465"/>
        <v>12.528363709335599</v>
      </c>
      <c r="N2957" s="2">
        <f t="shared" si="466"/>
        <v>6.2641818546677994</v>
      </c>
      <c r="O2957" s="2">
        <f t="shared" si="467"/>
        <v>22.989547406630823</v>
      </c>
      <c r="P2957" s="2">
        <v>72.553922</v>
      </c>
      <c r="Q2957" s="2">
        <v>23.038018999999998</v>
      </c>
    </row>
    <row r="2958" spans="1:17" x14ac:dyDescent="0.25">
      <c r="A2958" s="2">
        <v>3144</v>
      </c>
      <c r="B2958" s="2" t="s">
        <v>129</v>
      </c>
      <c r="C2958" s="2">
        <v>28</v>
      </c>
      <c r="D2958" s="2">
        <f t="shared" si="460"/>
        <v>71.12</v>
      </c>
      <c r="E2958" s="2">
        <f t="shared" si="461"/>
        <v>22.638199105391195</v>
      </c>
      <c r="F2958" s="2">
        <f t="shared" si="462"/>
        <v>8.91267681314614</v>
      </c>
      <c r="G2958" s="2">
        <v>4.3480559999999997</v>
      </c>
      <c r="H2958" s="2">
        <f t="shared" si="463"/>
        <v>14.265276047039999</v>
      </c>
      <c r="I2958" s="2">
        <f>INDEX('Wood Density Lookup'!$B$2:$B$152,MATCH(B2958,'Wood Density Lookup'!$A$2:$A$152,0))</f>
        <v>0.4</v>
      </c>
      <c r="J2958" s="2">
        <f t="shared" si="464"/>
        <v>50.962767266518583</v>
      </c>
      <c r="K2958" s="2">
        <f t="shared" si="468"/>
        <v>14.269574834625205</v>
      </c>
      <c r="L2958" s="2">
        <f t="shared" si="469"/>
        <v>65.232342101143786</v>
      </c>
      <c r="M2958" s="2">
        <f t="shared" si="465"/>
        <v>47.29344802332924</v>
      </c>
      <c r="N2958" s="2">
        <f t="shared" si="466"/>
        <v>23.64672401166462</v>
      </c>
      <c r="O2958" s="2">
        <f t="shared" si="467"/>
        <v>86.78347712280916</v>
      </c>
      <c r="P2958" s="2">
        <v>72.553925000000007</v>
      </c>
      <c r="Q2958" s="2">
        <v>23.038062</v>
      </c>
    </row>
    <row r="2959" spans="1:17" x14ac:dyDescent="0.25">
      <c r="A2959" s="2">
        <v>3145</v>
      </c>
      <c r="B2959" s="2" t="s">
        <v>69</v>
      </c>
      <c r="C2959" s="2">
        <v>2</v>
      </c>
      <c r="D2959" s="2">
        <f t="shared" si="460"/>
        <v>5.08</v>
      </c>
      <c r="E2959" s="2">
        <f t="shared" si="461"/>
        <v>1.6170142218136567</v>
      </c>
      <c r="F2959" s="2">
        <f t="shared" si="462"/>
        <v>0.63661977236758138</v>
      </c>
      <c r="G2959" s="2">
        <v>1.328417</v>
      </c>
      <c r="H2959" s="2">
        <f t="shared" si="463"/>
        <v>4.3583236302800001</v>
      </c>
      <c r="I2959" s="2">
        <f>INDEX('Wood Density Lookup'!$B$2:$B$152,MATCH(B2959,'Wood Density Lookup'!$A$2:$A$152,0))</f>
        <v>0.55000000000000004</v>
      </c>
      <c r="J2959" s="2">
        <f t="shared" si="464"/>
        <v>0.12658809449465716</v>
      </c>
      <c r="K2959" s="2">
        <f t="shared" si="468"/>
        <v>3.5444666458504005E-2</v>
      </c>
      <c r="L2959" s="2">
        <f t="shared" si="469"/>
        <v>0.16203276095316116</v>
      </c>
      <c r="M2959" s="2">
        <f t="shared" si="465"/>
        <v>0.11747375169104184</v>
      </c>
      <c r="N2959" s="2">
        <f t="shared" si="466"/>
        <v>5.8736875845520918E-2</v>
      </c>
      <c r="O2959" s="2">
        <f t="shared" si="467"/>
        <v>0.21556433435306177</v>
      </c>
      <c r="P2959" s="2">
        <v>72.553925000000007</v>
      </c>
      <c r="Q2959" s="2">
        <v>23.037065999999999</v>
      </c>
    </row>
    <row r="2960" spans="1:17" x14ac:dyDescent="0.25">
      <c r="A2960" s="2">
        <v>3146</v>
      </c>
      <c r="B2960" s="2" t="s">
        <v>69</v>
      </c>
      <c r="C2960" s="2">
        <v>2</v>
      </c>
      <c r="D2960" s="2">
        <f t="shared" si="460"/>
        <v>5.08</v>
      </c>
      <c r="E2960" s="2">
        <f t="shared" si="461"/>
        <v>1.6170142218136567</v>
      </c>
      <c r="F2960" s="2">
        <f t="shared" si="462"/>
        <v>0.63661977236758138</v>
      </c>
      <c r="G2960" s="2">
        <v>1.1292960000000001</v>
      </c>
      <c r="H2960" s="2">
        <f t="shared" si="463"/>
        <v>3.7050394886400002</v>
      </c>
      <c r="I2960" s="2">
        <f>INDEX('Wood Density Lookup'!$B$2:$B$152,MATCH(B2960,'Wood Density Lookup'!$A$2:$A$152,0))</f>
        <v>0.55000000000000004</v>
      </c>
      <c r="J2960" s="2">
        <f t="shared" si="464"/>
        <v>0.1080336046367984</v>
      </c>
      <c r="K2960" s="2">
        <f t="shared" si="468"/>
        <v>3.0249409298303553E-2</v>
      </c>
      <c r="L2960" s="2">
        <f t="shared" si="469"/>
        <v>0.13828301393510195</v>
      </c>
      <c r="M2960" s="2">
        <f t="shared" si="465"/>
        <v>0.10025518510294891</v>
      </c>
      <c r="N2960" s="2">
        <f t="shared" si="466"/>
        <v>5.0127592551474455E-2</v>
      </c>
      <c r="O2960" s="2">
        <f t="shared" si="467"/>
        <v>0.18396826466391125</v>
      </c>
      <c r="P2960" s="2">
        <v>72.553925000000007</v>
      </c>
      <c r="Q2960" s="2">
        <v>23.037089000000002</v>
      </c>
    </row>
    <row r="2961" spans="1:17" x14ac:dyDescent="0.25">
      <c r="A2961" s="2">
        <v>3147</v>
      </c>
      <c r="B2961" s="2" t="s">
        <v>69</v>
      </c>
      <c r="C2961" s="2">
        <v>2</v>
      </c>
      <c r="D2961" s="2">
        <f t="shared" si="460"/>
        <v>5.08</v>
      </c>
      <c r="E2961" s="2">
        <f t="shared" si="461"/>
        <v>1.6170142218136567</v>
      </c>
      <c r="F2961" s="2">
        <f t="shared" si="462"/>
        <v>0.63661977236758138</v>
      </c>
      <c r="G2961" s="2">
        <v>1.0355920000000001</v>
      </c>
      <c r="H2961" s="2">
        <f t="shared" si="463"/>
        <v>3.3976116572800001</v>
      </c>
      <c r="I2961" s="2">
        <f>INDEX('Wood Density Lookup'!$B$2:$B$152,MATCH(B2961,'Wood Density Lookup'!$A$2:$A$152,0))</f>
        <v>0.55000000000000004</v>
      </c>
      <c r="J2961" s="2">
        <f t="shared" si="464"/>
        <v>9.9275623286578171E-2</v>
      </c>
      <c r="K2961" s="2">
        <f t="shared" si="468"/>
        <v>2.7797174520241892E-2</v>
      </c>
      <c r="L2961" s="2">
        <f t="shared" si="469"/>
        <v>0.12707279780682007</v>
      </c>
      <c r="M2961" s="2">
        <f t="shared" si="465"/>
        <v>9.2127778409944544E-2</v>
      </c>
      <c r="N2961" s="2">
        <f t="shared" si="466"/>
        <v>4.6063889204972272E-2</v>
      </c>
      <c r="O2961" s="2">
        <f t="shared" si="467"/>
        <v>0.16905447338224824</v>
      </c>
      <c r="P2961" s="2">
        <v>72.553925000000007</v>
      </c>
      <c r="Q2961" s="2">
        <v>23.037094</v>
      </c>
    </row>
    <row r="2962" spans="1:17" x14ac:dyDescent="0.25">
      <c r="A2962" s="2">
        <v>3148</v>
      </c>
      <c r="B2962" s="2" t="s">
        <v>69</v>
      </c>
      <c r="C2962" s="2">
        <v>1</v>
      </c>
      <c r="D2962" s="2">
        <f t="shared" si="460"/>
        <v>2.54</v>
      </c>
      <c r="E2962" s="2">
        <f t="shared" si="461"/>
        <v>0.80850711090682836</v>
      </c>
      <c r="F2962" s="2">
        <f t="shared" si="462"/>
        <v>0.31830988618379069</v>
      </c>
      <c r="G2962" s="2">
        <v>1.297183</v>
      </c>
      <c r="H2962" s="2">
        <f t="shared" si="463"/>
        <v>4.2558498737199999</v>
      </c>
      <c r="I2962" s="2">
        <f>INDEX('Wood Density Lookup'!$B$2:$B$152,MATCH(B2962,'Wood Density Lookup'!$A$2:$A$152,0))</f>
        <v>0.55000000000000004</v>
      </c>
      <c r="J2962" s="2">
        <f t="shared" si="464"/>
        <v>3.1966650368009948E-2</v>
      </c>
      <c r="K2962" s="2">
        <f t="shared" si="468"/>
        <v>8.950662103042786E-3</v>
      </c>
      <c r="L2962" s="2">
        <f t="shared" si="469"/>
        <v>4.0917312471052736E-2</v>
      </c>
      <c r="M2962" s="2">
        <f t="shared" si="465"/>
        <v>2.9665051541513231E-2</v>
      </c>
      <c r="N2962" s="2">
        <f t="shared" si="466"/>
        <v>1.4832525770756616E-2</v>
      </c>
      <c r="O2962" s="2">
        <f t="shared" si="467"/>
        <v>5.4435369578676777E-2</v>
      </c>
      <c r="P2962" s="2">
        <v>72.553927000000002</v>
      </c>
      <c r="Q2962" s="2">
        <v>23.037081000000001</v>
      </c>
    </row>
    <row r="2963" spans="1:17" x14ac:dyDescent="0.25">
      <c r="A2963" s="2">
        <v>3149</v>
      </c>
      <c r="B2963" s="2" t="s">
        <v>137</v>
      </c>
      <c r="C2963" s="2">
        <v>4</v>
      </c>
      <c r="D2963" s="2">
        <f t="shared" si="460"/>
        <v>10.16</v>
      </c>
      <c r="E2963" s="2">
        <f t="shared" si="461"/>
        <v>3.2340284436273135</v>
      </c>
      <c r="F2963" s="2">
        <f t="shared" si="462"/>
        <v>1.2732395447351628</v>
      </c>
      <c r="G2963" s="2">
        <v>1.89</v>
      </c>
      <c r="H2963" s="2">
        <f t="shared" si="463"/>
        <v>6.2007876</v>
      </c>
      <c r="I2963" s="2">
        <f>INDEX('Wood Density Lookup'!$B$2:$B$152,MATCH(B2963,'Wood Density Lookup'!$A$2:$A$152,0))</f>
        <v>0.55000000000000004</v>
      </c>
      <c r="J2963" s="2">
        <f t="shared" si="464"/>
        <v>0.69096450231999718</v>
      </c>
      <c r="K2963" s="2">
        <f t="shared" si="468"/>
        <v>0.19347006064959923</v>
      </c>
      <c r="L2963" s="2">
        <f t="shared" si="469"/>
        <v>0.88443456296959644</v>
      </c>
      <c r="M2963" s="2">
        <f t="shared" si="465"/>
        <v>0.64121505815295743</v>
      </c>
      <c r="N2963" s="2">
        <f t="shared" si="466"/>
        <v>0.32060752907647871</v>
      </c>
      <c r="O2963" s="2">
        <f t="shared" si="467"/>
        <v>1.1766296317106768</v>
      </c>
      <c r="P2963" s="2">
        <v>72.553927000000002</v>
      </c>
      <c r="Q2963" s="2">
        <v>23.037989</v>
      </c>
    </row>
    <row r="2964" spans="1:17" x14ac:dyDescent="0.25">
      <c r="A2964" s="2">
        <v>3150</v>
      </c>
      <c r="B2964" s="2" t="s">
        <v>78</v>
      </c>
      <c r="C2964" s="2">
        <v>14</v>
      </c>
      <c r="D2964" s="2">
        <f t="shared" si="460"/>
        <v>35.56</v>
      </c>
      <c r="E2964" s="2">
        <f t="shared" si="461"/>
        <v>11.319099552695597</v>
      </c>
      <c r="F2964" s="2">
        <f t="shared" si="462"/>
        <v>4.45633840657307</v>
      </c>
      <c r="G2964" s="2">
        <v>2.1836700000000002</v>
      </c>
      <c r="H2964" s="2">
        <f t="shared" si="463"/>
        <v>7.1642718828000005</v>
      </c>
      <c r="I2964" s="2">
        <f>INDEX('Wood Density Lookup'!$B$2:$B$152,MATCH(B2964,'Wood Density Lookup'!$A$2:$A$152,0))</f>
        <v>0.55000000000000004</v>
      </c>
      <c r="J2964" s="2">
        <f t="shared" si="464"/>
        <v>9.176907572657905</v>
      </c>
      <c r="K2964" s="2">
        <f t="shared" si="468"/>
        <v>2.5695341203442137</v>
      </c>
      <c r="L2964" s="2">
        <f t="shared" si="469"/>
        <v>11.746441693002119</v>
      </c>
      <c r="M2964" s="2">
        <f t="shared" si="465"/>
        <v>8.5161702274265352</v>
      </c>
      <c r="N2964" s="2">
        <f t="shared" si="466"/>
        <v>4.2580851137132676</v>
      </c>
      <c r="O2964" s="2">
        <f t="shared" si="467"/>
        <v>15.627172367327692</v>
      </c>
      <c r="P2964" s="2">
        <v>72.553927999999999</v>
      </c>
      <c r="Q2964" s="2">
        <v>23.038141</v>
      </c>
    </row>
    <row r="2965" spans="1:17" x14ac:dyDescent="0.25">
      <c r="A2965" s="2">
        <v>3151</v>
      </c>
      <c r="B2965" s="2" t="s">
        <v>69</v>
      </c>
      <c r="C2965" s="2">
        <v>1</v>
      </c>
      <c r="D2965" s="2">
        <f t="shared" si="460"/>
        <v>2.54</v>
      </c>
      <c r="E2965" s="2">
        <f t="shared" si="461"/>
        <v>0.80850711090682836</v>
      </c>
      <c r="F2965" s="2">
        <f t="shared" si="462"/>
        <v>0.31830988618379069</v>
      </c>
      <c r="G2965" s="2">
        <v>1.222804</v>
      </c>
      <c r="H2965" s="2">
        <f t="shared" si="463"/>
        <v>4.0118242753600004</v>
      </c>
      <c r="I2965" s="2">
        <f>INDEX('Wood Density Lookup'!$B$2:$B$152,MATCH(B2965,'Wood Density Lookup'!$A$2:$A$152,0))</f>
        <v>0.55000000000000004</v>
      </c>
      <c r="J2965" s="2">
        <f t="shared" si="464"/>
        <v>3.0176453569588504E-2</v>
      </c>
      <c r="K2965" s="2">
        <f t="shared" si="468"/>
        <v>8.4494069994847827E-3</v>
      </c>
      <c r="L2965" s="2">
        <f t="shared" si="469"/>
        <v>3.8625860569073286E-2</v>
      </c>
      <c r="M2965" s="2">
        <f t="shared" si="465"/>
        <v>2.8003748912578133E-2</v>
      </c>
      <c r="N2965" s="2">
        <f t="shared" si="466"/>
        <v>1.4001874456289067E-2</v>
      </c>
      <c r="O2965" s="2">
        <f t="shared" si="467"/>
        <v>5.1386879254580874E-2</v>
      </c>
      <c r="P2965" s="2">
        <v>72.553927999999999</v>
      </c>
      <c r="Q2965" s="2">
        <v>23.037071999999998</v>
      </c>
    </row>
    <row r="2966" spans="1:17" x14ac:dyDescent="0.25">
      <c r="A2966" s="2">
        <v>3152</v>
      </c>
      <c r="B2966" s="2" t="s">
        <v>111</v>
      </c>
      <c r="C2966" s="2">
        <v>5</v>
      </c>
      <c r="D2966" s="2">
        <f t="shared" si="460"/>
        <v>12.7</v>
      </c>
      <c r="E2966" s="2">
        <f t="shared" si="461"/>
        <v>4.0425355545341413</v>
      </c>
      <c r="F2966" s="2">
        <f t="shared" si="462"/>
        <v>1.5915494309189535</v>
      </c>
      <c r="G2966" s="2">
        <v>2.0157210000000001</v>
      </c>
      <c r="H2966" s="2">
        <f t="shared" si="463"/>
        <v>6.6132580856400001</v>
      </c>
      <c r="I2966" s="2">
        <f>INDEX('Wood Density Lookup'!$B$2:$B$152,MATCH(B2966,'Wood Density Lookup'!$A$2:$A$152,0))</f>
        <v>0.4</v>
      </c>
      <c r="J2966" s="2">
        <f t="shared" si="464"/>
        <v>0.83356221079709614</v>
      </c>
      <c r="K2966" s="2">
        <f t="shared" si="468"/>
        <v>0.23339741902318695</v>
      </c>
      <c r="L2966" s="2">
        <f t="shared" si="469"/>
        <v>1.066959629820283</v>
      </c>
      <c r="M2966" s="2">
        <f t="shared" si="465"/>
        <v>0.77354573161970519</v>
      </c>
      <c r="N2966" s="2">
        <f t="shared" si="466"/>
        <v>0.3867728658098526</v>
      </c>
      <c r="O2966" s="2">
        <f t="shared" si="467"/>
        <v>1.4194564175221589</v>
      </c>
      <c r="P2966" s="2">
        <v>72.553928999999997</v>
      </c>
      <c r="Q2966" s="2">
        <v>23.037821000000001</v>
      </c>
    </row>
    <row r="2967" spans="1:17" x14ac:dyDescent="0.25">
      <c r="A2967" s="2">
        <v>3153</v>
      </c>
      <c r="B2967" s="2" t="s">
        <v>11</v>
      </c>
      <c r="C2967" s="2">
        <v>6</v>
      </c>
      <c r="D2967" s="2">
        <f t="shared" si="460"/>
        <v>15.24</v>
      </c>
      <c r="E2967" s="2">
        <f t="shared" si="461"/>
        <v>4.8510426654409704</v>
      </c>
      <c r="F2967" s="2">
        <f t="shared" si="462"/>
        <v>1.909859317102744</v>
      </c>
      <c r="G2967" s="2">
        <v>4.0545590000000002</v>
      </c>
      <c r="H2967" s="2">
        <f t="shared" si="463"/>
        <v>13.302359349560001</v>
      </c>
      <c r="I2967" s="2">
        <f>INDEX('Wood Density Lookup'!$B$2:$B$152,MATCH(B2967,'Wood Density Lookup'!$A$2:$A$152,0))</f>
        <v>0.45</v>
      </c>
      <c r="J2967" s="2">
        <f t="shared" si="464"/>
        <v>2.6403017235920072</v>
      </c>
      <c r="K2967" s="2">
        <f t="shared" si="468"/>
        <v>0.73928448260576207</v>
      </c>
      <c r="L2967" s="2">
        <f t="shared" si="469"/>
        <v>3.3795862061977693</v>
      </c>
      <c r="M2967" s="2">
        <f t="shared" si="465"/>
        <v>2.4501999994933827</v>
      </c>
      <c r="N2967" s="2">
        <f t="shared" si="466"/>
        <v>1.2250999997466914</v>
      </c>
      <c r="O2967" s="2">
        <f t="shared" si="467"/>
        <v>4.4961169990703569</v>
      </c>
      <c r="P2967" s="2">
        <v>72.553928999999997</v>
      </c>
      <c r="Q2967" s="2">
        <v>23.037856999999999</v>
      </c>
    </row>
    <row r="2968" spans="1:17" x14ac:dyDescent="0.25">
      <c r="A2968" s="2">
        <v>3154</v>
      </c>
      <c r="B2968" s="2" t="s">
        <v>107</v>
      </c>
      <c r="C2968" s="2">
        <v>38</v>
      </c>
      <c r="D2968" s="2">
        <f t="shared" si="460"/>
        <v>96.52</v>
      </c>
      <c r="E2968" s="2">
        <f t="shared" si="461"/>
        <v>30.723270214459475</v>
      </c>
      <c r="F2968" s="2">
        <f t="shared" si="462"/>
        <v>12.095775674984045</v>
      </c>
      <c r="G2968" s="2">
        <v>14.290324</v>
      </c>
      <c r="H2968" s="2">
        <f t="shared" si="463"/>
        <v>46.884266592160003</v>
      </c>
      <c r="I2968" s="2">
        <f>INDEX('Wood Density Lookup'!$B$2:$B$152,MATCH(B2968,'Wood Density Lookup'!$A$2:$A$152,0))</f>
        <v>0.65</v>
      </c>
      <c r="J2968" s="2">
        <f t="shared" si="464"/>
        <v>474.54347910647897</v>
      </c>
      <c r="K2968" s="2">
        <f t="shared" si="468"/>
        <v>132.87217414981413</v>
      </c>
      <c r="L2968" s="2">
        <f t="shared" si="469"/>
        <v>607.41565325629313</v>
      </c>
      <c r="M2968" s="2">
        <f t="shared" si="465"/>
        <v>440.3763486108125</v>
      </c>
      <c r="N2968" s="2">
        <f t="shared" si="466"/>
        <v>220.18817430540625</v>
      </c>
      <c r="O2968" s="2">
        <f t="shared" si="467"/>
        <v>808.09059970084093</v>
      </c>
      <c r="P2968" s="2">
        <v>72.553933000000001</v>
      </c>
      <c r="Q2968" s="2">
        <v>23.036511000000001</v>
      </c>
    </row>
    <row r="2969" spans="1:17" x14ac:dyDescent="0.25">
      <c r="A2969" s="2">
        <v>3155</v>
      </c>
      <c r="B2969" s="2" t="s">
        <v>152</v>
      </c>
      <c r="C2969" s="2">
        <v>31</v>
      </c>
      <c r="D2969" s="2">
        <f t="shared" si="460"/>
        <v>78.739999999999995</v>
      </c>
      <c r="E2969" s="2">
        <f t="shared" si="461"/>
        <v>25.063720438111677</v>
      </c>
      <c r="F2969" s="2">
        <f t="shared" si="462"/>
        <v>9.8676064716975116</v>
      </c>
      <c r="G2969" s="2">
        <v>2.0919289999999999</v>
      </c>
      <c r="H2969" s="2">
        <f t="shared" si="463"/>
        <v>6.8632843403599999</v>
      </c>
      <c r="I2969" s="2">
        <f>INDEX('Wood Density Lookup'!$B$2:$B$152,MATCH(B2969,'Wood Density Lookup'!$A$2:$A$152,0))</f>
        <v>0.8</v>
      </c>
      <c r="J2969" s="2">
        <f t="shared" si="464"/>
        <v>59.871700753984911</v>
      </c>
      <c r="K2969" s="2">
        <f t="shared" si="468"/>
        <v>16.764076211115775</v>
      </c>
      <c r="L2969" s="2">
        <f t="shared" si="469"/>
        <v>76.635776965100689</v>
      </c>
      <c r="M2969" s="2">
        <f t="shared" si="465"/>
        <v>55.560938299697995</v>
      </c>
      <c r="N2969" s="2">
        <f t="shared" si="466"/>
        <v>27.780469149848997</v>
      </c>
      <c r="O2969" s="2">
        <f t="shared" si="467"/>
        <v>101.95432177994581</v>
      </c>
      <c r="P2969" s="2">
        <v>72.553933999999998</v>
      </c>
      <c r="Q2969" s="2">
        <v>23.03875</v>
      </c>
    </row>
    <row r="2970" spans="1:17" x14ac:dyDescent="0.25">
      <c r="A2970" s="2">
        <v>3156</v>
      </c>
      <c r="B2970" s="2" t="s">
        <v>69</v>
      </c>
      <c r="C2970" s="2">
        <v>3</v>
      </c>
      <c r="D2970" s="2">
        <f t="shared" si="460"/>
        <v>7.62</v>
      </c>
      <c r="E2970" s="2">
        <f t="shared" si="461"/>
        <v>2.4255213327204852</v>
      </c>
      <c r="F2970" s="2">
        <f t="shared" si="462"/>
        <v>0.95492965855137202</v>
      </c>
      <c r="G2970" s="2">
        <v>1.3856470000000001</v>
      </c>
      <c r="H2970" s="2">
        <f t="shared" si="463"/>
        <v>4.5460861034800004</v>
      </c>
      <c r="I2970" s="2">
        <f>INDEX('Wood Density Lookup'!$B$2:$B$152,MATCH(B2970,'Wood Density Lookup'!$A$2:$A$152,0))</f>
        <v>0.55000000000000004</v>
      </c>
      <c r="J2970" s="2">
        <f t="shared" si="464"/>
        <v>0.29107274730709598</v>
      </c>
      <c r="K2970" s="2">
        <f t="shared" si="468"/>
        <v>8.1500369245986887E-2</v>
      </c>
      <c r="L2970" s="2">
        <f t="shared" si="469"/>
        <v>0.37257311655308289</v>
      </c>
      <c r="M2970" s="2">
        <f t="shared" si="465"/>
        <v>0.27011550950098512</v>
      </c>
      <c r="N2970" s="2">
        <f t="shared" si="466"/>
        <v>0.13505775475049256</v>
      </c>
      <c r="O2970" s="2">
        <f t="shared" si="467"/>
        <v>0.49566195993430767</v>
      </c>
      <c r="P2970" s="2">
        <v>72.553934999999996</v>
      </c>
      <c r="Q2970" s="2">
        <v>23.037092999999999</v>
      </c>
    </row>
    <row r="2971" spans="1:17" x14ac:dyDescent="0.25">
      <c r="A2971" s="2">
        <v>3157</v>
      </c>
      <c r="B2971" s="2" t="s">
        <v>69</v>
      </c>
      <c r="C2971" s="2">
        <v>3</v>
      </c>
      <c r="D2971" s="2">
        <f t="shared" si="460"/>
        <v>7.62</v>
      </c>
      <c r="E2971" s="2">
        <f t="shared" si="461"/>
        <v>2.4255213327204852</v>
      </c>
      <c r="F2971" s="2">
        <f t="shared" si="462"/>
        <v>0.95492965855137202</v>
      </c>
      <c r="G2971" s="2">
        <v>6.3683920000000001</v>
      </c>
      <c r="H2971" s="2">
        <f t="shared" si="463"/>
        <v>20.893675209280001</v>
      </c>
      <c r="I2971" s="2">
        <f>INDEX('Wood Density Lookup'!$B$2:$B$152,MATCH(B2971,'Wood Density Lookup'!$A$2:$A$152,0))</f>
        <v>0.55000000000000004</v>
      </c>
      <c r="J2971" s="2">
        <f t="shared" si="464"/>
        <v>1.2896791386861493</v>
      </c>
      <c r="K2971" s="2">
        <f t="shared" si="468"/>
        <v>0.36111015883212183</v>
      </c>
      <c r="L2971" s="2">
        <f t="shared" si="469"/>
        <v>1.650789297518271</v>
      </c>
      <c r="M2971" s="2">
        <f t="shared" si="465"/>
        <v>1.1968222407007465</v>
      </c>
      <c r="N2971" s="2">
        <f t="shared" si="466"/>
        <v>0.59841112035037325</v>
      </c>
      <c r="O2971" s="2">
        <f t="shared" si="467"/>
        <v>2.1961688116858697</v>
      </c>
      <c r="P2971" s="2">
        <v>72.553935999999993</v>
      </c>
      <c r="Q2971" s="2">
        <v>23.037081000000001</v>
      </c>
    </row>
    <row r="2972" spans="1:17" x14ac:dyDescent="0.25">
      <c r="A2972" s="2">
        <v>3158</v>
      </c>
      <c r="B2972" s="2" t="s">
        <v>69</v>
      </c>
      <c r="C2972" s="2">
        <v>2</v>
      </c>
      <c r="D2972" s="2">
        <f t="shared" si="460"/>
        <v>5.08</v>
      </c>
      <c r="E2972" s="2">
        <f t="shared" si="461"/>
        <v>1.6170142218136567</v>
      </c>
      <c r="F2972" s="2">
        <f t="shared" si="462"/>
        <v>0.63661977236758138</v>
      </c>
      <c r="G2972" s="2">
        <v>1.6073740000000001</v>
      </c>
      <c r="H2972" s="2">
        <f t="shared" si="463"/>
        <v>5.2735369141600001</v>
      </c>
      <c r="I2972" s="2">
        <f>INDEX('Wood Density Lookup'!$B$2:$B$152,MATCH(B2972,'Wood Density Lookup'!$A$2:$A$152,0))</f>
        <v>0.55000000000000004</v>
      </c>
      <c r="J2972" s="2">
        <f t="shared" si="464"/>
        <v>0.15247147324182753</v>
      </c>
      <c r="K2972" s="2">
        <f t="shared" si="468"/>
        <v>4.2692012507711714E-2</v>
      </c>
      <c r="L2972" s="2">
        <f t="shared" si="469"/>
        <v>0.19516348574953923</v>
      </c>
      <c r="M2972" s="2">
        <f t="shared" si="465"/>
        <v>0.14149352716841593</v>
      </c>
      <c r="N2972" s="2">
        <f t="shared" si="466"/>
        <v>7.0746763584207964E-2</v>
      </c>
      <c r="O2972" s="2">
        <f t="shared" si="467"/>
        <v>0.25964062235404323</v>
      </c>
      <c r="P2972" s="2">
        <v>72.553937000000005</v>
      </c>
      <c r="Q2972" s="2">
        <v>23.03707</v>
      </c>
    </row>
    <row r="2973" spans="1:17" x14ac:dyDescent="0.25">
      <c r="A2973" s="2">
        <v>3159</v>
      </c>
      <c r="B2973" s="2" t="s">
        <v>61</v>
      </c>
      <c r="C2973" s="2">
        <v>3</v>
      </c>
      <c r="D2973" s="2">
        <f t="shared" si="460"/>
        <v>7.62</v>
      </c>
      <c r="E2973" s="2">
        <f t="shared" si="461"/>
        <v>2.4255213327204852</v>
      </c>
      <c r="F2973" s="2">
        <f t="shared" si="462"/>
        <v>0.95492965855137202</v>
      </c>
      <c r="G2973" s="2">
        <v>7.0243659999999997</v>
      </c>
      <c r="H2973" s="2">
        <f t="shared" si="463"/>
        <v>23.045820947439999</v>
      </c>
      <c r="I2973" s="2">
        <f>INDEX('Wood Density Lookup'!$B$2:$B$152,MATCH(B2973,'Wood Density Lookup'!$A$2:$A$152,0))</f>
        <v>0.5</v>
      </c>
      <c r="J2973" s="2">
        <f t="shared" si="464"/>
        <v>1.2931172404273557</v>
      </c>
      <c r="K2973" s="2">
        <f t="shared" si="468"/>
        <v>0.36207282731965962</v>
      </c>
      <c r="L2973" s="2">
        <f t="shared" si="469"/>
        <v>1.6551900677470153</v>
      </c>
      <c r="M2973" s="2">
        <f t="shared" si="465"/>
        <v>1.2000127991165861</v>
      </c>
      <c r="N2973" s="2">
        <f t="shared" si="466"/>
        <v>0.60000639955829305</v>
      </c>
      <c r="O2973" s="2">
        <f t="shared" si="467"/>
        <v>2.2020234863789354</v>
      </c>
      <c r="P2973" s="2">
        <v>72.553938000000002</v>
      </c>
      <c r="Q2973" s="2">
        <v>23.037120000000002</v>
      </c>
    </row>
    <row r="2974" spans="1:17" x14ac:dyDescent="0.25">
      <c r="A2974" s="2">
        <v>3160</v>
      </c>
      <c r="B2974" s="2" t="s">
        <v>93</v>
      </c>
      <c r="C2974" s="2">
        <v>13</v>
      </c>
      <c r="D2974" s="2">
        <f t="shared" si="460"/>
        <v>33.020000000000003</v>
      </c>
      <c r="E2974" s="2">
        <f t="shared" si="461"/>
        <v>10.51059244178877</v>
      </c>
      <c r="F2974" s="2">
        <f t="shared" si="462"/>
        <v>4.1380285203892786</v>
      </c>
      <c r="G2974" s="2">
        <v>13.742273000000001</v>
      </c>
      <c r="H2974" s="2">
        <f t="shared" si="463"/>
        <v>45.08619894932</v>
      </c>
      <c r="I2974" s="2">
        <f>INDEX('Wood Density Lookup'!$B$2:$B$152,MATCH(B2974,'Wood Density Lookup'!$A$2:$A$152,0))</f>
        <v>0.9</v>
      </c>
      <c r="J2974" s="2">
        <f t="shared" si="464"/>
        <v>77.324515346110289</v>
      </c>
      <c r="K2974" s="2">
        <f t="shared" si="468"/>
        <v>21.650864296910882</v>
      </c>
      <c r="L2974" s="2">
        <f t="shared" si="469"/>
        <v>98.975379643021171</v>
      </c>
      <c r="M2974" s="2">
        <f t="shared" si="465"/>
        <v>71.757150241190345</v>
      </c>
      <c r="N2974" s="2">
        <f t="shared" si="466"/>
        <v>35.878575120595173</v>
      </c>
      <c r="O2974" s="2">
        <f t="shared" si="467"/>
        <v>131.67437069258429</v>
      </c>
      <c r="P2974" s="2">
        <v>72.553939</v>
      </c>
      <c r="Q2974" s="2">
        <v>23.036798999999998</v>
      </c>
    </row>
    <row r="2975" spans="1:17" x14ac:dyDescent="0.25">
      <c r="A2975" s="2">
        <v>3161</v>
      </c>
      <c r="B2975" s="2" t="s">
        <v>61</v>
      </c>
      <c r="C2975" s="2">
        <v>4</v>
      </c>
      <c r="D2975" s="2">
        <f t="shared" si="460"/>
        <v>10.16</v>
      </c>
      <c r="E2975" s="2">
        <f t="shared" si="461"/>
        <v>3.2340284436273135</v>
      </c>
      <c r="F2975" s="2">
        <f t="shared" si="462"/>
        <v>1.2732395447351628</v>
      </c>
      <c r="G2975" s="2">
        <v>2.2482850000000001</v>
      </c>
      <c r="H2975" s="2">
        <f t="shared" si="463"/>
        <v>7.3762633594000002</v>
      </c>
      <c r="I2975" s="2">
        <f>INDEX('Wood Density Lookup'!$B$2:$B$152,MATCH(B2975,'Wood Density Lookup'!$A$2:$A$152,0))</f>
        <v>0.5</v>
      </c>
      <c r="J2975" s="2">
        <f t="shared" si="464"/>
        <v>0.7458245678422778</v>
      </c>
      <c r="K2975" s="2">
        <f t="shared" si="468"/>
        <v>0.2088308789958378</v>
      </c>
      <c r="L2975" s="2">
        <f t="shared" si="469"/>
        <v>0.95465544683811565</v>
      </c>
      <c r="M2975" s="2">
        <f t="shared" si="465"/>
        <v>0.6921251989576338</v>
      </c>
      <c r="N2975" s="2">
        <f t="shared" si="466"/>
        <v>0.3460625994788169</v>
      </c>
      <c r="O2975" s="2">
        <f t="shared" si="467"/>
        <v>1.2700497400872579</v>
      </c>
      <c r="P2975" s="2">
        <v>72.553943000000004</v>
      </c>
      <c r="Q2975" s="2">
        <v>23.037109000000001</v>
      </c>
    </row>
    <row r="2976" spans="1:17" x14ac:dyDescent="0.25">
      <c r="A2976" s="2">
        <v>3162</v>
      </c>
      <c r="B2976" s="2" t="s">
        <v>69</v>
      </c>
      <c r="C2976" s="2">
        <v>2</v>
      </c>
      <c r="D2976" s="2">
        <f t="shared" si="460"/>
        <v>5.08</v>
      </c>
      <c r="E2976" s="2">
        <f t="shared" si="461"/>
        <v>1.6170142218136567</v>
      </c>
      <c r="F2976" s="2">
        <f t="shared" si="462"/>
        <v>0.63661977236758138</v>
      </c>
      <c r="G2976" s="2">
        <v>4.9200710000000001</v>
      </c>
      <c r="H2976" s="2">
        <f t="shared" si="463"/>
        <v>16.14196573964</v>
      </c>
      <c r="I2976" s="2">
        <f>INDEX('Wood Density Lookup'!$B$2:$B$152,MATCH(B2976,'Wood Density Lookup'!$A$2:$A$152,0))</f>
        <v>0.55000000000000004</v>
      </c>
      <c r="J2976" s="2">
        <f t="shared" si="464"/>
        <v>0.45434161888348784</v>
      </c>
      <c r="K2976" s="2">
        <f t="shared" si="468"/>
        <v>0.12721565328737661</v>
      </c>
      <c r="L2976" s="2">
        <f t="shared" si="469"/>
        <v>0.58155727217086439</v>
      </c>
      <c r="M2976" s="2">
        <f t="shared" si="465"/>
        <v>0.42162902232387667</v>
      </c>
      <c r="N2976" s="2">
        <f t="shared" si="466"/>
        <v>0.21081451116193833</v>
      </c>
      <c r="O2976" s="2">
        <f t="shared" si="467"/>
        <v>0.7736892559643137</v>
      </c>
      <c r="P2976" s="2">
        <v>72.553944000000001</v>
      </c>
      <c r="Q2976" s="2">
        <v>23.037092999999999</v>
      </c>
    </row>
    <row r="2977" spans="1:17" x14ac:dyDescent="0.25">
      <c r="A2977" s="2">
        <v>3163</v>
      </c>
      <c r="B2977" s="2" t="s">
        <v>145</v>
      </c>
      <c r="C2977" s="2">
        <v>7</v>
      </c>
      <c r="D2977" s="2">
        <f t="shared" si="460"/>
        <v>17.78</v>
      </c>
      <c r="E2977" s="2">
        <f t="shared" si="461"/>
        <v>5.6595497763477987</v>
      </c>
      <c r="F2977" s="2">
        <f t="shared" si="462"/>
        <v>2.228169203286535</v>
      </c>
      <c r="G2977" s="2">
        <v>4.4249400000000003</v>
      </c>
      <c r="H2977" s="2">
        <f t="shared" si="463"/>
        <v>14.517520149600001</v>
      </c>
      <c r="I2977" s="2">
        <f>INDEX('Wood Density Lookup'!$B$2:$B$152,MATCH(B2977,'Wood Density Lookup'!$A$2:$A$152,0))</f>
        <v>0.55000000000000004</v>
      </c>
      <c r="J2977" s="2">
        <f t="shared" si="464"/>
        <v>4.7254687513938798</v>
      </c>
      <c r="K2977" s="2">
        <f t="shared" si="468"/>
        <v>1.3231312503902866</v>
      </c>
      <c r="L2977" s="2">
        <f t="shared" si="469"/>
        <v>6.0486000017841661</v>
      </c>
      <c r="M2977" s="2">
        <f t="shared" si="465"/>
        <v>4.3852350012935206</v>
      </c>
      <c r="N2977" s="2">
        <f t="shared" si="466"/>
        <v>2.1926175006467603</v>
      </c>
      <c r="O2977" s="2">
        <f t="shared" si="467"/>
        <v>8.0469062273736096</v>
      </c>
      <c r="P2977" s="2">
        <v>72.553946999999994</v>
      </c>
      <c r="Q2977" s="2">
        <v>23.038226999999999</v>
      </c>
    </row>
    <row r="2978" spans="1:17" x14ac:dyDescent="0.25">
      <c r="A2978" s="2">
        <v>3164</v>
      </c>
      <c r="B2978" s="2" t="s">
        <v>93</v>
      </c>
      <c r="C2978" s="2">
        <v>4</v>
      </c>
      <c r="D2978" s="2">
        <f t="shared" si="460"/>
        <v>10.16</v>
      </c>
      <c r="E2978" s="2">
        <f t="shared" si="461"/>
        <v>3.2340284436273135</v>
      </c>
      <c r="F2978" s="2">
        <f t="shared" si="462"/>
        <v>1.2732395447351628</v>
      </c>
      <c r="G2978" s="2">
        <v>2.1343619999999999</v>
      </c>
      <c r="H2978" s="2">
        <f t="shared" si="463"/>
        <v>7.0025002240799994</v>
      </c>
      <c r="I2978" s="2">
        <f>INDEX('Wood Density Lookup'!$B$2:$B$152,MATCH(B2978,'Wood Density Lookup'!$A$2:$A$152,0))</f>
        <v>0.9</v>
      </c>
      <c r="J2978" s="2">
        <f t="shared" si="464"/>
        <v>1.2581759114418132</v>
      </c>
      <c r="K2978" s="2">
        <f t="shared" si="468"/>
        <v>0.35228925520370774</v>
      </c>
      <c r="L2978" s="2">
        <f t="shared" si="469"/>
        <v>1.610465166645521</v>
      </c>
      <c r="M2978" s="2">
        <f t="shared" si="465"/>
        <v>1.1675872458180028</v>
      </c>
      <c r="N2978" s="2">
        <f t="shared" si="466"/>
        <v>0.58379362290900139</v>
      </c>
      <c r="O2978" s="2">
        <f t="shared" si="467"/>
        <v>2.1425225960760352</v>
      </c>
      <c r="P2978" s="2">
        <v>72.553946999999994</v>
      </c>
      <c r="Q2978" s="2">
        <v>23.038184999999999</v>
      </c>
    </row>
    <row r="2979" spans="1:17" x14ac:dyDescent="0.25">
      <c r="A2979" s="2">
        <v>3165</v>
      </c>
      <c r="B2979" s="2" t="s">
        <v>61</v>
      </c>
      <c r="C2979" s="2">
        <v>2</v>
      </c>
      <c r="D2979" s="2">
        <f t="shared" si="460"/>
        <v>5.08</v>
      </c>
      <c r="E2979" s="2">
        <f t="shared" si="461"/>
        <v>1.6170142218136567</v>
      </c>
      <c r="F2979" s="2">
        <f t="shared" si="462"/>
        <v>0.63661977236758138</v>
      </c>
      <c r="G2979" s="2">
        <v>8.5639710000000004</v>
      </c>
      <c r="H2979" s="2">
        <f t="shared" si="463"/>
        <v>28.09701861564</v>
      </c>
      <c r="I2979" s="2">
        <f>INDEX('Wood Density Lookup'!$B$2:$B$152,MATCH(B2979,'Wood Density Lookup'!$A$2:$A$152,0))</f>
        <v>0.5</v>
      </c>
      <c r="J2979" s="2">
        <f t="shared" si="464"/>
        <v>0.71106644811251629</v>
      </c>
      <c r="K2979" s="2">
        <f t="shared" si="468"/>
        <v>0.19909860547150457</v>
      </c>
      <c r="L2979" s="2">
        <f t="shared" si="469"/>
        <v>0.91016505358402089</v>
      </c>
      <c r="M2979" s="2">
        <f t="shared" si="465"/>
        <v>0.65986966384841517</v>
      </c>
      <c r="N2979" s="2">
        <f t="shared" si="466"/>
        <v>0.32993483192420758</v>
      </c>
      <c r="O2979" s="2">
        <f t="shared" si="467"/>
        <v>1.2108608331618418</v>
      </c>
      <c r="P2979" s="2">
        <v>72.55395</v>
      </c>
      <c r="Q2979" s="2">
        <v>23.037127000000002</v>
      </c>
    </row>
    <row r="2980" spans="1:17" x14ac:dyDescent="0.25">
      <c r="A2980" s="2">
        <v>3166</v>
      </c>
      <c r="B2980" s="2" t="s">
        <v>120</v>
      </c>
      <c r="C2980" s="2">
        <v>9</v>
      </c>
      <c r="D2980" s="2">
        <f t="shared" si="460"/>
        <v>22.86</v>
      </c>
      <c r="E2980" s="2">
        <f t="shared" si="461"/>
        <v>7.2765639981614552</v>
      </c>
      <c r="F2980" s="2">
        <f t="shared" si="462"/>
        <v>2.8647889756541161</v>
      </c>
      <c r="G2980" s="2">
        <v>6.9130320000000003</v>
      </c>
      <c r="H2980" s="2">
        <f t="shared" si="463"/>
        <v>22.680551906880002</v>
      </c>
      <c r="I2980" s="2">
        <f>INDEX('Wood Density Lookup'!$B$2:$B$152,MATCH(B2980,'Wood Density Lookup'!$A$2:$A$152,0))</f>
        <v>0.8</v>
      </c>
      <c r="J2980" s="2">
        <f t="shared" si="464"/>
        <v>17.196008649521229</v>
      </c>
      <c r="K2980" s="2">
        <f t="shared" si="468"/>
        <v>4.8148824218659447</v>
      </c>
      <c r="L2980" s="2">
        <f t="shared" si="469"/>
        <v>22.010891071387174</v>
      </c>
      <c r="M2980" s="2">
        <f t="shared" si="465"/>
        <v>15.957896026755702</v>
      </c>
      <c r="N2980" s="2">
        <f t="shared" si="466"/>
        <v>7.9789480133778508</v>
      </c>
      <c r="O2980" s="2">
        <f t="shared" si="467"/>
        <v>29.282739209096711</v>
      </c>
      <c r="P2980" s="2">
        <v>72.553956999999997</v>
      </c>
      <c r="Q2980" s="2">
        <v>23.037103999999999</v>
      </c>
    </row>
    <row r="2981" spans="1:17" x14ac:dyDescent="0.25">
      <c r="A2981" s="2">
        <v>3167</v>
      </c>
      <c r="B2981" s="2" t="s">
        <v>109</v>
      </c>
      <c r="C2981" s="2">
        <v>31</v>
      </c>
      <c r="D2981" s="2">
        <f t="shared" si="460"/>
        <v>78.739999999999995</v>
      </c>
      <c r="E2981" s="2">
        <f t="shared" si="461"/>
        <v>25.063720438111677</v>
      </c>
      <c r="F2981" s="2">
        <f t="shared" si="462"/>
        <v>9.8676064716975116</v>
      </c>
      <c r="G2981" s="2">
        <v>14.656929</v>
      </c>
      <c r="H2981" s="2">
        <f t="shared" si="463"/>
        <v>48.087038940359996</v>
      </c>
      <c r="I2981" s="2">
        <f>INDEX('Wood Density Lookup'!$B$2:$B$152,MATCH(B2981,'Wood Density Lookup'!$A$2:$A$152,0))</f>
        <v>0.7</v>
      </c>
      <c r="J2981" s="2">
        <f t="shared" si="464"/>
        <v>351.41928714675674</v>
      </c>
      <c r="K2981" s="2">
        <f t="shared" si="468"/>
        <v>98.3974004010919</v>
      </c>
      <c r="L2981" s="2">
        <f t="shared" si="469"/>
        <v>449.81668754784863</v>
      </c>
      <c r="M2981" s="2">
        <f t="shared" si="465"/>
        <v>326.11709847219026</v>
      </c>
      <c r="N2981" s="2">
        <f t="shared" si="466"/>
        <v>163.05854923609513</v>
      </c>
      <c r="O2981" s="2">
        <f t="shared" si="467"/>
        <v>598.42487569646914</v>
      </c>
      <c r="P2981" s="2">
        <v>72.553957999999994</v>
      </c>
      <c r="Q2981" s="2">
        <v>23.037272999999999</v>
      </c>
    </row>
    <row r="2982" spans="1:17" x14ac:dyDescent="0.25">
      <c r="A2982" s="2">
        <v>3168</v>
      </c>
      <c r="B2982" s="2" t="s">
        <v>61</v>
      </c>
      <c r="C2982" s="2">
        <v>3</v>
      </c>
      <c r="D2982" s="2">
        <f t="shared" si="460"/>
        <v>7.62</v>
      </c>
      <c r="E2982" s="2">
        <f t="shared" si="461"/>
        <v>2.4255213327204852</v>
      </c>
      <c r="F2982" s="2">
        <f t="shared" si="462"/>
        <v>0.95492965855137202</v>
      </c>
      <c r="G2982" s="2">
        <v>8.1310289999999998</v>
      </c>
      <c r="H2982" s="2">
        <f t="shared" si="463"/>
        <v>26.67660518436</v>
      </c>
      <c r="I2982" s="2">
        <f>INDEX('Wood Density Lookup'!$B$2:$B$152,MATCH(B2982,'Wood Density Lookup'!$A$2:$A$152,0))</f>
        <v>0.5</v>
      </c>
      <c r="J2982" s="2">
        <f t="shared" si="464"/>
        <v>1.4915965108500542</v>
      </c>
      <c r="K2982" s="2">
        <f t="shared" si="468"/>
        <v>0.41764702303801521</v>
      </c>
      <c r="L2982" s="2">
        <f t="shared" si="469"/>
        <v>1.9092435338880693</v>
      </c>
      <c r="M2982" s="2">
        <f t="shared" si="465"/>
        <v>1.3842015620688501</v>
      </c>
      <c r="N2982" s="2">
        <f t="shared" si="466"/>
        <v>0.69210078103442507</v>
      </c>
      <c r="O2982" s="2">
        <f t="shared" si="467"/>
        <v>2.54000986639634</v>
      </c>
      <c r="P2982" s="2">
        <v>72.553960000000004</v>
      </c>
      <c r="Q2982" s="2">
        <v>23.037113000000002</v>
      </c>
    </row>
    <row r="2983" spans="1:17" x14ac:dyDescent="0.25">
      <c r="A2983" s="2">
        <v>3169</v>
      </c>
      <c r="B2983" s="2" t="s">
        <v>61</v>
      </c>
      <c r="C2983" s="2">
        <v>2</v>
      </c>
      <c r="D2983" s="2">
        <f t="shared" si="460"/>
        <v>5.08</v>
      </c>
      <c r="E2983" s="2">
        <f t="shared" si="461"/>
        <v>1.6170142218136567</v>
      </c>
      <c r="F2983" s="2">
        <f t="shared" si="462"/>
        <v>0.63661977236758138</v>
      </c>
      <c r="G2983" s="2">
        <v>5.9243550000000003</v>
      </c>
      <c r="H2983" s="2">
        <f t="shared" si="463"/>
        <v>19.436860858199999</v>
      </c>
      <c r="I2983" s="2">
        <f>INDEX('Wood Density Lookup'!$B$2:$B$152,MATCH(B2983,'Wood Density Lookup'!$A$2:$A$152,0))</f>
        <v>0.5</v>
      </c>
      <c r="J2983" s="2">
        <f t="shared" si="464"/>
        <v>0.49626870824172775</v>
      </c>
      <c r="K2983" s="2">
        <f t="shared" si="468"/>
        <v>0.13895523830768378</v>
      </c>
      <c r="L2983" s="2">
        <f t="shared" si="469"/>
        <v>0.6352239465494115</v>
      </c>
      <c r="M2983" s="2">
        <f t="shared" si="465"/>
        <v>0.46053736124832334</v>
      </c>
      <c r="N2983" s="2">
        <f t="shared" si="466"/>
        <v>0.23026868062416167</v>
      </c>
      <c r="O2983" s="2">
        <f t="shared" si="467"/>
        <v>0.84508605789067326</v>
      </c>
      <c r="P2983" s="2">
        <v>72.553961000000001</v>
      </c>
      <c r="Q2983" s="2">
        <v>23.037130999999999</v>
      </c>
    </row>
    <row r="2984" spans="1:17" x14ac:dyDescent="0.25">
      <c r="A2984" s="2">
        <v>3170</v>
      </c>
      <c r="B2984" s="2" t="s">
        <v>3</v>
      </c>
      <c r="C2984" s="2">
        <v>9</v>
      </c>
      <c r="D2984" s="2">
        <f t="shared" si="460"/>
        <v>22.86</v>
      </c>
      <c r="E2984" s="2">
        <f t="shared" si="461"/>
        <v>7.2765639981614552</v>
      </c>
      <c r="F2984" s="2">
        <f t="shared" si="462"/>
        <v>2.8647889756541161</v>
      </c>
      <c r="G2984" s="2">
        <v>4.7886360000000003</v>
      </c>
      <c r="H2984" s="2">
        <f t="shared" si="463"/>
        <v>15.71074853424</v>
      </c>
      <c r="I2984" s="2">
        <f>INDEX('Wood Density Lookup'!$B$2:$B$152,MATCH(B2984,'Wood Density Lookup'!$A$2:$A$152,0))</f>
        <v>0.62</v>
      </c>
      <c r="J2984" s="2">
        <f t="shared" si="464"/>
        <v>9.370361313633536</v>
      </c>
      <c r="K2984" s="2">
        <f t="shared" si="468"/>
        <v>2.6237011678173903</v>
      </c>
      <c r="L2984" s="2">
        <f t="shared" si="469"/>
        <v>11.994062481450927</v>
      </c>
      <c r="M2984" s="2">
        <f t="shared" si="465"/>
        <v>8.6956952990519216</v>
      </c>
      <c r="N2984" s="2">
        <f t="shared" si="466"/>
        <v>4.3478476495259608</v>
      </c>
      <c r="O2984" s="2">
        <f t="shared" si="467"/>
        <v>15.956600873760276</v>
      </c>
      <c r="P2984" s="2">
        <v>72.553961999999999</v>
      </c>
      <c r="Q2984" s="2">
        <v>23.038713999999999</v>
      </c>
    </row>
    <row r="2985" spans="1:17" x14ac:dyDescent="0.25">
      <c r="A2985" s="2">
        <v>3171</v>
      </c>
      <c r="B2985" s="2" t="s">
        <v>145</v>
      </c>
      <c r="C2985" s="2">
        <v>29</v>
      </c>
      <c r="D2985" s="2">
        <f t="shared" si="460"/>
        <v>73.66</v>
      </c>
      <c r="E2985" s="2">
        <f t="shared" si="461"/>
        <v>23.446706216298022</v>
      </c>
      <c r="F2985" s="2">
        <f t="shared" si="462"/>
        <v>9.2309866993299305</v>
      </c>
      <c r="G2985" s="2">
        <v>8.3244749999999996</v>
      </c>
      <c r="H2985" s="2">
        <f t="shared" si="463"/>
        <v>27.311270558999997</v>
      </c>
      <c r="I2985" s="2">
        <f>INDEX('Wood Density Lookup'!$B$2:$B$152,MATCH(B2985,'Wood Density Lookup'!$A$2:$A$152,0))</f>
        <v>0.55000000000000004</v>
      </c>
      <c r="J2985" s="2">
        <f t="shared" si="464"/>
        <v>140.37090286655473</v>
      </c>
      <c r="K2985" s="2">
        <f t="shared" si="468"/>
        <v>39.303852802635326</v>
      </c>
      <c r="L2985" s="2">
        <f t="shared" si="469"/>
        <v>179.67475566919006</v>
      </c>
      <c r="M2985" s="2">
        <f t="shared" si="465"/>
        <v>130.2641978601628</v>
      </c>
      <c r="N2985" s="2">
        <f t="shared" si="466"/>
        <v>65.132098930081398</v>
      </c>
      <c r="O2985" s="2">
        <f t="shared" si="467"/>
        <v>239.03480307339873</v>
      </c>
      <c r="P2985" s="2">
        <v>72.553967</v>
      </c>
      <c r="Q2985" s="2">
        <v>23.037206999999999</v>
      </c>
    </row>
    <row r="2986" spans="1:17" x14ac:dyDescent="0.25">
      <c r="A2986" s="2">
        <v>3172</v>
      </c>
      <c r="B2986" s="2" t="s">
        <v>107</v>
      </c>
      <c r="C2986" s="2">
        <v>12</v>
      </c>
      <c r="D2986" s="2">
        <f t="shared" si="460"/>
        <v>30.48</v>
      </c>
      <c r="E2986" s="2">
        <f t="shared" si="461"/>
        <v>9.7020853308819408</v>
      </c>
      <c r="F2986" s="2">
        <f t="shared" si="462"/>
        <v>3.8197186342054881</v>
      </c>
      <c r="G2986" s="2">
        <v>2.5680000000000001</v>
      </c>
      <c r="H2986" s="2">
        <f t="shared" si="463"/>
        <v>8.42519712</v>
      </c>
      <c r="I2986" s="2">
        <f>INDEX('Wood Density Lookup'!$B$2:$B$152,MATCH(B2986,'Wood Density Lookup'!$A$2:$A$152,0))</f>
        <v>0.65</v>
      </c>
      <c r="J2986" s="2">
        <f t="shared" si="464"/>
        <v>9.3657787659703029</v>
      </c>
      <c r="K2986" s="2">
        <f t="shared" si="468"/>
        <v>2.6224180544716851</v>
      </c>
      <c r="L2986" s="2">
        <f t="shared" si="469"/>
        <v>11.988196820441988</v>
      </c>
      <c r="M2986" s="2">
        <f t="shared" si="465"/>
        <v>8.6914426948204415</v>
      </c>
      <c r="N2986" s="2">
        <f t="shared" si="466"/>
        <v>4.3457213474102208</v>
      </c>
      <c r="O2986" s="2">
        <f t="shared" si="467"/>
        <v>15.94879734499551</v>
      </c>
      <c r="P2986" s="2">
        <v>72.553972000000002</v>
      </c>
      <c r="Q2986" s="2">
        <v>23.038141</v>
      </c>
    </row>
    <row r="2987" spans="1:17" x14ac:dyDescent="0.25">
      <c r="A2987" s="2">
        <v>3173</v>
      </c>
      <c r="B2987" s="2" t="s">
        <v>54</v>
      </c>
      <c r="C2987" s="2">
        <v>22</v>
      </c>
      <c r="D2987" s="2">
        <f t="shared" si="460"/>
        <v>55.88</v>
      </c>
      <c r="E2987" s="2">
        <f t="shared" si="461"/>
        <v>17.787156439950223</v>
      </c>
      <c r="F2987" s="2">
        <f t="shared" si="462"/>
        <v>7.0028174960433951</v>
      </c>
      <c r="G2987" s="2">
        <v>2.7464759999999999</v>
      </c>
      <c r="H2987" s="2">
        <f t="shared" si="463"/>
        <v>9.0107483198399994</v>
      </c>
      <c r="I2987" s="2">
        <f>INDEX('Wood Density Lookup'!$B$2:$B$152,MATCH(B2987,'Wood Density Lookup'!$A$2:$A$152,0))</f>
        <v>0.3</v>
      </c>
      <c r="J2987" s="2">
        <f t="shared" si="464"/>
        <v>15.351065828658635</v>
      </c>
      <c r="K2987" s="2">
        <f t="shared" si="468"/>
        <v>4.298298432024418</v>
      </c>
      <c r="L2987" s="2">
        <f t="shared" si="469"/>
        <v>19.649364260683054</v>
      </c>
      <c r="M2987" s="2">
        <f t="shared" si="465"/>
        <v>14.245789088995213</v>
      </c>
      <c r="N2987" s="2">
        <f t="shared" si="466"/>
        <v>7.1228945444976066</v>
      </c>
      <c r="O2987" s="2">
        <f t="shared" si="467"/>
        <v>26.141022978306214</v>
      </c>
      <c r="P2987" s="2">
        <v>72.553972999999999</v>
      </c>
      <c r="Q2987" s="2">
        <v>23.038184000000001</v>
      </c>
    </row>
    <row r="2988" spans="1:17" x14ac:dyDescent="0.25">
      <c r="A2988" s="2">
        <v>3174</v>
      </c>
      <c r="B2988" s="2" t="s">
        <v>54</v>
      </c>
      <c r="C2988" s="2">
        <v>9</v>
      </c>
      <c r="D2988" s="2">
        <f t="shared" si="460"/>
        <v>22.86</v>
      </c>
      <c r="E2988" s="2">
        <f t="shared" si="461"/>
        <v>7.2765639981614552</v>
      </c>
      <c r="F2988" s="2">
        <f t="shared" si="462"/>
        <v>2.8647889756541161</v>
      </c>
      <c r="G2988" s="2">
        <v>1.109327</v>
      </c>
      <c r="H2988" s="2">
        <f t="shared" si="463"/>
        <v>3.63952439468</v>
      </c>
      <c r="I2988" s="2">
        <f>INDEX('Wood Density Lookup'!$B$2:$B$152,MATCH(B2988,'Wood Density Lookup'!$A$2:$A$152,0))</f>
        <v>0.3</v>
      </c>
      <c r="J2988" s="2">
        <f t="shared" si="464"/>
        <v>1.1069902710738579</v>
      </c>
      <c r="K2988" s="2">
        <f t="shared" si="468"/>
        <v>0.30995727590068023</v>
      </c>
      <c r="L2988" s="2">
        <f t="shared" si="469"/>
        <v>1.4169475469745381</v>
      </c>
      <c r="M2988" s="2">
        <f t="shared" si="465"/>
        <v>1.02728697155654</v>
      </c>
      <c r="N2988" s="2">
        <f t="shared" si="466"/>
        <v>0.51364348577827001</v>
      </c>
      <c r="O2988" s="2">
        <f t="shared" si="467"/>
        <v>1.8850715928062509</v>
      </c>
      <c r="P2988" s="2">
        <v>72.553972999999999</v>
      </c>
      <c r="Q2988" s="2">
        <v>23.038011999999998</v>
      </c>
    </row>
    <row r="2989" spans="1:17" x14ac:dyDescent="0.25">
      <c r="A2989" s="2">
        <v>3175</v>
      </c>
      <c r="B2989" s="2" t="s">
        <v>59</v>
      </c>
      <c r="C2989" s="2">
        <v>4</v>
      </c>
      <c r="D2989" s="2">
        <f t="shared" si="460"/>
        <v>10.16</v>
      </c>
      <c r="E2989" s="2">
        <f t="shared" si="461"/>
        <v>3.2340284436273135</v>
      </c>
      <c r="F2989" s="2">
        <f t="shared" si="462"/>
        <v>1.2732395447351628</v>
      </c>
      <c r="G2989" s="2">
        <v>1.0224819999999999</v>
      </c>
      <c r="H2989" s="2">
        <f t="shared" si="463"/>
        <v>3.3545998448799996</v>
      </c>
      <c r="I2989" s="2">
        <f>INDEX('Wood Density Lookup'!$B$2:$B$152,MATCH(B2989,'Wood Density Lookup'!$A$2:$A$152,0))</f>
        <v>0.45</v>
      </c>
      <c r="J2989" s="2">
        <f t="shared" si="464"/>
        <v>0.31188492192665684</v>
      </c>
      <c r="K2989" s="2">
        <f t="shared" si="468"/>
        <v>8.7327778139463921E-2</v>
      </c>
      <c r="L2989" s="2">
        <f t="shared" si="469"/>
        <v>0.39921270006612075</v>
      </c>
      <c r="M2989" s="2">
        <f t="shared" si="465"/>
        <v>0.28942920754793755</v>
      </c>
      <c r="N2989" s="2">
        <f t="shared" si="466"/>
        <v>0.14471460377396878</v>
      </c>
      <c r="O2989" s="2">
        <f t="shared" si="467"/>
        <v>0.53110259585046538</v>
      </c>
      <c r="P2989" s="2">
        <v>72.553972999999999</v>
      </c>
      <c r="Q2989" s="2">
        <v>23.037991999999999</v>
      </c>
    </row>
    <row r="2990" spans="1:17" x14ac:dyDescent="0.25">
      <c r="A2990" s="2">
        <v>3176</v>
      </c>
      <c r="B2990" s="2" t="s">
        <v>116</v>
      </c>
      <c r="C2990" s="2">
        <v>79</v>
      </c>
      <c r="D2990" s="2">
        <f t="shared" si="460"/>
        <v>200.66</v>
      </c>
      <c r="E2990" s="2">
        <f t="shared" si="461"/>
        <v>63.872061761639436</v>
      </c>
      <c r="F2990" s="2">
        <f t="shared" si="462"/>
        <v>25.146481008519466</v>
      </c>
      <c r="G2990" s="2">
        <v>12.77399</v>
      </c>
      <c r="H2990" s="2">
        <f t="shared" si="463"/>
        <v>41.909417351599998</v>
      </c>
      <c r="I2990" s="2">
        <f>INDEX('Wood Density Lookup'!$B$2:$B$152,MATCH(B2990,'Wood Density Lookup'!$A$2:$A$152,0))</f>
        <v>0.85</v>
      </c>
      <c r="J2990" s="2">
        <f t="shared" si="464"/>
        <v>2306.0547571332177</v>
      </c>
      <c r="K2990" s="2">
        <f t="shared" si="468"/>
        <v>645.69533199730097</v>
      </c>
      <c r="L2990" s="2">
        <f t="shared" si="469"/>
        <v>2951.7500891305185</v>
      </c>
      <c r="M2990" s="2">
        <f t="shared" si="465"/>
        <v>2140.018814619626</v>
      </c>
      <c r="N2990" s="2">
        <f t="shared" si="466"/>
        <v>1070.009407309813</v>
      </c>
      <c r="O2990" s="2">
        <f t="shared" si="467"/>
        <v>3926.9345248270138</v>
      </c>
      <c r="P2990" s="2">
        <v>72.553978000000001</v>
      </c>
      <c r="Q2990" s="2">
        <v>23.036639999999998</v>
      </c>
    </row>
    <row r="2991" spans="1:17" x14ac:dyDescent="0.25">
      <c r="A2991" s="2">
        <v>3177</v>
      </c>
      <c r="B2991" s="2" t="s">
        <v>105</v>
      </c>
      <c r="C2991" s="2">
        <v>35</v>
      </c>
      <c r="D2991" s="2">
        <f t="shared" si="460"/>
        <v>88.9</v>
      </c>
      <c r="E2991" s="2">
        <f t="shared" si="461"/>
        <v>28.297748881738993</v>
      </c>
      <c r="F2991" s="2">
        <f t="shared" si="462"/>
        <v>11.140846016432674</v>
      </c>
      <c r="G2991" s="2">
        <v>8.9361630000000005</v>
      </c>
      <c r="H2991" s="2">
        <f t="shared" si="463"/>
        <v>29.318121016920003</v>
      </c>
      <c r="I2991" s="2">
        <f>INDEX('Wood Density Lookup'!$B$2:$B$152,MATCH(B2991,'Wood Density Lookup'!$A$2:$A$152,0))</f>
        <v>0.65</v>
      </c>
      <c r="J2991" s="2">
        <f t="shared" si="464"/>
        <v>255.60046653321601</v>
      </c>
      <c r="K2991" s="2">
        <f t="shared" si="468"/>
        <v>71.568130629300484</v>
      </c>
      <c r="L2991" s="2">
        <f t="shared" si="469"/>
        <v>327.16859716251651</v>
      </c>
      <c r="M2991" s="2">
        <f t="shared" si="465"/>
        <v>237.19723294282446</v>
      </c>
      <c r="N2991" s="2">
        <f t="shared" si="466"/>
        <v>118.59861647141223</v>
      </c>
      <c r="O2991" s="2">
        <f t="shared" si="467"/>
        <v>435.25692245008287</v>
      </c>
      <c r="P2991" s="2">
        <v>72.553978999999998</v>
      </c>
      <c r="Q2991" s="2">
        <v>23.038229999999999</v>
      </c>
    </row>
    <row r="2992" spans="1:17" x14ac:dyDescent="0.25">
      <c r="A2992" s="2">
        <v>3178</v>
      </c>
      <c r="B2992" s="2" t="s">
        <v>91</v>
      </c>
      <c r="C2992" s="2">
        <v>29</v>
      </c>
      <c r="D2992" s="2">
        <f t="shared" si="460"/>
        <v>73.66</v>
      </c>
      <c r="E2992" s="2">
        <f t="shared" si="461"/>
        <v>23.446706216298022</v>
      </c>
      <c r="F2992" s="2">
        <f t="shared" si="462"/>
        <v>9.2309866993299305</v>
      </c>
      <c r="G2992" s="2">
        <v>10.282211999999999</v>
      </c>
      <c r="H2992" s="2">
        <f t="shared" si="463"/>
        <v>33.734292418079995</v>
      </c>
      <c r="I2992" s="2">
        <f>INDEX('Wood Density Lookup'!$B$2:$B$152,MATCH(B2992,'Wood Density Lookup'!$A$2:$A$152,0))</f>
        <v>0.5</v>
      </c>
      <c r="J2992" s="2">
        <f t="shared" si="464"/>
        <v>157.18316174223656</v>
      </c>
      <c r="K2992" s="2">
        <f t="shared" si="468"/>
        <v>44.01128528782624</v>
      </c>
      <c r="L2992" s="2">
        <f t="shared" si="469"/>
        <v>201.1944470300628</v>
      </c>
      <c r="M2992" s="2">
        <f t="shared" si="465"/>
        <v>145.86597409679553</v>
      </c>
      <c r="N2992" s="2">
        <f t="shared" si="466"/>
        <v>72.932987048397763</v>
      </c>
      <c r="O2992" s="2">
        <f t="shared" si="467"/>
        <v>267.66406246761977</v>
      </c>
      <c r="P2992" s="2">
        <v>72.553979999999996</v>
      </c>
      <c r="Q2992" s="2">
        <v>23.038091999999999</v>
      </c>
    </row>
    <row r="2993" spans="1:17" x14ac:dyDescent="0.25">
      <c r="A2993" s="2">
        <v>3179</v>
      </c>
      <c r="B2993" s="2" t="s">
        <v>78</v>
      </c>
      <c r="C2993" s="2">
        <v>17</v>
      </c>
      <c r="D2993" s="2">
        <f t="shared" si="460"/>
        <v>43.18</v>
      </c>
      <c r="E2993" s="2">
        <f t="shared" si="461"/>
        <v>13.744620885416081</v>
      </c>
      <c r="F2993" s="2">
        <f t="shared" si="462"/>
        <v>5.4112680651244416</v>
      </c>
      <c r="G2993" s="2">
        <v>5.3537290000000004</v>
      </c>
      <c r="H2993" s="2">
        <f t="shared" si="463"/>
        <v>17.564728252360002</v>
      </c>
      <c r="I2993" s="2">
        <f>INDEX('Wood Density Lookup'!$B$2:$B$152,MATCH(B2993,'Wood Density Lookup'!$A$2:$A$152,0))</f>
        <v>0.55000000000000004</v>
      </c>
      <c r="J2993" s="2">
        <f t="shared" si="464"/>
        <v>32.167168774301246</v>
      </c>
      <c r="K2993" s="2">
        <f t="shared" si="468"/>
        <v>9.0068072568043505</v>
      </c>
      <c r="L2993" s="2">
        <f t="shared" si="469"/>
        <v>41.173976031105596</v>
      </c>
      <c r="M2993" s="2">
        <f t="shared" si="465"/>
        <v>29.851132622551557</v>
      </c>
      <c r="N2993" s="2">
        <f t="shared" si="466"/>
        <v>14.925566311275778</v>
      </c>
      <c r="O2993" s="2">
        <f t="shared" si="467"/>
        <v>54.776828362382105</v>
      </c>
      <c r="P2993" s="2">
        <v>72.553979999999996</v>
      </c>
      <c r="Q2993" s="2">
        <v>23.038053999999999</v>
      </c>
    </row>
    <row r="2994" spans="1:17" x14ac:dyDescent="0.25">
      <c r="A2994" s="2">
        <v>3180</v>
      </c>
      <c r="B2994" s="2" t="s">
        <v>111</v>
      </c>
      <c r="C2994" s="2">
        <v>4</v>
      </c>
      <c r="D2994" s="2">
        <f t="shared" si="460"/>
        <v>10.16</v>
      </c>
      <c r="E2994" s="2">
        <f t="shared" si="461"/>
        <v>3.2340284436273135</v>
      </c>
      <c r="F2994" s="2">
        <f t="shared" si="462"/>
        <v>1.2732395447351628</v>
      </c>
      <c r="G2994" s="2">
        <v>2.0894460000000001</v>
      </c>
      <c r="H2994" s="2">
        <f t="shared" si="463"/>
        <v>6.8551380146400005</v>
      </c>
      <c r="I2994" s="2">
        <f>INDEX('Wood Density Lookup'!$B$2:$B$152,MATCH(B2994,'Wood Density Lookup'!$A$2:$A$152,0))</f>
        <v>0.4</v>
      </c>
      <c r="J2994" s="2">
        <f t="shared" si="464"/>
        <v>0.55846503328827712</v>
      </c>
      <c r="K2994" s="2">
        <f t="shared" si="468"/>
        <v>0.1563702093207176</v>
      </c>
      <c r="L2994" s="2">
        <f t="shared" si="469"/>
        <v>0.71483524260899478</v>
      </c>
      <c r="M2994" s="2">
        <f t="shared" si="465"/>
        <v>0.5182555508915212</v>
      </c>
      <c r="N2994" s="2">
        <f t="shared" si="466"/>
        <v>0.2591277754457606</v>
      </c>
      <c r="O2994" s="2">
        <f t="shared" si="467"/>
        <v>0.95099893588594142</v>
      </c>
      <c r="P2994" s="2">
        <v>72.553979999999996</v>
      </c>
      <c r="Q2994" s="2">
        <v>23.037936999999999</v>
      </c>
    </row>
    <row r="2995" spans="1:17" x14ac:dyDescent="0.25">
      <c r="A2995" s="2">
        <v>3181</v>
      </c>
      <c r="B2995" s="2" t="s">
        <v>114</v>
      </c>
      <c r="C2995" s="2">
        <v>28</v>
      </c>
      <c r="D2995" s="2">
        <f t="shared" si="460"/>
        <v>71.12</v>
      </c>
      <c r="E2995" s="2">
        <f t="shared" si="461"/>
        <v>22.638199105391195</v>
      </c>
      <c r="F2995" s="2">
        <f t="shared" si="462"/>
        <v>8.91267681314614</v>
      </c>
      <c r="G2995" s="2">
        <v>14.294561</v>
      </c>
      <c r="H2995" s="2">
        <f t="shared" si="463"/>
        <v>46.898167511239997</v>
      </c>
      <c r="I2995" s="2">
        <f>INDEX('Wood Density Lookup'!$B$2:$B$152,MATCH(B2995,'Wood Density Lookup'!$A$2:$A$152,0))</f>
        <v>0.55000000000000004</v>
      </c>
      <c r="J2995" s="2">
        <f t="shared" si="464"/>
        <v>222.18109982277824</v>
      </c>
      <c r="K2995" s="2">
        <f t="shared" si="468"/>
        <v>62.210707950377909</v>
      </c>
      <c r="L2995" s="2">
        <f t="shared" si="469"/>
        <v>284.39180777315613</v>
      </c>
      <c r="M2995" s="2">
        <f t="shared" si="465"/>
        <v>206.1840606355382</v>
      </c>
      <c r="N2995" s="2">
        <f t="shared" si="466"/>
        <v>103.0920303177691</v>
      </c>
      <c r="O2995" s="2">
        <f t="shared" si="467"/>
        <v>378.34775126621258</v>
      </c>
      <c r="P2995" s="2">
        <v>72.553984</v>
      </c>
      <c r="Q2995" s="2">
        <v>23.037424999999999</v>
      </c>
    </row>
    <row r="2996" spans="1:17" x14ac:dyDescent="0.25">
      <c r="A2996" s="2">
        <v>3182</v>
      </c>
      <c r="B2996" s="2" t="s">
        <v>15</v>
      </c>
      <c r="C2996" s="2">
        <v>22</v>
      </c>
      <c r="D2996" s="2">
        <f t="shared" si="460"/>
        <v>55.88</v>
      </c>
      <c r="E2996" s="2">
        <f t="shared" si="461"/>
        <v>17.787156439950223</v>
      </c>
      <c r="F2996" s="2">
        <f t="shared" si="462"/>
        <v>7.0028174960433951</v>
      </c>
      <c r="G2996" s="2">
        <v>13.772035000000001</v>
      </c>
      <c r="H2996" s="2">
        <f t="shared" si="463"/>
        <v>45.183843309400004</v>
      </c>
      <c r="I2996" s="2">
        <f>INDEX('Wood Density Lookup'!$B$2:$B$152,MATCH(B2996,'Wood Density Lookup'!$A$2:$A$152,0))</f>
        <v>0.75</v>
      </c>
      <c r="J2996" s="2">
        <f t="shared" si="464"/>
        <v>181.11105337589566</v>
      </c>
      <c r="K2996" s="2">
        <f t="shared" si="468"/>
        <v>50.711094945250792</v>
      </c>
      <c r="L2996" s="2">
        <f t="shared" si="469"/>
        <v>231.82214832114647</v>
      </c>
      <c r="M2996" s="2">
        <f t="shared" si="465"/>
        <v>168.07105753283119</v>
      </c>
      <c r="N2996" s="2">
        <f t="shared" si="466"/>
        <v>84.035528766415595</v>
      </c>
      <c r="O2996" s="2">
        <f t="shared" si="467"/>
        <v>308.4103905727452</v>
      </c>
      <c r="P2996" s="2">
        <v>72.553984</v>
      </c>
      <c r="Q2996" s="2">
        <v>23.037016000000001</v>
      </c>
    </row>
    <row r="2997" spans="1:17" x14ac:dyDescent="0.25">
      <c r="A2997" s="2">
        <v>3183</v>
      </c>
      <c r="B2997" s="2" t="s">
        <v>61</v>
      </c>
      <c r="C2997" s="2">
        <v>13</v>
      </c>
      <c r="D2997" s="2">
        <f t="shared" si="460"/>
        <v>33.020000000000003</v>
      </c>
      <c r="E2997" s="2">
        <f t="shared" si="461"/>
        <v>10.51059244178877</v>
      </c>
      <c r="F2997" s="2">
        <f t="shared" si="462"/>
        <v>4.1380285203892786</v>
      </c>
      <c r="G2997" s="2">
        <v>7.8805110000000003</v>
      </c>
      <c r="H2997" s="2">
        <f t="shared" si="463"/>
        <v>25.854695709240001</v>
      </c>
      <c r="I2997" s="2">
        <f>INDEX('Wood Density Lookup'!$B$2:$B$152,MATCH(B2997,'Wood Density Lookup'!$A$2:$A$152,0))</f>
        <v>0.5</v>
      </c>
      <c r="J2997" s="2">
        <f t="shared" si="464"/>
        <v>25.319967854249562</v>
      </c>
      <c r="K2997" s="2">
        <f t="shared" si="468"/>
        <v>7.0895909991898778</v>
      </c>
      <c r="L2997" s="2">
        <f t="shared" si="469"/>
        <v>32.409558853439442</v>
      </c>
      <c r="M2997" s="2">
        <f t="shared" si="465"/>
        <v>23.496930168743596</v>
      </c>
      <c r="N2997" s="2">
        <f t="shared" si="466"/>
        <v>11.748465084371798</v>
      </c>
      <c r="O2997" s="2">
        <f t="shared" si="467"/>
        <v>43.116866859644496</v>
      </c>
      <c r="P2997" s="2">
        <v>72.553984</v>
      </c>
      <c r="Q2997" s="2">
        <v>23.037074</v>
      </c>
    </row>
    <row r="2998" spans="1:17" x14ac:dyDescent="0.25">
      <c r="A2998" s="2">
        <v>3184</v>
      </c>
      <c r="B2998" s="2" t="s">
        <v>50</v>
      </c>
      <c r="C2998" s="2">
        <v>9</v>
      </c>
      <c r="D2998" s="2">
        <f t="shared" si="460"/>
        <v>22.86</v>
      </c>
      <c r="E2998" s="2">
        <f t="shared" si="461"/>
        <v>7.2765639981614552</v>
      </c>
      <c r="F2998" s="2">
        <f t="shared" si="462"/>
        <v>2.8647889756541161</v>
      </c>
      <c r="G2998" s="2">
        <v>1.1048720000000001</v>
      </c>
      <c r="H2998" s="2">
        <f t="shared" si="463"/>
        <v>3.62490825248</v>
      </c>
      <c r="I2998" s="2">
        <f>INDEX('Wood Density Lookup'!$B$2:$B$152,MATCH(B2998,'Wood Density Lookup'!$A$2:$A$152,0))</f>
        <v>0.5</v>
      </c>
      <c r="J2998" s="2">
        <f t="shared" si="464"/>
        <v>1.8153589500104892</v>
      </c>
      <c r="K2998" s="2">
        <f t="shared" si="468"/>
        <v>0.50830050600293697</v>
      </c>
      <c r="L2998" s="2">
        <f t="shared" si="469"/>
        <v>2.3236594560134263</v>
      </c>
      <c r="M2998" s="2">
        <f t="shared" si="465"/>
        <v>1.684653105609734</v>
      </c>
      <c r="N2998" s="2">
        <f t="shared" si="466"/>
        <v>0.84232655280486701</v>
      </c>
      <c r="O2998" s="2">
        <f t="shared" si="467"/>
        <v>3.091338448793862</v>
      </c>
      <c r="P2998" s="2">
        <v>72.553984999999997</v>
      </c>
      <c r="Q2998" s="2">
        <v>23.0379</v>
      </c>
    </row>
    <row r="2999" spans="1:17" x14ac:dyDescent="0.25">
      <c r="A2999" s="2">
        <v>3185</v>
      </c>
      <c r="B2999" s="2" t="s">
        <v>111</v>
      </c>
      <c r="C2999" s="2">
        <v>3</v>
      </c>
      <c r="D2999" s="2">
        <f t="shared" si="460"/>
        <v>7.62</v>
      </c>
      <c r="E2999" s="2">
        <f t="shared" si="461"/>
        <v>2.4255213327204852</v>
      </c>
      <c r="F2999" s="2">
        <f t="shared" si="462"/>
        <v>0.95492965855137202</v>
      </c>
      <c r="G2999" s="2">
        <v>1.0974520000000001</v>
      </c>
      <c r="H2999" s="2">
        <f t="shared" si="463"/>
        <v>3.6005644196800004</v>
      </c>
      <c r="I2999" s="2">
        <f>INDEX('Wood Density Lookup'!$B$2:$B$152,MATCH(B2999,'Wood Density Lookup'!$A$2:$A$152,0))</f>
        <v>0.4</v>
      </c>
      <c r="J2999" s="2">
        <f t="shared" si="464"/>
        <v>0.16989533329895382</v>
      </c>
      <c r="K2999" s="2">
        <f t="shared" si="468"/>
        <v>4.7570693323707072E-2</v>
      </c>
      <c r="L2999" s="2">
        <f t="shared" si="469"/>
        <v>0.2174660266226609</v>
      </c>
      <c r="M2999" s="2">
        <f t="shared" si="465"/>
        <v>0.15766286930142914</v>
      </c>
      <c r="N2999" s="2">
        <f t="shared" si="466"/>
        <v>7.8831434650714571E-2</v>
      </c>
      <c r="O2999" s="2">
        <f t="shared" si="467"/>
        <v>0.28931136516812245</v>
      </c>
      <c r="P2999" s="2">
        <v>72.553987000000006</v>
      </c>
      <c r="Q2999" s="2">
        <v>23.037859000000001</v>
      </c>
    </row>
    <row r="3000" spans="1:17" x14ac:dyDescent="0.25">
      <c r="A3000" s="2">
        <v>3186</v>
      </c>
      <c r="B3000" s="2" t="s">
        <v>61</v>
      </c>
      <c r="C3000" s="2">
        <v>72</v>
      </c>
      <c r="D3000" s="2">
        <f t="shared" si="460"/>
        <v>182.88</v>
      </c>
      <c r="E3000" s="2">
        <f t="shared" si="461"/>
        <v>58.212511985291641</v>
      </c>
      <c r="F3000" s="2">
        <f t="shared" si="462"/>
        <v>22.918311805232928</v>
      </c>
      <c r="G3000" s="2">
        <v>13.489174999999999</v>
      </c>
      <c r="H3000" s="2">
        <f t="shared" si="463"/>
        <v>44.255824906999997</v>
      </c>
      <c r="I3000" s="2">
        <f>INDEX('Wood Density Lookup'!$B$2:$B$152,MATCH(B3000,'Wood Density Lookup'!$A$2:$A$152,0))</f>
        <v>0.5</v>
      </c>
      <c r="J3000" s="2">
        <f t="shared" si="464"/>
        <v>1208.8917797469612</v>
      </c>
      <c r="K3000" s="2">
        <f t="shared" si="468"/>
        <v>338.48969832914918</v>
      </c>
      <c r="L3000" s="2">
        <f t="shared" si="469"/>
        <v>1547.3814780761104</v>
      </c>
      <c r="M3000" s="2">
        <f t="shared" si="465"/>
        <v>1121.85157160518</v>
      </c>
      <c r="N3000" s="2">
        <f t="shared" si="466"/>
        <v>560.92578580258998</v>
      </c>
      <c r="O3000" s="2">
        <f t="shared" si="467"/>
        <v>2058.5976338955052</v>
      </c>
      <c r="P3000" s="2">
        <v>72.553988000000004</v>
      </c>
      <c r="Q3000" s="2">
        <v>23.03678</v>
      </c>
    </row>
    <row r="3001" spans="1:17" x14ac:dyDescent="0.25">
      <c r="A3001" s="2">
        <v>3187</v>
      </c>
      <c r="B3001" s="2" t="s">
        <v>15</v>
      </c>
      <c r="C3001" s="2">
        <v>5</v>
      </c>
      <c r="D3001" s="2">
        <f t="shared" si="460"/>
        <v>12.7</v>
      </c>
      <c r="E3001" s="2">
        <f t="shared" si="461"/>
        <v>4.0425355545341413</v>
      </c>
      <c r="F3001" s="2">
        <f t="shared" si="462"/>
        <v>1.5915494309189535</v>
      </c>
      <c r="G3001" s="2">
        <v>7.5961629999999998</v>
      </c>
      <c r="H3001" s="2">
        <f t="shared" si="463"/>
        <v>24.921795416919998</v>
      </c>
      <c r="I3001" s="2">
        <f>INDEX('Wood Density Lookup'!$B$2:$B$152,MATCH(B3001,'Wood Density Lookup'!$A$2:$A$152,0))</f>
        <v>0.75</v>
      </c>
      <c r="J3001" s="2">
        <f t="shared" si="464"/>
        <v>5.6198300451367338</v>
      </c>
      <c r="K3001" s="2">
        <f t="shared" si="468"/>
        <v>1.5735524126382856</v>
      </c>
      <c r="L3001" s="2">
        <f t="shared" si="469"/>
        <v>7.1933824577750194</v>
      </c>
      <c r="M3001" s="2">
        <f t="shared" si="465"/>
        <v>5.2152022818868886</v>
      </c>
      <c r="N3001" s="2">
        <f t="shared" si="466"/>
        <v>2.6076011409434443</v>
      </c>
      <c r="O3001" s="2">
        <f t="shared" si="467"/>
        <v>9.5698961872624402</v>
      </c>
      <c r="P3001" s="2">
        <v>72.553989000000001</v>
      </c>
      <c r="Q3001" s="2">
        <v>23.038228</v>
      </c>
    </row>
    <row r="3002" spans="1:17" x14ac:dyDescent="0.25">
      <c r="A3002" s="2">
        <v>3188</v>
      </c>
      <c r="B3002" s="2" t="s">
        <v>78</v>
      </c>
      <c r="C3002" s="2">
        <v>15</v>
      </c>
      <c r="D3002" s="2">
        <f t="shared" si="460"/>
        <v>38.1</v>
      </c>
      <c r="E3002" s="2">
        <f t="shared" si="461"/>
        <v>12.127606663602425</v>
      </c>
      <c r="F3002" s="2">
        <f t="shared" si="462"/>
        <v>4.7746482927568605</v>
      </c>
      <c r="G3002" s="2">
        <v>4.75631</v>
      </c>
      <c r="H3002" s="2">
        <f t="shared" si="463"/>
        <v>15.604692100399999</v>
      </c>
      <c r="I3002" s="2">
        <f>INDEX('Wood Density Lookup'!$B$2:$B$152,MATCH(B3002,'Wood Density Lookup'!$A$2:$A$152,0))</f>
        <v>0.55000000000000004</v>
      </c>
      <c r="J3002" s="2">
        <f t="shared" si="464"/>
        <v>22.446762899303074</v>
      </c>
      <c r="K3002" s="2">
        <f t="shared" si="468"/>
        <v>6.2850936118048617</v>
      </c>
      <c r="L3002" s="2">
        <f t="shared" si="469"/>
        <v>28.731856511107935</v>
      </c>
      <c r="M3002" s="2">
        <f t="shared" si="465"/>
        <v>20.830595970553251</v>
      </c>
      <c r="N3002" s="2">
        <f t="shared" si="466"/>
        <v>10.415297985276625</v>
      </c>
      <c r="O3002" s="2">
        <f t="shared" si="467"/>
        <v>38.224143605965217</v>
      </c>
      <c r="P3002" s="2">
        <v>72.553996999999995</v>
      </c>
      <c r="Q3002" s="2">
        <v>23.037824000000001</v>
      </c>
    </row>
    <row r="3003" spans="1:17" x14ac:dyDescent="0.25">
      <c r="A3003" s="2">
        <v>3189</v>
      </c>
      <c r="B3003" s="2" t="s">
        <v>15</v>
      </c>
      <c r="C3003" s="2">
        <v>46</v>
      </c>
      <c r="D3003" s="2">
        <f t="shared" si="460"/>
        <v>116.84</v>
      </c>
      <c r="E3003" s="2">
        <f t="shared" si="461"/>
        <v>37.191327101714101</v>
      </c>
      <c r="F3003" s="2">
        <f t="shared" si="462"/>
        <v>14.642254764454371</v>
      </c>
      <c r="G3003" s="2">
        <v>16.709330999999999</v>
      </c>
      <c r="H3003" s="2">
        <f t="shared" si="463"/>
        <v>54.820641518039999</v>
      </c>
      <c r="I3003" s="2">
        <f>INDEX('Wood Density Lookup'!$B$2:$B$152,MATCH(B3003,'Wood Density Lookup'!$A$2:$A$152,0))</f>
        <v>0.75</v>
      </c>
      <c r="J3003" s="2">
        <f t="shared" si="464"/>
        <v>922.96461835046489</v>
      </c>
      <c r="K3003" s="2">
        <f t="shared" si="468"/>
        <v>258.43009313813019</v>
      </c>
      <c r="L3003" s="2">
        <f t="shared" si="469"/>
        <v>1181.394711488595</v>
      </c>
      <c r="M3003" s="2">
        <f t="shared" si="465"/>
        <v>856.51116582923135</v>
      </c>
      <c r="N3003" s="2">
        <f t="shared" si="466"/>
        <v>428.25558291461567</v>
      </c>
      <c r="O3003" s="2">
        <f t="shared" si="467"/>
        <v>1571.6979892966394</v>
      </c>
      <c r="P3003" s="2">
        <v>72.554006000000001</v>
      </c>
      <c r="Q3003" s="2">
        <v>23.036950999999998</v>
      </c>
    </row>
    <row r="3004" spans="1:17" x14ac:dyDescent="0.25">
      <c r="A3004" s="2">
        <v>3190</v>
      </c>
      <c r="B3004" s="2" t="s">
        <v>15</v>
      </c>
      <c r="C3004" s="2">
        <v>24</v>
      </c>
      <c r="D3004" s="2">
        <f t="shared" si="460"/>
        <v>60.96</v>
      </c>
      <c r="E3004" s="2">
        <f t="shared" si="461"/>
        <v>19.404170661763882</v>
      </c>
      <c r="F3004" s="2">
        <f t="shared" si="462"/>
        <v>7.6394372684109761</v>
      </c>
      <c r="G3004" s="2">
        <v>10.668075</v>
      </c>
      <c r="H3004" s="2">
        <f t="shared" si="463"/>
        <v>35.000247182999999</v>
      </c>
      <c r="I3004" s="2">
        <f>INDEX('Wood Density Lookup'!$B$2:$B$152,MATCH(B3004,'Wood Density Lookup'!$A$2:$A$152,0))</f>
        <v>0.75</v>
      </c>
      <c r="J3004" s="2">
        <f t="shared" si="464"/>
        <v>167.28540775701569</v>
      </c>
      <c r="K3004" s="2">
        <f t="shared" si="468"/>
        <v>46.839914171964395</v>
      </c>
      <c r="L3004" s="2">
        <f t="shared" si="469"/>
        <v>214.1253219289801</v>
      </c>
      <c r="M3004" s="2">
        <f t="shared" si="465"/>
        <v>155.24085839851057</v>
      </c>
      <c r="N3004" s="2">
        <f t="shared" si="466"/>
        <v>77.620429199255284</v>
      </c>
      <c r="O3004" s="2">
        <f t="shared" si="467"/>
        <v>284.86697516126691</v>
      </c>
      <c r="P3004" s="2">
        <v>72.554017000000002</v>
      </c>
      <c r="Q3004" s="2">
        <v>23.037015</v>
      </c>
    </row>
    <row r="3005" spans="1:17" x14ac:dyDescent="0.25">
      <c r="A3005" s="2">
        <v>3191</v>
      </c>
      <c r="B3005" s="2" t="s">
        <v>15</v>
      </c>
      <c r="C3005" s="2">
        <v>37</v>
      </c>
      <c r="D3005" s="2">
        <f t="shared" si="460"/>
        <v>93.98</v>
      </c>
      <c r="E3005" s="2">
        <f t="shared" si="461"/>
        <v>29.914763103552648</v>
      </c>
      <c r="F3005" s="2">
        <f t="shared" si="462"/>
        <v>11.777465788800255</v>
      </c>
      <c r="G3005" s="2">
        <v>7.2168109999999999</v>
      </c>
      <c r="H3005" s="2">
        <f t="shared" si="463"/>
        <v>23.67720220124</v>
      </c>
      <c r="I3005" s="2">
        <f>INDEX('Wood Density Lookup'!$B$2:$B$152,MATCH(B3005,'Wood Density Lookup'!$A$2:$A$152,0))</f>
        <v>0.75</v>
      </c>
      <c r="J3005" s="2">
        <f t="shared" si="464"/>
        <v>265.91848622011571</v>
      </c>
      <c r="K3005" s="2">
        <f t="shared" si="468"/>
        <v>74.457176141632402</v>
      </c>
      <c r="L3005" s="2">
        <f t="shared" si="469"/>
        <v>340.37566236174814</v>
      </c>
      <c r="M3005" s="2">
        <f t="shared" si="465"/>
        <v>246.7723552122674</v>
      </c>
      <c r="N3005" s="2">
        <f t="shared" si="466"/>
        <v>123.3861776061337</v>
      </c>
      <c r="O3005" s="2">
        <f t="shared" si="467"/>
        <v>452.82727181451065</v>
      </c>
      <c r="P3005" s="2">
        <v>72.554017999999999</v>
      </c>
      <c r="Q3005" s="2">
        <v>23.038765000000001</v>
      </c>
    </row>
    <row r="3006" spans="1:17" x14ac:dyDescent="0.25">
      <c r="A3006" s="2">
        <v>3192</v>
      </c>
      <c r="B3006" s="2" t="s">
        <v>59</v>
      </c>
      <c r="C3006" s="2">
        <v>19</v>
      </c>
      <c r="D3006" s="2">
        <f t="shared" si="460"/>
        <v>48.26</v>
      </c>
      <c r="E3006" s="2">
        <f t="shared" si="461"/>
        <v>15.361635107229738</v>
      </c>
      <c r="F3006" s="2">
        <f t="shared" si="462"/>
        <v>6.0478878374920226</v>
      </c>
      <c r="G3006" s="2">
        <v>5.1568610000000001</v>
      </c>
      <c r="H3006" s="2">
        <f t="shared" si="463"/>
        <v>16.91883584324</v>
      </c>
      <c r="I3006" s="2">
        <f>INDEX('Wood Density Lookup'!$B$2:$B$152,MATCH(B3006,'Wood Density Lookup'!$A$2:$A$152,0))</f>
        <v>0.45</v>
      </c>
      <c r="J3006" s="2">
        <f t="shared" si="464"/>
        <v>31.678495334739996</v>
      </c>
      <c r="K3006" s="2">
        <f t="shared" si="468"/>
        <v>8.8699786937271998</v>
      </c>
      <c r="L3006" s="2">
        <f t="shared" si="469"/>
        <v>40.548474028467197</v>
      </c>
      <c r="M3006" s="2">
        <f t="shared" si="465"/>
        <v>29.397643670638718</v>
      </c>
      <c r="N3006" s="2">
        <f t="shared" si="466"/>
        <v>14.698821835319359</v>
      </c>
      <c r="O3006" s="2">
        <f t="shared" si="467"/>
        <v>53.944676135622046</v>
      </c>
      <c r="P3006" s="2">
        <v>72.554019999999994</v>
      </c>
      <c r="Q3006" s="2">
        <v>23.037118</v>
      </c>
    </row>
    <row r="3007" spans="1:17" x14ac:dyDescent="0.25">
      <c r="A3007" s="2">
        <v>3193</v>
      </c>
      <c r="B3007" s="2" t="s">
        <v>11</v>
      </c>
      <c r="C3007" s="2">
        <v>9</v>
      </c>
      <c r="D3007" s="2">
        <f t="shared" si="460"/>
        <v>22.86</v>
      </c>
      <c r="E3007" s="2">
        <f t="shared" si="461"/>
        <v>7.2765639981614552</v>
      </c>
      <c r="F3007" s="2">
        <f t="shared" si="462"/>
        <v>2.8647889756541161</v>
      </c>
      <c r="G3007" s="2">
        <v>11.085096999999999</v>
      </c>
      <c r="H3007" s="2">
        <f t="shared" si="463"/>
        <v>36.368429641479999</v>
      </c>
      <c r="I3007" s="2">
        <f>INDEX('Wood Density Lookup'!$B$2:$B$152,MATCH(B3007,'Wood Density Lookup'!$A$2:$A$152,0))</f>
        <v>0.45</v>
      </c>
      <c r="J3007" s="2">
        <f t="shared" si="464"/>
        <v>15.548785387739327</v>
      </c>
      <c r="K3007" s="2">
        <f t="shared" si="468"/>
        <v>4.3536599085670122</v>
      </c>
      <c r="L3007" s="2">
        <f t="shared" si="469"/>
        <v>19.90244529630634</v>
      </c>
      <c r="M3007" s="2">
        <f t="shared" si="465"/>
        <v>14.429272839822096</v>
      </c>
      <c r="N3007" s="2">
        <f t="shared" si="466"/>
        <v>7.2146364199110478</v>
      </c>
      <c r="O3007" s="2">
        <f t="shared" si="467"/>
        <v>26.477715661073546</v>
      </c>
      <c r="P3007" s="2">
        <v>72.554032000000007</v>
      </c>
      <c r="Q3007" s="2">
        <v>23.036512999999999</v>
      </c>
    </row>
    <row r="3008" spans="1:17" x14ac:dyDescent="0.25">
      <c r="A3008" s="2">
        <v>3194</v>
      </c>
      <c r="B3008" s="2" t="s">
        <v>115</v>
      </c>
      <c r="C3008" s="2">
        <v>16</v>
      </c>
      <c r="D3008" s="2">
        <f t="shared" si="460"/>
        <v>40.64</v>
      </c>
      <c r="E3008" s="2">
        <f t="shared" si="461"/>
        <v>12.936113774509254</v>
      </c>
      <c r="F3008" s="2">
        <f t="shared" si="462"/>
        <v>5.0929581789406511</v>
      </c>
      <c r="G3008" s="2">
        <v>6.9006020000000001</v>
      </c>
      <c r="H3008" s="2">
        <f t="shared" si="463"/>
        <v>22.639771065680002</v>
      </c>
      <c r="I3008" s="2">
        <f>INDEX('Wood Density Lookup'!$B$2:$B$152,MATCH(B3008,'Wood Density Lookup'!$A$2:$A$152,0))</f>
        <v>0.65</v>
      </c>
      <c r="J3008" s="2">
        <f t="shared" si="464"/>
        <v>43.093648206144806</v>
      </c>
      <c r="K3008" s="2">
        <f t="shared" si="468"/>
        <v>12.066221497720546</v>
      </c>
      <c r="L3008" s="2">
        <f t="shared" si="469"/>
        <v>55.159869703865354</v>
      </c>
      <c r="M3008" s="2">
        <f t="shared" si="465"/>
        <v>39.990905535302382</v>
      </c>
      <c r="N3008" s="2">
        <f t="shared" si="466"/>
        <v>19.995452767651191</v>
      </c>
      <c r="O3008" s="2">
        <f t="shared" si="467"/>
        <v>73.383311657279876</v>
      </c>
      <c r="P3008" s="2">
        <v>72.554034000000001</v>
      </c>
      <c r="Q3008" s="2">
        <v>23.038720000000001</v>
      </c>
    </row>
    <row r="3009" spans="1:17" x14ac:dyDescent="0.25">
      <c r="A3009" s="2">
        <v>3195</v>
      </c>
      <c r="B3009" s="2" t="s">
        <v>10</v>
      </c>
      <c r="C3009" s="2">
        <v>33</v>
      </c>
      <c r="D3009" s="2">
        <f t="shared" ref="D3009:D3072" si="470">C3009*2.54</f>
        <v>83.820000000000007</v>
      </c>
      <c r="E3009" s="2">
        <f t="shared" ref="E3009:E3072" si="471">D3009/PI()</f>
        <v>26.680734659925339</v>
      </c>
      <c r="F3009" s="2">
        <f t="shared" ref="F3009:F3072" si="472">C3009/PI()</f>
        <v>10.504226244065093</v>
      </c>
      <c r="G3009" s="2">
        <v>13.261267999999999</v>
      </c>
      <c r="H3009" s="2">
        <f t="shared" ref="H3009:H3072" si="473">G3009*3.28084</f>
        <v>43.508098505119996</v>
      </c>
      <c r="I3009" s="2">
        <f>INDEX('Wood Density Lookup'!$B$2:$B$152,MATCH(B3009,'Wood Density Lookup'!$A$2:$A$152,0))</f>
        <v>0.65</v>
      </c>
      <c r="J3009" s="2">
        <f t="shared" ref="J3009:J3072" si="474">0.0673*POWER(I3009*E3009^2*G3009,0.976)</f>
        <v>334.96511903477995</v>
      </c>
      <c r="K3009" s="2">
        <f t="shared" si="468"/>
        <v>93.790233329738399</v>
      </c>
      <c r="L3009" s="2">
        <f t="shared" si="469"/>
        <v>428.75535236451833</v>
      </c>
      <c r="M3009" s="2">
        <f t="shared" ref="M3009:M3072" si="475">0.725*L3009</f>
        <v>310.84763046427577</v>
      </c>
      <c r="N3009" s="2">
        <f t="shared" ref="N3009:N3072" si="476">0.5*M3009</f>
        <v>155.42381523213788</v>
      </c>
      <c r="O3009" s="2">
        <f t="shared" ref="O3009:O3072" si="477">3.67*N3009</f>
        <v>570.40540190194599</v>
      </c>
      <c r="P3009" s="2">
        <v>72.554041999999995</v>
      </c>
      <c r="Q3009" s="2">
        <v>23.036536000000002</v>
      </c>
    </row>
    <row r="3010" spans="1:17" x14ac:dyDescent="0.25">
      <c r="A3010" s="2">
        <v>3196</v>
      </c>
      <c r="B3010" s="2" t="s">
        <v>118</v>
      </c>
      <c r="C3010" s="2">
        <v>2</v>
      </c>
      <c r="D3010" s="2">
        <f t="shared" si="470"/>
        <v>5.08</v>
      </c>
      <c r="E3010" s="2">
        <f t="shared" si="471"/>
        <v>1.6170142218136567</v>
      </c>
      <c r="F3010" s="2">
        <f t="shared" si="472"/>
        <v>0.63661977236758138</v>
      </c>
      <c r="G3010" s="2">
        <v>12.255928000000001</v>
      </c>
      <c r="H3010" s="2">
        <f t="shared" si="473"/>
        <v>40.209738819520005</v>
      </c>
      <c r="I3010" s="2">
        <f>INDEX('Wood Density Lookup'!$B$2:$B$152,MATCH(B3010,'Wood Density Lookup'!$A$2:$A$152,0))</f>
        <v>0.7</v>
      </c>
      <c r="J3010" s="2">
        <f t="shared" si="474"/>
        <v>1.4010900802802948</v>
      </c>
      <c r="K3010" s="2">
        <f t="shared" si="468"/>
        <v>0.3923052224784826</v>
      </c>
      <c r="L3010" s="2">
        <f t="shared" si="469"/>
        <v>1.7933953027587775</v>
      </c>
      <c r="M3010" s="2">
        <f t="shared" si="475"/>
        <v>1.3002115945001136</v>
      </c>
      <c r="N3010" s="2">
        <f t="shared" si="476"/>
        <v>0.65010579725005679</v>
      </c>
      <c r="O3010" s="2">
        <f t="shared" si="477"/>
        <v>2.3858882759077082</v>
      </c>
      <c r="P3010" s="2">
        <v>72.554044000000005</v>
      </c>
      <c r="Q3010" s="2">
        <v>23.037389000000001</v>
      </c>
    </row>
    <row r="3011" spans="1:17" x14ac:dyDescent="0.25">
      <c r="A3011" s="2">
        <v>3197</v>
      </c>
      <c r="B3011" s="2" t="s">
        <v>93</v>
      </c>
      <c r="C3011" s="2">
        <v>26</v>
      </c>
      <c r="D3011" s="2">
        <f t="shared" si="470"/>
        <v>66.040000000000006</v>
      </c>
      <c r="E3011" s="2">
        <f t="shared" si="471"/>
        <v>21.02118488357754</v>
      </c>
      <c r="F3011" s="2">
        <f t="shared" si="472"/>
        <v>8.2760570407785572</v>
      </c>
      <c r="G3011" s="2">
        <v>10.838495999999999</v>
      </c>
      <c r="H3011" s="2">
        <f t="shared" si="473"/>
        <v>35.559371216639995</v>
      </c>
      <c r="I3011" s="2">
        <f>INDEX('Wood Density Lookup'!$B$2:$B$152,MATCH(B3011,'Wood Density Lookup'!$A$2:$A$152,0))</f>
        <v>0.9</v>
      </c>
      <c r="J3011" s="2">
        <f t="shared" si="474"/>
        <v>237.30798797758666</v>
      </c>
      <c r="K3011" s="2">
        <f t="shared" ref="K3011:K3074" si="478">0.28*J3011</f>
        <v>66.446236633724268</v>
      </c>
      <c r="L3011" s="2">
        <f t="shared" ref="L3011:L3074" si="479">J3011+K3011</f>
        <v>303.75422461131092</v>
      </c>
      <c r="M3011" s="2">
        <f t="shared" si="475"/>
        <v>220.22181284320041</v>
      </c>
      <c r="N3011" s="2">
        <f t="shared" si="476"/>
        <v>110.11090642160021</v>
      </c>
      <c r="O3011" s="2">
        <f t="shared" si="477"/>
        <v>404.10702656727273</v>
      </c>
      <c r="P3011" s="2">
        <v>72.554046</v>
      </c>
      <c r="Q3011" s="2">
        <v>23.037424000000001</v>
      </c>
    </row>
    <row r="3012" spans="1:17" x14ac:dyDescent="0.25">
      <c r="A3012" s="2">
        <v>3198</v>
      </c>
      <c r="B3012" s="2" t="s">
        <v>43</v>
      </c>
      <c r="C3012" s="2">
        <v>68</v>
      </c>
      <c r="D3012" s="2">
        <f t="shared" si="470"/>
        <v>172.72</v>
      </c>
      <c r="E3012" s="2">
        <f t="shared" si="471"/>
        <v>54.978483541664325</v>
      </c>
      <c r="F3012" s="2">
        <f t="shared" si="472"/>
        <v>21.645072260497766</v>
      </c>
      <c r="G3012" s="2">
        <v>13.319018</v>
      </c>
      <c r="H3012" s="2">
        <f t="shared" si="473"/>
        <v>43.697567015120001</v>
      </c>
      <c r="I3012" s="2">
        <f>INDEX('Wood Density Lookup'!$B$2:$B$152,MATCH(B3012,'Wood Density Lookup'!$A$2:$A$152,0))</f>
        <v>0.6</v>
      </c>
      <c r="J3012" s="2">
        <f t="shared" si="474"/>
        <v>1275.9446006105366</v>
      </c>
      <c r="K3012" s="2">
        <f t="shared" si="478"/>
        <v>357.26448817095024</v>
      </c>
      <c r="L3012" s="2">
        <f t="shared" si="479"/>
        <v>1633.2090887814868</v>
      </c>
      <c r="M3012" s="2">
        <f t="shared" si="475"/>
        <v>1184.076589366578</v>
      </c>
      <c r="N3012" s="2">
        <f t="shared" si="476"/>
        <v>592.038294683289</v>
      </c>
      <c r="O3012" s="2">
        <f t="shared" si="477"/>
        <v>2172.7805414876707</v>
      </c>
      <c r="P3012" s="2">
        <v>72.554046999999997</v>
      </c>
      <c r="Q3012" s="2">
        <v>23.036763000000001</v>
      </c>
    </row>
    <row r="3013" spans="1:17" x14ac:dyDescent="0.25">
      <c r="A3013" s="2">
        <v>3199</v>
      </c>
      <c r="B3013" s="2" t="s">
        <v>37</v>
      </c>
      <c r="C3013" s="2">
        <v>87</v>
      </c>
      <c r="D3013" s="2">
        <f t="shared" si="470"/>
        <v>220.98</v>
      </c>
      <c r="E3013" s="2">
        <f t="shared" si="471"/>
        <v>70.340118648894062</v>
      </c>
      <c r="F3013" s="2">
        <f t="shared" si="472"/>
        <v>27.69296009798979</v>
      </c>
      <c r="G3013" s="2">
        <v>6.6671139999999998</v>
      </c>
      <c r="H3013" s="2">
        <f t="shared" si="473"/>
        <v>21.873734295759999</v>
      </c>
      <c r="I3013" s="2">
        <f>INDEX('Wood Density Lookup'!$B$2:$B$152,MATCH(B3013,'Wood Density Lookup'!$A$2:$A$152,0))</f>
        <v>0.27</v>
      </c>
      <c r="J3013" s="2">
        <f t="shared" si="474"/>
        <v>481.87002818660648</v>
      </c>
      <c r="K3013" s="2">
        <f t="shared" si="478"/>
        <v>134.92360789224983</v>
      </c>
      <c r="L3013" s="2">
        <f t="shared" si="479"/>
        <v>616.79363607885625</v>
      </c>
      <c r="M3013" s="2">
        <f t="shared" si="475"/>
        <v>447.17538615717075</v>
      </c>
      <c r="N3013" s="2">
        <f t="shared" si="476"/>
        <v>223.58769307858537</v>
      </c>
      <c r="O3013" s="2">
        <f t="shared" si="477"/>
        <v>820.56683359840827</v>
      </c>
      <c r="P3013" s="2">
        <v>72.554047999999995</v>
      </c>
      <c r="Q3013" s="2">
        <v>23.036640999999999</v>
      </c>
    </row>
    <row r="3014" spans="1:17" x14ac:dyDescent="0.25">
      <c r="A3014" s="2">
        <v>3200</v>
      </c>
      <c r="B3014" s="2" t="s">
        <v>15</v>
      </c>
      <c r="C3014" s="2">
        <v>47</v>
      </c>
      <c r="D3014" s="2">
        <f t="shared" si="470"/>
        <v>119.38</v>
      </c>
      <c r="E3014" s="2">
        <f t="shared" si="471"/>
        <v>37.999834212620932</v>
      </c>
      <c r="F3014" s="2">
        <f t="shared" si="472"/>
        <v>14.960564650638162</v>
      </c>
      <c r="G3014" s="2">
        <v>15.366759</v>
      </c>
      <c r="H3014" s="2">
        <f t="shared" si="473"/>
        <v>50.415877597559998</v>
      </c>
      <c r="I3014" s="2">
        <f>INDEX('Wood Density Lookup'!$B$2:$B$152,MATCH(B3014,'Wood Density Lookup'!$A$2:$A$152,0))</f>
        <v>0.75</v>
      </c>
      <c r="J3014" s="2">
        <f t="shared" si="474"/>
        <v>886.97840189354508</v>
      </c>
      <c r="K3014" s="2">
        <f t="shared" si="478"/>
        <v>248.35395253019266</v>
      </c>
      <c r="L3014" s="2">
        <f t="shared" si="479"/>
        <v>1135.3323544237378</v>
      </c>
      <c r="M3014" s="2">
        <f t="shared" si="475"/>
        <v>823.11595695720985</v>
      </c>
      <c r="N3014" s="2">
        <f t="shared" si="476"/>
        <v>411.55797847860492</v>
      </c>
      <c r="O3014" s="2">
        <f t="shared" si="477"/>
        <v>1510.4177810164801</v>
      </c>
      <c r="P3014" s="2">
        <v>72.554049000000006</v>
      </c>
      <c r="Q3014" s="2">
        <v>23.036881999999999</v>
      </c>
    </row>
    <row r="3015" spans="1:17" x14ac:dyDescent="0.25">
      <c r="A3015" s="2">
        <v>3201</v>
      </c>
      <c r="B3015" s="2" t="s">
        <v>114</v>
      </c>
      <c r="C3015" s="2">
        <v>25</v>
      </c>
      <c r="D3015" s="2">
        <f t="shared" si="470"/>
        <v>63.5</v>
      </c>
      <c r="E3015" s="2">
        <f t="shared" si="471"/>
        <v>20.212677772670709</v>
      </c>
      <c r="F3015" s="2">
        <f t="shared" si="472"/>
        <v>7.9577471545947667</v>
      </c>
      <c r="G3015" s="2">
        <v>13.086</v>
      </c>
      <c r="H3015" s="2">
        <f t="shared" si="473"/>
        <v>42.933072240000001</v>
      </c>
      <c r="I3015" s="2">
        <f>INDEX('Wood Density Lookup'!$B$2:$B$152,MATCH(B3015,'Wood Density Lookup'!$A$2:$A$152,0))</f>
        <v>0.55000000000000004</v>
      </c>
      <c r="J3015" s="2">
        <f t="shared" si="474"/>
        <v>163.37679021025804</v>
      </c>
      <c r="K3015" s="2">
        <f t="shared" si="478"/>
        <v>45.745501258872252</v>
      </c>
      <c r="L3015" s="2">
        <f t="shared" si="479"/>
        <v>209.12229146913029</v>
      </c>
      <c r="M3015" s="2">
        <f t="shared" si="475"/>
        <v>151.61366131511946</v>
      </c>
      <c r="N3015" s="2">
        <f t="shared" si="476"/>
        <v>75.806830657559729</v>
      </c>
      <c r="O3015" s="2">
        <f t="shared" si="477"/>
        <v>278.21106851324419</v>
      </c>
      <c r="P3015" s="2">
        <v>72.554051999999999</v>
      </c>
      <c r="Q3015" s="2">
        <v>23.036802000000002</v>
      </c>
    </row>
    <row r="3016" spans="1:17" x14ac:dyDescent="0.25">
      <c r="A3016" s="2">
        <v>3202</v>
      </c>
      <c r="B3016" s="2" t="s">
        <v>91</v>
      </c>
      <c r="C3016" s="2">
        <v>18</v>
      </c>
      <c r="D3016" s="2">
        <f t="shared" si="470"/>
        <v>45.72</v>
      </c>
      <c r="E3016" s="2">
        <f t="shared" si="471"/>
        <v>14.55312799632291</v>
      </c>
      <c r="F3016" s="2">
        <f t="shared" si="472"/>
        <v>5.7295779513082321</v>
      </c>
      <c r="G3016" s="2">
        <v>8.6279570000000003</v>
      </c>
      <c r="H3016" s="2">
        <f t="shared" si="473"/>
        <v>28.306946443880001</v>
      </c>
      <c r="I3016" s="2">
        <f>INDEX('Wood Density Lookup'!$B$2:$B$152,MATCH(B3016,'Wood Density Lookup'!$A$2:$A$152,0))</f>
        <v>0.5</v>
      </c>
      <c r="J3016" s="2">
        <f t="shared" si="474"/>
        <v>52.209166802568646</v>
      </c>
      <c r="K3016" s="2">
        <f t="shared" si="478"/>
        <v>14.618566704719223</v>
      </c>
      <c r="L3016" s="2">
        <f t="shared" si="479"/>
        <v>66.827733507287874</v>
      </c>
      <c r="M3016" s="2">
        <f t="shared" si="475"/>
        <v>48.450106792783707</v>
      </c>
      <c r="N3016" s="2">
        <f t="shared" si="476"/>
        <v>24.225053396391854</v>
      </c>
      <c r="O3016" s="2">
        <f t="shared" si="477"/>
        <v>88.905945964758104</v>
      </c>
      <c r="P3016" s="2">
        <v>72.554052999999996</v>
      </c>
      <c r="Q3016" s="2">
        <v>23.038179</v>
      </c>
    </row>
    <row r="3017" spans="1:17" x14ac:dyDescent="0.25">
      <c r="A3017" s="2">
        <v>3203</v>
      </c>
      <c r="B3017" s="2" t="s">
        <v>139</v>
      </c>
      <c r="C3017" s="2">
        <v>4</v>
      </c>
      <c r="D3017" s="2">
        <f t="shared" si="470"/>
        <v>10.16</v>
      </c>
      <c r="E3017" s="2">
        <f t="shared" si="471"/>
        <v>3.2340284436273135</v>
      </c>
      <c r="F3017" s="2">
        <f t="shared" si="472"/>
        <v>1.2732395447351628</v>
      </c>
      <c r="G3017" s="2">
        <v>2.0774029999999999</v>
      </c>
      <c r="H3017" s="2">
        <f t="shared" si="473"/>
        <v>6.8156268585199999</v>
      </c>
      <c r="I3017" s="2">
        <f>INDEX('Wood Density Lookup'!$B$2:$B$152,MATCH(B3017,'Wood Density Lookup'!$A$2:$A$152,0))</f>
        <v>0.9</v>
      </c>
      <c r="J3017" s="2">
        <f t="shared" si="474"/>
        <v>1.225394639570154</v>
      </c>
      <c r="K3017" s="2">
        <f t="shared" si="478"/>
        <v>0.34311049907964314</v>
      </c>
      <c r="L3017" s="2">
        <f t="shared" si="479"/>
        <v>1.5685051386497972</v>
      </c>
      <c r="M3017" s="2">
        <f t="shared" si="475"/>
        <v>1.137166225521103</v>
      </c>
      <c r="N3017" s="2">
        <f t="shared" si="476"/>
        <v>0.56858311276055151</v>
      </c>
      <c r="O3017" s="2">
        <f t="shared" si="477"/>
        <v>2.0867000238312241</v>
      </c>
      <c r="P3017" s="2">
        <v>72.554053999999994</v>
      </c>
      <c r="Q3017" s="2">
        <v>23.038722</v>
      </c>
    </row>
    <row r="3018" spans="1:17" x14ac:dyDescent="0.25">
      <c r="A3018" s="2">
        <v>3204</v>
      </c>
      <c r="B3018" s="2" t="s">
        <v>66</v>
      </c>
      <c r="C3018" s="2">
        <v>3</v>
      </c>
      <c r="D3018" s="2">
        <f t="shared" si="470"/>
        <v>7.62</v>
      </c>
      <c r="E3018" s="2">
        <f t="shared" si="471"/>
        <v>2.4255213327204852</v>
      </c>
      <c r="F3018" s="2">
        <f t="shared" si="472"/>
        <v>0.95492965855137202</v>
      </c>
      <c r="G3018" s="2">
        <v>9.1615529999999996</v>
      </c>
      <c r="H3018" s="2">
        <f t="shared" si="473"/>
        <v>30.057589544519999</v>
      </c>
      <c r="I3018" s="2">
        <f>INDEX('Wood Density Lookup'!$B$2:$B$152,MATCH(B3018,'Wood Density Lookup'!$A$2:$A$152,0))</f>
        <v>0.5</v>
      </c>
      <c r="J3018" s="2">
        <f t="shared" si="474"/>
        <v>1.6758347088244563</v>
      </c>
      <c r="K3018" s="2">
        <f t="shared" si="478"/>
        <v>0.46923371847084783</v>
      </c>
      <c r="L3018" s="2">
        <f t="shared" si="479"/>
        <v>2.1450684272953042</v>
      </c>
      <c r="M3018" s="2">
        <f t="shared" si="475"/>
        <v>1.5551746097890955</v>
      </c>
      <c r="N3018" s="2">
        <f t="shared" si="476"/>
        <v>0.77758730489454775</v>
      </c>
      <c r="O3018" s="2">
        <f t="shared" si="477"/>
        <v>2.8537454089629901</v>
      </c>
      <c r="P3018" s="2">
        <v>72.554057999999998</v>
      </c>
      <c r="Q3018" s="2">
        <v>23.036515999999999</v>
      </c>
    </row>
    <row r="3019" spans="1:17" x14ac:dyDescent="0.25">
      <c r="A3019" s="2">
        <v>3205</v>
      </c>
      <c r="B3019" s="2" t="s">
        <v>91</v>
      </c>
      <c r="C3019" s="2">
        <v>10</v>
      </c>
      <c r="D3019" s="2">
        <f t="shared" si="470"/>
        <v>25.4</v>
      </c>
      <c r="E3019" s="2">
        <f t="shared" si="471"/>
        <v>8.0850711090682825</v>
      </c>
      <c r="F3019" s="2">
        <f t="shared" si="472"/>
        <v>3.183098861837907</v>
      </c>
      <c r="G3019" s="2">
        <v>8.7568450000000002</v>
      </c>
      <c r="H3019" s="2">
        <f t="shared" si="473"/>
        <v>28.729807349800002</v>
      </c>
      <c r="I3019" s="2">
        <f>INDEX('Wood Density Lookup'!$B$2:$B$152,MATCH(B3019,'Wood Density Lookup'!$A$2:$A$152,0))</f>
        <v>0.5</v>
      </c>
      <c r="J3019" s="2">
        <f t="shared" si="474"/>
        <v>16.816668781529849</v>
      </c>
      <c r="K3019" s="2">
        <f t="shared" si="478"/>
        <v>4.708667258828358</v>
      </c>
      <c r="L3019" s="2">
        <f t="shared" si="479"/>
        <v>21.525336040358205</v>
      </c>
      <c r="M3019" s="2">
        <f t="shared" si="475"/>
        <v>15.605868629259698</v>
      </c>
      <c r="N3019" s="2">
        <f t="shared" si="476"/>
        <v>7.8029343146298489</v>
      </c>
      <c r="O3019" s="2">
        <f t="shared" si="477"/>
        <v>28.636768934691545</v>
      </c>
      <c r="P3019" s="2">
        <v>72.554061000000004</v>
      </c>
      <c r="Q3019" s="2">
        <v>23.037855</v>
      </c>
    </row>
    <row r="3020" spans="1:17" x14ac:dyDescent="0.25">
      <c r="A3020" s="2">
        <v>3206</v>
      </c>
      <c r="B3020" s="2" t="s">
        <v>66</v>
      </c>
      <c r="C3020" s="2">
        <v>6</v>
      </c>
      <c r="D3020" s="2">
        <f t="shared" si="470"/>
        <v>15.24</v>
      </c>
      <c r="E3020" s="2">
        <f t="shared" si="471"/>
        <v>4.8510426654409704</v>
      </c>
      <c r="F3020" s="2">
        <f t="shared" si="472"/>
        <v>1.909859317102744</v>
      </c>
      <c r="G3020" s="2">
        <v>6.3459269999999997</v>
      </c>
      <c r="H3020" s="2">
        <f t="shared" si="473"/>
        <v>20.81997113868</v>
      </c>
      <c r="I3020" s="2">
        <f>INDEX('Wood Density Lookup'!$B$2:$B$152,MATCH(B3020,'Wood Density Lookup'!$A$2:$A$152,0))</f>
        <v>0.5</v>
      </c>
      <c r="J3020" s="2">
        <f t="shared" si="474"/>
        <v>4.531010647474722</v>
      </c>
      <c r="K3020" s="2">
        <f t="shared" si="478"/>
        <v>1.2686829812929223</v>
      </c>
      <c r="L3020" s="2">
        <f t="shared" si="479"/>
        <v>5.7996936287676446</v>
      </c>
      <c r="M3020" s="2">
        <f t="shared" si="475"/>
        <v>4.2047778808565424</v>
      </c>
      <c r="N3020" s="2">
        <f t="shared" si="476"/>
        <v>2.1023889404282712</v>
      </c>
      <c r="O3020" s="2">
        <f t="shared" si="477"/>
        <v>7.7157674113717549</v>
      </c>
      <c r="P3020" s="2">
        <v>72.554067000000003</v>
      </c>
      <c r="Q3020" s="2">
        <v>23.036518000000001</v>
      </c>
    </row>
    <row r="3021" spans="1:17" x14ac:dyDescent="0.25">
      <c r="A3021" s="2">
        <v>3207</v>
      </c>
      <c r="B3021" s="2" t="s">
        <v>146</v>
      </c>
      <c r="C3021" s="2">
        <v>19</v>
      </c>
      <c r="D3021" s="2">
        <f t="shared" si="470"/>
        <v>48.26</v>
      </c>
      <c r="E3021" s="2">
        <f t="shared" si="471"/>
        <v>15.361635107229738</v>
      </c>
      <c r="F3021" s="2">
        <f t="shared" si="472"/>
        <v>6.0478878374920226</v>
      </c>
      <c r="G3021" s="2">
        <v>4.4688829999999999</v>
      </c>
      <c r="H3021" s="2">
        <f t="shared" si="473"/>
        <v>14.66169010172</v>
      </c>
      <c r="I3021" s="2">
        <f>INDEX('Wood Density Lookup'!$B$2:$B$152,MATCH(B3021,'Wood Density Lookup'!$A$2:$A$152,0))</f>
        <v>0.55000000000000004</v>
      </c>
      <c r="J3021" s="2">
        <f t="shared" si="474"/>
        <v>33.506506597761422</v>
      </c>
      <c r="K3021" s="2">
        <f t="shared" si="478"/>
        <v>9.3818218473731996</v>
      </c>
      <c r="L3021" s="2">
        <f t="shared" si="479"/>
        <v>42.888328445134619</v>
      </c>
      <c r="M3021" s="2">
        <f t="shared" si="475"/>
        <v>31.094038122722598</v>
      </c>
      <c r="N3021" s="2">
        <f t="shared" si="476"/>
        <v>15.547019061361299</v>
      </c>
      <c r="O3021" s="2">
        <f t="shared" si="477"/>
        <v>57.057559955195963</v>
      </c>
      <c r="P3021" s="2">
        <v>72.554070999999993</v>
      </c>
      <c r="Q3021" s="2">
        <v>23.038722</v>
      </c>
    </row>
    <row r="3022" spans="1:17" x14ac:dyDescent="0.25">
      <c r="A3022" s="2">
        <v>3208</v>
      </c>
      <c r="B3022" s="2" t="s">
        <v>11</v>
      </c>
      <c r="C3022" s="2">
        <v>8</v>
      </c>
      <c r="D3022" s="2">
        <f t="shared" si="470"/>
        <v>20.32</v>
      </c>
      <c r="E3022" s="2">
        <f t="shared" si="471"/>
        <v>6.4680568872546269</v>
      </c>
      <c r="F3022" s="2">
        <f t="shared" si="472"/>
        <v>2.5464790894703255</v>
      </c>
      <c r="G3022" s="2">
        <v>12.182645000000001</v>
      </c>
      <c r="H3022" s="2">
        <f t="shared" si="473"/>
        <v>39.969309021800001</v>
      </c>
      <c r="I3022" s="2">
        <f>INDEX('Wood Density Lookup'!$B$2:$B$152,MATCH(B3022,'Wood Density Lookup'!$A$2:$A$152,0))</f>
        <v>0.45</v>
      </c>
      <c r="J3022" s="2">
        <f t="shared" si="474"/>
        <v>13.547675529135171</v>
      </c>
      <c r="K3022" s="2">
        <f t="shared" si="478"/>
        <v>3.7933491481578483</v>
      </c>
      <c r="L3022" s="2">
        <f t="shared" si="479"/>
        <v>17.341024677293021</v>
      </c>
      <c r="M3022" s="2">
        <f t="shared" si="475"/>
        <v>12.57224289103744</v>
      </c>
      <c r="N3022" s="2">
        <f t="shared" si="476"/>
        <v>6.2861214455187202</v>
      </c>
      <c r="O3022" s="2">
        <f t="shared" si="477"/>
        <v>23.070065705053704</v>
      </c>
      <c r="P3022" s="2">
        <v>72.554080999999996</v>
      </c>
      <c r="Q3022" s="2">
        <v>23.036974000000001</v>
      </c>
    </row>
    <row r="3023" spans="1:17" x14ac:dyDescent="0.25">
      <c r="A3023" s="2">
        <v>3209</v>
      </c>
      <c r="B3023" s="2" t="s">
        <v>91</v>
      </c>
      <c r="C3023" s="2">
        <v>18</v>
      </c>
      <c r="D3023" s="2">
        <f t="shared" si="470"/>
        <v>45.72</v>
      </c>
      <c r="E3023" s="2">
        <f t="shared" si="471"/>
        <v>14.55312799632291</v>
      </c>
      <c r="F3023" s="2">
        <f t="shared" si="472"/>
        <v>5.7295779513082321</v>
      </c>
      <c r="G3023" s="2">
        <v>7.5559479999999999</v>
      </c>
      <c r="H3023" s="2">
        <f t="shared" si="473"/>
        <v>24.789856436320001</v>
      </c>
      <c r="I3023" s="2">
        <f>INDEX('Wood Density Lookup'!$B$2:$B$152,MATCH(B3023,'Wood Density Lookup'!$A$2:$A$152,0))</f>
        <v>0.5</v>
      </c>
      <c r="J3023" s="2">
        <f t="shared" si="474"/>
        <v>45.868084842858224</v>
      </c>
      <c r="K3023" s="2">
        <f t="shared" si="478"/>
        <v>12.843063756000303</v>
      </c>
      <c r="L3023" s="2">
        <f t="shared" si="479"/>
        <v>58.711148598858529</v>
      </c>
      <c r="M3023" s="2">
        <f t="shared" si="475"/>
        <v>42.56558273417243</v>
      </c>
      <c r="N3023" s="2">
        <f t="shared" si="476"/>
        <v>21.282791367086215</v>
      </c>
      <c r="O3023" s="2">
        <f t="shared" si="477"/>
        <v>78.107844317206414</v>
      </c>
      <c r="P3023" s="2">
        <v>72.554091999999997</v>
      </c>
      <c r="Q3023" s="2">
        <v>23.038181000000002</v>
      </c>
    </row>
    <row r="3024" spans="1:17" x14ac:dyDescent="0.25">
      <c r="A3024" s="2">
        <v>3210</v>
      </c>
      <c r="B3024" s="2" t="s">
        <v>10</v>
      </c>
      <c r="C3024" s="2">
        <v>41</v>
      </c>
      <c r="D3024" s="2">
        <f t="shared" si="470"/>
        <v>104.14</v>
      </c>
      <c r="E3024" s="2">
        <f t="shared" si="471"/>
        <v>33.148791547179961</v>
      </c>
      <c r="F3024" s="2">
        <f t="shared" si="472"/>
        <v>13.050705333535419</v>
      </c>
      <c r="G3024" s="2">
        <v>7.6862000000000004</v>
      </c>
      <c r="H3024" s="2">
        <f t="shared" si="473"/>
        <v>25.217192408000003</v>
      </c>
      <c r="I3024" s="2">
        <f>INDEX('Wood Density Lookup'!$B$2:$B$152,MATCH(B3024,'Wood Density Lookup'!$A$2:$A$152,0))</f>
        <v>0.65</v>
      </c>
      <c r="J3024" s="2">
        <f t="shared" si="474"/>
        <v>300.48725234323894</v>
      </c>
      <c r="K3024" s="2">
        <f t="shared" si="478"/>
        <v>84.13643065610691</v>
      </c>
      <c r="L3024" s="2">
        <f t="shared" si="479"/>
        <v>384.62368299934587</v>
      </c>
      <c r="M3024" s="2">
        <f t="shared" si="475"/>
        <v>278.85217017452572</v>
      </c>
      <c r="N3024" s="2">
        <f t="shared" si="476"/>
        <v>139.42608508726286</v>
      </c>
      <c r="O3024" s="2">
        <f t="shared" si="477"/>
        <v>511.69373227025471</v>
      </c>
      <c r="P3024" s="2">
        <v>72.554091999999997</v>
      </c>
      <c r="Q3024" s="2">
        <v>23.036636000000001</v>
      </c>
    </row>
    <row r="3025" spans="1:17" x14ac:dyDescent="0.25">
      <c r="A3025" s="2">
        <v>3211</v>
      </c>
      <c r="B3025" s="2" t="s">
        <v>15</v>
      </c>
      <c r="C3025" s="2">
        <v>72</v>
      </c>
      <c r="D3025" s="2">
        <f t="shared" si="470"/>
        <v>182.88</v>
      </c>
      <c r="E3025" s="2">
        <f t="shared" si="471"/>
        <v>58.212511985291641</v>
      </c>
      <c r="F3025" s="2">
        <f t="shared" si="472"/>
        <v>22.918311805232928</v>
      </c>
      <c r="G3025" s="2">
        <v>12.844684000000001</v>
      </c>
      <c r="H3025" s="2">
        <f t="shared" si="473"/>
        <v>42.14135305456</v>
      </c>
      <c r="I3025" s="2">
        <f>INDEX('Wood Density Lookup'!$B$2:$B$152,MATCH(B3025,'Wood Density Lookup'!$A$2:$A$152,0))</f>
        <v>0.75</v>
      </c>
      <c r="J3025" s="2">
        <f t="shared" si="474"/>
        <v>1711.9883928709157</v>
      </c>
      <c r="K3025" s="2">
        <f t="shared" si="478"/>
        <v>479.35675000385646</v>
      </c>
      <c r="L3025" s="2">
        <f t="shared" si="479"/>
        <v>2191.3451428747721</v>
      </c>
      <c r="M3025" s="2">
        <f t="shared" si="475"/>
        <v>1588.7252285842098</v>
      </c>
      <c r="N3025" s="2">
        <f t="shared" si="476"/>
        <v>794.36261429210492</v>
      </c>
      <c r="O3025" s="2">
        <f t="shared" si="477"/>
        <v>2915.3107944520252</v>
      </c>
      <c r="P3025" s="2">
        <v>72.554095000000004</v>
      </c>
      <c r="Q3025" s="2">
        <v>23.037337000000001</v>
      </c>
    </row>
    <row r="3026" spans="1:17" x14ac:dyDescent="0.25">
      <c r="A3026" s="2">
        <v>3212</v>
      </c>
      <c r="B3026" s="2" t="s">
        <v>37</v>
      </c>
      <c r="C3026" s="2">
        <v>84</v>
      </c>
      <c r="D3026" s="2">
        <f t="shared" si="470"/>
        <v>213.36</v>
      </c>
      <c r="E3026" s="2">
        <f t="shared" si="471"/>
        <v>67.914597316173584</v>
      </c>
      <c r="F3026" s="2">
        <f t="shared" si="472"/>
        <v>26.738030439438418</v>
      </c>
      <c r="G3026" s="2">
        <v>12.850676999999999</v>
      </c>
      <c r="H3026" s="2">
        <f t="shared" si="473"/>
        <v>42.161015128679999</v>
      </c>
      <c r="I3026" s="2">
        <f>INDEX('Wood Density Lookup'!$B$2:$B$152,MATCH(B3026,'Wood Density Lookup'!$A$2:$A$152,0))</f>
        <v>0.27</v>
      </c>
      <c r="J3026" s="2">
        <f t="shared" si="474"/>
        <v>853.74841690871904</v>
      </c>
      <c r="K3026" s="2">
        <f t="shared" si="478"/>
        <v>239.04955673444135</v>
      </c>
      <c r="L3026" s="2">
        <f t="shared" si="479"/>
        <v>1092.7979736431603</v>
      </c>
      <c r="M3026" s="2">
        <f t="shared" si="475"/>
        <v>792.27853089129121</v>
      </c>
      <c r="N3026" s="2">
        <f t="shared" si="476"/>
        <v>396.13926544564561</v>
      </c>
      <c r="O3026" s="2">
        <f t="shared" si="477"/>
        <v>1453.8311041855193</v>
      </c>
      <c r="P3026" s="2">
        <v>72.554096999999999</v>
      </c>
      <c r="Q3026" s="2">
        <v>23.036584999999999</v>
      </c>
    </row>
    <row r="3027" spans="1:17" x14ac:dyDescent="0.25">
      <c r="A3027" s="2">
        <v>3213</v>
      </c>
      <c r="B3027" s="2" t="s">
        <v>26</v>
      </c>
      <c r="C3027" s="2">
        <v>6</v>
      </c>
      <c r="D3027" s="2">
        <f t="shared" si="470"/>
        <v>15.24</v>
      </c>
      <c r="E3027" s="2">
        <f t="shared" si="471"/>
        <v>4.8510426654409704</v>
      </c>
      <c r="F3027" s="2">
        <f t="shared" si="472"/>
        <v>1.909859317102744</v>
      </c>
      <c r="G3027" s="2">
        <v>3.679554</v>
      </c>
      <c r="H3027" s="2">
        <f t="shared" si="473"/>
        <v>12.07202794536</v>
      </c>
      <c r="I3027" s="2">
        <f>INDEX('Wood Density Lookup'!$B$2:$B$152,MATCH(B3027,'Wood Density Lookup'!$A$2:$A$152,0))</f>
        <v>0.7</v>
      </c>
      <c r="J3027" s="2">
        <f t="shared" si="474"/>
        <v>3.6965531238897893</v>
      </c>
      <c r="K3027" s="2">
        <f t="shared" si="478"/>
        <v>1.0350348746891411</v>
      </c>
      <c r="L3027" s="2">
        <f t="shared" si="479"/>
        <v>4.7315879985789309</v>
      </c>
      <c r="M3027" s="2">
        <f t="shared" si="475"/>
        <v>3.4304012989697248</v>
      </c>
      <c r="N3027" s="2">
        <f t="shared" si="476"/>
        <v>1.7152006494848624</v>
      </c>
      <c r="O3027" s="2">
        <f t="shared" si="477"/>
        <v>6.2947863836094449</v>
      </c>
      <c r="P3027" s="2">
        <v>72.554097999999996</v>
      </c>
      <c r="Q3027" s="2">
        <v>23.038713000000001</v>
      </c>
    </row>
    <row r="3028" spans="1:17" x14ac:dyDescent="0.25">
      <c r="A3028" s="2">
        <v>3214</v>
      </c>
      <c r="B3028" s="2" t="s">
        <v>91</v>
      </c>
      <c r="C3028" s="2">
        <v>14</v>
      </c>
      <c r="D3028" s="2">
        <f t="shared" si="470"/>
        <v>35.56</v>
      </c>
      <c r="E3028" s="2">
        <f t="shared" si="471"/>
        <v>11.319099552695597</v>
      </c>
      <c r="F3028" s="2">
        <f t="shared" si="472"/>
        <v>4.45633840657307</v>
      </c>
      <c r="G3028" s="2">
        <v>6.7484510000000002</v>
      </c>
      <c r="H3028" s="2">
        <f t="shared" si="473"/>
        <v>22.140587978839999</v>
      </c>
      <c r="I3028" s="2">
        <f>INDEX('Wood Density Lookup'!$B$2:$B$152,MATCH(B3028,'Wood Density Lookup'!$A$2:$A$152,0))</f>
        <v>0.5</v>
      </c>
      <c r="J3028" s="2">
        <f t="shared" si="474"/>
        <v>25.150914330712805</v>
      </c>
      <c r="K3028" s="2">
        <f t="shared" si="478"/>
        <v>7.0422560125995863</v>
      </c>
      <c r="L3028" s="2">
        <f t="shared" si="479"/>
        <v>32.193170343312389</v>
      </c>
      <c r="M3028" s="2">
        <f t="shared" si="475"/>
        <v>23.340048498901481</v>
      </c>
      <c r="N3028" s="2">
        <f t="shared" si="476"/>
        <v>11.670024249450741</v>
      </c>
      <c r="O3028" s="2">
        <f t="shared" si="477"/>
        <v>42.828988995484217</v>
      </c>
      <c r="P3028" s="2">
        <v>72.554102</v>
      </c>
      <c r="Q3028" s="2">
        <v>23.037852999999998</v>
      </c>
    </row>
    <row r="3029" spans="1:17" x14ac:dyDescent="0.25">
      <c r="A3029" s="2">
        <v>3215</v>
      </c>
      <c r="B3029" s="2" t="s">
        <v>31</v>
      </c>
      <c r="C3029" s="2">
        <v>46</v>
      </c>
      <c r="D3029" s="2">
        <f t="shared" si="470"/>
        <v>116.84</v>
      </c>
      <c r="E3029" s="2">
        <f t="shared" si="471"/>
        <v>37.191327101714101</v>
      </c>
      <c r="F3029" s="2">
        <f t="shared" si="472"/>
        <v>14.642254764454371</v>
      </c>
      <c r="G3029" s="2">
        <v>9.3312419999999996</v>
      </c>
      <c r="H3029" s="2">
        <f t="shared" si="473"/>
        <v>30.614312003279998</v>
      </c>
      <c r="I3029" s="2">
        <f>INDEX('Wood Density Lookup'!$B$2:$B$152,MATCH(B3029,'Wood Density Lookup'!$A$2:$A$152,0))</f>
        <v>0.78</v>
      </c>
      <c r="J3029" s="2">
        <f t="shared" si="474"/>
        <v>543.07830405760433</v>
      </c>
      <c r="K3029" s="2">
        <f t="shared" si="478"/>
        <v>152.06192513612922</v>
      </c>
      <c r="L3029" s="2">
        <f t="shared" si="479"/>
        <v>695.1402291937336</v>
      </c>
      <c r="M3029" s="2">
        <f t="shared" si="475"/>
        <v>503.97666616545683</v>
      </c>
      <c r="N3029" s="2">
        <f t="shared" si="476"/>
        <v>251.98833308272842</v>
      </c>
      <c r="O3029" s="2">
        <f t="shared" si="477"/>
        <v>924.79718241361331</v>
      </c>
      <c r="P3029" s="2">
        <v>72.554108999999997</v>
      </c>
      <c r="Q3029" s="2">
        <v>23.038761000000001</v>
      </c>
    </row>
    <row r="3030" spans="1:17" x14ac:dyDescent="0.25">
      <c r="A3030" s="2">
        <v>3216</v>
      </c>
      <c r="B3030" s="2" t="s">
        <v>139</v>
      </c>
      <c r="C3030" s="2">
        <v>87</v>
      </c>
      <c r="D3030" s="2">
        <f t="shared" si="470"/>
        <v>220.98</v>
      </c>
      <c r="E3030" s="2">
        <f t="shared" si="471"/>
        <v>70.340118648894062</v>
      </c>
      <c r="F3030" s="2">
        <f t="shared" si="472"/>
        <v>27.69296009798979</v>
      </c>
      <c r="G3030" s="2">
        <v>13.564368</v>
      </c>
      <c r="H3030" s="2">
        <f t="shared" si="473"/>
        <v>44.502521109119996</v>
      </c>
      <c r="I3030" s="2">
        <f>INDEX('Wood Density Lookup'!$B$2:$B$152,MATCH(B3030,'Wood Density Lookup'!$A$2:$A$152,0))</f>
        <v>0.9</v>
      </c>
      <c r="J3030" s="2">
        <f t="shared" si="474"/>
        <v>3121.1753762558387</v>
      </c>
      <c r="K3030" s="2">
        <f t="shared" si="478"/>
        <v>873.92910535163492</v>
      </c>
      <c r="L3030" s="2">
        <f t="shared" si="479"/>
        <v>3995.1044816074736</v>
      </c>
      <c r="M3030" s="2">
        <f t="shared" si="475"/>
        <v>2896.4507491654185</v>
      </c>
      <c r="N3030" s="2">
        <f t="shared" si="476"/>
        <v>1448.2253745827093</v>
      </c>
      <c r="O3030" s="2">
        <f t="shared" si="477"/>
        <v>5314.9871247185429</v>
      </c>
      <c r="P3030" s="2">
        <v>72.554111000000006</v>
      </c>
      <c r="Q3030" s="2">
        <v>23.037208</v>
      </c>
    </row>
    <row r="3031" spans="1:17" x14ac:dyDescent="0.25">
      <c r="A3031" s="2">
        <v>3217</v>
      </c>
      <c r="B3031" s="2" t="s">
        <v>146</v>
      </c>
      <c r="C3031" s="2">
        <v>6</v>
      </c>
      <c r="D3031" s="2">
        <f t="shared" si="470"/>
        <v>15.24</v>
      </c>
      <c r="E3031" s="2">
        <f t="shared" si="471"/>
        <v>4.8510426654409704</v>
      </c>
      <c r="F3031" s="2">
        <f t="shared" si="472"/>
        <v>1.909859317102744</v>
      </c>
      <c r="G3031" s="2">
        <v>4.0614990000000004</v>
      </c>
      <c r="H3031" s="2">
        <f t="shared" si="473"/>
        <v>13.325128379160001</v>
      </c>
      <c r="I3031" s="2">
        <f>INDEX('Wood Density Lookup'!$B$2:$B$152,MATCH(B3031,'Wood Density Lookup'!$A$2:$A$152,0))</f>
        <v>0.55000000000000004</v>
      </c>
      <c r="J3031" s="2">
        <f t="shared" si="474"/>
        <v>3.2168960799680639</v>
      </c>
      <c r="K3031" s="2">
        <f t="shared" si="478"/>
        <v>0.90073090239105802</v>
      </c>
      <c r="L3031" s="2">
        <f t="shared" si="479"/>
        <v>4.1176269823591216</v>
      </c>
      <c r="M3031" s="2">
        <f t="shared" si="475"/>
        <v>2.9852795622103629</v>
      </c>
      <c r="N3031" s="2">
        <f t="shared" si="476"/>
        <v>1.4926397811051815</v>
      </c>
      <c r="O3031" s="2">
        <f t="shared" si="477"/>
        <v>5.4779879966560161</v>
      </c>
      <c r="P3031" s="2">
        <v>72.554122000000007</v>
      </c>
      <c r="Q3031" s="2">
        <v>23.038715</v>
      </c>
    </row>
    <row r="3032" spans="1:17" x14ac:dyDescent="0.25">
      <c r="A3032" s="2">
        <v>3218</v>
      </c>
      <c r="B3032" s="2" t="s">
        <v>15</v>
      </c>
      <c r="C3032" s="2">
        <v>41</v>
      </c>
      <c r="D3032" s="2">
        <f t="shared" si="470"/>
        <v>104.14</v>
      </c>
      <c r="E3032" s="2">
        <f t="shared" si="471"/>
        <v>33.148791547179961</v>
      </c>
      <c r="F3032" s="2">
        <f t="shared" si="472"/>
        <v>13.050705333535419</v>
      </c>
      <c r="G3032" s="2">
        <v>13.300284</v>
      </c>
      <c r="H3032" s="2">
        <f t="shared" si="473"/>
        <v>43.636103758559997</v>
      </c>
      <c r="I3032" s="2">
        <f>INDEX('Wood Density Lookup'!$B$2:$B$152,MATCH(B3032,'Wood Density Lookup'!$A$2:$A$152,0))</f>
        <v>0.75</v>
      </c>
      <c r="J3032" s="2">
        <f t="shared" si="474"/>
        <v>590.08701980434012</v>
      </c>
      <c r="K3032" s="2">
        <f t="shared" si="478"/>
        <v>165.22436554521525</v>
      </c>
      <c r="L3032" s="2">
        <f t="shared" si="479"/>
        <v>755.31138534955539</v>
      </c>
      <c r="M3032" s="2">
        <f t="shared" si="475"/>
        <v>547.60075437842761</v>
      </c>
      <c r="N3032" s="2">
        <f t="shared" si="476"/>
        <v>273.8003771892138</v>
      </c>
      <c r="O3032" s="2">
        <f t="shared" si="477"/>
        <v>1004.8473842844146</v>
      </c>
      <c r="P3032" s="2">
        <v>72.554122000000007</v>
      </c>
      <c r="Q3032" s="2">
        <v>23.037096999999999</v>
      </c>
    </row>
    <row r="3033" spans="1:17" x14ac:dyDescent="0.25">
      <c r="A3033" s="2">
        <v>3219</v>
      </c>
      <c r="B3033" s="2" t="s">
        <v>15</v>
      </c>
      <c r="C3033" s="2">
        <v>37</v>
      </c>
      <c r="D3033" s="2">
        <f t="shared" si="470"/>
        <v>93.98</v>
      </c>
      <c r="E3033" s="2">
        <f t="shared" si="471"/>
        <v>29.914763103552648</v>
      </c>
      <c r="F3033" s="2">
        <f t="shared" si="472"/>
        <v>11.777465788800255</v>
      </c>
      <c r="G3033" s="2">
        <v>15.641686999999999</v>
      </c>
      <c r="H3033" s="2">
        <f t="shared" si="473"/>
        <v>51.31787237708</v>
      </c>
      <c r="I3033" s="2">
        <f>INDEX('Wood Density Lookup'!$B$2:$B$152,MATCH(B3033,'Wood Density Lookup'!$A$2:$A$152,0))</f>
        <v>0.75</v>
      </c>
      <c r="J3033" s="2">
        <f t="shared" si="474"/>
        <v>565.74962005216878</v>
      </c>
      <c r="K3033" s="2">
        <f t="shared" si="478"/>
        <v>158.40989361460728</v>
      </c>
      <c r="L3033" s="2">
        <f t="shared" si="479"/>
        <v>724.15951366677609</v>
      </c>
      <c r="M3033" s="2">
        <f t="shared" si="475"/>
        <v>525.01564740841263</v>
      </c>
      <c r="N3033" s="2">
        <f t="shared" si="476"/>
        <v>262.50782370420632</v>
      </c>
      <c r="O3033" s="2">
        <f t="shared" si="477"/>
        <v>963.40371299443711</v>
      </c>
      <c r="P3033" s="2">
        <v>72.554123000000004</v>
      </c>
      <c r="Q3033" s="2">
        <v>23.036974000000001</v>
      </c>
    </row>
    <row r="3034" spans="1:17" x14ac:dyDescent="0.25">
      <c r="A3034" s="2">
        <v>3220</v>
      </c>
      <c r="B3034" s="2" t="s">
        <v>17</v>
      </c>
      <c r="C3034" s="2">
        <v>27</v>
      </c>
      <c r="D3034" s="2">
        <f t="shared" si="470"/>
        <v>68.58</v>
      </c>
      <c r="E3034" s="2">
        <f t="shared" si="471"/>
        <v>21.829691994484364</v>
      </c>
      <c r="F3034" s="2">
        <f t="shared" si="472"/>
        <v>8.5943669269623477</v>
      </c>
      <c r="G3034" s="2">
        <v>14.720409999999999</v>
      </c>
      <c r="H3034" s="2">
        <f t="shared" si="473"/>
        <v>48.295309944399996</v>
      </c>
      <c r="I3034" s="2">
        <f>INDEX('Wood Density Lookup'!$B$2:$B$152,MATCH(B3034,'Wood Density Lookup'!$A$2:$A$152,0))</f>
        <v>0.75</v>
      </c>
      <c r="J3034" s="2">
        <f t="shared" si="474"/>
        <v>288.26081944364222</v>
      </c>
      <c r="K3034" s="2">
        <f t="shared" si="478"/>
        <v>80.713029444219828</v>
      </c>
      <c r="L3034" s="2">
        <f t="shared" si="479"/>
        <v>368.97384888786206</v>
      </c>
      <c r="M3034" s="2">
        <f t="shared" si="475"/>
        <v>267.50604044369999</v>
      </c>
      <c r="N3034" s="2">
        <f t="shared" si="476"/>
        <v>133.75302022184999</v>
      </c>
      <c r="O3034" s="2">
        <f t="shared" si="477"/>
        <v>490.87358421418946</v>
      </c>
      <c r="P3034" s="2">
        <v>72.554137999999995</v>
      </c>
      <c r="Q3034" s="2">
        <v>23.036664999999999</v>
      </c>
    </row>
    <row r="3035" spans="1:17" x14ac:dyDescent="0.25">
      <c r="A3035" s="2">
        <v>3221</v>
      </c>
      <c r="B3035" s="2" t="s">
        <v>15</v>
      </c>
      <c r="C3035" s="2">
        <v>53</v>
      </c>
      <c r="D3035" s="2">
        <f t="shared" si="470"/>
        <v>134.62</v>
      </c>
      <c r="E3035" s="2">
        <f t="shared" si="471"/>
        <v>42.850876878061904</v>
      </c>
      <c r="F3035" s="2">
        <f t="shared" si="472"/>
        <v>16.870423967740905</v>
      </c>
      <c r="G3035" s="2">
        <v>14.195003</v>
      </c>
      <c r="H3035" s="2">
        <f t="shared" si="473"/>
        <v>46.571533642520002</v>
      </c>
      <c r="I3035" s="2">
        <f>INDEX('Wood Density Lookup'!$B$2:$B$152,MATCH(B3035,'Wood Density Lookup'!$A$2:$A$152,0))</f>
        <v>0.75</v>
      </c>
      <c r="J3035" s="2">
        <f t="shared" si="474"/>
        <v>1037.8735758881448</v>
      </c>
      <c r="K3035" s="2">
        <f t="shared" si="478"/>
        <v>290.60460124868058</v>
      </c>
      <c r="L3035" s="2">
        <f t="shared" si="479"/>
        <v>1328.4781771368255</v>
      </c>
      <c r="M3035" s="2">
        <f t="shared" si="475"/>
        <v>963.1466784241984</v>
      </c>
      <c r="N3035" s="2">
        <f t="shared" si="476"/>
        <v>481.5733392120992</v>
      </c>
      <c r="O3035" s="2">
        <f t="shared" si="477"/>
        <v>1767.3741549084041</v>
      </c>
      <c r="P3035" s="2">
        <v>72.554140000000004</v>
      </c>
      <c r="Q3035" s="2">
        <v>23.036784999999998</v>
      </c>
    </row>
    <row r="3036" spans="1:17" x14ac:dyDescent="0.25">
      <c r="A3036" s="2">
        <v>3222</v>
      </c>
      <c r="B3036" s="2" t="s">
        <v>37</v>
      </c>
      <c r="C3036" s="2">
        <v>19</v>
      </c>
      <c r="D3036" s="2">
        <f t="shared" si="470"/>
        <v>48.26</v>
      </c>
      <c r="E3036" s="2">
        <f t="shared" si="471"/>
        <v>15.361635107229738</v>
      </c>
      <c r="F3036" s="2">
        <f t="shared" si="472"/>
        <v>6.0478878374920226</v>
      </c>
      <c r="G3036" s="2">
        <v>13.812315</v>
      </c>
      <c r="H3036" s="2">
        <f t="shared" si="473"/>
        <v>45.3159955446</v>
      </c>
      <c r="I3036" s="2">
        <f>INDEX('Wood Density Lookup'!$B$2:$B$152,MATCH(B3036,'Wood Density Lookup'!$A$2:$A$152,0))</f>
        <v>0.27</v>
      </c>
      <c r="J3036" s="2">
        <f t="shared" si="474"/>
        <v>50.332913404811535</v>
      </c>
      <c r="K3036" s="2">
        <f t="shared" si="478"/>
        <v>14.093215753347231</v>
      </c>
      <c r="L3036" s="2">
        <f t="shared" si="479"/>
        <v>64.426129158158773</v>
      </c>
      <c r="M3036" s="2">
        <f t="shared" si="475"/>
        <v>46.708943639665108</v>
      </c>
      <c r="N3036" s="2">
        <f t="shared" si="476"/>
        <v>23.354471819832554</v>
      </c>
      <c r="O3036" s="2">
        <f t="shared" si="477"/>
        <v>85.710911578785471</v>
      </c>
      <c r="P3036" s="2">
        <v>72.554158000000001</v>
      </c>
      <c r="Q3036" s="2">
        <v>23.037033999999998</v>
      </c>
    </row>
    <row r="3037" spans="1:17" x14ac:dyDescent="0.25">
      <c r="A3037" s="2">
        <v>3223</v>
      </c>
      <c r="B3037" s="2" t="s">
        <v>78</v>
      </c>
      <c r="C3037" s="2">
        <v>67</v>
      </c>
      <c r="D3037" s="2">
        <f t="shared" si="470"/>
        <v>170.18</v>
      </c>
      <c r="E3037" s="2">
        <f t="shared" si="471"/>
        <v>54.169976430757501</v>
      </c>
      <c r="F3037" s="2">
        <f t="shared" si="472"/>
        <v>21.326762374313976</v>
      </c>
      <c r="G3037" s="2">
        <v>13.203282</v>
      </c>
      <c r="H3037" s="2">
        <f t="shared" si="473"/>
        <v>43.317855716879997</v>
      </c>
      <c r="I3037" s="2">
        <f>INDEX('Wood Density Lookup'!$B$2:$B$152,MATCH(B3037,'Wood Density Lookup'!$A$2:$A$152,0))</f>
        <v>0.55000000000000004</v>
      </c>
      <c r="J3037" s="2">
        <f t="shared" si="474"/>
        <v>1128.9935505334408</v>
      </c>
      <c r="K3037" s="2">
        <f t="shared" si="478"/>
        <v>316.11819414936349</v>
      </c>
      <c r="L3037" s="2">
        <f t="shared" si="479"/>
        <v>1445.1117446828043</v>
      </c>
      <c r="M3037" s="2">
        <f t="shared" si="475"/>
        <v>1047.7060148950331</v>
      </c>
      <c r="N3037" s="2">
        <f t="shared" si="476"/>
        <v>523.85300744751657</v>
      </c>
      <c r="O3037" s="2">
        <f t="shared" si="477"/>
        <v>1922.5405373323858</v>
      </c>
      <c r="P3037" s="2">
        <v>72.554160999999993</v>
      </c>
      <c r="Q3037" s="2">
        <v>23.03689</v>
      </c>
    </row>
    <row r="3038" spans="1:17" x14ac:dyDescent="0.25">
      <c r="A3038" s="2">
        <v>3224</v>
      </c>
      <c r="B3038" s="2" t="s">
        <v>37</v>
      </c>
      <c r="C3038" s="2">
        <v>27</v>
      </c>
      <c r="D3038" s="2">
        <f t="shared" si="470"/>
        <v>68.58</v>
      </c>
      <c r="E3038" s="2">
        <f t="shared" si="471"/>
        <v>21.829691994484364</v>
      </c>
      <c r="F3038" s="2">
        <f t="shared" si="472"/>
        <v>8.5943669269623477</v>
      </c>
      <c r="G3038" s="2">
        <v>13.620526</v>
      </c>
      <c r="H3038" s="2">
        <f t="shared" si="473"/>
        <v>44.686766521839999</v>
      </c>
      <c r="I3038" s="2">
        <f>INDEX('Wood Density Lookup'!$B$2:$B$152,MATCH(B3038,'Wood Density Lookup'!$A$2:$A$152,0))</f>
        <v>0.27</v>
      </c>
      <c r="J3038" s="2">
        <f t="shared" si="474"/>
        <v>98.5871371646612</v>
      </c>
      <c r="K3038" s="2">
        <f t="shared" si="478"/>
        <v>27.60439840610514</v>
      </c>
      <c r="L3038" s="2">
        <f t="shared" si="479"/>
        <v>126.19153557076635</v>
      </c>
      <c r="M3038" s="2">
        <f t="shared" si="475"/>
        <v>91.488863288805604</v>
      </c>
      <c r="N3038" s="2">
        <f t="shared" si="476"/>
        <v>45.744431644402802</v>
      </c>
      <c r="O3038" s="2">
        <f t="shared" si="477"/>
        <v>167.88206413495828</v>
      </c>
      <c r="P3038" s="2">
        <v>72.554174000000003</v>
      </c>
      <c r="Q3038" s="2">
        <v>23.037296000000001</v>
      </c>
    </row>
    <row r="3039" spans="1:17" x14ac:dyDescent="0.25">
      <c r="A3039" s="2">
        <v>3225</v>
      </c>
      <c r="B3039" s="2" t="s">
        <v>37</v>
      </c>
      <c r="C3039" s="2">
        <v>28</v>
      </c>
      <c r="D3039" s="2">
        <f t="shared" si="470"/>
        <v>71.12</v>
      </c>
      <c r="E3039" s="2">
        <f t="shared" si="471"/>
        <v>22.638199105391195</v>
      </c>
      <c r="F3039" s="2">
        <f t="shared" si="472"/>
        <v>8.91267681314614</v>
      </c>
      <c r="G3039" s="2">
        <v>13.620526</v>
      </c>
      <c r="H3039" s="2">
        <f t="shared" si="473"/>
        <v>44.686766521839999</v>
      </c>
      <c r="I3039" s="2">
        <f>INDEX('Wood Density Lookup'!$B$2:$B$152,MATCH(B3039,'Wood Density Lookup'!$A$2:$A$152,0))</f>
        <v>0.27</v>
      </c>
      <c r="J3039" s="2">
        <f t="shared" si="474"/>
        <v>105.84020321236214</v>
      </c>
      <c r="K3039" s="2">
        <f t="shared" si="478"/>
        <v>29.635256899461403</v>
      </c>
      <c r="L3039" s="2">
        <f t="shared" si="479"/>
        <v>135.47546011182354</v>
      </c>
      <c r="M3039" s="2">
        <f t="shared" si="475"/>
        <v>98.219708581072055</v>
      </c>
      <c r="N3039" s="2">
        <f t="shared" si="476"/>
        <v>49.109854290536028</v>
      </c>
      <c r="O3039" s="2">
        <f t="shared" si="477"/>
        <v>180.23316524626722</v>
      </c>
      <c r="P3039" s="2">
        <v>72.554174000000003</v>
      </c>
      <c r="Q3039" s="2">
        <v>23.037296000000001</v>
      </c>
    </row>
    <row r="3040" spans="1:17" x14ac:dyDescent="0.25">
      <c r="A3040" s="2">
        <v>3226</v>
      </c>
      <c r="B3040" s="2" t="s">
        <v>37</v>
      </c>
      <c r="C3040" s="2">
        <v>32</v>
      </c>
      <c r="D3040" s="2">
        <f t="shared" si="470"/>
        <v>81.28</v>
      </c>
      <c r="E3040" s="2">
        <f t="shared" si="471"/>
        <v>25.872227549018508</v>
      </c>
      <c r="F3040" s="2">
        <f t="shared" si="472"/>
        <v>10.185916357881302</v>
      </c>
      <c r="G3040" s="2">
        <v>1.317348</v>
      </c>
      <c r="H3040" s="2">
        <f t="shared" si="473"/>
        <v>4.3220080123199995</v>
      </c>
      <c r="I3040" s="2">
        <f>INDEX('Wood Density Lookup'!$B$2:$B$152,MATCH(B3040,'Wood Density Lookup'!$A$2:$A$152,0))</f>
        <v>0.27</v>
      </c>
      <c r="J3040" s="2">
        <f t="shared" si="474"/>
        <v>14.050941418176102</v>
      </c>
      <c r="K3040" s="2">
        <f t="shared" si="478"/>
        <v>3.9342635970893087</v>
      </c>
      <c r="L3040" s="2">
        <f t="shared" si="479"/>
        <v>17.985205015265411</v>
      </c>
      <c r="M3040" s="2">
        <f t="shared" si="475"/>
        <v>13.039273636067422</v>
      </c>
      <c r="N3040" s="2">
        <f t="shared" si="476"/>
        <v>6.5196368180337112</v>
      </c>
      <c r="O3040" s="2">
        <f t="shared" si="477"/>
        <v>23.927067122183718</v>
      </c>
      <c r="P3040" s="2">
        <v>72.554174000000003</v>
      </c>
      <c r="Q3040" s="2">
        <v>23.036584999999999</v>
      </c>
    </row>
    <row r="3041" spans="1:17" x14ac:dyDescent="0.25">
      <c r="A3041" s="2">
        <v>3227</v>
      </c>
      <c r="B3041" s="2" t="s">
        <v>114</v>
      </c>
      <c r="C3041" s="2">
        <v>18</v>
      </c>
      <c r="D3041" s="2">
        <f t="shared" si="470"/>
        <v>45.72</v>
      </c>
      <c r="E3041" s="2">
        <f t="shared" si="471"/>
        <v>14.55312799632291</v>
      </c>
      <c r="F3041" s="2">
        <f t="shared" si="472"/>
        <v>5.7295779513082321</v>
      </c>
      <c r="G3041" s="2">
        <v>16.129560999999999</v>
      </c>
      <c r="H3041" s="2">
        <f t="shared" si="473"/>
        <v>52.918508911239996</v>
      </c>
      <c r="I3041" s="2">
        <f>INDEX('Wood Density Lookup'!$B$2:$B$152,MATCH(B3041,'Wood Density Lookup'!$A$2:$A$152,0))</f>
        <v>0.55000000000000004</v>
      </c>
      <c r="J3041" s="2">
        <f t="shared" si="474"/>
        <v>105.52113372551122</v>
      </c>
      <c r="K3041" s="2">
        <f t="shared" si="478"/>
        <v>29.545917443143143</v>
      </c>
      <c r="L3041" s="2">
        <f t="shared" si="479"/>
        <v>135.06705116865436</v>
      </c>
      <c r="M3041" s="2">
        <f t="shared" si="475"/>
        <v>97.9236120972744</v>
      </c>
      <c r="N3041" s="2">
        <f t="shared" si="476"/>
        <v>48.9618060486372</v>
      </c>
      <c r="O3041" s="2">
        <f t="shared" si="477"/>
        <v>179.68982819849853</v>
      </c>
      <c r="P3041" s="2">
        <v>72.554182999999995</v>
      </c>
      <c r="Q3041" s="2">
        <v>23.036932</v>
      </c>
    </row>
    <row r="3042" spans="1:17" x14ac:dyDescent="0.25">
      <c r="A3042" s="2">
        <v>3228</v>
      </c>
      <c r="B3042" s="2" t="s">
        <v>37</v>
      </c>
      <c r="C3042" s="2">
        <v>34</v>
      </c>
      <c r="D3042" s="2">
        <f t="shared" si="470"/>
        <v>86.36</v>
      </c>
      <c r="E3042" s="2">
        <f t="shared" si="471"/>
        <v>27.489241770832162</v>
      </c>
      <c r="F3042" s="2">
        <f t="shared" si="472"/>
        <v>10.822536130248883</v>
      </c>
      <c r="G3042" s="2">
        <v>17.920202</v>
      </c>
      <c r="H3042" s="2">
        <f t="shared" si="473"/>
        <v>58.793315529680001</v>
      </c>
      <c r="I3042" s="2">
        <f>INDEX('Wood Density Lookup'!$B$2:$B$152,MATCH(B3042,'Wood Density Lookup'!$A$2:$A$152,0))</f>
        <v>0.27</v>
      </c>
      <c r="J3042" s="2">
        <f t="shared" si="474"/>
        <v>202.08518610534659</v>
      </c>
      <c r="K3042" s="2">
        <f t="shared" si="478"/>
        <v>56.583852109497052</v>
      </c>
      <c r="L3042" s="2">
        <f t="shared" si="479"/>
        <v>258.66903821484362</v>
      </c>
      <c r="M3042" s="2">
        <f t="shared" si="475"/>
        <v>187.53505270576161</v>
      </c>
      <c r="N3042" s="2">
        <f t="shared" si="476"/>
        <v>93.767526352880807</v>
      </c>
      <c r="O3042" s="2">
        <f t="shared" si="477"/>
        <v>344.12682171507254</v>
      </c>
      <c r="P3042" s="2">
        <v>72.554188999999994</v>
      </c>
      <c r="Q3042" s="2">
        <v>23.036992000000001</v>
      </c>
    </row>
    <row r="3043" spans="1:17" x14ac:dyDescent="0.25">
      <c r="A3043" s="2">
        <v>3229</v>
      </c>
      <c r="B3043" s="2" t="s">
        <v>17</v>
      </c>
      <c r="C3043" s="2">
        <v>24</v>
      </c>
      <c r="D3043" s="2">
        <f t="shared" si="470"/>
        <v>60.96</v>
      </c>
      <c r="E3043" s="2">
        <f t="shared" si="471"/>
        <v>19.404170661763882</v>
      </c>
      <c r="F3043" s="2">
        <f t="shared" si="472"/>
        <v>7.6394372684109761</v>
      </c>
      <c r="G3043" s="2">
        <v>10.821054</v>
      </c>
      <c r="H3043" s="2">
        <f t="shared" si="473"/>
        <v>35.502146805359999</v>
      </c>
      <c r="I3043" s="2">
        <f>INDEX('Wood Density Lookup'!$B$2:$B$152,MATCH(B3043,'Wood Density Lookup'!$A$2:$A$152,0))</f>
        <v>0.75</v>
      </c>
      <c r="J3043" s="2">
        <f t="shared" si="474"/>
        <v>169.62628833490811</v>
      </c>
      <c r="K3043" s="2">
        <f t="shared" si="478"/>
        <v>47.495360733774277</v>
      </c>
      <c r="L3043" s="2">
        <f t="shared" si="479"/>
        <v>217.12164906868239</v>
      </c>
      <c r="M3043" s="2">
        <f t="shared" si="475"/>
        <v>157.41319557479471</v>
      </c>
      <c r="N3043" s="2">
        <f t="shared" si="476"/>
        <v>78.706597787397357</v>
      </c>
      <c r="O3043" s="2">
        <f t="shared" si="477"/>
        <v>288.8532138797483</v>
      </c>
      <c r="P3043" s="2">
        <v>72.554188999999994</v>
      </c>
      <c r="Q3043" s="2">
        <v>23.036760000000001</v>
      </c>
    </row>
    <row r="3044" spans="1:17" x14ac:dyDescent="0.25">
      <c r="A3044" s="2">
        <v>3230</v>
      </c>
      <c r="B3044" s="2" t="s">
        <v>146</v>
      </c>
      <c r="C3044" s="2">
        <v>3</v>
      </c>
      <c r="D3044" s="2">
        <f t="shared" si="470"/>
        <v>7.62</v>
      </c>
      <c r="E3044" s="2">
        <f t="shared" si="471"/>
        <v>2.4255213327204852</v>
      </c>
      <c r="F3044" s="2">
        <f t="shared" si="472"/>
        <v>0.95492965855137202</v>
      </c>
      <c r="G3044" s="2">
        <v>10.690557999999999</v>
      </c>
      <c r="H3044" s="2">
        <f t="shared" si="473"/>
        <v>35.074010308719998</v>
      </c>
      <c r="I3044" s="2">
        <f>INDEX('Wood Density Lookup'!$B$2:$B$152,MATCH(B3044,'Wood Density Lookup'!$A$2:$A$152,0))</f>
        <v>0.55000000000000004</v>
      </c>
      <c r="J3044" s="2">
        <f t="shared" si="474"/>
        <v>2.1382228524990108</v>
      </c>
      <c r="K3044" s="2">
        <f t="shared" si="478"/>
        <v>0.59870239869972308</v>
      </c>
      <c r="L3044" s="2">
        <f t="shared" si="479"/>
        <v>2.7369252511987341</v>
      </c>
      <c r="M3044" s="2">
        <f t="shared" si="475"/>
        <v>1.9842708071190822</v>
      </c>
      <c r="N3044" s="2">
        <f t="shared" si="476"/>
        <v>0.99213540355954111</v>
      </c>
      <c r="O3044" s="2">
        <f t="shared" si="477"/>
        <v>3.641136931063516</v>
      </c>
      <c r="P3044" s="2">
        <v>72.554209</v>
      </c>
      <c r="Q3044" s="2">
        <v>23.038699000000001</v>
      </c>
    </row>
    <row r="3045" spans="1:17" x14ac:dyDescent="0.25">
      <c r="A3045" s="2">
        <v>3231</v>
      </c>
      <c r="B3045" s="2" t="s">
        <v>15</v>
      </c>
      <c r="C3045" s="2">
        <v>96</v>
      </c>
      <c r="D3045" s="2">
        <f t="shared" si="470"/>
        <v>243.84</v>
      </c>
      <c r="E3045" s="2">
        <f t="shared" si="471"/>
        <v>77.616682647055526</v>
      </c>
      <c r="F3045" s="2">
        <f t="shared" si="472"/>
        <v>30.557749073643905</v>
      </c>
      <c r="G3045" s="2">
        <v>12.167437</v>
      </c>
      <c r="H3045" s="2">
        <f t="shared" si="473"/>
        <v>39.91941400708</v>
      </c>
      <c r="I3045" s="2">
        <f>INDEX('Wood Density Lookup'!$B$2:$B$152,MATCH(B3045,'Wood Density Lookup'!$A$2:$A$152,0))</f>
        <v>0.75</v>
      </c>
      <c r="J3045" s="2">
        <f t="shared" si="474"/>
        <v>2847.2230784806447</v>
      </c>
      <c r="K3045" s="2">
        <f t="shared" si="478"/>
        <v>797.2224619745806</v>
      </c>
      <c r="L3045" s="2">
        <f t="shared" si="479"/>
        <v>3644.4455404552255</v>
      </c>
      <c r="M3045" s="2">
        <f t="shared" si="475"/>
        <v>2642.2230168300384</v>
      </c>
      <c r="N3045" s="2">
        <f t="shared" si="476"/>
        <v>1321.1115084150192</v>
      </c>
      <c r="O3045" s="2">
        <f t="shared" si="477"/>
        <v>4848.4792358831201</v>
      </c>
      <c r="P3045" s="2">
        <v>72.554212000000007</v>
      </c>
      <c r="Q3045" s="2">
        <v>23.038775999999999</v>
      </c>
    </row>
    <row r="3046" spans="1:17" x14ac:dyDescent="0.25">
      <c r="A3046" s="2">
        <v>3232</v>
      </c>
      <c r="B3046" s="2" t="s">
        <v>82</v>
      </c>
      <c r="C3046" s="2">
        <v>1</v>
      </c>
      <c r="D3046" s="2">
        <f t="shared" si="470"/>
        <v>2.54</v>
      </c>
      <c r="E3046" s="2">
        <f t="shared" si="471"/>
        <v>0.80850711090682836</v>
      </c>
      <c r="F3046" s="2">
        <f t="shared" si="472"/>
        <v>0.31830988618379069</v>
      </c>
      <c r="G3046" s="2">
        <v>1.479824</v>
      </c>
      <c r="H3046" s="2">
        <f t="shared" si="473"/>
        <v>4.8550657721599997</v>
      </c>
      <c r="I3046" s="2">
        <f>INDEX('Wood Density Lookup'!$B$2:$B$152,MATCH(B3046,'Wood Density Lookup'!$A$2:$A$152,0))</f>
        <v>0.7</v>
      </c>
      <c r="J3046" s="2">
        <f t="shared" si="474"/>
        <v>4.5999661890828984E-2</v>
      </c>
      <c r="K3046" s="2">
        <f t="shared" si="478"/>
        <v>1.2879905329432118E-2</v>
      </c>
      <c r="L3046" s="2">
        <f t="shared" si="479"/>
        <v>5.8879567220261102E-2</v>
      </c>
      <c r="M3046" s="2">
        <f t="shared" si="475"/>
        <v>4.2687686234689298E-2</v>
      </c>
      <c r="N3046" s="2">
        <f t="shared" si="476"/>
        <v>2.1343843117344649E-2</v>
      </c>
      <c r="O3046" s="2">
        <f t="shared" si="477"/>
        <v>7.8331904240654865E-2</v>
      </c>
      <c r="P3046" s="2">
        <v>72.554221999999996</v>
      </c>
      <c r="Q3046" s="2">
        <v>23.036847000000002</v>
      </c>
    </row>
    <row r="3047" spans="1:17" x14ac:dyDescent="0.25">
      <c r="A3047" s="2">
        <v>3233</v>
      </c>
      <c r="B3047" s="2" t="s">
        <v>82</v>
      </c>
      <c r="C3047" s="2">
        <v>2</v>
      </c>
      <c r="D3047" s="2">
        <f t="shared" si="470"/>
        <v>5.08</v>
      </c>
      <c r="E3047" s="2">
        <f t="shared" si="471"/>
        <v>1.6170142218136567</v>
      </c>
      <c r="F3047" s="2">
        <f t="shared" si="472"/>
        <v>0.63661977236758138</v>
      </c>
      <c r="G3047" s="2">
        <v>1.5783529999999999</v>
      </c>
      <c r="H3047" s="2">
        <f t="shared" si="473"/>
        <v>5.1783236565199999</v>
      </c>
      <c r="I3047" s="2">
        <f>INDEX('Wood Density Lookup'!$B$2:$B$152,MATCH(B3047,'Wood Density Lookup'!$A$2:$A$152,0))</f>
        <v>0.7</v>
      </c>
      <c r="J3047" s="2">
        <f t="shared" si="474"/>
        <v>0.18953412160384547</v>
      </c>
      <c r="K3047" s="2">
        <f t="shared" si="478"/>
        <v>5.3069554049076741E-2</v>
      </c>
      <c r="L3047" s="2">
        <f t="shared" si="479"/>
        <v>0.24260367565292221</v>
      </c>
      <c r="M3047" s="2">
        <f t="shared" si="475"/>
        <v>0.1758876648483686</v>
      </c>
      <c r="N3047" s="2">
        <f t="shared" si="476"/>
        <v>8.7943832424184298E-2</v>
      </c>
      <c r="O3047" s="2">
        <f t="shared" si="477"/>
        <v>0.32275386499675635</v>
      </c>
      <c r="P3047" s="2">
        <v>72.554222999999993</v>
      </c>
      <c r="Q3047" s="2">
        <v>23.036840999999999</v>
      </c>
    </row>
    <row r="3048" spans="1:17" x14ac:dyDescent="0.25">
      <c r="A3048" s="2">
        <v>3234</v>
      </c>
      <c r="B3048" s="2" t="s">
        <v>82</v>
      </c>
      <c r="C3048" s="2">
        <v>1</v>
      </c>
      <c r="D3048" s="2">
        <f t="shared" si="470"/>
        <v>2.54</v>
      </c>
      <c r="E3048" s="2">
        <f t="shared" si="471"/>
        <v>0.80850711090682836</v>
      </c>
      <c r="F3048" s="2">
        <f t="shared" si="472"/>
        <v>0.31830988618379069</v>
      </c>
      <c r="G3048" s="2">
        <v>1.0806169999999999</v>
      </c>
      <c r="H3048" s="2">
        <f t="shared" si="473"/>
        <v>3.5453314782799996</v>
      </c>
      <c r="I3048" s="2">
        <f>INDEX('Wood Density Lookup'!$B$2:$B$152,MATCH(B3048,'Wood Density Lookup'!$A$2:$A$152,0))</f>
        <v>0.7</v>
      </c>
      <c r="J3048" s="2">
        <f t="shared" si="474"/>
        <v>3.3844904033343032E-2</v>
      </c>
      <c r="K3048" s="2">
        <f t="shared" si="478"/>
        <v>9.4765731293360491E-3</v>
      </c>
      <c r="L3048" s="2">
        <f t="shared" si="479"/>
        <v>4.3321477162679083E-2</v>
      </c>
      <c r="M3048" s="2">
        <f t="shared" si="475"/>
        <v>3.1408070942942332E-2</v>
      </c>
      <c r="N3048" s="2">
        <f t="shared" si="476"/>
        <v>1.5704035471471166E-2</v>
      </c>
      <c r="O3048" s="2">
        <f t="shared" si="477"/>
        <v>5.7633810180299179E-2</v>
      </c>
      <c r="P3048" s="2">
        <v>72.554222999999993</v>
      </c>
      <c r="Q3048" s="2">
        <v>23.036816999999999</v>
      </c>
    </row>
    <row r="3049" spans="1:17" x14ac:dyDescent="0.25">
      <c r="A3049" s="2">
        <v>3235</v>
      </c>
      <c r="B3049" s="2" t="s">
        <v>82</v>
      </c>
      <c r="C3049" s="2">
        <v>3</v>
      </c>
      <c r="D3049" s="2">
        <f t="shared" si="470"/>
        <v>7.62</v>
      </c>
      <c r="E3049" s="2">
        <f t="shared" si="471"/>
        <v>2.4255213327204852</v>
      </c>
      <c r="F3049" s="2">
        <f t="shared" si="472"/>
        <v>0.95492965855137202</v>
      </c>
      <c r="G3049" s="2">
        <v>1.1992659999999999</v>
      </c>
      <c r="H3049" s="2">
        <f t="shared" si="473"/>
        <v>3.9345998634399999</v>
      </c>
      <c r="I3049" s="2">
        <f>INDEX('Wood Density Lookup'!$B$2:$B$152,MATCH(B3049,'Wood Density Lookup'!$A$2:$A$152,0))</f>
        <v>0.7</v>
      </c>
      <c r="J3049" s="2">
        <f t="shared" si="474"/>
        <v>0.31988350989861053</v>
      </c>
      <c r="K3049" s="2">
        <f t="shared" si="478"/>
        <v>8.9567382771610957E-2</v>
      </c>
      <c r="L3049" s="2">
        <f t="shared" si="479"/>
        <v>0.4094508926702215</v>
      </c>
      <c r="M3049" s="2">
        <f t="shared" si="475"/>
        <v>0.2968518971859106</v>
      </c>
      <c r="N3049" s="2">
        <f t="shared" si="476"/>
        <v>0.1484259485929553</v>
      </c>
      <c r="O3049" s="2">
        <f t="shared" si="477"/>
        <v>0.54472323133614597</v>
      </c>
      <c r="P3049" s="2">
        <v>72.554224000000005</v>
      </c>
      <c r="Q3049" s="2">
        <v>23.036854000000002</v>
      </c>
    </row>
    <row r="3050" spans="1:17" x14ac:dyDescent="0.25">
      <c r="A3050" s="2">
        <v>3236</v>
      </c>
      <c r="B3050" s="2" t="s">
        <v>82</v>
      </c>
      <c r="C3050" s="2">
        <v>2</v>
      </c>
      <c r="D3050" s="2">
        <f t="shared" si="470"/>
        <v>5.08</v>
      </c>
      <c r="E3050" s="2">
        <f t="shared" si="471"/>
        <v>1.6170142218136567</v>
      </c>
      <c r="F3050" s="2">
        <f t="shared" si="472"/>
        <v>0.63661977236758138</v>
      </c>
      <c r="G3050" s="2">
        <v>1.342651</v>
      </c>
      <c r="H3050" s="2">
        <f t="shared" si="473"/>
        <v>4.4050231068399999</v>
      </c>
      <c r="I3050" s="2">
        <f>INDEX('Wood Density Lookup'!$B$2:$B$152,MATCH(B3050,'Wood Density Lookup'!$A$2:$A$152,0))</f>
        <v>0.7</v>
      </c>
      <c r="J3050" s="2">
        <f t="shared" si="474"/>
        <v>0.16185726234197845</v>
      </c>
      <c r="K3050" s="2">
        <f t="shared" si="478"/>
        <v>4.5320033455753972E-2</v>
      </c>
      <c r="L3050" s="2">
        <f t="shared" si="479"/>
        <v>0.20717729579773242</v>
      </c>
      <c r="M3050" s="2">
        <f t="shared" si="475"/>
        <v>0.15020353945335599</v>
      </c>
      <c r="N3050" s="2">
        <f t="shared" si="476"/>
        <v>7.5101769726677994E-2</v>
      </c>
      <c r="O3050" s="2">
        <f t="shared" si="477"/>
        <v>0.27562349489690824</v>
      </c>
      <c r="P3050" s="2">
        <v>72.554225000000002</v>
      </c>
      <c r="Q3050" s="2">
        <v>23.036836000000001</v>
      </c>
    </row>
    <row r="3051" spans="1:17" x14ac:dyDescent="0.25">
      <c r="A3051" s="2">
        <v>3237</v>
      </c>
      <c r="B3051" s="2" t="s">
        <v>82</v>
      </c>
      <c r="C3051" s="2">
        <v>1</v>
      </c>
      <c r="D3051" s="2">
        <f t="shared" si="470"/>
        <v>2.54</v>
      </c>
      <c r="E3051" s="2">
        <f t="shared" si="471"/>
        <v>0.80850711090682836</v>
      </c>
      <c r="F3051" s="2">
        <f t="shared" si="472"/>
        <v>0.31830988618379069</v>
      </c>
      <c r="G3051" s="2">
        <v>1.1071519999999999</v>
      </c>
      <c r="H3051" s="2">
        <f t="shared" si="473"/>
        <v>3.6323885676799996</v>
      </c>
      <c r="I3051" s="2">
        <f>INDEX('Wood Density Lookup'!$B$2:$B$152,MATCH(B3051,'Wood Density Lookup'!$A$2:$A$152,0))</f>
        <v>0.7</v>
      </c>
      <c r="J3051" s="2">
        <f t="shared" si="474"/>
        <v>3.4655796882662661E-2</v>
      </c>
      <c r="K3051" s="2">
        <f t="shared" si="478"/>
        <v>9.7036231271455456E-3</v>
      </c>
      <c r="L3051" s="2">
        <f t="shared" si="479"/>
        <v>4.4359420009808206E-2</v>
      </c>
      <c r="M3051" s="2">
        <f t="shared" si="475"/>
        <v>3.2160579507110952E-2</v>
      </c>
      <c r="N3051" s="2">
        <f t="shared" si="476"/>
        <v>1.6080289753555476E-2</v>
      </c>
      <c r="O3051" s="2">
        <f t="shared" si="477"/>
        <v>5.9014663395548596E-2</v>
      </c>
      <c r="P3051" s="2">
        <v>72.554225000000002</v>
      </c>
      <c r="Q3051" s="2">
        <v>23.036809000000002</v>
      </c>
    </row>
    <row r="3052" spans="1:17" x14ac:dyDescent="0.25">
      <c r="A3052" s="2">
        <v>3238</v>
      </c>
      <c r="B3052" s="2" t="s">
        <v>82</v>
      </c>
      <c r="C3052" s="2">
        <v>2</v>
      </c>
      <c r="D3052" s="2">
        <f t="shared" si="470"/>
        <v>5.08</v>
      </c>
      <c r="E3052" s="2">
        <f t="shared" si="471"/>
        <v>1.6170142218136567</v>
      </c>
      <c r="F3052" s="2">
        <f t="shared" si="472"/>
        <v>0.63661977236758138</v>
      </c>
      <c r="G3052" s="2">
        <v>1.4732700000000001</v>
      </c>
      <c r="H3052" s="2">
        <f t="shared" si="473"/>
        <v>4.8335631468000004</v>
      </c>
      <c r="I3052" s="2">
        <f>INDEX('Wood Density Lookup'!$B$2:$B$152,MATCH(B3052,'Wood Density Lookup'!$A$2:$A$152,0))</f>
        <v>0.7</v>
      </c>
      <c r="J3052" s="2">
        <f t="shared" si="474"/>
        <v>0.17720816780269649</v>
      </c>
      <c r="K3052" s="2">
        <f t="shared" si="478"/>
        <v>4.9618286984755025E-2</v>
      </c>
      <c r="L3052" s="2">
        <f t="shared" si="479"/>
        <v>0.2268264547874515</v>
      </c>
      <c r="M3052" s="2">
        <f t="shared" si="475"/>
        <v>0.16444917972090234</v>
      </c>
      <c r="N3052" s="2">
        <f t="shared" si="476"/>
        <v>8.2224589860451169E-2</v>
      </c>
      <c r="O3052" s="2">
        <f t="shared" si="477"/>
        <v>0.3017642447878558</v>
      </c>
      <c r="P3052" s="2">
        <v>72.554225000000002</v>
      </c>
      <c r="Q3052" s="2">
        <v>23.036798999999998</v>
      </c>
    </row>
    <row r="3053" spans="1:17" x14ac:dyDescent="0.25">
      <c r="A3053" s="2">
        <v>3239</v>
      </c>
      <c r="B3053" s="2" t="s">
        <v>82</v>
      </c>
      <c r="C3053" s="2">
        <v>2</v>
      </c>
      <c r="D3053" s="2">
        <f t="shared" si="470"/>
        <v>5.08</v>
      </c>
      <c r="E3053" s="2">
        <f t="shared" si="471"/>
        <v>1.6170142218136567</v>
      </c>
      <c r="F3053" s="2">
        <f t="shared" si="472"/>
        <v>0.63661977236758138</v>
      </c>
      <c r="G3053" s="2">
        <v>1.434261</v>
      </c>
      <c r="H3053" s="2">
        <f t="shared" si="473"/>
        <v>4.7055808592400004</v>
      </c>
      <c r="I3053" s="2">
        <f>INDEX('Wood Density Lookup'!$B$2:$B$152,MATCH(B3053,'Wood Density Lookup'!$A$2:$A$152,0))</f>
        <v>0.7</v>
      </c>
      <c r="J3053" s="2">
        <f t="shared" si="474"/>
        <v>0.17262722091292651</v>
      </c>
      <c r="K3053" s="2">
        <f t="shared" si="478"/>
        <v>4.8335621855619425E-2</v>
      </c>
      <c r="L3053" s="2">
        <f t="shared" si="479"/>
        <v>0.22096284276854594</v>
      </c>
      <c r="M3053" s="2">
        <f t="shared" si="475"/>
        <v>0.1601980610071958</v>
      </c>
      <c r="N3053" s="2">
        <f t="shared" si="476"/>
        <v>8.0099030503597901E-2</v>
      </c>
      <c r="O3053" s="2">
        <f t="shared" si="477"/>
        <v>0.29396344194820428</v>
      </c>
      <c r="P3053" s="2">
        <v>72.554225000000002</v>
      </c>
      <c r="Q3053" s="2">
        <v>23.036791999999998</v>
      </c>
    </row>
    <row r="3054" spans="1:17" x14ac:dyDescent="0.25">
      <c r="A3054" s="2">
        <v>3240</v>
      </c>
      <c r="B3054" s="2" t="s">
        <v>82</v>
      </c>
      <c r="C3054" s="2">
        <v>2</v>
      </c>
      <c r="D3054" s="2">
        <f t="shared" si="470"/>
        <v>5.08</v>
      </c>
      <c r="E3054" s="2">
        <f t="shared" si="471"/>
        <v>1.6170142218136567</v>
      </c>
      <c r="F3054" s="2">
        <f t="shared" si="472"/>
        <v>0.63661977236758138</v>
      </c>
      <c r="G3054" s="2">
        <v>1.3020769999999999</v>
      </c>
      <c r="H3054" s="2">
        <f t="shared" si="473"/>
        <v>4.2719063046799999</v>
      </c>
      <c r="I3054" s="2">
        <f>INDEX('Wood Density Lookup'!$B$2:$B$152,MATCH(B3054,'Wood Density Lookup'!$A$2:$A$152,0))</f>
        <v>0.7</v>
      </c>
      <c r="J3054" s="2">
        <f t="shared" si="474"/>
        <v>0.15708168587988205</v>
      </c>
      <c r="K3054" s="2">
        <f t="shared" si="478"/>
        <v>4.3982872046366979E-2</v>
      </c>
      <c r="L3054" s="2">
        <f t="shared" si="479"/>
        <v>0.20106455792624903</v>
      </c>
      <c r="M3054" s="2">
        <f t="shared" si="475"/>
        <v>0.14577180449653054</v>
      </c>
      <c r="N3054" s="2">
        <f t="shared" si="476"/>
        <v>7.2885902248265272E-2</v>
      </c>
      <c r="O3054" s="2">
        <f t="shared" si="477"/>
        <v>0.26749126125113354</v>
      </c>
      <c r="P3054" s="2">
        <v>72.554225000000002</v>
      </c>
      <c r="Q3054" s="2">
        <v>23.036787</v>
      </c>
    </row>
    <row r="3055" spans="1:17" x14ac:dyDescent="0.25">
      <c r="A3055" s="2">
        <v>3241</v>
      </c>
      <c r="B3055" s="2" t="s">
        <v>82</v>
      </c>
      <c r="C3055" s="2">
        <v>3</v>
      </c>
      <c r="D3055" s="2">
        <f t="shared" si="470"/>
        <v>7.62</v>
      </c>
      <c r="E3055" s="2">
        <f t="shared" si="471"/>
        <v>2.4255213327204852</v>
      </c>
      <c r="F3055" s="2">
        <f t="shared" si="472"/>
        <v>0.95492965855137202</v>
      </c>
      <c r="G3055" s="2">
        <v>1.6122339999999999</v>
      </c>
      <c r="H3055" s="2">
        <f t="shared" si="473"/>
        <v>5.2894817965599996</v>
      </c>
      <c r="I3055" s="2">
        <f>INDEX('Wood Density Lookup'!$B$2:$B$152,MATCH(B3055,'Wood Density Lookup'!$A$2:$A$152,0))</f>
        <v>0.7</v>
      </c>
      <c r="J3055" s="2">
        <f t="shared" si="474"/>
        <v>0.42699236119850675</v>
      </c>
      <c r="K3055" s="2">
        <f t="shared" si="478"/>
        <v>0.11955786113558191</v>
      </c>
      <c r="L3055" s="2">
        <f t="shared" si="479"/>
        <v>0.54655022233408868</v>
      </c>
      <c r="M3055" s="2">
        <f t="shared" si="475"/>
        <v>0.39624891119221428</v>
      </c>
      <c r="N3055" s="2">
        <f t="shared" si="476"/>
        <v>0.19812445559610714</v>
      </c>
      <c r="O3055" s="2">
        <f t="shared" si="477"/>
        <v>0.7271167520377132</v>
      </c>
      <c r="P3055" s="2">
        <v>72.554226</v>
      </c>
      <c r="Q3055" s="2">
        <v>23.036830999999999</v>
      </c>
    </row>
    <row r="3056" spans="1:17" x14ac:dyDescent="0.25">
      <c r="A3056" s="2">
        <v>3242</v>
      </c>
      <c r="B3056" s="2" t="s">
        <v>82</v>
      </c>
      <c r="C3056" s="2">
        <v>2</v>
      </c>
      <c r="D3056" s="2">
        <f t="shared" si="470"/>
        <v>5.08</v>
      </c>
      <c r="E3056" s="2">
        <f t="shared" si="471"/>
        <v>1.6170142218136567</v>
      </c>
      <c r="F3056" s="2">
        <f t="shared" si="472"/>
        <v>0.63661977236758138</v>
      </c>
      <c r="G3056" s="2">
        <v>1.1175999999999999</v>
      </c>
      <c r="H3056" s="2">
        <f t="shared" si="473"/>
        <v>3.6666667839999998</v>
      </c>
      <c r="I3056" s="2">
        <f>INDEX('Wood Density Lookup'!$B$2:$B$152,MATCH(B3056,'Wood Density Lookup'!$A$2:$A$152,0))</f>
        <v>0.7</v>
      </c>
      <c r="J3056" s="2">
        <f t="shared" si="474"/>
        <v>0.13532177502653731</v>
      </c>
      <c r="K3056" s="2">
        <f t="shared" si="478"/>
        <v>3.789009700743045E-2</v>
      </c>
      <c r="L3056" s="2">
        <f t="shared" si="479"/>
        <v>0.17321187203396776</v>
      </c>
      <c r="M3056" s="2">
        <f t="shared" si="475"/>
        <v>0.12557860722462663</v>
      </c>
      <c r="N3056" s="2">
        <f t="shared" si="476"/>
        <v>6.2789303612313316E-2</v>
      </c>
      <c r="O3056" s="2">
        <f t="shared" si="477"/>
        <v>0.23043674425718985</v>
      </c>
      <c r="P3056" s="2">
        <v>72.554226999999997</v>
      </c>
      <c r="Q3056" s="2">
        <v>23.036815000000001</v>
      </c>
    </row>
    <row r="3057" spans="1:17" x14ac:dyDescent="0.25">
      <c r="A3057" s="2">
        <v>3243</v>
      </c>
      <c r="B3057" s="2" t="s">
        <v>82</v>
      </c>
      <c r="C3057" s="2">
        <v>2</v>
      </c>
      <c r="D3057" s="2">
        <f t="shared" si="470"/>
        <v>5.08</v>
      </c>
      <c r="E3057" s="2">
        <f t="shared" si="471"/>
        <v>1.6170142218136567</v>
      </c>
      <c r="F3057" s="2">
        <f t="shared" si="472"/>
        <v>0.63661977236758138</v>
      </c>
      <c r="G3057" s="2">
        <v>1.8466199999999999</v>
      </c>
      <c r="H3057" s="2">
        <f t="shared" si="473"/>
        <v>6.0584647607999997</v>
      </c>
      <c r="I3057" s="2">
        <f>INDEX('Wood Density Lookup'!$B$2:$B$152,MATCH(B3057,'Wood Density Lookup'!$A$2:$A$152,0))</f>
        <v>0.7</v>
      </c>
      <c r="J3057" s="2">
        <f t="shared" si="474"/>
        <v>0.22091471261021633</v>
      </c>
      <c r="K3057" s="2">
        <f t="shared" si="478"/>
        <v>6.1856119530860579E-2</v>
      </c>
      <c r="L3057" s="2">
        <f t="shared" si="479"/>
        <v>0.2827708321410769</v>
      </c>
      <c r="M3057" s="2">
        <f t="shared" si="475"/>
        <v>0.20500885330228075</v>
      </c>
      <c r="N3057" s="2">
        <f t="shared" si="476"/>
        <v>0.10250442665114037</v>
      </c>
      <c r="O3057" s="2">
        <f t="shared" si="477"/>
        <v>0.37619124580968516</v>
      </c>
      <c r="P3057" s="2">
        <v>72.554227999999995</v>
      </c>
      <c r="Q3057" s="2">
        <v>23.036826000000001</v>
      </c>
    </row>
    <row r="3058" spans="1:17" x14ac:dyDescent="0.25">
      <c r="A3058" s="2">
        <v>3244</v>
      </c>
      <c r="B3058" s="2" t="s">
        <v>82</v>
      </c>
      <c r="C3058" s="2">
        <v>26</v>
      </c>
      <c r="D3058" s="2">
        <f t="shared" si="470"/>
        <v>66.040000000000006</v>
      </c>
      <c r="E3058" s="2">
        <f t="shared" si="471"/>
        <v>21.02118488357754</v>
      </c>
      <c r="F3058" s="2">
        <f t="shared" si="472"/>
        <v>8.2760570407785572</v>
      </c>
      <c r="G3058" s="2">
        <v>5.2941960000000003</v>
      </c>
      <c r="H3058" s="2">
        <f t="shared" si="473"/>
        <v>17.369410004640002</v>
      </c>
      <c r="I3058" s="2">
        <f>INDEX('Wood Density Lookup'!$B$2:$B$152,MATCH(B3058,'Wood Density Lookup'!$A$2:$A$152,0))</f>
        <v>0.7</v>
      </c>
      <c r="J3058" s="2">
        <f t="shared" si="474"/>
        <v>92.275499561241631</v>
      </c>
      <c r="K3058" s="2">
        <f t="shared" si="478"/>
        <v>25.83713987714766</v>
      </c>
      <c r="L3058" s="2">
        <f t="shared" si="479"/>
        <v>118.11263943838929</v>
      </c>
      <c r="M3058" s="2">
        <f t="shared" si="475"/>
        <v>85.63166359283224</v>
      </c>
      <c r="N3058" s="2">
        <f t="shared" si="476"/>
        <v>42.81583179641612</v>
      </c>
      <c r="O3058" s="2">
        <f t="shared" si="477"/>
        <v>157.13410269284716</v>
      </c>
      <c r="P3058" s="2">
        <v>72.554229000000007</v>
      </c>
      <c r="Q3058" s="2">
        <v>23.036760999999998</v>
      </c>
    </row>
    <row r="3059" spans="1:17" x14ac:dyDescent="0.25">
      <c r="A3059" s="2">
        <v>3245</v>
      </c>
      <c r="B3059" s="2" t="s">
        <v>82</v>
      </c>
      <c r="C3059" s="2">
        <v>3</v>
      </c>
      <c r="D3059" s="2">
        <f t="shared" si="470"/>
        <v>7.62</v>
      </c>
      <c r="E3059" s="2">
        <f t="shared" si="471"/>
        <v>2.4255213327204852</v>
      </c>
      <c r="F3059" s="2">
        <f t="shared" si="472"/>
        <v>0.95492965855137202</v>
      </c>
      <c r="G3059" s="2">
        <v>1.1244749999999999</v>
      </c>
      <c r="H3059" s="2">
        <f t="shared" si="473"/>
        <v>3.6892225589999996</v>
      </c>
      <c r="I3059" s="2">
        <f>INDEX('Wood Density Lookup'!$B$2:$B$152,MATCH(B3059,'Wood Density Lookup'!$A$2:$A$152,0))</f>
        <v>0.7</v>
      </c>
      <c r="J3059" s="2">
        <f t="shared" si="474"/>
        <v>0.30039819092917225</v>
      </c>
      <c r="K3059" s="2">
        <f t="shared" si="478"/>
        <v>8.4111493460168232E-2</v>
      </c>
      <c r="L3059" s="2">
        <f t="shared" si="479"/>
        <v>0.38450968438934047</v>
      </c>
      <c r="M3059" s="2">
        <f t="shared" si="475"/>
        <v>0.27876952118227183</v>
      </c>
      <c r="N3059" s="2">
        <f t="shared" si="476"/>
        <v>0.13938476059113591</v>
      </c>
      <c r="O3059" s="2">
        <f t="shared" si="477"/>
        <v>0.51154207136946883</v>
      </c>
      <c r="P3059" s="2">
        <v>72.554229000000007</v>
      </c>
      <c r="Q3059" s="2">
        <v>23.036783</v>
      </c>
    </row>
    <row r="3060" spans="1:17" x14ac:dyDescent="0.25">
      <c r="A3060" s="2">
        <v>3246</v>
      </c>
      <c r="B3060" s="2" t="s">
        <v>82</v>
      </c>
      <c r="C3060" s="2">
        <v>2</v>
      </c>
      <c r="D3060" s="2">
        <f t="shared" si="470"/>
        <v>5.08</v>
      </c>
      <c r="E3060" s="2">
        <f t="shared" si="471"/>
        <v>1.6170142218136567</v>
      </c>
      <c r="F3060" s="2">
        <f t="shared" si="472"/>
        <v>0.63661977236758138</v>
      </c>
      <c r="G3060" s="2">
        <v>1.5189490000000001</v>
      </c>
      <c r="H3060" s="2">
        <f t="shared" si="473"/>
        <v>4.9834286371600003</v>
      </c>
      <c r="I3060" s="2">
        <f>INDEX('Wood Density Lookup'!$B$2:$B$152,MATCH(B3060,'Wood Density Lookup'!$A$2:$A$152,0))</f>
        <v>0.7</v>
      </c>
      <c r="J3060" s="2">
        <f t="shared" si="474"/>
        <v>0.18256869945944887</v>
      </c>
      <c r="K3060" s="2">
        <f t="shared" si="478"/>
        <v>5.1119235848645687E-2</v>
      </c>
      <c r="L3060" s="2">
        <f t="shared" si="479"/>
        <v>0.23368793530809456</v>
      </c>
      <c r="M3060" s="2">
        <f t="shared" si="475"/>
        <v>0.16942375309836855</v>
      </c>
      <c r="N3060" s="2">
        <f t="shared" si="476"/>
        <v>8.4711876549184273E-2</v>
      </c>
      <c r="O3060" s="2">
        <f t="shared" si="477"/>
        <v>0.31089258693550625</v>
      </c>
      <c r="P3060" s="2">
        <v>72.554229000000007</v>
      </c>
      <c r="Q3060" s="2">
        <v>23.03679</v>
      </c>
    </row>
    <row r="3061" spans="1:17" x14ac:dyDescent="0.25">
      <c r="A3061" s="2">
        <v>3247</v>
      </c>
      <c r="B3061" s="2" t="s">
        <v>82</v>
      </c>
      <c r="C3061" s="2">
        <v>3</v>
      </c>
      <c r="D3061" s="2">
        <f t="shared" si="470"/>
        <v>7.62</v>
      </c>
      <c r="E3061" s="2">
        <f t="shared" si="471"/>
        <v>2.4255213327204852</v>
      </c>
      <c r="F3061" s="2">
        <f t="shared" si="472"/>
        <v>0.95492965855137202</v>
      </c>
      <c r="G3061" s="2">
        <v>1.5108090000000001</v>
      </c>
      <c r="H3061" s="2">
        <f t="shared" si="473"/>
        <v>4.9567225995599999</v>
      </c>
      <c r="I3061" s="2">
        <f>INDEX('Wood Density Lookup'!$B$2:$B$152,MATCH(B3061,'Wood Density Lookup'!$A$2:$A$152,0))</f>
        <v>0.7</v>
      </c>
      <c r="J3061" s="2">
        <f t="shared" si="474"/>
        <v>0.40075489673119674</v>
      </c>
      <c r="K3061" s="2">
        <f t="shared" si="478"/>
        <v>0.1122113710847351</v>
      </c>
      <c r="L3061" s="2">
        <f t="shared" si="479"/>
        <v>0.5129662678159318</v>
      </c>
      <c r="M3061" s="2">
        <f t="shared" si="475"/>
        <v>0.37190054416655055</v>
      </c>
      <c r="N3061" s="2">
        <f t="shared" si="476"/>
        <v>0.18595027208327528</v>
      </c>
      <c r="O3061" s="2">
        <f t="shared" si="477"/>
        <v>0.6824374985456203</v>
      </c>
      <c r="P3061" s="2">
        <v>72.554229000000007</v>
      </c>
      <c r="Q3061" s="2">
        <v>23.036798999999998</v>
      </c>
    </row>
    <row r="3062" spans="1:17" x14ac:dyDescent="0.25">
      <c r="A3062" s="2">
        <v>3248</v>
      </c>
      <c r="B3062" s="2" t="s">
        <v>82</v>
      </c>
      <c r="C3062" s="2">
        <v>1</v>
      </c>
      <c r="D3062" s="2">
        <f t="shared" si="470"/>
        <v>2.54</v>
      </c>
      <c r="E3062" s="2">
        <f t="shared" si="471"/>
        <v>0.80850711090682836</v>
      </c>
      <c r="F3062" s="2">
        <f t="shared" si="472"/>
        <v>0.31830988618379069</v>
      </c>
      <c r="G3062" s="2">
        <v>1.240348</v>
      </c>
      <c r="H3062" s="2">
        <f t="shared" si="473"/>
        <v>4.0693833323200002</v>
      </c>
      <c r="I3062" s="2">
        <f>INDEX('Wood Density Lookup'!$B$2:$B$152,MATCH(B3062,'Wood Density Lookup'!$A$2:$A$152,0))</f>
        <v>0.7</v>
      </c>
      <c r="J3062" s="2">
        <f t="shared" si="474"/>
        <v>3.8719355538320475E-2</v>
      </c>
      <c r="K3062" s="2">
        <f t="shared" si="478"/>
        <v>1.0841419550729734E-2</v>
      </c>
      <c r="L3062" s="2">
        <f t="shared" si="479"/>
        <v>4.9560775089050213E-2</v>
      </c>
      <c r="M3062" s="2">
        <f t="shared" si="475"/>
        <v>3.5931561939561402E-2</v>
      </c>
      <c r="N3062" s="2">
        <f t="shared" si="476"/>
        <v>1.7965780969780701E-2</v>
      </c>
      <c r="O3062" s="2">
        <f t="shared" si="477"/>
        <v>6.5934416159095177E-2</v>
      </c>
      <c r="P3062" s="2">
        <v>72.554229000000007</v>
      </c>
      <c r="Q3062" s="2">
        <v>23.036809999999999</v>
      </c>
    </row>
    <row r="3063" spans="1:17" x14ac:dyDescent="0.25">
      <c r="A3063" s="2">
        <v>3249</v>
      </c>
      <c r="B3063" s="2" t="s">
        <v>82</v>
      </c>
      <c r="C3063" s="2">
        <v>2</v>
      </c>
      <c r="D3063" s="2">
        <f t="shared" si="470"/>
        <v>5.08</v>
      </c>
      <c r="E3063" s="2">
        <f t="shared" si="471"/>
        <v>1.6170142218136567</v>
      </c>
      <c r="F3063" s="2">
        <f t="shared" si="472"/>
        <v>0.63661977236758138</v>
      </c>
      <c r="G3063" s="2">
        <v>1.947565</v>
      </c>
      <c r="H3063" s="2">
        <f t="shared" si="473"/>
        <v>6.3896491545999998</v>
      </c>
      <c r="I3063" s="2">
        <f>INDEX('Wood Density Lookup'!$B$2:$B$152,MATCH(B3063,'Wood Density Lookup'!$A$2:$A$152,0))</f>
        <v>0.7</v>
      </c>
      <c r="J3063" s="2">
        <f t="shared" si="474"/>
        <v>0.23269353657960884</v>
      </c>
      <c r="K3063" s="2">
        <f t="shared" si="478"/>
        <v>6.515419024229048E-2</v>
      </c>
      <c r="L3063" s="2">
        <f t="shared" si="479"/>
        <v>0.29784772682189931</v>
      </c>
      <c r="M3063" s="2">
        <f t="shared" si="475"/>
        <v>0.215939601945877</v>
      </c>
      <c r="N3063" s="2">
        <f t="shared" si="476"/>
        <v>0.1079698009729385</v>
      </c>
      <c r="O3063" s="2">
        <f t="shared" si="477"/>
        <v>0.39624916957068429</v>
      </c>
      <c r="P3063" s="2">
        <v>72.554229000000007</v>
      </c>
      <c r="Q3063" s="2">
        <v>23.036821</v>
      </c>
    </row>
    <row r="3064" spans="1:17" x14ac:dyDescent="0.25">
      <c r="A3064" s="2">
        <v>3250</v>
      </c>
      <c r="B3064" s="2" t="s">
        <v>82</v>
      </c>
      <c r="C3064" s="2">
        <v>2</v>
      </c>
      <c r="D3064" s="2">
        <f t="shared" si="470"/>
        <v>5.08</v>
      </c>
      <c r="E3064" s="2">
        <f t="shared" si="471"/>
        <v>1.6170142218136567</v>
      </c>
      <c r="F3064" s="2">
        <f t="shared" si="472"/>
        <v>0.63661977236758138</v>
      </c>
      <c r="G3064" s="2">
        <v>1.537752</v>
      </c>
      <c r="H3064" s="2">
        <f t="shared" si="473"/>
        <v>5.0451182716799998</v>
      </c>
      <c r="I3064" s="2">
        <f>INDEX('Wood Density Lookup'!$B$2:$B$152,MATCH(B3064,'Wood Density Lookup'!$A$2:$A$152,0))</f>
        <v>0.7</v>
      </c>
      <c r="J3064" s="2">
        <f t="shared" si="474"/>
        <v>0.18477414250112553</v>
      </c>
      <c r="K3064" s="2">
        <f t="shared" si="478"/>
        <v>5.1736759900315156E-2</v>
      </c>
      <c r="L3064" s="2">
        <f t="shared" si="479"/>
        <v>0.23651090240144068</v>
      </c>
      <c r="M3064" s="2">
        <f t="shared" si="475"/>
        <v>0.17147040424104448</v>
      </c>
      <c r="N3064" s="2">
        <f t="shared" si="476"/>
        <v>8.5735202120522241E-2</v>
      </c>
      <c r="O3064" s="2">
        <f t="shared" si="477"/>
        <v>0.31464819178231662</v>
      </c>
      <c r="P3064" s="2">
        <v>72.554229000000007</v>
      </c>
      <c r="Q3064" s="2">
        <v>23.036804</v>
      </c>
    </row>
    <row r="3065" spans="1:17" x14ac:dyDescent="0.25">
      <c r="A3065" s="2">
        <v>3251</v>
      </c>
      <c r="B3065" s="2" t="s">
        <v>82</v>
      </c>
      <c r="C3065" s="2">
        <v>2</v>
      </c>
      <c r="D3065" s="2">
        <f t="shared" si="470"/>
        <v>5.08</v>
      </c>
      <c r="E3065" s="2">
        <f t="shared" si="471"/>
        <v>1.6170142218136567</v>
      </c>
      <c r="F3065" s="2">
        <f t="shared" si="472"/>
        <v>0.63661977236758138</v>
      </c>
      <c r="G3065" s="2">
        <v>1.5779069999999999</v>
      </c>
      <c r="H3065" s="2">
        <f t="shared" si="473"/>
        <v>5.17686040188</v>
      </c>
      <c r="I3065" s="2">
        <f>INDEX('Wood Density Lookup'!$B$2:$B$152,MATCH(B3065,'Wood Density Lookup'!$A$2:$A$152,0))</f>
        <v>0.7</v>
      </c>
      <c r="J3065" s="2">
        <f t="shared" si="474"/>
        <v>0.18948184956787911</v>
      </c>
      <c r="K3065" s="2">
        <f t="shared" si="478"/>
        <v>5.305491787900616E-2</v>
      </c>
      <c r="L3065" s="2">
        <f t="shared" si="479"/>
        <v>0.24253676744688527</v>
      </c>
      <c r="M3065" s="2">
        <f t="shared" si="475"/>
        <v>0.17583915639899181</v>
      </c>
      <c r="N3065" s="2">
        <f t="shared" si="476"/>
        <v>8.7919578199495904E-2</v>
      </c>
      <c r="O3065" s="2">
        <f t="shared" si="477"/>
        <v>0.32266485199214995</v>
      </c>
      <c r="P3065" s="2">
        <v>72.554229000000007</v>
      </c>
      <c r="Q3065" s="2">
        <v>23.036795000000001</v>
      </c>
    </row>
    <row r="3066" spans="1:17" x14ac:dyDescent="0.25">
      <c r="A3066" s="2">
        <v>3252</v>
      </c>
      <c r="B3066" s="2" t="s">
        <v>82</v>
      </c>
      <c r="C3066" s="2">
        <v>2</v>
      </c>
      <c r="D3066" s="2">
        <f t="shared" si="470"/>
        <v>5.08</v>
      </c>
      <c r="E3066" s="2">
        <f t="shared" si="471"/>
        <v>1.6170142218136567</v>
      </c>
      <c r="F3066" s="2">
        <f t="shared" si="472"/>
        <v>0.63661977236758138</v>
      </c>
      <c r="G3066" s="2">
        <v>7.8254210000000004</v>
      </c>
      <c r="H3066" s="2">
        <f t="shared" si="473"/>
        <v>25.67395423364</v>
      </c>
      <c r="I3066" s="2">
        <f>INDEX('Wood Density Lookup'!$B$2:$B$152,MATCH(B3066,'Wood Density Lookup'!$A$2:$A$152,0))</f>
        <v>0.7</v>
      </c>
      <c r="J3066" s="2">
        <f t="shared" si="474"/>
        <v>0.9042815968474438</v>
      </c>
      <c r="K3066" s="2">
        <f t="shared" si="478"/>
        <v>0.2531988471172843</v>
      </c>
      <c r="L3066" s="2">
        <f t="shared" si="479"/>
        <v>1.1574804439647282</v>
      </c>
      <c r="M3066" s="2">
        <f t="shared" si="475"/>
        <v>0.83917332187442784</v>
      </c>
      <c r="N3066" s="2">
        <f t="shared" si="476"/>
        <v>0.41958666093721392</v>
      </c>
      <c r="O3066" s="2">
        <f t="shared" si="477"/>
        <v>1.5398830456395751</v>
      </c>
      <c r="P3066" s="2">
        <v>72.554230000000004</v>
      </c>
      <c r="Q3066" s="2">
        <v>23.036778999999999</v>
      </c>
    </row>
    <row r="3067" spans="1:17" x14ac:dyDescent="0.25">
      <c r="A3067" s="2">
        <v>3253</v>
      </c>
      <c r="B3067" s="2" t="s">
        <v>15</v>
      </c>
      <c r="C3067" s="2">
        <v>32</v>
      </c>
      <c r="D3067" s="2">
        <f t="shared" si="470"/>
        <v>81.28</v>
      </c>
      <c r="E3067" s="2">
        <f t="shared" si="471"/>
        <v>25.872227549018508</v>
      </c>
      <c r="F3067" s="2">
        <f t="shared" si="472"/>
        <v>10.185916357881302</v>
      </c>
      <c r="G3067" s="2">
        <v>8.5905059999999995</v>
      </c>
      <c r="H3067" s="2">
        <f t="shared" si="473"/>
        <v>28.184075705039998</v>
      </c>
      <c r="I3067" s="2">
        <f>INDEX('Wood Density Lookup'!$B$2:$B$152,MATCH(B3067,'Wood Density Lookup'!$A$2:$A$152,0))</f>
        <v>0.75</v>
      </c>
      <c r="J3067" s="2">
        <f t="shared" si="474"/>
        <v>237.42627229073392</v>
      </c>
      <c r="K3067" s="2">
        <f t="shared" si="478"/>
        <v>66.479356241405497</v>
      </c>
      <c r="L3067" s="2">
        <f t="shared" si="479"/>
        <v>303.90562853213942</v>
      </c>
      <c r="M3067" s="2">
        <f t="shared" si="475"/>
        <v>220.33158068580107</v>
      </c>
      <c r="N3067" s="2">
        <f t="shared" si="476"/>
        <v>110.16579034290054</v>
      </c>
      <c r="O3067" s="2">
        <f t="shared" si="477"/>
        <v>404.30845055844497</v>
      </c>
      <c r="P3067" s="2">
        <v>72.554231000000001</v>
      </c>
      <c r="Q3067" s="2">
        <v>23.037064000000001</v>
      </c>
    </row>
    <row r="3068" spans="1:17" x14ac:dyDescent="0.25">
      <c r="A3068" s="2">
        <v>3254</v>
      </c>
      <c r="B3068" s="2" t="s">
        <v>111</v>
      </c>
      <c r="C3068" s="2">
        <v>4</v>
      </c>
      <c r="D3068" s="2">
        <f t="shared" si="470"/>
        <v>10.16</v>
      </c>
      <c r="E3068" s="2">
        <f t="shared" si="471"/>
        <v>3.2340284436273135</v>
      </c>
      <c r="F3068" s="2">
        <f t="shared" si="472"/>
        <v>1.2732395447351628</v>
      </c>
      <c r="G3068" s="2">
        <v>12.850296</v>
      </c>
      <c r="H3068" s="2">
        <f t="shared" si="473"/>
        <v>42.159765128640004</v>
      </c>
      <c r="I3068" s="2">
        <f>INDEX('Wood Density Lookup'!$B$2:$B$152,MATCH(B3068,'Wood Density Lookup'!$A$2:$A$152,0))</f>
        <v>0.4</v>
      </c>
      <c r="J3068" s="2">
        <f t="shared" si="474"/>
        <v>3.2880983450705412</v>
      </c>
      <c r="K3068" s="2">
        <f t="shared" si="478"/>
        <v>0.92066753661975165</v>
      </c>
      <c r="L3068" s="2">
        <f t="shared" si="479"/>
        <v>4.2087658816902929</v>
      </c>
      <c r="M3068" s="2">
        <f t="shared" si="475"/>
        <v>3.0513552642254624</v>
      </c>
      <c r="N3068" s="2">
        <f t="shared" si="476"/>
        <v>1.5256776321127312</v>
      </c>
      <c r="O3068" s="2">
        <f t="shared" si="477"/>
        <v>5.5992369098537234</v>
      </c>
      <c r="P3068" s="2">
        <v>72.554242000000002</v>
      </c>
      <c r="Q3068" s="2">
        <v>23.036681999999999</v>
      </c>
    </row>
    <row r="3069" spans="1:17" x14ac:dyDescent="0.25">
      <c r="A3069" s="2">
        <v>3255</v>
      </c>
      <c r="B3069" s="2" t="s">
        <v>146</v>
      </c>
      <c r="C3069" s="2">
        <v>23</v>
      </c>
      <c r="D3069" s="2">
        <f t="shared" si="470"/>
        <v>58.42</v>
      </c>
      <c r="E3069" s="2">
        <f t="shared" si="471"/>
        <v>18.595663550857051</v>
      </c>
      <c r="F3069" s="2">
        <f t="shared" si="472"/>
        <v>7.3211273822271856</v>
      </c>
      <c r="G3069" s="2">
        <v>12.203321000000001</v>
      </c>
      <c r="H3069" s="2">
        <f t="shared" si="473"/>
        <v>40.037143669640002</v>
      </c>
      <c r="I3069" s="2">
        <f>INDEX('Wood Density Lookup'!$B$2:$B$152,MATCH(B3069,'Wood Density Lookup'!$A$2:$A$152,0))</f>
        <v>0.55000000000000004</v>
      </c>
      <c r="J3069" s="2">
        <f t="shared" si="474"/>
        <v>129.68902069035275</v>
      </c>
      <c r="K3069" s="2">
        <f t="shared" si="478"/>
        <v>36.312925793298774</v>
      </c>
      <c r="L3069" s="2">
        <f t="shared" si="479"/>
        <v>166.00194648365152</v>
      </c>
      <c r="M3069" s="2">
        <f t="shared" si="475"/>
        <v>120.35141120064735</v>
      </c>
      <c r="N3069" s="2">
        <f t="shared" si="476"/>
        <v>60.175705600323674</v>
      </c>
      <c r="O3069" s="2">
        <f t="shared" si="477"/>
        <v>220.84483955318788</v>
      </c>
      <c r="P3069" s="2">
        <v>72.554253000000003</v>
      </c>
      <c r="Q3069" s="2">
        <v>23.038708</v>
      </c>
    </row>
    <row r="3070" spans="1:17" x14ac:dyDescent="0.25">
      <c r="A3070" s="2">
        <v>3256</v>
      </c>
      <c r="B3070" s="2" t="s">
        <v>50</v>
      </c>
      <c r="C3070" s="2">
        <v>46</v>
      </c>
      <c r="D3070" s="2">
        <f t="shared" si="470"/>
        <v>116.84</v>
      </c>
      <c r="E3070" s="2">
        <f t="shared" si="471"/>
        <v>37.191327101714101</v>
      </c>
      <c r="F3070" s="2">
        <f t="shared" si="472"/>
        <v>14.642254764454371</v>
      </c>
      <c r="G3070" s="2">
        <v>7.4158010000000001</v>
      </c>
      <c r="H3070" s="2">
        <f t="shared" si="473"/>
        <v>24.330056552839999</v>
      </c>
      <c r="I3070" s="2">
        <f>INDEX('Wood Density Lookup'!$B$2:$B$152,MATCH(B3070,'Wood Density Lookup'!$A$2:$A$152,0))</f>
        <v>0.5</v>
      </c>
      <c r="J3070" s="2">
        <f t="shared" si="474"/>
        <v>281.18115646885479</v>
      </c>
      <c r="K3070" s="2">
        <f t="shared" si="478"/>
        <v>78.730723811279347</v>
      </c>
      <c r="L3070" s="2">
        <f t="shared" si="479"/>
        <v>359.91188028013414</v>
      </c>
      <c r="M3070" s="2">
        <f t="shared" si="475"/>
        <v>260.93611320309725</v>
      </c>
      <c r="N3070" s="2">
        <f t="shared" si="476"/>
        <v>130.46805660154862</v>
      </c>
      <c r="O3070" s="2">
        <f t="shared" si="477"/>
        <v>478.81776772768342</v>
      </c>
      <c r="P3070" s="2">
        <v>72.554254999999998</v>
      </c>
      <c r="Q3070" s="2">
        <v>23.037241999999999</v>
      </c>
    </row>
    <row r="3071" spans="1:17" x14ac:dyDescent="0.25">
      <c r="A3071" s="2">
        <v>3257</v>
      </c>
      <c r="B3071" s="2" t="s">
        <v>15</v>
      </c>
      <c r="C3071" s="2">
        <v>48</v>
      </c>
      <c r="D3071" s="2">
        <f t="shared" si="470"/>
        <v>121.92</v>
      </c>
      <c r="E3071" s="2">
        <f t="shared" si="471"/>
        <v>38.808341323527763</v>
      </c>
      <c r="F3071" s="2">
        <f t="shared" si="472"/>
        <v>15.278874536821952</v>
      </c>
      <c r="G3071" s="2">
        <v>12.976969</v>
      </c>
      <c r="H3071" s="2">
        <f t="shared" si="473"/>
        <v>42.57535897396</v>
      </c>
      <c r="I3071" s="2">
        <f>INDEX('Wood Density Lookup'!$B$2:$B$152,MATCH(B3071,'Wood Density Lookup'!$A$2:$A$152,0))</f>
        <v>0.75</v>
      </c>
      <c r="J3071" s="2">
        <f t="shared" si="474"/>
        <v>783.63481923984409</v>
      </c>
      <c r="K3071" s="2">
        <f t="shared" si="478"/>
        <v>219.41774938715636</v>
      </c>
      <c r="L3071" s="2">
        <f t="shared" si="479"/>
        <v>1003.0525686270005</v>
      </c>
      <c r="M3071" s="2">
        <f t="shared" si="475"/>
        <v>727.21311225457532</v>
      </c>
      <c r="N3071" s="2">
        <f t="shared" si="476"/>
        <v>363.60655612728766</v>
      </c>
      <c r="O3071" s="2">
        <f t="shared" si="477"/>
        <v>1334.4360609871458</v>
      </c>
      <c r="P3071" s="2">
        <v>72.554258000000004</v>
      </c>
      <c r="Q3071" s="2">
        <v>23.037386000000001</v>
      </c>
    </row>
    <row r="3072" spans="1:17" x14ac:dyDescent="0.25">
      <c r="A3072" s="2">
        <v>3258</v>
      </c>
      <c r="B3072" s="2" t="s">
        <v>31</v>
      </c>
      <c r="C3072" s="2">
        <v>24</v>
      </c>
      <c r="D3072" s="2">
        <f t="shared" si="470"/>
        <v>60.96</v>
      </c>
      <c r="E3072" s="2">
        <f t="shared" si="471"/>
        <v>19.404170661763882</v>
      </c>
      <c r="F3072" s="2">
        <f t="shared" si="472"/>
        <v>7.6394372684109761</v>
      </c>
      <c r="G3072" s="2">
        <v>11.453512</v>
      </c>
      <c r="H3072" s="2">
        <f t="shared" si="473"/>
        <v>37.577140310079997</v>
      </c>
      <c r="I3072" s="2">
        <f>INDEX('Wood Density Lookup'!$B$2:$B$152,MATCH(B3072,'Wood Density Lookup'!$A$2:$A$152,0))</f>
        <v>0.78</v>
      </c>
      <c r="J3072" s="2">
        <f t="shared" si="474"/>
        <v>186.29223392783976</v>
      </c>
      <c r="K3072" s="2">
        <f t="shared" si="478"/>
        <v>52.161825499795135</v>
      </c>
      <c r="L3072" s="2">
        <f t="shared" si="479"/>
        <v>238.45405942763489</v>
      </c>
      <c r="M3072" s="2">
        <f t="shared" si="475"/>
        <v>172.8791930850353</v>
      </c>
      <c r="N3072" s="2">
        <f t="shared" si="476"/>
        <v>86.439596542517648</v>
      </c>
      <c r="O3072" s="2">
        <f t="shared" si="477"/>
        <v>317.23331931103974</v>
      </c>
      <c r="P3072" s="2">
        <v>72.554260999999997</v>
      </c>
      <c r="Q3072" s="2">
        <v>23.038774</v>
      </c>
    </row>
    <row r="3073" spans="1:17" x14ac:dyDescent="0.25">
      <c r="A3073" s="2">
        <v>3259</v>
      </c>
      <c r="B3073" s="2" t="s">
        <v>15</v>
      </c>
      <c r="C3073" s="2">
        <v>78</v>
      </c>
      <c r="D3073" s="2">
        <f t="shared" ref="D3073:D3136" si="480">C3073*2.54</f>
        <v>198.12</v>
      </c>
      <c r="E3073" s="2">
        <f t="shared" ref="E3073:E3136" si="481">D3073/PI()</f>
        <v>63.063554650732613</v>
      </c>
      <c r="F3073" s="2">
        <f t="shared" ref="F3073:F3136" si="482">C3073/PI()</f>
        <v>24.828171122335672</v>
      </c>
      <c r="G3073" s="2">
        <v>14.871528</v>
      </c>
      <c r="H3073" s="2">
        <f t="shared" ref="H3073:H3136" si="483">G3073*3.28084</f>
        <v>48.791103923519998</v>
      </c>
      <c r="I3073" s="2">
        <f>INDEX('Wood Density Lookup'!$B$2:$B$152,MATCH(B3073,'Wood Density Lookup'!$A$2:$A$152,0))</f>
        <v>0.75</v>
      </c>
      <c r="J3073" s="2">
        <f t="shared" ref="J3073:J3136" si="484">0.0673*POWER(I3073*E3073^2*G3073,0.976)</f>
        <v>2309.1994425231637</v>
      </c>
      <c r="K3073" s="2">
        <f t="shared" si="478"/>
        <v>646.57584390648594</v>
      </c>
      <c r="L3073" s="2">
        <f t="shared" si="479"/>
        <v>2955.7752864296499</v>
      </c>
      <c r="M3073" s="2">
        <f t="shared" ref="M3073:M3136" si="485">0.725*L3073</f>
        <v>2142.9370826614963</v>
      </c>
      <c r="N3073" s="2">
        <f t="shared" ref="N3073:N3136" si="486">0.5*M3073</f>
        <v>1071.4685413307482</v>
      </c>
      <c r="O3073" s="2">
        <f t="shared" ref="O3073:O3136" si="487">3.67*N3073</f>
        <v>3932.2895466838459</v>
      </c>
      <c r="P3073" s="2">
        <v>72.554264000000003</v>
      </c>
      <c r="Q3073" s="2">
        <v>23.036653999999999</v>
      </c>
    </row>
    <row r="3074" spans="1:17" x14ac:dyDescent="0.25">
      <c r="A3074" s="2">
        <v>3260</v>
      </c>
      <c r="B3074" s="2" t="s">
        <v>37</v>
      </c>
      <c r="C3074" s="2">
        <v>24</v>
      </c>
      <c r="D3074" s="2">
        <f t="shared" si="480"/>
        <v>60.96</v>
      </c>
      <c r="E3074" s="2">
        <f t="shared" si="481"/>
        <v>19.404170661763882</v>
      </c>
      <c r="F3074" s="2">
        <f t="shared" si="482"/>
        <v>7.6394372684109761</v>
      </c>
      <c r="G3074" s="2">
        <v>11.705454</v>
      </c>
      <c r="H3074" s="2">
        <f t="shared" si="483"/>
        <v>38.403721701359999</v>
      </c>
      <c r="I3074" s="2">
        <f>INDEX('Wood Density Lookup'!$B$2:$B$152,MATCH(B3074,'Wood Density Lookup'!$A$2:$A$152,0))</f>
        <v>0.27</v>
      </c>
      <c r="J3074" s="2">
        <f t="shared" si="484"/>
        <v>67.568495596238975</v>
      </c>
      <c r="K3074" s="2">
        <f t="shared" si="478"/>
        <v>18.919178766946914</v>
      </c>
      <c r="L3074" s="2">
        <f t="shared" si="479"/>
        <v>86.487674363185889</v>
      </c>
      <c r="M3074" s="2">
        <f t="shared" si="485"/>
        <v>62.703563913309765</v>
      </c>
      <c r="N3074" s="2">
        <f t="shared" si="486"/>
        <v>31.351781956654882</v>
      </c>
      <c r="O3074" s="2">
        <f t="shared" si="487"/>
        <v>115.06103978092342</v>
      </c>
      <c r="P3074" s="2">
        <v>72.554265999999998</v>
      </c>
      <c r="Q3074" s="2">
        <v>23.036608000000001</v>
      </c>
    </row>
    <row r="3075" spans="1:17" x14ac:dyDescent="0.25">
      <c r="A3075" s="2">
        <v>3261</v>
      </c>
      <c r="B3075" s="2" t="s">
        <v>114</v>
      </c>
      <c r="C3075" s="2">
        <v>29</v>
      </c>
      <c r="D3075" s="2">
        <f t="shared" si="480"/>
        <v>73.66</v>
      </c>
      <c r="E3075" s="2">
        <f t="shared" si="481"/>
        <v>23.446706216298022</v>
      </c>
      <c r="F3075" s="2">
        <f t="shared" si="482"/>
        <v>9.2309866993299305</v>
      </c>
      <c r="G3075" s="2">
        <v>16.31345</v>
      </c>
      <c r="H3075" s="2">
        <f t="shared" si="483"/>
        <v>53.521819297999997</v>
      </c>
      <c r="I3075" s="2">
        <f>INDEX('Wood Density Lookup'!$B$2:$B$152,MATCH(B3075,'Wood Density Lookup'!$A$2:$A$152,0))</f>
        <v>0.55000000000000004</v>
      </c>
      <c r="J3075" s="2">
        <f t="shared" si="484"/>
        <v>270.67835035298157</v>
      </c>
      <c r="K3075" s="2">
        <f t="shared" ref="K3075:K3138" si="488">0.28*J3075</f>
        <v>75.789938098834853</v>
      </c>
      <c r="L3075" s="2">
        <f t="shared" ref="L3075:L3138" si="489">J3075+K3075</f>
        <v>346.46828845181642</v>
      </c>
      <c r="M3075" s="2">
        <f t="shared" si="485"/>
        <v>251.18950912756691</v>
      </c>
      <c r="N3075" s="2">
        <f t="shared" si="486"/>
        <v>125.59475456378345</v>
      </c>
      <c r="O3075" s="2">
        <f t="shared" si="487"/>
        <v>460.93274924908525</v>
      </c>
      <c r="P3075" s="2">
        <v>72.554269000000005</v>
      </c>
      <c r="Q3075" s="2">
        <v>23.037248000000002</v>
      </c>
    </row>
    <row r="3076" spans="1:17" x14ac:dyDescent="0.25">
      <c r="A3076" s="2">
        <v>3262</v>
      </c>
      <c r="B3076" s="2" t="s">
        <v>107</v>
      </c>
      <c r="C3076" s="2">
        <v>39</v>
      </c>
      <c r="D3076" s="2">
        <f t="shared" si="480"/>
        <v>99.06</v>
      </c>
      <c r="E3076" s="2">
        <f t="shared" si="481"/>
        <v>31.531777325366306</v>
      </c>
      <c r="F3076" s="2">
        <f t="shared" si="482"/>
        <v>12.414085561167836</v>
      </c>
      <c r="G3076" s="2">
        <v>18.773596000000001</v>
      </c>
      <c r="H3076" s="2">
        <f t="shared" si="483"/>
        <v>61.593164700640003</v>
      </c>
      <c r="I3076" s="2">
        <f>INDEX('Wood Density Lookup'!$B$2:$B$152,MATCH(B3076,'Wood Density Lookup'!$A$2:$A$152,0))</f>
        <v>0.65</v>
      </c>
      <c r="J3076" s="2">
        <f t="shared" si="484"/>
        <v>651.56508669859215</v>
      </c>
      <c r="K3076" s="2">
        <f t="shared" si="488"/>
        <v>182.43822427560582</v>
      </c>
      <c r="L3076" s="2">
        <f t="shared" si="489"/>
        <v>834.00331097419803</v>
      </c>
      <c r="M3076" s="2">
        <f t="shared" si="485"/>
        <v>604.65240045629355</v>
      </c>
      <c r="N3076" s="2">
        <f t="shared" si="486"/>
        <v>302.32620022814677</v>
      </c>
      <c r="O3076" s="2">
        <f t="shared" si="487"/>
        <v>1109.5371548372987</v>
      </c>
      <c r="P3076" s="2">
        <v>72.554270000000002</v>
      </c>
      <c r="Q3076" s="2">
        <v>23.037309</v>
      </c>
    </row>
    <row r="3077" spans="1:17" x14ac:dyDescent="0.25">
      <c r="A3077" s="2">
        <v>3263</v>
      </c>
      <c r="B3077" s="2" t="s">
        <v>15</v>
      </c>
      <c r="C3077" s="2">
        <v>84</v>
      </c>
      <c r="D3077" s="2">
        <f t="shared" si="480"/>
        <v>213.36</v>
      </c>
      <c r="E3077" s="2">
        <f t="shared" si="481"/>
        <v>67.914597316173584</v>
      </c>
      <c r="F3077" s="2">
        <f t="shared" si="482"/>
        <v>26.738030439438418</v>
      </c>
      <c r="G3077" s="2">
        <v>9.8674890000000008</v>
      </c>
      <c r="H3077" s="2">
        <f t="shared" si="483"/>
        <v>32.373652610760004</v>
      </c>
      <c r="I3077" s="2">
        <f>INDEX('Wood Density Lookup'!$B$2:$B$152,MATCH(B3077,'Wood Density Lookup'!$A$2:$A$152,0))</f>
        <v>0.75</v>
      </c>
      <c r="J3077" s="2">
        <f t="shared" si="484"/>
        <v>1788.1855386037282</v>
      </c>
      <c r="K3077" s="2">
        <f t="shared" si="488"/>
        <v>500.69195080904393</v>
      </c>
      <c r="L3077" s="2">
        <f t="shared" si="489"/>
        <v>2288.8774894127723</v>
      </c>
      <c r="M3077" s="2">
        <f t="shared" si="485"/>
        <v>1659.4361798242599</v>
      </c>
      <c r="N3077" s="2">
        <f t="shared" si="486"/>
        <v>829.71808991212993</v>
      </c>
      <c r="O3077" s="2">
        <f t="shared" si="487"/>
        <v>3045.0653899775166</v>
      </c>
      <c r="P3077" s="2">
        <v>72.554271</v>
      </c>
      <c r="Q3077" s="2">
        <v>23.037019999999998</v>
      </c>
    </row>
    <row r="3078" spans="1:17" x14ac:dyDescent="0.25">
      <c r="A3078" s="2">
        <v>3264</v>
      </c>
      <c r="B3078" s="2" t="s">
        <v>31</v>
      </c>
      <c r="C3078" s="2">
        <v>23</v>
      </c>
      <c r="D3078" s="2">
        <f t="shared" si="480"/>
        <v>58.42</v>
      </c>
      <c r="E3078" s="2">
        <f t="shared" si="481"/>
        <v>18.595663550857051</v>
      </c>
      <c r="F3078" s="2">
        <f t="shared" si="482"/>
        <v>7.3211273822271856</v>
      </c>
      <c r="G3078" s="2">
        <v>12.807003999999999</v>
      </c>
      <c r="H3078" s="2">
        <f t="shared" si="483"/>
        <v>42.017731003359998</v>
      </c>
      <c r="I3078" s="2">
        <f>INDEX('Wood Density Lookup'!$B$2:$B$152,MATCH(B3078,'Wood Density Lookup'!$A$2:$A$152,0))</f>
        <v>0.78</v>
      </c>
      <c r="J3078" s="2">
        <f t="shared" si="484"/>
        <v>191.18763446827921</v>
      </c>
      <c r="K3078" s="2">
        <f t="shared" si="488"/>
        <v>53.532537651118183</v>
      </c>
      <c r="L3078" s="2">
        <f t="shared" si="489"/>
        <v>244.7201721193974</v>
      </c>
      <c r="M3078" s="2">
        <f t="shared" si="485"/>
        <v>177.4221247865631</v>
      </c>
      <c r="N3078" s="2">
        <f t="shared" si="486"/>
        <v>88.711062393281551</v>
      </c>
      <c r="O3078" s="2">
        <f t="shared" si="487"/>
        <v>325.56959898334327</v>
      </c>
      <c r="P3078" s="2">
        <v>72.554275000000004</v>
      </c>
      <c r="Q3078" s="2">
        <v>23.038744000000001</v>
      </c>
    </row>
    <row r="3079" spans="1:17" x14ac:dyDescent="0.25">
      <c r="A3079" s="2">
        <v>3265</v>
      </c>
      <c r="B3079" s="2" t="s">
        <v>15</v>
      </c>
      <c r="C3079" s="2">
        <v>48</v>
      </c>
      <c r="D3079" s="2">
        <f t="shared" si="480"/>
        <v>121.92</v>
      </c>
      <c r="E3079" s="2">
        <f t="shared" si="481"/>
        <v>38.808341323527763</v>
      </c>
      <c r="F3079" s="2">
        <f t="shared" si="482"/>
        <v>15.278874536821952</v>
      </c>
      <c r="G3079" s="2">
        <v>13.031136</v>
      </c>
      <c r="H3079" s="2">
        <f t="shared" si="483"/>
        <v>42.753072234240001</v>
      </c>
      <c r="I3079" s="2">
        <f>INDEX('Wood Density Lookup'!$B$2:$B$152,MATCH(B3079,'Wood Density Lookup'!$A$2:$A$152,0))</f>
        <v>0.75</v>
      </c>
      <c r="J3079" s="2">
        <f t="shared" si="484"/>
        <v>786.82711657523521</v>
      </c>
      <c r="K3079" s="2">
        <f t="shared" si="488"/>
        <v>220.31159264106589</v>
      </c>
      <c r="L3079" s="2">
        <f t="shared" si="489"/>
        <v>1007.1387092163011</v>
      </c>
      <c r="M3079" s="2">
        <f t="shared" si="485"/>
        <v>730.17556418181823</v>
      </c>
      <c r="N3079" s="2">
        <f t="shared" si="486"/>
        <v>365.08778209090912</v>
      </c>
      <c r="O3079" s="2">
        <f t="shared" si="487"/>
        <v>1339.8721602736364</v>
      </c>
      <c r="P3079" s="2">
        <v>72.554276000000002</v>
      </c>
      <c r="Q3079" s="2">
        <v>23.036555</v>
      </c>
    </row>
    <row r="3080" spans="1:17" x14ac:dyDescent="0.25">
      <c r="A3080" s="2">
        <v>3266</v>
      </c>
      <c r="B3080" s="2" t="s">
        <v>15</v>
      </c>
      <c r="C3080" s="2">
        <v>14</v>
      </c>
      <c r="D3080" s="2">
        <f t="shared" si="480"/>
        <v>35.56</v>
      </c>
      <c r="E3080" s="2">
        <f t="shared" si="481"/>
        <v>11.319099552695597</v>
      </c>
      <c r="F3080" s="2">
        <f t="shared" si="482"/>
        <v>4.45633840657307</v>
      </c>
      <c r="G3080" s="2">
        <v>9.9417259999999992</v>
      </c>
      <c r="H3080" s="2">
        <f t="shared" si="483"/>
        <v>32.617212329839994</v>
      </c>
      <c r="I3080" s="2">
        <f>INDEX('Wood Density Lookup'!$B$2:$B$152,MATCH(B3080,'Wood Density Lookup'!$A$2:$A$152,0))</f>
        <v>0.75</v>
      </c>
      <c r="J3080" s="2">
        <f t="shared" si="484"/>
        <v>54.530358499225137</v>
      </c>
      <c r="K3080" s="2">
        <f t="shared" si="488"/>
        <v>15.26850037978304</v>
      </c>
      <c r="L3080" s="2">
        <f t="shared" si="489"/>
        <v>69.798858879008179</v>
      </c>
      <c r="M3080" s="2">
        <f t="shared" si="485"/>
        <v>50.604172687280929</v>
      </c>
      <c r="N3080" s="2">
        <f t="shared" si="486"/>
        <v>25.302086343640465</v>
      </c>
      <c r="O3080" s="2">
        <f t="shared" si="487"/>
        <v>92.858656881160499</v>
      </c>
      <c r="P3080" s="2">
        <v>72.554282999999998</v>
      </c>
      <c r="Q3080" s="2">
        <v>23.037192999999998</v>
      </c>
    </row>
    <row r="3081" spans="1:17" x14ac:dyDescent="0.25">
      <c r="A3081" s="2">
        <v>3267</v>
      </c>
      <c r="B3081" s="2" t="s">
        <v>15</v>
      </c>
      <c r="C3081" s="2">
        <v>29</v>
      </c>
      <c r="D3081" s="2">
        <f t="shared" si="480"/>
        <v>73.66</v>
      </c>
      <c r="E3081" s="2">
        <f t="shared" si="481"/>
        <v>23.446706216298022</v>
      </c>
      <c r="F3081" s="2">
        <f t="shared" si="482"/>
        <v>9.2309866993299305</v>
      </c>
      <c r="G3081" s="2">
        <v>8.8452579999999994</v>
      </c>
      <c r="H3081" s="2">
        <f t="shared" si="483"/>
        <v>29.019876256719996</v>
      </c>
      <c r="I3081" s="2">
        <f>INDEX('Wood Density Lookup'!$B$2:$B$152,MATCH(B3081,'Wood Density Lookup'!$A$2:$A$152,0))</f>
        <v>0.75</v>
      </c>
      <c r="J3081" s="2">
        <f t="shared" si="484"/>
        <v>201.58771652028207</v>
      </c>
      <c r="K3081" s="2">
        <f t="shared" si="488"/>
        <v>56.444560625678989</v>
      </c>
      <c r="L3081" s="2">
        <f t="shared" si="489"/>
        <v>258.03227714596107</v>
      </c>
      <c r="M3081" s="2">
        <f t="shared" si="485"/>
        <v>187.07340093082178</v>
      </c>
      <c r="N3081" s="2">
        <f t="shared" si="486"/>
        <v>93.536700465410888</v>
      </c>
      <c r="O3081" s="2">
        <f t="shared" si="487"/>
        <v>343.27969070805796</v>
      </c>
      <c r="P3081" s="2">
        <v>72.554284999999993</v>
      </c>
      <c r="Q3081" s="2">
        <v>23.037064999999998</v>
      </c>
    </row>
    <row r="3082" spans="1:17" x14ac:dyDescent="0.25">
      <c r="A3082" s="2">
        <v>3268</v>
      </c>
      <c r="B3082" s="2" t="s">
        <v>15</v>
      </c>
      <c r="C3082" s="2">
        <v>28</v>
      </c>
      <c r="D3082" s="2">
        <f t="shared" si="480"/>
        <v>71.12</v>
      </c>
      <c r="E3082" s="2">
        <f t="shared" si="481"/>
        <v>22.638199105391195</v>
      </c>
      <c r="F3082" s="2">
        <f t="shared" si="482"/>
        <v>8.91267681314614</v>
      </c>
      <c r="G3082" s="2">
        <v>9.8954869999999993</v>
      </c>
      <c r="H3082" s="2">
        <f t="shared" si="483"/>
        <v>32.465509569079998</v>
      </c>
      <c r="I3082" s="2">
        <f>INDEX('Wood Density Lookup'!$B$2:$B$152,MATCH(B3082,'Wood Density Lookup'!$A$2:$A$152,0))</f>
        <v>0.75</v>
      </c>
      <c r="J3082" s="2">
        <f t="shared" si="484"/>
        <v>210.02591153332807</v>
      </c>
      <c r="K3082" s="2">
        <f t="shared" si="488"/>
        <v>58.807255229331865</v>
      </c>
      <c r="L3082" s="2">
        <f t="shared" si="489"/>
        <v>268.83316676265991</v>
      </c>
      <c r="M3082" s="2">
        <f t="shared" si="485"/>
        <v>194.90404590292843</v>
      </c>
      <c r="N3082" s="2">
        <f t="shared" si="486"/>
        <v>97.452022951464215</v>
      </c>
      <c r="O3082" s="2">
        <f t="shared" si="487"/>
        <v>357.64892423187365</v>
      </c>
      <c r="P3082" s="2">
        <v>72.554292000000004</v>
      </c>
      <c r="Q3082" s="2">
        <v>23.036926000000001</v>
      </c>
    </row>
    <row r="3083" spans="1:17" x14ac:dyDescent="0.25">
      <c r="A3083" s="2">
        <v>3269</v>
      </c>
      <c r="B3083" s="2" t="s">
        <v>15</v>
      </c>
      <c r="C3083" s="2">
        <v>21</v>
      </c>
      <c r="D3083" s="2">
        <f t="shared" si="480"/>
        <v>53.34</v>
      </c>
      <c r="E3083" s="2">
        <f t="shared" si="481"/>
        <v>16.978649329043396</v>
      </c>
      <c r="F3083" s="2">
        <f t="shared" si="482"/>
        <v>6.6845076098596046</v>
      </c>
      <c r="G3083" s="2">
        <v>18.814845999999999</v>
      </c>
      <c r="H3083" s="2">
        <f t="shared" si="483"/>
        <v>61.72849935064</v>
      </c>
      <c r="I3083" s="2">
        <f>INDEX('Wood Density Lookup'!$B$2:$B$152,MATCH(B3083,'Wood Density Lookup'!$A$2:$A$152,0))</f>
        <v>0.75</v>
      </c>
      <c r="J3083" s="2">
        <f t="shared" si="484"/>
        <v>224.26341744977225</v>
      </c>
      <c r="K3083" s="2">
        <f t="shared" si="488"/>
        <v>62.793756885936233</v>
      </c>
      <c r="L3083" s="2">
        <f t="shared" si="489"/>
        <v>287.05717433570851</v>
      </c>
      <c r="M3083" s="2">
        <f t="shared" si="485"/>
        <v>208.11645139338867</v>
      </c>
      <c r="N3083" s="2">
        <f t="shared" si="486"/>
        <v>104.05822569669434</v>
      </c>
      <c r="O3083" s="2">
        <f t="shared" si="487"/>
        <v>381.89368830686823</v>
      </c>
      <c r="P3083" s="2">
        <v>72.554293000000001</v>
      </c>
      <c r="Q3083" s="2">
        <v>23.037292000000001</v>
      </c>
    </row>
    <row r="3084" spans="1:17" x14ac:dyDescent="0.25">
      <c r="A3084" s="2">
        <v>3270</v>
      </c>
      <c r="B3084" s="2" t="s">
        <v>114</v>
      </c>
      <c r="C3084" s="2">
        <v>6</v>
      </c>
      <c r="D3084" s="2">
        <f t="shared" si="480"/>
        <v>15.24</v>
      </c>
      <c r="E3084" s="2">
        <f t="shared" si="481"/>
        <v>4.8510426654409704</v>
      </c>
      <c r="F3084" s="2">
        <f t="shared" si="482"/>
        <v>1.909859317102744</v>
      </c>
      <c r="G3084" s="2">
        <v>10.610428000000001</v>
      </c>
      <c r="H3084" s="2">
        <f t="shared" si="483"/>
        <v>34.811116599520005</v>
      </c>
      <c r="I3084" s="2">
        <f>INDEX('Wood Density Lookup'!$B$2:$B$152,MATCH(B3084,'Wood Density Lookup'!$A$2:$A$152,0))</f>
        <v>0.55000000000000004</v>
      </c>
      <c r="J3084" s="2">
        <f t="shared" si="484"/>
        <v>8.2124826730801956</v>
      </c>
      <c r="K3084" s="2">
        <f t="shared" si="488"/>
        <v>2.2994951484624551</v>
      </c>
      <c r="L3084" s="2">
        <f t="shared" si="489"/>
        <v>10.511977821542651</v>
      </c>
      <c r="M3084" s="2">
        <f t="shared" si="485"/>
        <v>7.6211839206184218</v>
      </c>
      <c r="N3084" s="2">
        <f t="shared" si="486"/>
        <v>3.8105919603092109</v>
      </c>
      <c r="O3084" s="2">
        <f t="shared" si="487"/>
        <v>13.984872494334804</v>
      </c>
      <c r="P3084" s="2">
        <v>72.554295999999994</v>
      </c>
      <c r="Q3084" s="2">
        <v>23.036556000000001</v>
      </c>
    </row>
    <row r="3085" spans="1:17" x14ac:dyDescent="0.25">
      <c r="A3085" s="2">
        <v>3271</v>
      </c>
      <c r="B3085" s="2" t="s">
        <v>9</v>
      </c>
      <c r="C3085" s="2">
        <v>65</v>
      </c>
      <c r="D3085" s="2">
        <f t="shared" si="480"/>
        <v>165.1</v>
      </c>
      <c r="E3085" s="2">
        <f t="shared" si="481"/>
        <v>52.552962208943839</v>
      </c>
      <c r="F3085" s="2">
        <f t="shared" si="482"/>
        <v>20.690142601946395</v>
      </c>
      <c r="G3085" s="2">
        <v>2.50265</v>
      </c>
      <c r="H3085" s="2">
        <f t="shared" si="483"/>
        <v>8.2107942260000009</v>
      </c>
      <c r="I3085" s="2">
        <f>INDEX('Wood Density Lookup'!$B$2:$B$152,MATCH(B3085,'Wood Density Lookup'!$A$2:$A$152,0))</f>
        <v>0.42</v>
      </c>
      <c r="J3085" s="2">
        <f t="shared" si="484"/>
        <v>161.34318331625272</v>
      </c>
      <c r="K3085" s="2">
        <f t="shared" si="488"/>
        <v>45.176091328550768</v>
      </c>
      <c r="L3085" s="2">
        <f t="shared" si="489"/>
        <v>206.51927464480349</v>
      </c>
      <c r="M3085" s="2">
        <f t="shared" si="485"/>
        <v>149.72647411748252</v>
      </c>
      <c r="N3085" s="2">
        <f t="shared" si="486"/>
        <v>74.863237058741262</v>
      </c>
      <c r="O3085" s="2">
        <f t="shared" si="487"/>
        <v>274.74808000558045</v>
      </c>
      <c r="P3085" s="2">
        <v>72.554304999999999</v>
      </c>
      <c r="Q3085" s="2">
        <v>23.038520999999999</v>
      </c>
    </row>
    <row r="3086" spans="1:17" x14ac:dyDescent="0.25">
      <c r="A3086" s="2">
        <v>3272</v>
      </c>
      <c r="B3086" s="2" t="s">
        <v>82</v>
      </c>
      <c r="C3086" s="2">
        <v>3</v>
      </c>
      <c r="D3086" s="2">
        <f t="shared" si="480"/>
        <v>7.62</v>
      </c>
      <c r="E3086" s="2">
        <f t="shared" si="481"/>
        <v>2.4255213327204852</v>
      </c>
      <c r="F3086" s="2">
        <f t="shared" si="482"/>
        <v>0.95492965855137202</v>
      </c>
      <c r="G3086" s="2">
        <v>7.4097759999999999</v>
      </c>
      <c r="H3086" s="2">
        <f t="shared" si="483"/>
        <v>24.310289491839999</v>
      </c>
      <c r="I3086" s="2">
        <f>INDEX('Wood Density Lookup'!$B$2:$B$152,MATCH(B3086,'Wood Density Lookup'!$A$2:$A$152,0))</f>
        <v>0.7</v>
      </c>
      <c r="J3086" s="2">
        <f t="shared" si="484"/>
        <v>1.8919082073688518</v>
      </c>
      <c r="K3086" s="2">
        <f t="shared" si="488"/>
        <v>0.52973429806327854</v>
      </c>
      <c r="L3086" s="2">
        <f t="shared" si="489"/>
        <v>2.4216425054321302</v>
      </c>
      <c r="M3086" s="2">
        <f t="shared" si="485"/>
        <v>1.7556908164382943</v>
      </c>
      <c r="N3086" s="2">
        <f t="shared" si="486"/>
        <v>0.87784540821914714</v>
      </c>
      <c r="O3086" s="2">
        <f t="shared" si="487"/>
        <v>3.2216926481642698</v>
      </c>
      <c r="P3086" s="2">
        <v>72.554305999999997</v>
      </c>
      <c r="Q3086" s="2">
        <v>23.036577999999999</v>
      </c>
    </row>
    <row r="3087" spans="1:17" x14ac:dyDescent="0.25">
      <c r="A3087" s="2">
        <v>3273</v>
      </c>
      <c r="B3087" s="2" t="s">
        <v>82</v>
      </c>
      <c r="C3087" s="2">
        <v>2</v>
      </c>
      <c r="D3087" s="2">
        <f t="shared" si="480"/>
        <v>5.08</v>
      </c>
      <c r="E3087" s="2">
        <f t="shared" si="481"/>
        <v>1.6170142218136567</v>
      </c>
      <c r="F3087" s="2">
        <f t="shared" si="482"/>
        <v>0.63661977236758138</v>
      </c>
      <c r="G3087" s="2">
        <v>10.087707999999999</v>
      </c>
      <c r="H3087" s="2">
        <f t="shared" si="483"/>
        <v>33.096155914720001</v>
      </c>
      <c r="I3087" s="2">
        <f>INDEX('Wood Density Lookup'!$B$2:$B$152,MATCH(B3087,'Wood Density Lookup'!$A$2:$A$152,0))</f>
        <v>0.7</v>
      </c>
      <c r="J3087" s="2">
        <f t="shared" si="484"/>
        <v>1.1586216746444016</v>
      </c>
      <c r="K3087" s="2">
        <f t="shared" si="488"/>
        <v>0.32441406890043245</v>
      </c>
      <c r="L3087" s="2">
        <f t="shared" si="489"/>
        <v>1.483035743544834</v>
      </c>
      <c r="M3087" s="2">
        <f t="shared" si="485"/>
        <v>1.0752009140700047</v>
      </c>
      <c r="N3087" s="2">
        <f t="shared" si="486"/>
        <v>0.53760045703500237</v>
      </c>
      <c r="O3087" s="2">
        <f t="shared" si="487"/>
        <v>1.9729936773184586</v>
      </c>
      <c r="P3087" s="2">
        <v>72.554309000000003</v>
      </c>
      <c r="Q3087" s="2">
        <v>23.036563999999998</v>
      </c>
    </row>
    <row r="3088" spans="1:17" x14ac:dyDescent="0.25">
      <c r="A3088" s="2">
        <v>3274</v>
      </c>
      <c r="B3088" s="2" t="s">
        <v>93</v>
      </c>
      <c r="C3088" s="2">
        <v>2</v>
      </c>
      <c r="D3088" s="2">
        <f t="shared" si="480"/>
        <v>5.08</v>
      </c>
      <c r="E3088" s="2">
        <f t="shared" si="481"/>
        <v>1.6170142218136567</v>
      </c>
      <c r="F3088" s="2">
        <f t="shared" si="482"/>
        <v>0.63661977236758138</v>
      </c>
      <c r="G3088" s="2">
        <v>10.313383</v>
      </c>
      <c r="H3088" s="2">
        <f t="shared" si="483"/>
        <v>33.836559481720002</v>
      </c>
      <c r="I3088" s="2">
        <f>INDEX('Wood Density Lookup'!$B$2:$B$152,MATCH(B3088,'Wood Density Lookup'!$A$2:$A$152,0))</f>
        <v>0.9</v>
      </c>
      <c r="J3088" s="2">
        <f t="shared" si="484"/>
        <v>1.5130200630133306</v>
      </c>
      <c r="K3088" s="2">
        <f t="shared" si="488"/>
        <v>0.4236456176437326</v>
      </c>
      <c r="L3088" s="2">
        <f t="shared" si="489"/>
        <v>1.9366656806570632</v>
      </c>
      <c r="M3088" s="2">
        <f t="shared" si="485"/>
        <v>1.4040826184763708</v>
      </c>
      <c r="N3088" s="2">
        <f t="shared" si="486"/>
        <v>0.70204130923818542</v>
      </c>
      <c r="O3088" s="2">
        <f t="shared" si="487"/>
        <v>2.5764916049041404</v>
      </c>
      <c r="P3088" s="2">
        <v>72.554310000000001</v>
      </c>
      <c r="Q3088" s="2">
        <v>23.036557999999999</v>
      </c>
    </row>
    <row r="3089" spans="1:17" x14ac:dyDescent="0.25">
      <c r="A3089" s="2">
        <v>3275</v>
      </c>
      <c r="B3089" s="2" t="s">
        <v>146</v>
      </c>
      <c r="C3089" s="2">
        <v>14</v>
      </c>
      <c r="D3089" s="2">
        <f t="shared" si="480"/>
        <v>35.56</v>
      </c>
      <c r="E3089" s="2">
        <f t="shared" si="481"/>
        <v>11.319099552695597</v>
      </c>
      <c r="F3089" s="2">
        <f t="shared" si="482"/>
        <v>4.45633840657307</v>
      </c>
      <c r="G3089" s="2">
        <v>2.7483200000000001</v>
      </c>
      <c r="H3089" s="2">
        <f t="shared" si="483"/>
        <v>9.0167981888000011</v>
      </c>
      <c r="I3089" s="2">
        <f>INDEX('Wood Density Lookup'!$B$2:$B$152,MATCH(B3089,'Wood Density Lookup'!$A$2:$A$152,0))</f>
        <v>0.55000000000000004</v>
      </c>
      <c r="J3089" s="2">
        <f t="shared" si="484"/>
        <v>11.486283239249037</v>
      </c>
      <c r="K3089" s="2">
        <f t="shared" si="488"/>
        <v>3.2161593069897307</v>
      </c>
      <c r="L3089" s="2">
        <f t="shared" si="489"/>
        <v>14.702442546238768</v>
      </c>
      <c r="M3089" s="2">
        <f t="shared" si="485"/>
        <v>10.659270846023107</v>
      </c>
      <c r="N3089" s="2">
        <f t="shared" si="486"/>
        <v>5.3296354230115535</v>
      </c>
      <c r="O3089" s="2">
        <f t="shared" si="487"/>
        <v>19.559762002452402</v>
      </c>
      <c r="P3089" s="2">
        <v>72.554319000000007</v>
      </c>
      <c r="Q3089" s="2">
        <v>23.038716999999998</v>
      </c>
    </row>
    <row r="3090" spans="1:17" x14ac:dyDescent="0.25">
      <c r="A3090" s="2">
        <v>3276</v>
      </c>
      <c r="B3090" s="2" t="s">
        <v>61</v>
      </c>
      <c r="C3090" s="2">
        <v>11</v>
      </c>
      <c r="D3090" s="2">
        <f t="shared" si="480"/>
        <v>27.94</v>
      </c>
      <c r="E3090" s="2">
        <f t="shared" si="481"/>
        <v>8.8935782199751117</v>
      </c>
      <c r="F3090" s="2">
        <f t="shared" si="482"/>
        <v>3.5014087480216975</v>
      </c>
      <c r="G3090" s="2">
        <v>2.2235040000000001</v>
      </c>
      <c r="H3090" s="2">
        <f t="shared" si="483"/>
        <v>7.29496086336</v>
      </c>
      <c r="I3090" s="2">
        <f>INDEX('Wood Density Lookup'!$B$2:$B$152,MATCH(B3090,'Wood Density Lookup'!$A$2:$A$152,0))</f>
        <v>0.5</v>
      </c>
      <c r="J3090" s="2">
        <f t="shared" si="484"/>
        <v>5.3151579915637468</v>
      </c>
      <c r="K3090" s="2">
        <f t="shared" si="488"/>
        <v>1.4882442376378493</v>
      </c>
      <c r="L3090" s="2">
        <f t="shared" si="489"/>
        <v>6.8034022292015965</v>
      </c>
      <c r="M3090" s="2">
        <f t="shared" si="485"/>
        <v>4.9324666161711574</v>
      </c>
      <c r="N3090" s="2">
        <f t="shared" si="486"/>
        <v>2.4662333080855787</v>
      </c>
      <c r="O3090" s="2">
        <f t="shared" si="487"/>
        <v>9.0510762406740746</v>
      </c>
      <c r="P3090" s="2">
        <v>72.554323999999994</v>
      </c>
      <c r="Q3090" s="2">
        <v>23.036560000000001</v>
      </c>
    </row>
    <row r="3091" spans="1:17" x14ac:dyDescent="0.25">
      <c r="A3091" s="2">
        <v>3277</v>
      </c>
      <c r="B3091" s="2" t="s">
        <v>82</v>
      </c>
      <c r="C3091" s="2">
        <v>2</v>
      </c>
      <c r="D3091" s="2">
        <f t="shared" si="480"/>
        <v>5.08</v>
      </c>
      <c r="E3091" s="2">
        <f t="shared" si="481"/>
        <v>1.6170142218136567</v>
      </c>
      <c r="F3091" s="2">
        <f t="shared" si="482"/>
        <v>0.63661977236758138</v>
      </c>
      <c r="G3091" s="2">
        <v>3.0376189999999998</v>
      </c>
      <c r="H3091" s="2">
        <f t="shared" si="483"/>
        <v>9.9659419199599988</v>
      </c>
      <c r="I3091" s="2">
        <f>INDEX('Wood Density Lookup'!$B$2:$B$152,MATCH(B3091,'Wood Density Lookup'!$A$2:$A$152,0))</f>
        <v>0.7</v>
      </c>
      <c r="J3091" s="2">
        <f t="shared" si="484"/>
        <v>0.35908119973924169</v>
      </c>
      <c r="K3091" s="2">
        <f t="shared" si="488"/>
        <v>0.10054273592698768</v>
      </c>
      <c r="L3091" s="2">
        <f t="shared" si="489"/>
        <v>0.45962393566622939</v>
      </c>
      <c r="M3091" s="2">
        <f t="shared" si="485"/>
        <v>0.33322735335801629</v>
      </c>
      <c r="N3091" s="2">
        <f t="shared" si="486"/>
        <v>0.16661367667900814</v>
      </c>
      <c r="O3091" s="2">
        <f t="shared" si="487"/>
        <v>0.61147219341195991</v>
      </c>
      <c r="P3091" s="2">
        <v>72.554325000000006</v>
      </c>
      <c r="Q3091" s="2">
        <v>23.036572</v>
      </c>
    </row>
    <row r="3092" spans="1:17" x14ac:dyDescent="0.25">
      <c r="A3092" s="2">
        <v>3278</v>
      </c>
      <c r="B3092" s="2" t="s">
        <v>31</v>
      </c>
      <c r="C3092" s="2">
        <v>26</v>
      </c>
      <c r="D3092" s="2">
        <f t="shared" si="480"/>
        <v>66.040000000000006</v>
      </c>
      <c r="E3092" s="2">
        <f t="shared" si="481"/>
        <v>21.02118488357754</v>
      </c>
      <c r="F3092" s="2">
        <f t="shared" si="482"/>
        <v>8.2760570407785572</v>
      </c>
      <c r="G3092" s="2">
        <v>2.082741</v>
      </c>
      <c r="H3092" s="2">
        <f t="shared" si="483"/>
        <v>6.8331399824399996</v>
      </c>
      <c r="I3092" s="2">
        <f>INDEX('Wood Density Lookup'!$B$2:$B$152,MATCH(B3092,'Wood Density Lookup'!$A$2:$A$152,0))</f>
        <v>0.78</v>
      </c>
      <c r="J3092" s="2">
        <f t="shared" si="484"/>
        <v>41.25857794345675</v>
      </c>
      <c r="K3092" s="2">
        <f t="shared" si="488"/>
        <v>11.552401824167891</v>
      </c>
      <c r="L3092" s="2">
        <f t="shared" si="489"/>
        <v>52.810979767624644</v>
      </c>
      <c r="M3092" s="2">
        <f t="shared" si="485"/>
        <v>38.287960331527863</v>
      </c>
      <c r="N3092" s="2">
        <f t="shared" si="486"/>
        <v>19.143980165763931</v>
      </c>
      <c r="O3092" s="2">
        <f t="shared" si="487"/>
        <v>70.258407208353631</v>
      </c>
      <c r="P3092" s="2">
        <v>72.554326000000003</v>
      </c>
      <c r="Q3092" s="2">
        <v>23.038625</v>
      </c>
    </row>
    <row r="3093" spans="1:17" x14ac:dyDescent="0.25">
      <c r="A3093" s="2">
        <v>3279</v>
      </c>
      <c r="B3093" s="2" t="s">
        <v>55</v>
      </c>
      <c r="C3093" s="2">
        <v>28</v>
      </c>
      <c r="D3093" s="2">
        <f t="shared" si="480"/>
        <v>71.12</v>
      </c>
      <c r="E3093" s="2">
        <f t="shared" si="481"/>
        <v>22.638199105391195</v>
      </c>
      <c r="F3093" s="2">
        <f t="shared" si="482"/>
        <v>8.91267681314614</v>
      </c>
      <c r="G3093" s="2">
        <v>17.8858</v>
      </c>
      <c r="H3093" s="2">
        <f t="shared" si="483"/>
        <v>58.680448071999997</v>
      </c>
      <c r="I3093" s="2">
        <f>INDEX('Wood Density Lookup'!$B$2:$B$152,MATCH(B3093,'Wood Density Lookup'!$A$2:$A$152,0))</f>
        <v>0.75</v>
      </c>
      <c r="J3093" s="2">
        <f t="shared" si="484"/>
        <v>374.26082196810904</v>
      </c>
      <c r="K3093" s="2">
        <f t="shared" si="488"/>
        <v>104.79303015107054</v>
      </c>
      <c r="L3093" s="2">
        <f t="shared" si="489"/>
        <v>479.05385211917957</v>
      </c>
      <c r="M3093" s="2">
        <f t="shared" si="485"/>
        <v>347.3140427864052</v>
      </c>
      <c r="N3093" s="2">
        <f t="shared" si="486"/>
        <v>173.6570213932026</v>
      </c>
      <c r="O3093" s="2">
        <f t="shared" si="487"/>
        <v>637.3212685130535</v>
      </c>
      <c r="P3093" s="2">
        <v>72.554326000000003</v>
      </c>
      <c r="Q3093" s="2">
        <v>23.037274</v>
      </c>
    </row>
    <row r="3094" spans="1:17" x14ac:dyDescent="0.25">
      <c r="A3094" s="2">
        <v>3280</v>
      </c>
      <c r="B3094" s="2" t="s">
        <v>55</v>
      </c>
      <c r="C3094" s="2">
        <v>28</v>
      </c>
      <c r="D3094" s="2">
        <f t="shared" si="480"/>
        <v>71.12</v>
      </c>
      <c r="E3094" s="2">
        <f t="shared" si="481"/>
        <v>22.638199105391195</v>
      </c>
      <c r="F3094" s="2">
        <f t="shared" si="482"/>
        <v>8.91267681314614</v>
      </c>
      <c r="G3094" s="2">
        <v>22.580376999999999</v>
      </c>
      <c r="H3094" s="2">
        <f t="shared" si="483"/>
        <v>74.082604076679999</v>
      </c>
      <c r="I3094" s="2">
        <f>INDEX('Wood Density Lookup'!$B$2:$B$152,MATCH(B3094,'Wood Density Lookup'!$A$2:$A$152,0))</f>
        <v>0.75</v>
      </c>
      <c r="J3094" s="2">
        <f t="shared" si="484"/>
        <v>469.85931141080562</v>
      </c>
      <c r="K3094" s="2">
        <f t="shared" si="488"/>
        <v>131.5606071950256</v>
      </c>
      <c r="L3094" s="2">
        <f t="shared" si="489"/>
        <v>601.41991860583119</v>
      </c>
      <c r="M3094" s="2">
        <f t="shared" si="485"/>
        <v>436.02944098922762</v>
      </c>
      <c r="N3094" s="2">
        <f t="shared" si="486"/>
        <v>218.01472049461381</v>
      </c>
      <c r="O3094" s="2">
        <f t="shared" si="487"/>
        <v>800.11402421523269</v>
      </c>
      <c r="P3094" s="2">
        <v>72.554327000000001</v>
      </c>
      <c r="Q3094" s="2">
        <v>23.037240000000001</v>
      </c>
    </row>
    <row r="3095" spans="1:17" x14ac:dyDescent="0.25">
      <c r="A3095" s="2">
        <v>3281</v>
      </c>
      <c r="B3095" s="2" t="s">
        <v>82</v>
      </c>
      <c r="C3095" s="2">
        <v>2</v>
      </c>
      <c r="D3095" s="2">
        <f t="shared" si="480"/>
        <v>5.08</v>
      </c>
      <c r="E3095" s="2">
        <f t="shared" si="481"/>
        <v>1.6170142218136567</v>
      </c>
      <c r="F3095" s="2">
        <f t="shared" si="482"/>
        <v>0.63661977236758138</v>
      </c>
      <c r="G3095" s="2">
        <v>4.7935499999999998</v>
      </c>
      <c r="H3095" s="2">
        <f t="shared" si="483"/>
        <v>15.726870581999998</v>
      </c>
      <c r="I3095" s="2">
        <f>INDEX('Wood Density Lookup'!$B$2:$B$152,MATCH(B3095,'Wood Density Lookup'!$A$2:$A$152,0))</f>
        <v>0.7</v>
      </c>
      <c r="J3095" s="2">
        <f t="shared" si="484"/>
        <v>0.56048197922281584</v>
      </c>
      <c r="K3095" s="2">
        <f t="shared" si="488"/>
        <v>0.15693495418238845</v>
      </c>
      <c r="L3095" s="2">
        <f t="shared" si="489"/>
        <v>0.71741693340520429</v>
      </c>
      <c r="M3095" s="2">
        <f t="shared" si="485"/>
        <v>0.52012727671877312</v>
      </c>
      <c r="N3095" s="2">
        <f t="shared" si="486"/>
        <v>0.26006363835938656</v>
      </c>
      <c r="O3095" s="2">
        <f t="shared" si="487"/>
        <v>0.9544335527789487</v>
      </c>
      <c r="P3095" s="2">
        <v>72.554328999999996</v>
      </c>
      <c r="Q3095" s="2">
        <v>23.036581000000002</v>
      </c>
    </row>
    <row r="3096" spans="1:17" x14ac:dyDescent="0.25">
      <c r="A3096" s="2">
        <v>3282</v>
      </c>
      <c r="B3096" s="2" t="s">
        <v>55</v>
      </c>
      <c r="C3096" s="2">
        <v>78</v>
      </c>
      <c r="D3096" s="2">
        <f t="shared" si="480"/>
        <v>198.12</v>
      </c>
      <c r="E3096" s="2">
        <f t="shared" si="481"/>
        <v>63.063554650732613</v>
      </c>
      <c r="F3096" s="2">
        <f t="shared" si="482"/>
        <v>24.828171122335672</v>
      </c>
      <c r="G3096" s="2">
        <v>8.0532339999999998</v>
      </c>
      <c r="H3096" s="2">
        <f t="shared" si="483"/>
        <v>26.42137223656</v>
      </c>
      <c r="I3096" s="2">
        <f>INDEX('Wood Density Lookup'!$B$2:$B$152,MATCH(B3096,'Wood Density Lookup'!$A$2:$A$152,0))</f>
        <v>0.75</v>
      </c>
      <c r="J3096" s="2">
        <f t="shared" si="484"/>
        <v>1269.0227734509406</v>
      </c>
      <c r="K3096" s="2">
        <f t="shared" si="488"/>
        <v>355.32637656626338</v>
      </c>
      <c r="L3096" s="2">
        <f t="shared" si="489"/>
        <v>1624.349150017204</v>
      </c>
      <c r="M3096" s="2">
        <f t="shared" si="485"/>
        <v>1177.6531337624729</v>
      </c>
      <c r="N3096" s="2">
        <f t="shared" si="486"/>
        <v>588.82656688123643</v>
      </c>
      <c r="O3096" s="2">
        <f t="shared" si="487"/>
        <v>2160.9935004541376</v>
      </c>
      <c r="P3096" s="2">
        <v>72.554331000000005</v>
      </c>
      <c r="Q3096" s="2">
        <v>23.037192000000001</v>
      </c>
    </row>
    <row r="3097" spans="1:17" x14ac:dyDescent="0.25">
      <c r="A3097" s="2">
        <v>3283</v>
      </c>
      <c r="B3097" s="2" t="s">
        <v>82</v>
      </c>
      <c r="C3097" s="2">
        <v>1</v>
      </c>
      <c r="D3097" s="2">
        <f t="shared" si="480"/>
        <v>2.54</v>
      </c>
      <c r="E3097" s="2">
        <f t="shared" si="481"/>
        <v>0.80850711090682836</v>
      </c>
      <c r="F3097" s="2">
        <f t="shared" si="482"/>
        <v>0.31830988618379069</v>
      </c>
      <c r="G3097" s="2">
        <v>1.236577</v>
      </c>
      <c r="H3097" s="2">
        <f t="shared" si="483"/>
        <v>4.0570112846799997</v>
      </c>
      <c r="I3097" s="2">
        <f>INDEX('Wood Density Lookup'!$B$2:$B$152,MATCH(B3097,'Wood Density Lookup'!$A$2:$A$152,0))</f>
        <v>0.7</v>
      </c>
      <c r="J3097" s="2">
        <f t="shared" si="484"/>
        <v>3.8604459043392145E-2</v>
      </c>
      <c r="K3097" s="2">
        <f t="shared" si="488"/>
        <v>1.0809248532149802E-2</v>
      </c>
      <c r="L3097" s="2">
        <f t="shared" si="489"/>
        <v>4.9413707575541949E-2</v>
      </c>
      <c r="M3097" s="2">
        <f t="shared" si="485"/>
        <v>3.5824937992267915E-2</v>
      </c>
      <c r="N3097" s="2">
        <f t="shared" si="486"/>
        <v>1.7912468996133957E-2</v>
      </c>
      <c r="O3097" s="2">
        <f t="shared" si="487"/>
        <v>6.5738761215811625E-2</v>
      </c>
      <c r="P3097" s="2">
        <v>72.554334999999995</v>
      </c>
      <c r="Q3097" s="2">
        <v>23.036563999999998</v>
      </c>
    </row>
    <row r="3098" spans="1:17" x14ac:dyDescent="0.25">
      <c r="A3098" s="2">
        <v>3284</v>
      </c>
      <c r="B3098" s="2" t="s">
        <v>55</v>
      </c>
      <c r="C3098" s="2">
        <v>26</v>
      </c>
      <c r="D3098" s="2">
        <f t="shared" si="480"/>
        <v>66.040000000000006</v>
      </c>
      <c r="E3098" s="2">
        <f t="shared" si="481"/>
        <v>21.02118488357754</v>
      </c>
      <c r="F3098" s="2">
        <f t="shared" si="482"/>
        <v>8.2760570407785572</v>
      </c>
      <c r="G3098" s="2">
        <v>12.102706</v>
      </c>
      <c r="H3098" s="2">
        <f t="shared" si="483"/>
        <v>39.707041953039997</v>
      </c>
      <c r="I3098" s="2">
        <f>INDEX('Wood Density Lookup'!$B$2:$B$152,MATCH(B3098,'Wood Density Lookup'!$A$2:$A$152,0))</f>
        <v>0.75</v>
      </c>
      <c r="J3098" s="2">
        <f t="shared" si="484"/>
        <v>221.20503079710289</v>
      </c>
      <c r="K3098" s="2">
        <f t="shared" si="488"/>
        <v>61.937408623188816</v>
      </c>
      <c r="L3098" s="2">
        <f t="shared" si="489"/>
        <v>283.14243942029168</v>
      </c>
      <c r="M3098" s="2">
        <f t="shared" si="485"/>
        <v>205.27826857971147</v>
      </c>
      <c r="N3098" s="2">
        <f t="shared" si="486"/>
        <v>102.63913428985573</v>
      </c>
      <c r="O3098" s="2">
        <f t="shared" si="487"/>
        <v>376.68562284377055</v>
      </c>
      <c r="P3098" s="2">
        <v>72.554339999999996</v>
      </c>
      <c r="Q3098" s="2">
        <v>23.037216000000001</v>
      </c>
    </row>
    <row r="3099" spans="1:17" x14ac:dyDescent="0.25">
      <c r="A3099" s="2">
        <v>3285</v>
      </c>
      <c r="B3099" s="2" t="s">
        <v>82</v>
      </c>
      <c r="C3099" s="2">
        <v>2</v>
      </c>
      <c r="D3099" s="2">
        <f t="shared" si="480"/>
        <v>5.08</v>
      </c>
      <c r="E3099" s="2">
        <f t="shared" si="481"/>
        <v>1.6170142218136567</v>
      </c>
      <c r="F3099" s="2">
        <f t="shared" si="482"/>
        <v>0.63661977236758138</v>
      </c>
      <c r="G3099" s="2">
        <v>1.6165799999999999</v>
      </c>
      <c r="H3099" s="2">
        <f t="shared" si="483"/>
        <v>5.3037403271999999</v>
      </c>
      <c r="I3099" s="2">
        <f>INDEX('Wood Density Lookup'!$B$2:$B$152,MATCH(B3099,'Wood Density Lookup'!$A$2:$A$152,0))</f>
        <v>0.7</v>
      </c>
      <c r="J3099" s="2">
        <f t="shared" si="484"/>
        <v>0.19401309097736114</v>
      </c>
      <c r="K3099" s="2">
        <f t="shared" si="488"/>
        <v>5.4323665473661124E-2</v>
      </c>
      <c r="L3099" s="2">
        <f t="shared" si="489"/>
        <v>0.24833675645102227</v>
      </c>
      <c r="M3099" s="2">
        <f t="shared" si="485"/>
        <v>0.18004414842699115</v>
      </c>
      <c r="N3099" s="2">
        <f t="shared" si="486"/>
        <v>9.0022074213495576E-2</v>
      </c>
      <c r="O3099" s="2">
        <f t="shared" si="487"/>
        <v>0.33038101236352874</v>
      </c>
      <c r="P3099" s="2">
        <v>72.554340999999994</v>
      </c>
      <c r="Q3099" s="2">
        <v>23.036570999999999</v>
      </c>
    </row>
    <row r="3100" spans="1:17" x14ac:dyDescent="0.25">
      <c r="A3100" s="2">
        <v>3286</v>
      </c>
      <c r="B3100" s="2" t="s">
        <v>124</v>
      </c>
      <c r="C3100" s="2">
        <v>8</v>
      </c>
      <c r="D3100" s="2">
        <f t="shared" si="480"/>
        <v>20.32</v>
      </c>
      <c r="E3100" s="2">
        <f t="shared" si="481"/>
        <v>6.4680568872546269</v>
      </c>
      <c r="F3100" s="2">
        <f t="shared" si="482"/>
        <v>2.5464790894703255</v>
      </c>
      <c r="G3100" s="2">
        <v>6.1681689999999998</v>
      </c>
      <c r="H3100" s="2">
        <f t="shared" si="483"/>
        <v>20.23677558196</v>
      </c>
      <c r="I3100" s="2">
        <f>INDEX('Wood Density Lookup'!$B$2:$B$152,MATCH(B3100,'Wood Density Lookup'!$A$2:$A$152,0))</f>
        <v>0.55000000000000004</v>
      </c>
      <c r="J3100" s="2">
        <f t="shared" si="484"/>
        <v>8.4807074310874278</v>
      </c>
      <c r="K3100" s="2">
        <f t="shared" si="488"/>
        <v>2.3745980807044802</v>
      </c>
      <c r="L3100" s="2">
        <f t="shared" si="489"/>
        <v>10.855305511791908</v>
      </c>
      <c r="M3100" s="2">
        <f t="shared" si="485"/>
        <v>7.8700964960491326</v>
      </c>
      <c r="N3100" s="2">
        <f t="shared" si="486"/>
        <v>3.9350482480245663</v>
      </c>
      <c r="O3100" s="2">
        <f t="shared" si="487"/>
        <v>14.441627070250158</v>
      </c>
      <c r="P3100" s="2">
        <v>72.554342000000005</v>
      </c>
      <c r="Q3100" s="2">
        <v>23.037129</v>
      </c>
    </row>
    <row r="3101" spans="1:17" x14ac:dyDescent="0.25">
      <c r="A3101" s="2">
        <v>3287</v>
      </c>
      <c r="B3101" s="2" t="s">
        <v>82</v>
      </c>
      <c r="C3101" s="2">
        <v>1</v>
      </c>
      <c r="D3101" s="2">
        <f t="shared" si="480"/>
        <v>2.54</v>
      </c>
      <c r="E3101" s="2">
        <f t="shared" si="481"/>
        <v>0.80850711090682836</v>
      </c>
      <c r="F3101" s="2">
        <f t="shared" si="482"/>
        <v>0.31830988618379069</v>
      </c>
      <c r="G3101" s="2">
        <v>2.1672929999999999</v>
      </c>
      <c r="H3101" s="2">
        <f t="shared" si="483"/>
        <v>7.1105415661199993</v>
      </c>
      <c r="I3101" s="2">
        <f>INDEX('Wood Density Lookup'!$B$2:$B$152,MATCH(B3101,'Wood Density Lookup'!$A$2:$A$152,0))</f>
        <v>0.7</v>
      </c>
      <c r="J3101" s="2">
        <f t="shared" si="484"/>
        <v>6.6755218204997288E-2</v>
      </c>
      <c r="K3101" s="2">
        <f t="shared" si="488"/>
        <v>1.8691461097399241E-2</v>
      </c>
      <c r="L3101" s="2">
        <f t="shared" si="489"/>
        <v>8.5446679302396522E-2</v>
      </c>
      <c r="M3101" s="2">
        <f t="shared" si="485"/>
        <v>6.1948842494237474E-2</v>
      </c>
      <c r="N3101" s="2">
        <f t="shared" si="486"/>
        <v>3.0974421247118737E-2</v>
      </c>
      <c r="O3101" s="2">
        <f t="shared" si="487"/>
        <v>0.11367612597692577</v>
      </c>
      <c r="P3101" s="2">
        <v>72.554344</v>
      </c>
      <c r="Q3101" s="2">
        <v>23.036581000000002</v>
      </c>
    </row>
    <row r="3102" spans="1:17" x14ac:dyDescent="0.25">
      <c r="A3102" s="2">
        <v>3288</v>
      </c>
      <c r="B3102" s="2" t="s">
        <v>111</v>
      </c>
      <c r="C3102" s="2">
        <v>8</v>
      </c>
      <c r="D3102" s="2">
        <f t="shared" si="480"/>
        <v>20.32</v>
      </c>
      <c r="E3102" s="2">
        <f t="shared" si="481"/>
        <v>6.4680568872546269</v>
      </c>
      <c r="F3102" s="2">
        <f t="shared" si="482"/>
        <v>2.5464790894703255</v>
      </c>
      <c r="G3102" s="2">
        <v>3.4010660000000001</v>
      </c>
      <c r="H3102" s="2">
        <f t="shared" si="483"/>
        <v>11.158353375440001</v>
      </c>
      <c r="I3102" s="2">
        <f>INDEX('Wood Density Lookup'!$B$2:$B$152,MATCH(B3102,'Wood Density Lookup'!$A$2:$A$152,0))</f>
        <v>0.4</v>
      </c>
      <c r="J3102" s="2">
        <f t="shared" si="484"/>
        <v>3.4762614478458822</v>
      </c>
      <c r="K3102" s="2">
        <f t="shared" si="488"/>
        <v>0.97335320539684711</v>
      </c>
      <c r="L3102" s="2">
        <f t="shared" si="489"/>
        <v>4.4496146532427296</v>
      </c>
      <c r="M3102" s="2">
        <f t="shared" si="485"/>
        <v>3.2259706236009791</v>
      </c>
      <c r="N3102" s="2">
        <f t="shared" si="486"/>
        <v>1.6129853118004895</v>
      </c>
      <c r="O3102" s="2">
        <f t="shared" si="487"/>
        <v>5.9196560943077969</v>
      </c>
      <c r="P3102" s="2">
        <v>72.554355000000001</v>
      </c>
      <c r="Q3102" s="2">
        <v>23.037092000000001</v>
      </c>
    </row>
    <row r="3103" spans="1:17" x14ac:dyDescent="0.25">
      <c r="A3103" s="2">
        <v>3289</v>
      </c>
      <c r="B3103" s="2" t="s">
        <v>15</v>
      </c>
      <c r="C3103" s="2">
        <v>9</v>
      </c>
      <c r="D3103" s="2">
        <f t="shared" si="480"/>
        <v>22.86</v>
      </c>
      <c r="E3103" s="2">
        <f t="shared" si="481"/>
        <v>7.2765639981614552</v>
      </c>
      <c r="F3103" s="2">
        <f t="shared" si="482"/>
        <v>2.8647889756541161</v>
      </c>
      <c r="G3103" s="2">
        <v>1.43737</v>
      </c>
      <c r="H3103" s="2">
        <f t="shared" si="483"/>
        <v>4.7157809907999999</v>
      </c>
      <c r="I3103" s="2">
        <f>INDEX('Wood Density Lookup'!$B$2:$B$152,MATCH(B3103,'Wood Density Lookup'!$A$2:$A$152,0))</f>
        <v>0.75</v>
      </c>
      <c r="J3103" s="2">
        <f t="shared" si="484"/>
        <v>3.4861175684241483</v>
      </c>
      <c r="K3103" s="2">
        <f t="shared" si="488"/>
        <v>0.97611291915876164</v>
      </c>
      <c r="L3103" s="2">
        <f t="shared" si="489"/>
        <v>4.46223048758291</v>
      </c>
      <c r="M3103" s="2">
        <f t="shared" si="485"/>
        <v>3.2351171034976098</v>
      </c>
      <c r="N3103" s="2">
        <f t="shared" si="486"/>
        <v>1.6175585517488049</v>
      </c>
      <c r="O3103" s="2">
        <f t="shared" si="487"/>
        <v>5.9364398849181139</v>
      </c>
      <c r="P3103" s="2">
        <v>72.554355999999999</v>
      </c>
      <c r="Q3103" s="2">
        <v>23.038488999999998</v>
      </c>
    </row>
    <row r="3104" spans="1:17" x14ac:dyDescent="0.25">
      <c r="A3104" s="2">
        <v>3290</v>
      </c>
      <c r="B3104" s="2" t="s">
        <v>82</v>
      </c>
      <c r="C3104" s="2">
        <v>2</v>
      </c>
      <c r="D3104" s="2">
        <f t="shared" si="480"/>
        <v>5.08</v>
      </c>
      <c r="E3104" s="2">
        <f t="shared" si="481"/>
        <v>1.6170142218136567</v>
      </c>
      <c r="F3104" s="2">
        <f t="shared" si="482"/>
        <v>0.63661977236758138</v>
      </c>
      <c r="G3104" s="2">
        <v>1.1217820000000001</v>
      </c>
      <c r="H3104" s="2">
        <f t="shared" si="483"/>
        <v>3.68038725688</v>
      </c>
      <c r="I3104" s="2">
        <f>INDEX('Wood Density Lookup'!$B$2:$B$152,MATCH(B3104,'Wood Density Lookup'!$A$2:$A$152,0))</f>
        <v>0.7</v>
      </c>
      <c r="J3104" s="2">
        <f t="shared" si="484"/>
        <v>0.13581596697108134</v>
      </c>
      <c r="K3104" s="2">
        <f t="shared" si="488"/>
        <v>3.8028470751902778E-2</v>
      </c>
      <c r="L3104" s="2">
        <f t="shared" si="489"/>
        <v>0.17384443772298411</v>
      </c>
      <c r="M3104" s="2">
        <f t="shared" si="485"/>
        <v>0.12603721734916348</v>
      </c>
      <c r="N3104" s="2">
        <f t="shared" si="486"/>
        <v>6.3018608674581741E-2</v>
      </c>
      <c r="O3104" s="2">
        <f t="shared" si="487"/>
        <v>0.23127829383571499</v>
      </c>
      <c r="P3104" s="2">
        <v>72.554355999999999</v>
      </c>
      <c r="Q3104" s="2">
        <v>23.036583</v>
      </c>
    </row>
    <row r="3105" spans="1:17" x14ac:dyDescent="0.25">
      <c r="A3105" s="2">
        <v>3291</v>
      </c>
      <c r="B3105" s="2" t="s">
        <v>82</v>
      </c>
      <c r="C3105" s="2">
        <v>3</v>
      </c>
      <c r="D3105" s="2">
        <f t="shared" si="480"/>
        <v>7.62</v>
      </c>
      <c r="E3105" s="2">
        <f t="shared" si="481"/>
        <v>2.4255213327204852</v>
      </c>
      <c r="F3105" s="2">
        <f t="shared" si="482"/>
        <v>0.95492965855137202</v>
      </c>
      <c r="G3105" s="2">
        <v>1.324408</v>
      </c>
      <c r="H3105" s="2">
        <f t="shared" si="483"/>
        <v>4.3451707427199997</v>
      </c>
      <c r="I3105" s="2">
        <f>INDEX('Wood Density Lookup'!$B$2:$B$152,MATCH(B3105,'Wood Density Lookup'!$A$2:$A$152,0))</f>
        <v>0.7</v>
      </c>
      <c r="J3105" s="2">
        <f t="shared" si="484"/>
        <v>0.35242245821978524</v>
      </c>
      <c r="K3105" s="2">
        <f t="shared" si="488"/>
        <v>9.8678288301539879E-2</v>
      </c>
      <c r="L3105" s="2">
        <f t="shared" si="489"/>
        <v>0.45110074652132515</v>
      </c>
      <c r="M3105" s="2">
        <f t="shared" si="485"/>
        <v>0.32704804122796072</v>
      </c>
      <c r="N3105" s="2">
        <f t="shared" si="486"/>
        <v>0.16352402061398036</v>
      </c>
      <c r="O3105" s="2">
        <f t="shared" si="487"/>
        <v>0.60013315565330794</v>
      </c>
      <c r="P3105" s="2">
        <v>72.554359000000005</v>
      </c>
      <c r="Q3105" s="2">
        <v>23.036567999999999</v>
      </c>
    </row>
    <row r="3106" spans="1:17" x14ac:dyDescent="0.25">
      <c r="A3106" s="2">
        <v>3292</v>
      </c>
      <c r="B3106" s="2" t="s">
        <v>55</v>
      </c>
      <c r="C3106" s="2">
        <v>28</v>
      </c>
      <c r="D3106" s="2">
        <f t="shared" si="480"/>
        <v>71.12</v>
      </c>
      <c r="E3106" s="2">
        <f t="shared" si="481"/>
        <v>22.638199105391195</v>
      </c>
      <c r="F3106" s="2">
        <f t="shared" si="482"/>
        <v>8.91267681314614</v>
      </c>
      <c r="G3106" s="2">
        <v>21.241567</v>
      </c>
      <c r="H3106" s="2">
        <f t="shared" si="483"/>
        <v>69.690182676280003</v>
      </c>
      <c r="I3106" s="2">
        <f>INDEX('Wood Density Lookup'!$B$2:$B$152,MATCH(B3106,'Wood Density Lookup'!$A$2:$A$152,0))</f>
        <v>0.75</v>
      </c>
      <c r="J3106" s="2">
        <f t="shared" si="484"/>
        <v>442.64979993631636</v>
      </c>
      <c r="K3106" s="2">
        <f t="shared" si="488"/>
        <v>123.9419439821686</v>
      </c>
      <c r="L3106" s="2">
        <f t="shared" si="489"/>
        <v>566.59174391848501</v>
      </c>
      <c r="M3106" s="2">
        <f t="shared" si="485"/>
        <v>410.7790143409016</v>
      </c>
      <c r="N3106" s="2">
        <f t="shared" si="486"/>
        <v>205.3895071704508</v>
      </c>
      <c r="O3106" s="2">
        <f t="shared" si="487"/>
        <v>753.77949131555442</v>
      </c>
      <c r="P3106" s="2">
        <v>72.554360000000003</v>
      </c>
      <c r="Q3106" s="2">
        <v>23.037313000000001</v>
      </c>
    </row>
    <row r="3107" spans="1:17" x14ac:dyDescent="0.25">
      <c r="A3107" s="2">
        <v>3293</v>
      </c>
      <c r="B3107" s="2" t="s">
        <v>146</v>
      </c>
      <c r="C3107" s="2">
        <v>13</v>
      </c>
      <c r="D3107" s="2">
        <f t="shared" si="480"/>
        <v>33.020000000000003</v>
      </c>
      <c r="E3107" s="2">
        <f t="shared" si="481"/>
        <v>10.51059244178877</v>
      </c>
      <c r="F3107" s="2">
        <f t="shared" si="482"/>
        <v>4.1380285203892786</v>
      </c>
      <c r="G3107" s="2">
        <v>1.116379</v>
      </c>
      <c r="H3107" s="2">
        <f t="shared" si="483"/>
        <v>3.6626608783600001</v>
      </c>
      <c r="I3107" s="2">
        <f>INDEX('Wood Density Lookup'!$B$2:$B$152,MATCH(B3107,'Wood Density Lookup'!$A$2:$A$152,0))</f>
        <v>0.55000000000000004</v>
      </c>
      <c r="J3107" s="2">
        <f t="shared" si="484"/>
        <v>4.1256227654812854</v>
      </c>
      <c r="K3107" s="2">
        <f t="shared" si="488"/>
        <v>1.15517437433476</v>
      </c>
      <c r="L3107" s="2">
        <f t="shared" si="489"/>
        <v>5.2807971398160456</v>
      </c>
      <c r="M3107" s="2">
        <f t="shared" si="485"/>
        <v>3.8285779263666329</v>
      </c>
      <c r="N3107" s="2">
        <f t="shared" si="486"/>
        <v>1.9142889631833164</v>
      </c>
      <c r="O3107" s="2">
        <f t="shared" si="487"/>
        <v>7.0254404948827709</v>
      </c>
      <c r="P3107" s="2">
        <v>72.554361</v>
      </c>
      <c r="Q3107" s="2">
        <v>23.038716999999998</v>
      </c>
    </row>
    <row r="3108" spans="1:17" x14ac:dyDescent="0.25">
      <c r="A3108" s="2">
        <v>3294</v>
      </c>
      <c r="B3108" s="2" t="s">
        <v>146</v>
      </c>
      <c r="C3108" s="2">
        <v>5</v>
      </c>
      <c r="D3108" s="2">
        <f t="shared" si="480"/>
        <v>12.7</v>
      </c>
      <c r="E3108" s="2">
        <f t="shared" si="481"/>
        <v>4.0425355545341413</v>
      </c>
      <c r="F3108" s="2">
        <f t="shared" si="482"/>
        <v>1.5915494309189535</v>
      </c>
      <c r="G3108" s="2">
        <v>1.116379</v>
      </c>
      <c r="H3108" s="2">
        <f t="shared" si="483"/>
        <v>3.6626608783600001</v>
      </c>
      <c r="I3108" s="2">
        <f>INDEX('Wood Density Lookup'!$B$2:$B$152,MATCH(B3108,'Wood Density Lookup'!$A$2:$A$152,0))</f>
        <v>0.55000000000000004</v>
      </c>
      <c r="J3108" s="2">
        <f t="shared" si="484"/>
        <v>0.63894215123444131</v>
      </c>
      <c r="K3108" s="2">
        <f t="shared" si="488"/>
        <v>0.1789038023456436</v>
      </c>
      <c r="L3108" s="2">
        <f t="shared" si="489"/>
        <v>0.81784595358008494</v>
      </c>
      <c r="M3108" s="2">
        <f t="shared" si="485"/>
        <v>0.5929383163455616</v>
      </c>
      <c r="N3108" s="2">
        <f t="shared" si="486"/>
        <v>0.2964691581727808</v>
      </c>
      <c r="O3108" s="2">
        <f t="shared" si="487"/>
        <v>1.0880418104941054</v>
      </c>
      <c r="P3108" s="2">
        <v>72.554361</v>
      </c>
      <c r="Q3108" s="2">
        <v>23.038716999999998</v>
      </c>
    </row>
    <row r="3109" spans="1:17" x14ac:dyDescent="0.25">
      <c r="A3109" s="2">
        <v>3295</v>
      </c>
      <c r="B3109" s="2" t="s">
        <v>55</v>
      </c>
      <c r="C3109" s="2">
        <v>22</v>
      </c>
      <c r="D3109" s="2">
        <f t="shared" si="480"/>
        <v>55.88</v>
      </c>
      <c r="E3109" s="2">
        <f t="shared" si="481"/>
        <v>17.787156439950223</v>
      </c>
      <c r="F3109" s="2">
        <f t="shared" si="482"/>
        <v>7.0028174960433951</v>
      </c>
      <c r="G3109" s="2">
        <v>12.01742</v>
      </c>
      <c r="H3109" s="2">
        <f t="shared" si="483"/>
        <v>39.427232232800002</v>
      </c>
      <c r="I3109" s="2">
        <f>INDEX('Wood Density Lookup'!$B$2:$B$152,MATCH(B3109,'Wood Density Lookup'!$A$2:$A$152,0))</f>
        <v>0.75</v>
      </c>
      <c r="J3109" s="2">
        <f t="shared" si="484"/>
        <v>158.55449676278189</v>
      </c>
      <c r="K3109" s="2">
        <f t="shared" si="488"/>
        <v>44.395259093578936</v>
      </c>
      <c r="L3109" s="2">
        <f t="shared" si="489"/>
        <v>202.94975585636084</v>
      </c>
      <c r="M3109" s="2">
        <f t="shared" si="485"/>
        <v>147.13857299586161</v>
      </c>
      <c r="N3109" s="2">
        <f t="shared" si="486"/>
        <v>73.569286497930804</v>
      </c>
      <c r="O3109" s="2">
        <f t="shared" si="487"/>
        <v>269.99928144740602</v>
      </c>
      <c r="P3109" s="2">
        <v>72.554361999999998</v>
      </c>
      <c r="Q3109" s="2">
        <v>23.037247000000001</v>
      </c>
    </row>
    <row r="3110" spans="1:17" x14ac:dyDescent="0.25">
      <c r="A3110" s="2">
        <v>3296</v>
      </c>
      <c r="B3110" s="2" t="s">
        <v>82</v>
      </c>
      <c r="C3110" s="2">
        <v>3</v>
      </c>
      <c r="D3110" s="2">
        <f t="shared" si="480"/>
        <v>7.62</v>
      </c>
      <c r="E3110" s="2">
        <f t="shared" si="481"/>
        <v>2.4255213327204852</v>
      </c>
      <c r="F3110" s="2">
        <f t="shared" si="482"/>
        <v>0.95492965855137202</v>
      </c>
      <c r="G3110" s="2">
        <v>2.2397900000000002</v>
      </c>
      <c r="H3110" s="2">
        <f t="shared" si="483"/>
        <v>7.3483926236000006</v>
      </c>
      <c r="I3110" s="2">
        <f>INDEX('Wood Density Lookup'!$B$2:$B$152,MATCH(B3110,'Wood Density Lookup'!$A$2:$A$152,0))</f>
        <v>0.7</v>
      </c>
      <c r="J3110" s="2">
        <f t="shared" si="484"/>
        <v>0.58853545344751712</v>
      </c>
      <c r="K3110" s="2">
        <f t="shared" si="488"/>
        <v>0.16478992696530481</v>
      </c>
      <c r="L3110" s="2">
        <f t="shared" si="489"/>
        <v>0.75332538041282193</v>
      </c>
      <c r="M3110" s="2">
        <f t="shared" si="485"/>
        <v>0.54616090079929591</v>
      </c>
      <c r="N3110" s="2">
        <f t="shared" si="486"/>
        <v>0.27308045039964796</v>
      </c>
      <c r="O3110" s="2">
        <f t="shared" si="487"/>
        <v>1.002205252966708</v>
      </c>
      <c r="P3110" s="2">
        <v>72.554370000000006</v>
      </c>
      <c r="Q3110" s="2">
        <v>23.036583</v>
      </c>
    </row>
    <row r="3111" spans="1:17" x14ac:dyDescent="0.25">
      <c r="A3111" s="2">
        <v>3297</v>
      </c>
      <c r="B3111" s="2" t="s">
        <v>82</v>
      </c>
      <c r="C3111" s="2">
        <v>3</v>
      </c>
      <c r="D3111" s="2">
        <f t="shared" si="480"/>
        <v>7.62</v>
      </c>
      <c r="E3111" s="2">
        <f t="shared" si="481"/>
        <v>2.4255213327204852</v>
      </c>
      <c r="F3111" s="2">
        <f t="shared" si="482"/>
        <v>0.95492965855137202</v>
      </c>
      <c r="G3111" s="2">
        <v>2.2376490000000002</v>
      </c>
      <c r="H3111" s="2">
        <f t="shared" si="483"/>
        <v>7.3413683451600003</v>
      </c>
      <c r="I3111" s="2">
        <f>INDEX('Wood Density Lookup'!$B$2:$B$152,MATCH(B3111,'Wood Density Lookup'!$A$2:$A$152,0))</f>
        <v>0.7</v>
      </c>
      <c r="J3111" s="2">
        <f t="shared" si="484"/>
        <v>0.58798637196597836</v>
      </c>
      <c r="K3111" s="2">
        <f t="shared" si="488"/>
        <v>0.16463618415047396</v>
      </c>
      <c r="L3111" s="2">
        <f t="shared" si="489"/>
        <v>0.75262255611645235</v>
      </c>
      <c r="M3111" s="2">
        <f t="shared" si="485"/>
        <v>0.54565135318442792</v>
      </c>
      <c r="N3111" s="2">
        <f t="shared" si="486"/>
        <v>0.27282567659221396</v>
      </c>
      <c r="O3111" s="2">
        <f t="shared" si="487"/>
        <v>1.0012702330934251</v>
      </c>
      <c r="P3111" s="2">
        <v>72.554370000000006</v>
      </c>
      <c r="Q3111" s="2">
        <v>23.036576</v>
      </c>
    </row>
    <row r="3112" spans="1:17" x14ac:dyDescent="0.25">
      <c r="A3112" s="2">
        <v>3298</v>
      </c>
      <c r="B3112" s="2" t="s">
        <v>148</v>
      </c>
      <c r="C3112" s="2">
        <v>2</v>
      </c>
      <c r="D3112" s="2">
        <f t="shared" si="480"/>
        <v>5.08</v>
      </c>
      <c r="E3112" s="2">
        <f t="shared" si="481"/>
        <v>1.6170142218136567</v>
      </c>
      <c r="F3112" s="2">
        <f t="shared" si="482"/>
        <v>0.63661977236758138</v>
      </c>
      <c r="G3112" s="2">
        <v>3.7678129999999999</v>
      </c>
      <c r="H3112" s="2">
        <f t="shared" si="483"/>
        <v>12.361591602919999</v>
      </c>
      <c r="I3112" s="2">
        <f>INDEX('Wood Density Lookup'!$B$2:$B$152,MATCH(B3112,'Wood Density Lookup'!$A$2:$A$152,0))</f>
        <v>0.5</v>
      </c>
      <c r="J3112" s="2">
        <f t="shared" si="484"/>
        <v>0.3190673750235879</v>
      </c>
      <c r="K3112" s="2">
        <f t="shared" si="488"/>
        <v>8.9338865006604623E-2</v>
      </c>
      <c r="L3112" s="2">
        <f t="shared" si="489"/>
        <v>0.40840624003019255</v>
      </c>
      <c r="M3112" s="2">
        <f t="shared" si="485"/>
        <v>0.29609452402188957</v>
      </c>
      <c r="N3112" s="2">
        <f t="shared" si="486"/>
        <v>0.14804726201094479</v>
      </c>
      <c r="O3112" s="2">
        <f t="shared" si="487"/>
        <v>0.54333345158016733</v>
      </c>
      <c r="P3112" s="2">
        <v>72.554372999999998</v>
      </c>
      <c r="Q3112" s="2">
        <v>23.036491000000002</v>
      </c>
    </row>
    <row r="3113" spans="1:17" x14ac:dyDescent="0.25">
      <c r="A3113" s="2">
        <v>3299</v>
      </c>
      <c r="B3113" s="2" t="s">
        <v>115</v>
      </c>
      <c r="C3113" s="2">
        <v>14</v>
      </c>
      <c r="D3113" s="2">
        <f t="shared" si="480"/>
        <v>35.56</v>
      </c>
      <c r="E3113" s="2">
        <f t="shared" si="481"/>
        <v>11.319099552695597</v>
      </c>
      <c r="F3113" s="2">
        <f t="shared" si="482"/>
        <v>4.45633840657307</v>
      </c>
      <c r="G3113" s="2">
        <v>7.3664519999999998</v>
      </c>
      <c r="H3113" s="2">
        <f t="shared" si="483"/>
        <v>24.16815037968</v>
      </c>
      <c r="I3113" s="2">
        <f>INDEX('Wood Density Lookup'!$B$2:$B$152,MATCH(B3113,'Wood Density Lookup'!$A$2:$A$152,0))</f>
        <v>0.65</v>
      </c>
      <c r="J3113" s="2">
        <f t="shared" si="484"/>
        <v>35.391865260240913</v>
      </c>
      <c r="K3113" s="2">
        <f t="shared" si="488"/>
        <v>9.909722272867457</v>
      </c>
      <c r="L3113" s="2">
        <f t="shared" si="489"/>
        <v>45.301587533108368</v>
      </c>
      <c r="M3113" s="2">
        <f t="shared" si="485"/>
        <v>32.843650961503563</v>
      </c>
      <c r="N3113" s="2">
        <f t="shared" si="486"/>
        <v>16.421825480751782</v>
      </c>
      <c r="O3113" s="2">
        <f t="shared" si="487"/>
        <v>60.268099514359037</v>
      </c>
      <c r="P3113" s="2">
        <v>72.554377000000002</v>
      </c>
      <c r="Q3113" s="2">
        <v>23.038415000000001</v>
      </c>
    </row>
    <row r="3114" spans="1:17" x14ac:dyDescent="0.25">
      <c r="A3114" s="2">
        <v>3300</v>
      </c>
      <c r="B3114" s="2" t="s">
        <v>124</v>
      </c>
      <c r="C3114" s="2">
        <v>7</v>
      </c>
      <c r="D3114" s="2">
        <f t="shared" si="480"/>
        <v>17.78</v>
      </c>
      <c r="E3114" s="2">
        <f t="shared" si="481"/>
        <v>5.6595497763477987</v>
      </c>
      <c r="F3114" s="2">
        <f t="shared" si="482"/>
        <v>2.228169203286535</v>
      </c>
      <c r="G3114" s="2">
        <v>5.0759689999999997</v>
      </c>
      <c r="H3114" s="2">
        <f t="shared" si="483"/>
        <v>16.653442133959999</v>
      </c>
      <c r="I3114" s="2">
        <f>INDEX('Wood Density Lookup'!$B$2:$B$152,MATCH(B3114,'Wood Density Lookup'!$A$2:$A$152,0))</f>
        <v>0.55000000000000004</v>
      </c>
      <c r="J3114" s="2">
        <f t="shared" si="484"/>
        <v>5.4028858577361669</v>
      </c>
      <c r="K3114" s="2">
        <f t="shared" si="488"/>
        <v>1.5128080401661268</v>
      </c>
      <c r="L3114" s="2">
        <f t="shared" si="489"/>
        <v>6.9156938979022939</v>
      </c>
      <c r="M3114" s="2">
        <f t="shared" si="485"/>
        <v>5.0138780759791626</v>
      </c>
      <c r="N3114" s="2">
        <f t="shared" si="486"/>
        <v>2.5069390379895813</v>
      </c>
      <c r="O3114" s="2">
        <f t="shared" si="487"/>
        <v>9.2004662694217636</v>
      </c>
      <c r="P3114" s="2">
        <v>72.554378999999997</v>
      </c>
      <c r="Q3114" s="2">
        <v>23.037134999999999</v>
      </c>
    </row>
    <row r="3115" spans="1:17" x14ac:dyDescent="0.25">
      <c r="A3115" s="2">
        <v>3301</v>
      </c>
      <c r="B3115" s="2" t="s">
        <v>55</v>
      </c>
      <c r="C3115" s="2">
        <v>29</v>
      </c>
      <c r="D3115" s="2">
        <f t="shared" si="480"/>
        <v>73.66</v>
      </c>
      <c r="E3115" s="2">
        <f t="shared" si="481"/>
        <v>23.446706216298022</v>
      </c>
      <c r="F3115" s="2">
        <f t="shared" si="482"/>
        <v>9.2309866993299305</v>
      </c>
      <c r="G3115" s="2">
        <v>14.367303</v>
      </c>
      <c r="H3115" s="2">
        <f t="shared" si="483"/>
        <v>47.136822374520001</v>
      </c>
      <c r="I3115" s="2">
        <f>INDEX('Wood Density Lookup'!$B$2:$B$152,MATCH(B3115,'Wood Density Lookup'!$A$2:$A$152,0))</f>
        <v>0.75</v>
      </c>
      <c r="J3115" s="2">
        <f t="shared" si="484"/>
        <v>323.64794770945616</v>
      </c>
      <c r="K3115" s="2">
        <f t="shared" si="488"/>
        <v>90.621425358647727</v>
      </c>
      <c r="L3115" s="2">
        <f t="shared" si="489"/>
        <v>414.2693730681039</v>
      </c>
      <c r="M3115" s="2">
        <f t="shared" si="485"/>
        <v>300.34529547437535</v>
      </c>
      <c r="N3115" s="2">
        <f t="shared" si="486"/>
        <v>150.17264773718767</v>
      </c>
      <c r="O3115" s="2">
        <f t="shared" si="487"/>
        <v>551.13361719547879</v>
      </c>
      <c r="P3115" s="2">
        <v>72.554379999999995</v>
      </c>
      <c r="Q3115" s="2">
        <v>23.037274</v>
      </c>
    </row>
    <row r="3116" spans="1:17" x14ac:dyDescent="0.25">
      <c r="A3116" s="2">
        <v>3302</v>
      </c>
      <c r="B3116" s="2" t="s">
        <v>115</v>
      </c>
      <c r="C3116" s="2">
        <v>9</v>
      </c>
      <c r="D3116" s="2">
        <f t="shared" si="480"/>
        <v>22.86</v>
      </c>
      <c r="E3116" s="2">
        <f t="shared" si="481"/>
        <v>7.2765639981614552</v>
      </c>
      <c r="F3116" s="2">
        <f t="shared" si="482"/>
        <v>2.8647889756541161</v>
      </c>
      <c r="G3116" s="2">
        <v>1.636566</v>
      </c>
      <c r="H3116" s="2">
        <f t="shared" si="483"/>
        <v>5.3693111954399999</v>
      </c>
      <c r="I3116" s="2">
        <f>INDEX('Wood Density Lookup'!$B$2:$B$152,MATCH(B3116,'Wood Density Lookup'!$A$2:$A$152,0))</f>
        <v>0.65</v>
      </c>
      <c r="J3116" s="2">
        <f t="shared" si="484"/>
        <v>3.4411045025552607</v>
      </c>
      <c r="K3116" s="2">
        <f t="shared" si="488"/>
        <v>0.96350926071547305</v>
      </c>
      <c r="L3116" s="2">
        <f t="shared" si="489"/>
        <v>4.4046137632707341</v>
      </c>
      <c r="M3116" s="2">
        <f t="shared" si="485"/>
        <v>3.193344978371282</v>
      </c>
      <c r="N3116" s="2">
        <f t="shared" si="486"/>
        <v>1.596672489185641</v>
      </c>
      <c r="O3116" s="2">
        <f t="shared" si="487"/>
        <v>5.8597880353113023</v>
      </c>
      <c r="P3116" s="2">
        <v>72.554382000000004</v>
      </c>
      <c r="Q3116" s="2">
        <v>23.038329000000001</v>
      </c>
    </row>
    <row r="3117" spans="1:17" x14ac:dyDescent="0.25">
      <c r="A3117" s="2">
        <v>3303</v>
      </c>
      <c r="B3117" s="2" t="s">
        <v>31</v>
      </c>
      <c r="C3117" s="2">
        <v>21</v>
      </c>
      <c r="D3117" s="2">
        <f t="shared" si="480"/>
        <v>53.34</v>
      </c>
      <c r="E3117" s="2">
        <f t="shared" si="481"/>
        <v>16.978649329043396</v>
      </c>
      <c r="F3117" s="2">
        <f t="shared" si="482"/>
        <v>6.6845076098596046</v>
      </c>
      <c r="G3117" s="2">
        <v>8.8224230000000006</v>
      </c>
      <c r="H3117" s="2">
        <f t="shared" si="483"/>
        <v>28.944958275320001</v>
      </c>
      <c r="I3117" s="2">
        <f>INDEX('Wood Density Lookup'!$B$2:$B$152,MATCH(B3117,'Wood Density Lookup'!$A$2:$A$152,0))</f>
        <v>0.78</v>
      </c>
      <c r="J3117" s="2">
        <f t="shared" si="484"/>
        <v>111.26641381736478</v>
      </c>
      <c r="K3117" s="2">
        <f t="shared" si="488"/>
        <v>31.154595868862142</v>
      </c>
      <c r="L3117" s="2">
        <f t="shared" si="489"/>
        <v>142.42100968622691</v>
      </c>
      <c r="M3117" s="2">
        <f t="shared" si="485"/>
        <v>103.25523202251451</v>
      </c>
      <c r="N3117" s="2">
        <f t="shared" si="486"/>
        <v>51.627616011257253</v>
      </c>
      <c r="O3117" s="2">
        <f t="shared" si="487"/>
        <v>189.47335076131412</v>
      </c>
      <c r="P3117" s="2">
        <v>72.554383000000001</v>
      </c>
      <c r="Q3117" s="2">
        <v>23.038741000000002</v>
      </c>
    </row>
    <row r="3118" spans="1:17" x14ac:dyDescent="0.25">
      <c r="A3118" s="2">
        <v>3304</v>
      </c>
      <c r="B3118" s="2" t="s">
        <v>43</v>
      </c>
      <c r="C3118" s="2">
        <v>20</v>
      </c>
      <c r="D3118" s="2">
        <f t="shared" si="480"/>
        <v>50.8</v>
      </c>
      <c r="E3118" s="2">
        <f t="shared" si="481"/>
        <v>16.170142218136565</v>
      </c>
      <c r="F3118" s="2">
        <f t="shared" si="482"/>
        <v>6.366197723675814</v>
      </c>
      <c r="G3118" s="2">
        <v>2.6237970000000002</v>
      </c>
      <c r="H3118" s="2">
        <f t="shared" si="483"/>
        <v>8.608258149480001</v>
      </c>
      <c r="I3118" s="2">
        <f>INDEX('Wood Density Lookup'!$B$2:$B$152,MATCH(B3118,'Wood Density Lookup'!$A$2:$A$152,0))</f>
        <v>0.6</v>
      </c>
      <c r="J3118" s="2">
        <f t="shared" si="484"/>
        <v>23.975959983774139</v>
      </c>
      <c r="K3118" s="2">
        <f t="shared" si="488"/>
        <v>6.7132687954567594</v>
      </c>
      <c r="L3118" s="2">
        <f t="shared" si="489"/>
        <v>30.689228779230898</v>
      </c>
      <c r="M3118" s="2">
        <f t="shared" si="485"/>
        <v>22.249690864942401</v>
      </c>
      <c r="N3118" s="2">
        <f t="shared" si="486"/>
        <v>11.124845432471201</v>
      </c>
      <c r="O3118" s="2">
        <f t="shared" si="487"/>
        <v>40.828182737169307</v>
      </c>
      <c r="P3118" s="2">
        <v>72.554384999999996</v>
      </c>
      <c r="Q3118" s="2">
        <v>23.038478999999999</v>
      </c>
    </row>
    <row r="3119" spans="1:17" x14ac:dyDescent="0.25">
      <c r="A3119" s="2">
        <v>3305</v>
      </c>
      <c r="B3119" s="2" t="s">
        <v>148</v>
      </c>
      <c r="C3119" s="2">
        <v>3</v>
      </c>
      <c r="D3119" s="2">
        <f t="shared" si="480"/>
        <v>7.62</v>
      </c>
      <c r="E3119" s="2">
        <f t="shared" si="481"/>
        <v>2.4255213327204852</v>
      </c>
      <c r="F3119" s="2">
        <f t="shared" si="482"/>
        <v>0.95492965855137202</v>
      </c>
      <c r="G3119" s="2">
        <v>3.5871309999999998</v>
      </c>
      <c r="H3119" s="2">
        <f t="shared" si="483"/>
        <v>11.76880287004</v>
      </c>
      <c r="I3119" s="2">
        <f>INDEX('Wood Density Lookup'!$B$2:$B$152,MATCH(B3119,'Wood Density Lookup'!$A$2:$A$152,0))</f>
        <v>0.5</v>
      </c>
      <c r="J3119" s="2">
        <f t="shared" si="484"/>
        <v>0.67109290056365989</v>
      </c>
      <c r="K3119" s="2">
        <f t="shared" si="488"/>
        <v>0.18790601215782479</v>
      </c>
      <c r="L3119" s="2">
        <f t="shared" si="489"/>
        <v>0.85899891272148465</v>
      </c>
      <c r="M3119" s="2">
        <f t="shared" si="485"/>
        <v>0.62277421172307634</v>
      </c>
      <c r="N3119" s="2">
        <f t="shared" si="486"/>
        <v>0.31138710586153817</v>
      </c>
      <c r="O3119" s="2">
        <f t="shared" si="487"/>
        <v>1.1427906785118451</v>
      </c>
      <c r="P3119" s="2">
        <v>72.554387000000006</v>
      </c>
      <c r="Q3119" s="2">
        <v>23.036494000000001</v>
      </c>
    </row>
    <row r="3120" spans="1:17" x14ac:dyDescent="0.25">
      <c r="A3120" s="2">
        <v>3306</v>
      </c>
      <c r="B3120" s="2" t="s">
        <v>128</v>
      </c>
      <c r="C3120" s="2">
        <v>36</v>
      </c>
      <c r="D3120" s="2">
        <f t="shared" si="480"/>
        <v>91.44</v>
      </c>
      <c r="E3120" s="2">
        <f t="shared" si="481"/>
        <v>29.106255992645821</v>
      </c>
      <c r="F3120" s="2">
        <f t="shared" si="482"/>
        <v>11.459155902616464</v>
      </c>
      <c r="G3120" s="2">
        <v>9.9254169999999995</v>
      </c>
      <c r="H3120" s="2">
        <f t="shared" si="483"/>
        <v>32.563705110279997</v>
      </c>
      <c r="I3120" s="2">
        <f>INDEX('Wood Density Lookup'!$B$2:$B$152,MATCH(B3120,'Wood Density Lookup'!$A$2:$A$152,0))</f>
        <v>0.75</v>
      </c>
      <c r="J3120" s="2">
        <f t="shared" si="484"/>
        <v>344.03529038498874</v>
      </c>
      <c r="K3120" s="2">
        <f t="shared" si="488"/>
        <v>96.329881307796853</v>
      </c>
      <c r="L3120" s="2">
        <f t="shared" si="489"/>
        <v>440.36517169278557</v>
      </c>
      <c r="M3120" s="2">
        <f t="shared" si="485"/>
        <v>319.2647494772695</v>
      </c>
      <c r="N3120" s="2">
        <f t="shared" si="486"/>
        <v>159.63237473863475</v>
      </c>
      <c r="O3120" s="2">
        <f t="shared" si="487"/>
        <v>585.85081529078957</v>
      </c>
      <c r="P3120" s="2">
        <v>72.554389999999998</v>
      </c>
      <c r="Q3120" s="2">
        <v>23.038592000000001</v>
      </c>
    </row>
    <row r="3121" spans="1:17" x14ac:dyDescent="0.25">
      <c r="A3121" s="2">
        <v>3307</v>
      </c>
      <c r="B3121" s="2" t="s">
        <v>55</v>
      </c>
      <c r="C3121" s="2">
        <v>25</v>
      </c>
      <c r="D3121" s="2">
        <f t="shared" si="480"/>
        <v>63.5</v>
      </c>
      <c r="E3121" s="2">
        <f t="shared" si="481"/>
        <v>20.212677772670709</v>
      </c>
      <c r="F3121" s="2">
        <f t="shared" si="482"/>
        <v>7.9577471545947667</v>
      </c>
      <c r="G3121" s="2">
        <v>14.482094</v>
      </c>
      <c r="H3121" s="2">
        <f t="shared" si="483"/>
        <v>47.513433278960001</v>
      </c>
      <c r="I3121" s="2">
        <f>INDEX('Wood Density Lookup'!$B$2:$B$152,MATCH(B3121,'Wood Density Lookup'!$A$2:$A$152,0))</f>
        <v>0.75</v>
      </c>
      <c r="J3121" s="2">
        <f t="shared" si="484"/>
        <v>244.1316165857024</v>
      </c>
      <c r="K3121" s="2">
        <f t="shared" si="488"/>
        <v>68.356852643996675</v>
      </c>
      <c r="L3121" s="2">
        <f t="shared" si="489"/>
        <v>312.48846922969909</v>
      </c>
      <c r="M3121" s="2">
        <f t="shared" si="485"/>
        <v>226.55414019153184</v>
      </c>
      <c r="N3121" s="2">
        <f t="shared" si="486"/>
        <v>113.27707009576592</v>
      </c>
      <c r="O3121" s="2">
        <f t="shared" si="487"/>
        <v>415.72684725146092</v>
      </c>
      <c r="P3121" s="2">
        <v>72.554389999999998</v>
      </c>
      <c r="Q3121" s="2">
        <v>23.037223999999998</v>
      </c>
    </row>
    <row r="3122" spans="1:17" x14ac:dyDescent="0.25">
      <c r="A3122" s="2">
        <v>3308</v>
      </c>
      <c r="B3122" s="2" t="s">
        <v>55</v>
      </c>
      <c r="C3122" s="2">
        <v>21</v>
      </c>
      <c r="D3122" s="2">
        <f t="shared" si="480"/>
        <v>53.34</v>
      </c>
      <c r="E3122" s="2">
        <f t="shared" si="481"/>
        <v>16.978649329043396</v>
      </c>
      <c r="F3122" s="2">
        <f t="shared" si="482"/>
        <v>6.6845076098596046</v>
      </c>
      <c r="G3122" s="2">
        <v>13.050971000000001</v>
      </c>
      <c r="H3122" s="2">
        <f t="shared" si="483"/>
        <v>42.81814769564</v>
      </c>
      <c r="I3122" s="2">
        <f>INDEX('Wood Density Lookup'!$B$2:$B$152,MATCH(B3122,'Wood Density Lookup'!$A$2:$A$152,0))</f>
        <v>0.75</v>
      </c>
      <c r="J3122" s="2">
        <f t="shared" si="484"/>
        <v>156.93260389429179</v>
      </c>
      <c r="K3122" s="2">
        <f t="shared" si="488"/>
        <v>43.941129090401702</v>
      </c>
      <c r="L3122" s="2">
        <f t="shared" si="489"/>
        <v>200.8737329846935</v>
      </c>
      <c r="M3122" s="2">
        <f t="shared" si="485"/>
        <v>145.63345641390279</v>
      </c>
      <c r="N3122" s="2">
        <f t="shared" si="486"/>
        <v>72.816728206951396</v>
      </c>
      <c r="O3122" s="2">
        <f t="shared" si="487"/>
        <v>267.23739251951162</v>
      </c>
      <c r="P3122" s="2">
        <v>72.554392000000007</v>
      </c>
      <c r="Q3122" s="2">
        <v>23.037251000000001</v>
      </c>
    </row>
    <row r="3123" spans="1:17" x14ac:dyDescent="0.25">
      <c r="A3123" s="2">
        <v>3309</v>
      </c>
      <c r="B3123" s="2" t="s">
        <v>15</v>
      </c>
      <c r="C3123" s="2">
        <v>18</v>
      </c>
      <c r="D3123" s="2">
        <f t="shared" si="480"/>
        <v>45.72</v>
      </c>
      <c r="E3123" s="2">
        <f t="shared" si="481"/>
        <v>14.55312799632291</v>
      </c>
      <c r="F3123" s="2">
        <f t="shared" si="482"/>
        <v>5.7295779513082321</v>
      </c>
      <c r="G3123" s="2">
        <v>8.1664469999999998</v>
      </c>
      <c r="H3123" s="2">
        <f t="shared" si="483"/>
        <v>26.79280597548</v>
      </c>
      <c r="I3123" s="2">
        <f>INDEX('Wood Density Lookup'!$B$2:$B$152,MATCH(B3123,'Wood Density Lookup'!$A$2:$A$152,0))</f>
        <v>0.75</v>
      </c>
      <c r="J3123" s="2">
        <f t="shared" si="484"/>
        <v>73.503835724902061</v>
      </c>
      <c r="K3123" s="2">
        <f t="shared" si="488"/>
        <v>20.581074002972578</v>
      </c>
      <c r="L3123" s="2">
        <f t="shared" si="489"/>
        <v>94.084909727874646</v>
      </c>
      <c r="M3123" s="2">
        <f t="shared" si="485"/>
        <v>68.211559552709119</v>
      </c>
      <c r="N3123" s="2">
        <f t="shared" si="486"/>
        <v>34.105779776354559</v>
      </c>
      <c r="O3123" s="2">
        <f t="shared" si="487"/>
        <v>125.16821177922122</v>
      </c>
      <c r="P3123" s="2">
        <v>72.554393000000005</v>
      </c>
      <c r="Q3123" s="2">
        <v>23.037915000000002</v>
      </c>
    </row>
    <row r="3124" spans="1:17" x14ac:dyDescent="0.25">
      <c r="A3124" s="2">
        <v>3310</v>
      </c>
      <c r="B3124" s="2" t="s">
        <v>15</v>
      </c>
      <c r="C3124" s="2">
        <v>22</v>
      </c>
      <c r="D3124" s="2">
        <f t="shared" si="480"/>
        <v>55.88</v>
      </c>
      <c r="E3124" s="2">
        <f t="shared" si="481"/>
        <v>17.787156439950223</v>
      </c>
      <c r="F3124" s="2">
        <f t="shared" si="482"/>
        <v>7.0028174960433951</v>
      </c>
      <c r="G3124" s="2">
        <v>8.1664469999999998</v>
      </c>
      <c r="H3124" s="2">
        <f t="shared" si="483"/>
        <v>26.79280597548</v>
      </c>
      <c r="I3124" s="2">
        <f>INDEX('Wood Density Lookup'!$B$2:$B$152,MATCH(B3124,'Wood Density Lookup'!$A$2:$A$152,0))</f>
        <v>0.75</v>
      </c>
      <c r="J3124" s="2">
        <f t="shared" si="484"/>
        <v>108.74946921035838</v>
      </c>
      <c r="K3124" s="2">
        <f t="shared" si="488"/>
        <v>30.449851378900352</v>
      </c>
      <c r="L3124" s="2">
        <f t="shared" si="489"/>
        <v>139.19932058925875</v>
      </c>
      <c r="M3124" s="2">
        <f t="shared" si="485"/>
        <v>100.91950742721259</v>
      </c>
      <c r="N3124" s="2">
        <f t="shared" si="486"/>
        <v>50.459753713606297</v>
      </c>
      <c r="O3124" s="2">
        <f t="shared" si="487"/>
        <v>185.18729612893512</v>
      </c>
      <c r="P3124" s="2">
        <v>72.554393000000005</v>
      </c>
      <c r="Q3124" s="2">
        <v>23.037915000000002</v>
      </c>
    </row>
    <row r="3125" spans="1:17" x14ac:dyDescent="0.25">
      <c r="A3125" s="2">
        <v>3311</v>
      </c>
      <c r="B3125" s="2" t="s">
        <v>148</v>
      </c>
      <c r="C3125" s="2">
        <v>2</v>
      </c>
      <c r="D3125" s="2">
        <f t="shared" si="480"/>
        <v>5.08</v>
      </c>
      <c r="E3125" s="2">
        <f t="shared" si="481"/>
        <v>1.6170142218136567</v>
      </c>
      <c r="F3125" s="2">
        <f t="shared" si="482"/>
        <v>0.63661977236758138</v>
      </c>
      <c r="G3125" s="2">
        <v>3.3882099999999999</v>
      </c>
      <c r="H3125" s="2">
        <f t="shared" si="483"/>
        <v>11.1161748964</v>
      </c>
      <c r="I3125" s="2">
        <f>INDEX('Wood Density Lookup'!$B$2:$B$152,MATCH(B3125,'Wood Density Lookup'!$A$2:$A$152,0))</f>
        <v>0.5</v>
      </c>
      <c r="J3125" s="2">
        <f t="shared" si="484"/>
        <v>0.28765387947573579</v>
      </c>
      <c r="K3125" s="2">
        <f t="shared" si="488"/>
        <v>8.0543086253206025E-2</v>
      </c>
      <c r="L3125" s="2">
        <f t="shared" si="489"/>
        <v>0.36819696572894178</v>
      </c>
      <c r="M3125" s="2">
        <f t="shared" si="485"/>
        <v>0.26694280015348276</v>
      </c>
      <c r="N3125" s="2">
        <f t="shared" si="486"/>
        <v>0.13347140007674138</v>
      </c>
      <c r="O3125" s="2">
        <f t="shared" si="487"/>
        <v>0.48984003828164085</v>
      </c>
      <c r="P3125" s="2">
        <v>72.554393000000005</v>
      </c>
      <c r="Q3125" s="2">
        <v>23.036493</v>
      </c>
    </row>
    <row r="3126" spans="1:17" x14ac:dyDescent="0.25">
      <c r="A3126" s="2">
        <v>3312</v>
      </c>
      <c r="B3126" s="2" t="s">
        <v>15</v>
      </c>
      <c r="C3126" s="2">
        <v>12</v>
      </c>
      <c r="D3126" s="2">
        <f t="shared" si="480"/>
        <v>30.48</v>
      </c>
      <c r="E3126" s="2">
        <f t="shared" si="481"/>
        <v>9.7020853308819408</v>
      </c>
      <c r="F3126" s="2">
        <f t="shared" si="482"/>
        <v>3.8197186342054881</v>
      </c>
      <c r="G3126" s="2">
        <v>6.6439269999999997</v>
      </c>
      <c r="H3126" s="2">
        <f t="shared" si="483"/>
        <v>21.79766145868</v>
      </c>
      <c r="I3126" s="2">
        <f>INDEX('Wood Density Lookup'!$B$2:$B$152,MATCH(B3126,'Wood Density Lookup'!$A$2:$A$152,0))</f>
        <v>0.75</v>
      </c>
      <c r="J3126" s="2">
        <f t="shared" si="484"/>
        <v>27.234673207267644</v>
      </c>
      <c r="K3126" s="2">
        <f t="shared" si="488"/>
        <v>7.6257084980349408</v>
      </c>
      <c r="L3126" s="2">
        <f t="shared" si="489"/>
        <v>34.860381705302586</v>
      </c>
      <c r="M3126" s="2">
        <f t="shared" si="485"/>
        <v>25.273776736344374</v>
      </c>
      <c r="N3126" s="2">
        <f t="shared" si="486"/>
        <v>12.636888368172187</v>
      </c>
      <c r="O3126" s="2">
        <f t="shared" si="487"/>
        <v>46.377380311191928</v>
      </c>
      <c r="P3126" s="2">
        <v>72.554394000000002</v>
      </c>
      <c r="Q3126" s="2">
        <v>23.037956999999999</v>
      </c>
    </row>
    <row r="3127" spans="1:17" x14ac:dyDescent="0.25">
      <c r="A3127" s="2">
        <v>3313</v>
      </c>
      <c r="B3127" s="2" t="s">
        <v>15</v>
      </c>
      <c r="C3127" s="2">
        <v>19</v>
      </c>
      <c r="D3127" s="2">
        <f t="shared" si="480"/>
        <v>48.26</v>
      </c>
      <c r="E3127" s="2">
        <f t="shared" si="481"/>
        <v>15.361635107229738</v>
      </c>
      <c r="F3127" s="2">
        <f t="shared" si="482"/>
        <v>6.0478878374920226</v>
      </c>
      <c r="G3127" s="2">
        <v>6.6439269999999997</v>
      </c>
      <c r="H3127" s="2">
        <f t="shared" si="483"/>
        <v>21.79766145868</v>
      </c>
      <c r="I3127" s="2">
        <f>INDEX('Wood Density Lookup'!$B$2:$B$152,MATCH(B3127,'Wood Density Lookup'!$A$2:$A$152,0))</f>
        <v>0.75</v>
      </c>
      <c r="J3127" s="2">
        <f t="shared" si="484"/>
        <v>66.786303274072623</v>
      </c>
      <c r="K3127" s="2">
        <f t="shared" si="488"/>
        <v>18.700164916740338</v>
      </c>
      <c r="L3127" s="2">
        <f t="shared" si="489"/>
        <v>85.486468190812957</v>
      </c>
      <c r="M3127" s="2">
        <f t="shared" si="485"/>
        <v>61.977689438339389</v>
      </c>
      <c r="N3127" s="2">
        <f t="shared" si="486"/>
        <v>30.988844719169695</v>
      </c>
      <c r="O3127" s="2">
        <f t="shared" si="487"/>
        <v>113.72906011935278</v>
      </c>
      <c r="P3127" s="2">
        <v>72.554394000000002</v>
      </c>
      <c r="Q3127" s="2">
        <v>23.037956999999999</v>
      </c>
    </row>
    <row r="3128" spans="1:17" x14ac:dyDescent="0.25">
      <c r="A3128" s="2">
        <v>3314</v>
      </c>
      <c r="B3128" s="2" t="s">
        <v>62</v>
      </c>
      <c r="C3128" s="2">
        <v>12</v>
      </c>
      <c r="D3128" s="2">
        <f t="shared" si="480"/>
        <v>30.48</v>
      </c>
      <c r="E3128" s="2">
        <f t="shared" si="481"/>
        <v>9.7020853308819408</v>
      </c>
      <c r="F3128" s="2">
        <f t="shared" si="482"/>
        <v>3.8197186342054881</v>
      </c>
      <c r="G3128" s="2">
        <v>2.6943459999999999</v>
      </c>
      <c r="H3128" s="2">
        <f t="shared" si="483"/>
        <v>8.8397181306399997</v>
      </c>
      <c r="I3128" s="2">
        <f>INDEX('Wood Density Lookup'!$B$2:$B$152,MATCH(B3128,'Wood Density Lookup'!$A$2:$A$152,0))</f>
        <v>0.47</v>
      </c>
      <c r="J3128" s="2">
        <f t="shared" si="484"/>
        <v>7.1526292473351054</v>
      </c>
      <c r="K3128" s="2">
        <f t="shared" si="488"/>
        <v>2.0027361892538296</v>
      </c>
      <c r="L3128" s="2">
        <f t="shared" si="489"/>
        <v>9.1553654365889354</v>
      </c>
      <c r="M3128" s="2">
        <f t="shared" si="485"/>
        <v>6.6376399415269782</v>
      </c>
      <c r="N3128" s="2">
        <f t="shared" si="486"/>
        <v>3.3188199707634891</v>
      </c>
      <c r="O3128" s="2">
        <f t="shared" si="487"/>
        <v>12.180069292702004</v>
      </c>
      <c r="P3128" s="2">
        <v>72.554395999999997</v>
      </c>
      <c r="Q3128" s="2">
        <v>23.036583</v>
      </c>
    </row>
    <row r="3129" spans="1:17" x14ac:dyDescent="0.25">
      <c r="A3129" s="2">
        <v>3315</v>
      </c>
      <c r="B3129" s="2" t="s">
        <v>128</v>
      </c>
      <c r="C3129" s="2">
        <v>49</v>
      </c>
      <c r="D3129" s="2">
        <f t="shared" si="480"/>
        <v>124.46000000000001</v>
      </c>
      <c r="E3129" s="2">
        <f t="shared" si="481"/>
        <v>39.616848434434594</v>
      </c>
      <c r="F3129" s="2">
        <f t="shared" si="482"/>
        <v>15.597184423005743</v>
      </c>
      <c r="G3129" s="2">
        <v>6.6003350000000003</v>
      </c>
      <c r="H3129" s="2">
        <f t="shared" si="483"/>
        <v>21.6546430814</v>
      </c>
      <c r="I3129" s="2">
        <f>INDEX('Wood Density Lookup'!$B$2:$B$152,MATCH(B3129,'Wood Density Lookup'!$A$2:$A$152,0))</f>
        <v>0.75</v>
      </c>
      <c r="J3129" s="2">
        <f t="shared" si="484"/>
        <v>421.72841539882944</v>
      </c>
      <c r="K3129" s="2">
        <f t="shared" si="488"/>
        <v>118.08395631167225</v>
      </c>
      <c r="L3129" s="2">
        <f t="shared" si="489"/>
        <v>539.81237171050168</v>
      </c>
      <c r="M3129" s="2">
        <f t="shared" si="485"/>
        <v>391.36396949011373</v>
      </c>
      <c r="N3129" s="2">
        <f t="shared" si="486"/>
        <v>195.68198474505687</v>
      </c>
      <c r="O3129" s="2">
        <f t="shared" si="487"/>
        <v>718.15288401435873</v>
      </c>
      <c r="P3129" s="2">
        <v>72.554399000000004</v>
      </c>
      <c r="Q3129" s="2">
        <v>23.038647999999998</v>
      </c>
    </row>
    <row r="3130" spans="1:17" x14ac:dyDescent="0.25">
      <c r="A3130" s="2">
        <v>3316</v>
      </c>
      <c r="B3130" s="2" t="s">
        <v>128</v>
      </c>
      <c r="C3130" s="2">
        <v>37</v>
      </c>
      <c r="D3130" s="2">
        <f t="shared" si="480"/>
        <v>93.98</v>
      </c>
      <c r="E3130" s="2">
        <f t="shared" si="481"/>
        <v>29.914763103552648</v>
      </c>
      <c r="F3130" s="2">
        <f t="shared" si="482"/>
        <v>11.777465788800255</v>
      </c>
      <c r="G3130" s="2">
        <v>6.6003350000000003</v>
      </c>
      <c r="H3130" s="2">
        <f t="shared" si="483"/>
        <v>21.6546430814</v>
      </c>
      <c r="I3130" s="2">
        <f>INDEX('Wood Density Lookup'!$B$2:$B$152,MATCH(B3130,'Wood Density Lookup'!$A$2:$A$152,0))</f>
        <v>0.75</v>
      </c>
      <c r="J3130" s="2">
        <f t="shared" si="484"/>
        <v>243.72488898512361</v>
      </c>
      <c r="K3130" s="2">
        <f t="shared" si="488"/>
        <v>68.242968915834624</v>
      </c>
      <c r="L3130" s="2">
        <f t="shared" si="489"/>
        <v>311.96785790095822</v>
      </c>
      <c r="M3130" s="2">
        <f t="shared" si="485"/>
        <v>226.17669697819471</v>
      </c>
      <c r="N3130" s="2">
        <f t="shared" si="486"/>
        <v>113.08834848909736</v>
      </c>
      <c r="O3130" s="2">
        <f t="shared" si="487"/>
        <v>415.0342389549873</v>
      </c>
      <c r="P3130" s="2">
        <v>72.554399000000004</v>
      </c>
      <c r="Q3130" s="2">
        <v>23.038647999999998</v>
      </c>
    </row>
    <row r="3131" spans="1:17" x14ac:dyDescent="0.25">
      <c r="A3131" s="2">
        <v>3317</v>
      </c>
      <c r="B3131" s="2" t="s">
        <v>115</v>
      </c>
      <c r="C3131" s="2">
        <v>45</v>
      </c>
      <c r="D3131" s="2">
        <f t="shared" si="480"/>
        <v>114.3</v>
      </c>
      <c r="E3131" s="2">
        <f t="shared" si="481"/>
        <v>36.382819990807278</v>
      </c>
      <c r="F3131" s="2">
        <f t="shared" si="482"/>
        <v>14.323944878270581</v>
      </c>
      <c r="G3131" s="2">
        <v>11.094771</v>
      </c>
      <c r="H3131" s="2">
        <f t="shared" si="483"/>
        <v>36.400168487640002</v>
      </c>
      <c r="I3131" s="2">
        <f>INDEX('Wood Density Lookup'!$B$2:$B$152,MATCH(B3131,'Wood Density Lookup'!$A$2:$A$152,0))</f>
        <v>0.65</v>
      </c>
      <c r="J3131" s="2">
        <f t="shared" si="484"/>
        <v>515.6128034227479</v>
      </c>
      <c r="K3131" s="2">
        <f t="shared" si="488"/>
        <v>144.37158495836943</v>
      </c>
      <c r="L3131" s="2">
        <f t="shared" si="489"/>
        <v>659.98438838111736</v>
      </c>
      <c r="M3131" s="2">
        <f t="shared" si="485"/>
        <v>478.48868157631006</v>
      </c>
      <c r="N3131" s="2">
        <f t="shared" si="486"/>
        <v>239.24434078815503</v>
      </c>
      <c r="O3131" s="2">
        <f t="shared" si="487"/>
        <v>878.02673069252899</v>
      </c>
      <c r="P3131" s="2">
        <v>72.554399000000004</v>
      </c>
      <c r="Q3131" s="2">
        <v>23.038537999999999</v>
      </c>
    </row>
    <row r="3132" spans="1:17" x14ac:dyDescent="0.25">
      <c r="A3132" s="2">
        <v>3318</v>
      </c>
      <c r="B3132" s="2" t="s">
        <v>15</v>
      </c>
      <c r="C3132" s="2">
        <v>24</v>
      </c>
      <c r="D3132" s="2">
        <f t="shared" si="480"/>
        <v>60.96</v>
      </c>
      <c r="E3132" s="2">
        <f t="shared" si="481"/>
        <v>19.404170661763882</v>
      </c>
      <c r="F3132" s="2">
        <f t="shared" si="482"/>
        <v>7.6394372684109761</v>
      </c>
      <c r="G3132" s="2">
        <v>8.0745129999999996</v>
      </c>
      <c r="H3132" s="2">
        <f t="shared" si="483"/>
        <v>26.491185230919999</v>
      </c>
      <c r="I3132" s="2">
        <f>INDEX('Wood Density Lookup'!$B$2:$B$152,MATCH(B3132,'Wood Density Lookup'!$A$2:$A$152,0))</f>
        <v>0.75</v>
      </c>
      <c r="J3132" s="2">
        <f t="shared" si="484"/>
        <v>127.46519374519207</v>
      </c>
      <c r="K3132" s="2">
        <f t="shared" si="488"/>
        <v>35.69025424865378</v>
      </c>
      <c r="L3132" s="2">
        <f t="shared" si="489"/>
        <v>163.15544799384585</v>
      </c>
      <c r="M3132" s="2">
        <f t="shared" si="485"/>
        <v>118.28769979553824</v>
      </c>
      <c r="N3132" s="2">
        <f t="shared" si="486"/>
        <v>59.143849897769122</v>
      </c>
      <c r="O3132" s="2">
        <f t="shared" si="487"/>
        <v>217.05792912481269</v>
      </c>
      <c r="P3132" s="2">
        <v>72.554406</v>
      </c>
      <c r="Q3132" s="2">
        <v>23.037849000000001</v>
      </c>
    </row>
    <row r="3133" spans="1:17" x14ac:dyDescent="0.25">
      <c r="A3133" s="2">
        <v>3319</v>
      </c>
      <c r="B3133" s="2" t="s">
        <v>15</v>
      </c>
      <c r="C3133" s="2">
        <v>85</v>
      </c>
      <c r="D3133" s="2">
        <f t="shared" si="480"/>
        <v>215.9</v>
      </c>
      <c r="E3133" s="2">
        <f t="shared" si="481"/>
        <v>68.723104427080415</v>
      </c>
      <c r="F3133" s="2">
        <f t="shared" si="482"/>
        <v>27.056340325622209</v>
      </c>
      <c r="G3133" s="2">
        <v>9.0928520000000006</v>
      </c>
      <c r="H3133" s="2">
        <f t="shared" si="483"/>
        <v>29.832192555680002</v>
      </c>
      <c r="I3133" s="2">
        <f>INDEX('Wood Density Lookup'!$B$2:$B$152,MATCH(B3133,'Wood Density Lookup'!$A$2:$A$152,0))</f>
        <v>0.75</v>
      </c>
      <c r="J3133" s="2">
        <f t="shared" si="484"/>
        <v>1689.6267749865508</v>
      </c>
      <c r="K3133" s="2">
        <f t="shared" si="488"/>
        <v>473.09549699623426</v>
      </c>
      <c r="L3133" s="2">
        <f t="shared" si="489"/>
        <v>2162.7222719827851</v>
      </c>
      <c r="M3133" s="2">
        <f t="shared" si="485"/>
        <v>1567.9736471875192</v>
      </c>
      <c r="N3133" s="2">
        <f t="shared" si="486"/>
        <v>783.9868235937596</v>
      </c>
      <c r="O3133" s="2">
        <f t="shared" si="487"/>
        <v>2877.2316425890976</v>
      </c>
      <c r="P3133" s="2">
        <v>72.554406</v>
      </c>
      <c r="Q3133" s="2">
        <v>23.038781</v>
      </c>
    </row>
    <row r="3134" spans="1:17" x14ac:dyDescent="0.25">
      <c r="A3134" s="2">
        <v>3320</v>
      </c>
      <c r="B3134" s="2" t="s">
        <v>62</v>
      </c>
      <c r="C3134" s="2">
        <v>11</v>
      </c>
      <c r="D3134" s="2">
        <f t="shared" si="480"/>
        <v>27.94</v>
      </c>
      <c r="E3134" s="2">
        <f t="shared" si="481"/>
        <v>8.8935782199751117</v>
      </c>
      <c r="F3134" s="2">
        <f t="shared" si="482"/>
        <v>3.5014087480216975</v>
      </c>
      <c r="G3134" s="2">
        <v>7.4329929999999997</v>
      </c>
      <c r="H3134" s="2">
        <f t="shared" si="483"/>
        <v>24.386460754119998</v>
      </c>
      <c r="I3134" s="2">
        <f>INDEX('Wood Density Lookup'!$B$2:$B$152,MATCH(B3134,'Wood Density Lookup'!$A$2:$A$152,0))</f>
        <v>0.47</v>
      </c>
      <c r="J3134" s="2">
        <f t="shared" si="484"/>
        <v>16.249341004911731</v>
      </c>
      <c r="K3134" s="2">
        <f t="shared" si="488"/>
        <v>4.5498154813752851</v>
      </c>
      <c r="L3134" s="2">
        <f t="shared" si="489"/>
        <v>20.799156486287018</v>
      </c>
      <c r="M3134" s="2">
        <f t="shared" si="485"/>
        <v>15.079388452558087</v>
      </c>
      <c r="N3134" s="2">
        <f t="shared" si="486"/>
        <v>7.5396942262790434</v>
      </c>
      <c r="O3134" s="2">
        <f t="shared" si="487"/>
        <v>27.67067781044409</v>
      </c>
      <c r="P3134" s="2">
        <v>72.554411000000002</v>
      </c>
      <c r="Q3134" s="2">
        <v>23.036584000000001</v>
      </c>
    </row>
    <row r="3135" spans="1:17" x14ac:dyDescent="0.25">
      <c r="A3135" s="2">
        <v>3321</v>
      </c>
      <c r="B3135" s="2" t="s">
        <v>128</v>
      </c>
      <c r="C3135" s="2">
        <v>47</v>
      </c>
      <c r="D3135" s="2">
        <f t="shared" si="480"/>
        <v>119.38</v>
      </c>
      <c r="E3135" s="2">
        <f t="shared" si="481"/>
        <v>37.999834212620932</v>
      </c>
      <c r="F3135" s="2">
        <f t="shared" si="482"/>
        <v>14.960564650638162</v>
      </c>
      <c r="G3135" s="2">
        <v>8.3378969999999999</v>
      </c>
      <c r="H3135" s="2">
        <f t="shared" si="483"/>
        <v>27.355305993479998</v>
      </c>
      <c r="I3135" s="2">
        <f>INDEX('Wood Density Lookup'!$B$2:$B$152,MATCH(B3135,'Wood Density Lookup'!$A$2:$A$152,0))</f>
        <v>0.75</v>
      </c>
      <c r="J3135" s="2">
        <f t="shared" si="484"/>
        <v>488.38229187442988</v>
      </c>
      <c r="K3135" s="2">
        <f t="shared" si="488"/>
        <v>136.74704172484039</v>
      </c>
      <c r="L3135" s="2">
        <f t="shared" si="489"/>
        <v>625.12933359927024</v>
      </c>
      <c r="M3135" s="2">
        <f t="shared" si="485"/>
        <v>453.21876685947092</v>
      </c>
      <c r="N3135" s="2">
        <f t="shared" si="486"/>
        <v>226.60938342973546</v>
      </c>
      <c r="O3135" s="2">
        <f t="shared" si="487"/>
        <v>831.65643718712909</v>
      </c>
      <c r="P3135" s="2">
        <v>72.554411999999999</v>
      </c>
      <c r="Q3135" s="2">
        <v>23.038363</v>
      </c>
    </row>
    <row r="3136" spans="1:17" x14ac:dyDescent="0.25">
      <c r="A3136" s="2">
        <v>3322</v>
      </c>
      <c r="B3136" s="2" t="s">
        <v>103</v>
      </c>
      <c r="C3136" s="2">
        <v>2</v>
      </c>
      <c r="D3136" s="2">
        <f t="shared" si="480"/>
        <v>5.08</v>
      </c>
      <c r="E3136" s="2">
        <f t="shared" si="481"/>
        <v>1.6170142218136567</v>
      </c>
      <c r="F3136" s="2">
        <f t="shared" si="482"/>
        <v>0.63661977236758138</v>
      </c>
      <c r="G3136" s="2">
        <v>12.186097999999999</v>
      </c>
      <c r="H3136" s="2">
        <f t="shared" si="483"/>
        <v>39.980637762320001</v>
      </c>
      <c r="I3136" s="2">
        <f>INDEX('Wood Density Lookup'!$B$2:$B$152,MATCH(B3136,'Wood Density Lookup'!$A$2:$A$152,0))</f>
        <v>0.6</v>
      </c>
      <c r="J3136" s="2">
        <f t="shared" si="484"/>
        <v>1.1986820829808866</v>
      </c>
      <c r="K3136" s="2">
        <f t="shared" si="488"/>
        <v>0.33563098323464829</v>
      </c>
      <c r="L3136" s="2">
        <f t="shared" si="489"/>
        <v>1.5343130662155349</v>
      </c>
      <c r="M3136" s="2">
        <f t="shared" si="485"/>
        <v>1.1123769730062627</v>
      </c>
      <c r="N3136" s="2">
        <f t="shared" si="486"/>
        <v>0.55618848650313135</v>
      </c>
      <c r="O3136" s="2">
        <f t="shared" si="487"/>
        <v>2.0412117454664922</v>
      </c>
      <c r="P3136" s="2">
        <v>72.554419999999993</v>
      </c>
      <c r="Q3136" s="2">
        <v>23.038257000000002</v>
      </c>
    </row>
    <row r="3137" spans="1:17" x14ac:dyDescent="0.25">
      <c r="A3137" s="2">
        <v>3323</v>
      </c>
      <c r="B3137" s="2" t="s">
        <v>43</v>
      </c>
      <c r="C3137" s="2">
        <v>43</v>
      </c>
      <c r="D3137" s="2">
        <f t="shared" ref="D3137:D3200" si="490">C3137*2.54</f>
        <v>109.22</v>
      </c>
      <c r="E3137" s="2">
        <f t="shared" ref="E3137:E3200" si="491">D3137/PI()</f>
        <v>34.765805768993616</v>
      </c>
      <c r="F3137" s="2">
        <f t="shared" ref="F3137:F3200" si="492">C3137/PI()</f>
        <v>13.687325105903</v>
      </c>
      <c r="G3137" s="2">
        <v>10.92475</v>
      </c>
      <c r="H3137" s="2">
        <f t="shared" ref="H3137:H3200" si="493">G3137*3.28084</f>
        <v>35.842356789999997</v>
      </c>
      <c r="I3137" s="2">
        <f>INDEX('Wood Density Lookup'!$B$2:$B$152,MATCH(B3137,'Wood Density Lookup'!$A$2:$A$152,0))</f>
        <v>0.6</v>
      </c>
      <c r="J3137" s="2">
        <f t="shared" ref="J3137:J3200" si="494">0.0673*POWER(I3137*E3137^2*G3137,0.976)</f>
        <v>429.84274845992667</v>
      </c>
      <c r="K3137" s="2">
        <f t="shared" si="488"/>
        <v>120.35596956877947</v>
      </c>
      <c r="L3137" s="2">
        <f t="shared" si="489"/>
        <v>550.19871802870614</v>
      </c>
      <c r="M3137" s="2">
        <f t="shared" ref="M3137:M3200" si="495">0.725*L3137</f>
        <v>398.89407057081195</v>
      </c>
      <c r="N3137" s="2">
        <f t="shared" ref="N3137:N3200" si="496">0.5*M3137</f>
        <v>199.44703528540597</v>
      </c>
      <c r="O3137" s="2">
        <f t="shared" ref="O3137:O3200" si="497">3.67*N3137</f>
        <v>731.97061949743988</v>
      </c>
      <c r="P3137" s="2">
        <v>72.554422000000002</v>
      </c>
      <c r="Q3137" s="2">
        <v>23.038482999999999</v>
      </c>
    </row>
    <row r="3138" spans="1:17" x14ac:dyDescent="0.25">
      <c r="A3138" s="2">
        <v>3324</v>
      </c>
      <c r="B3138" s="2" t="s">
        <v>59</v>
      </c>
      <c r="C3138" s="2">
        <v>52</v>
      </c>
      <c r="D3138" s="2">
        <f t="shared" si="490"/>
        <v>132.08000000000001</v>
      </c>
      <c r="E3138" s="2">
        <f t="shared" si="491"/>
        <v>42.04236976715508</v>
      </c>
      <c r="F3138" s="2">
        <f t="shared" si="492"/>
        <v>16.552114081557114</v>
      </c>
      <c r="G3138" s="2">
        <v>11.050953</v>
      </c>
      <c r="H3138" s="2">
        <f t="shared" si="493"/>
        <v>36.25640864052</v>
      </c>
      <c r="I3138" s="2">
        <f>INDEX('Wood Density Lookup'!$B$2:$B$152,MATCH(B3138,'Wood Density Lookup'!$A$2:$A$152,0))</f>
        <v>0.45</v>
      </c>
      <c r="J3138" s="2">
        <f t="shared" si="494"/>
        <v>475.71408041881256</v>
      </c>
      <c r="K3138" s="2">
        <f t="shared" si="488"/>
        <v>133.19994251726752</v>
      </c>
      <c r="L3138" s="2">
        <f t="shared" si="489"/>
        <v>608.91402293608007</v>
      </c>
      <c r="M3138" s="2">
        <f t="shared" si="495"/>
        <v>441.46266662865804</v>
      </c>
      <c r="N3138" s="2">
        <f t="shared" si="496"/>
        <v>220.73133331432902</v>
      </c>
      <c r="O3138" s="2">
        <f t="shared" si="497"/>
        <v>810.08399326358744</v>
      </c>
      <c r="P3138" s="2">
        <v>72.554423</v>
      </c>
      <c r="Q3138" s="2">
        <v>23.037631999999999</v>
      </c>
    </row>
    <row r="3139" spans="1:17" x14ac:dyDescent="0.25">
      <c r="A3139" s="2">
        <v>3325</v>
      </c>
      <c r="B3139" s="2" t="s">
        <v>124</v>
      </c>
      <c r="C3139" s="2">
        <v>8</v>
      </c>
      <c r="D3139" s="2">
        <f t="shared" si="490"/>
        <v>20.32</v>
      </c>
      <c r="E3139" s="2">
        <f t="shared" si="491"/>
        <v>6.4680568872546269</v>
      </c>
      <c r="F3139" s="2">
        <f t="shared" si="492"/>
        <v>2.5464790894703255</v>
      </c>
      <c r="G3139" s="2">
        <v>5.1242409999999996</v>
      </c>
      <c r="H3139" s="2">
        <f t="shared" si="493"/>
        <v>16.811814842439997</v>
      </c>
      <c r="I3139" s="2">
        <f>INDEX('Wood Density Lookup'!$B$2:$B$152,MATCH(B3139,'Wood Density Lookup'!$A$2:$A$152,0))</f>
        <v>0.55000000000000004</v>
      </c>
      <c r="J3139" s="2">
        <f t="shared" si="494"/>
        <v>7.0768176470959281</v>
      </c>
      <c r="K3139" s="2">
        <f t="shared" ref="K3139:K3202" si="498">0.28*J3139</f>
        <v>1.9815089411868601</v>
      </c>
      <c r="L3139" s="2">
        <f t="shared" ref="L3139:L3202" si="499">J3139+K3139</f>
        <v>9.0583265882827888</v>
      </c>
      <c r="M3139" s="2">
        <f t="shared" si="495"/>
        <v>6.5672867765050214</v>
      </c>
      <c r="N3139" s="2">
        <f t="shared" si="496"/>
        <v>3.2836433882525107</v>
      </c>
      <c r="O3139" s="2">
        <f t="shared" si="497"/>
        <v>12.050971234886713</v>
      </c>
      <c r="P3139" s="2">
        <v>72.554423</v>
      </c>
      <c r="Q3139" s="2">
        <v>23.037144999999999</v>
      </c>
    </row>
    <row r="3140" spans="1:17" x14ac:dyDescent="0.25">
      <c r="A3140" s="2">
        <v>3326</v>
      </c>
      <c r="B3140" s="2" t="s">
        <v>115</v>
      </c>
      <c r="C3140" s="2">
        <v>33</v>
      </c>
      <c r="D3140" s="2">
        <f t="shared" si="490"/>
        <v>83.820000000000007</v>
      </c>
      <c r="E3140" s="2">
        <f t="shared" si="491"/>
        <v>26.680734659925339</v>
      </c>
      <c r="F3140" s="2">
        <f t="shared" si="492"/>
        <v>10.504226244065093</v>
      </c>
      <c r="G3140" s="2">
        <v>7.0176780000000001</v>
      </c>
      <c r="H3140" s="2">
        <f t="shared" si="493"/>
        <v>23.02387868952</v>
      </c>
      <c r="I3140" s="2">
        <f>INDEX('Wood Density Lookup'!$B$2:$B$152,MATCH(B3140,'Wood Density Lookup'!$A$2:$A$152,0))</f>
        <v>0.65</v>
      </c>
      <c r="J3140" s="2">
        <f t="shared" si="494"/>
        <v>179.98709559310214</v>
      </c>
      <c r="K3140" s="2">
        <f t="shared" si="498"/>
        <v>50.396386766068602</v>
      </c>
      <c r="L3140" s="2">
        <f t="shared" si="499"/>
        <v>230.38348235917073</v>
      </c>
      <c r="M3140" s="2">
        <f t="shared" si="495"/>
        <v>167.02802471039877</v>
      </c>
      <c r="N3140" s="2">
        <f t="shared" si="496"/>
        <v>83.514012355199384</v>
      </c>
      <c r="O3140" s="2">
        <f t="shared" si="497"/>
        <v>306.49642534358173</v>
      </c>
      <c r="P3140" s="2">
        <v>72.554423999999997</v>
      </c>
      <c r="Q3140" s="2">
        <v>23.037704999999999</v>
      </c>
    </row>
    <row r="3141" spans="1:17" x14ac:dyDescent="0.25">
      <c r="A3141" s="2">
        <v>3327</v>
      </c>
      <c r="B3141" s="2" t="s">
        <v>103</v>
      </c>
      <c r="C3141" s="2">
        <v>1</v>
      </c>
      <c r="D3141" s="2">
        <f t="shared" si="490"/>
        <v>2.54</v>
      </c>
      <c r="E3141" s="2">
        <f t="shared" si="491"/>
        <v>0.80850711090682836</v>
      </c>
      <c r="F3141" s="2">
        <f t="shared" si="492"/>
        <v>0.31830988618379069</v>
      </c>
      <c r="G3141" s="2">
        <v>10.390142000000001</v>
      </c>
      <c r="H3141" s="2">
        <f t="shared" si="493"/>
        <v>34.088393479280001</v>
      </c>
      <c r="I3141" s="2">
        <f>INDEX('Wood Density Lookup'!$B$2:$B$152,MATCH(B3141,'Wood Density Lookup'!$A$2:$A$152,0))</f>
        <v>0.6</v>
      </c>
      <c r="J3141" s="2">
        <f t="shared" si="494"/>
        <v>0.26516250634457306</v>
      </c>
      <c r="K3141" s="2">
        <f t="shared" si="498"/>
        <v>7.4245501776480469E-2</v>
      </c>
      <c r="L3141" s="2">
        <f t="shared" si="499"/>
        <v>0.33940800812105354</v>
      </c>
      <c r="M3141" s="2">
        <f t="shared" si="495"/>
        <v>0.24607080588776381</v>
      </c>
      <c r="N3141" s="2">
        <f t="shared" si="496"/>
        <v>0.12303540294388191</v>
      </c>
      <c r="O3141" s="2">
        <f t="shared" si="497"/>
        <v>0.45153992880404659</v>
      </c>
      <c r="P3141" s="2">
        <v>72.554426000000007</v>
      </c>
      <c r="Q3141" s="2">
        <v>23.038264000000002</v>
      </c>
    </row>
    <row r="3142" spans="1:17" x14ac:dyDescent="0.25">
      <c r="A3142" s="2">
        <v>3328</v>
      </c>
      <c r="B3142" s="2" t="s">
        <v>146</v>
      </c>
      <c r="C3142" s="2">
        <v>2</v>
      </c>
      <c r="D3142" s="2">
        <f t="shared" si="490"/>
        <v>5.08</v>
      </c>
      <c r="E3142" s="2">
        <f t="shared" si="491"/>
        <v>1.6170142218136567</v>
      </c>
      <c r="F3142" s="2">
        <f t="shared" si="492"/>
        <v>0.63661977236758138</v>
      </c>
      <c r="G3142" s="2">
        <v>9.7893799999999995</v>
      </c>
      <c r="H3142" s="2">
        <f t="shared" si="493"/>
        <v>32.1173894792</v>
      </c>
      <c r="I3142" s="2">
        <f>INDEX('Wood Density Lookup'!$B$2:$B$152,MATCH(B3142,'Wood Density Lookup'!$A$2:$A$152,0))</f>
        <v>0.55000000000000004</v>
      </c>
      <c r="J3142" s="2">
        <f t="shared" si="494"/>
        <v>0.88919195890068814</v>
      </c>
      <c r="K3142" s="2">
        <f t="shared" si="498"/>
        <v>0.2489737484921927</v>
      </c>
      <c r="L3142" s="2">
        <f t="shared" si="499"/>
        <v>1.1381657073928808</v>
      </c>
      <c r="M3142" s="2">
        <f t="shared" si="495"/>
        <v>0.82517013785983861</v>
      </c>
      <c r="N3142" s="2">
        <f t="shared" si="496"/>
        <v>0.41258506892991931</v>
      </c>
      <c r="O3142" s="2">
        <f t="shared" si="497"/>
        <v>1.5141872029728038</v>
      </c>
      <c r="P3142" s="2">
        <v>72.554427000000004</v>
      </c>
      <c r="Q3142" s="2">
        <v>23.038461999999999</v>
      </c>
    </row>
    <row r="3143" spans="1:17" x14ac:dyDescent="0.25">
      <c r="A3143" s="2">
        <v>3329</v>
      </c>
      <c r="B3143" s="2" t="s">
        <v>111</v>
      </c>
      <c r="C3143" s="2">
        <v>2</v>
      </c>
      <c r="D3143" s="2">
        <f t="shared" si="490"/>
        <v>5.08</v>
      </c>
      <c r="E3143" s="2">
        <f t="shared" si="491"/>
        <v>1.6170142218136567</v>
      </c>
      <c r="F3143" s="2">
        <f t="shared" si="492"/>
        <v>0.63661977236758138</v>
      </c>
      <c r="G3143" s="2">
        <v>2.7405970000000002</v>
      </c>
      <c r="H3143" s="2">
        <f t="shared" si="493"/>
        <v>8.9914602614800003</v>
      </c>
      <c r="I3143" s="2">
        <f>INDEX('Wood Density Lookup'!$B$2:$B$152,MATCH(B3143,'Wood Density Lookup'!$A$2:$A$152,0))</f>
        <v>0.4</v>
      </c>
      <c r="J3143" s="2">
        <f t="shared" si="494"/>
        <v>0.18809269295396761</v>
      </c>
      <c r="K3143" s="2">
        <f t="shared" si="498"/>
        <v>5.2665954027110932E-2</v>
      </c>
      <c r="L3143" s="2">
        <f t="shared" si="499"/>
        <v>0.24075864698107854</v>
      </c>
      <c r="M3143" s="2">
        <f t="shared" si="495"/>
        <v>0.17455001906128195</v>
      </c>
      <c r="N3143" s="2">
        <f t="shared" si="496"/>
        <v>8.7275009530640976E-2</v>
      </c>
      <c r="O3143" s="2">
        <f t="shared" si="497"/>
        <v>0.32029928497745236</v>
      </c>
      <c r="P3143" s="2">
        <v>72.554428000000001</v>
      </c>
      <c r="Q3143" s="2">
        <v>23.038637000000001</v>
      </c>
    </row>
    <row r="3144" spans="1:17" x14ac:dyDescent="0.25">
      <c r="A3144" s="2">
        <v>3330</v>
      </c>
      <c r="B3144" s="2" t="s">
        <v>55</v>
      </c>
      <c r="C3144" s="2">
        <v>48</v>
      </c>
      <c r="D3144" s="2">
        <f t="shared" si="490"/>
        <v>121.92</v>
      </c>
      <c r="E3144" s="2">
        <f t="shared" si="491"/>
        <v>38.808341323527763</v>
      </c>
      <c r="F3144" s="2">
        <f t="shared" si="492"/>
        <v>15.278874536821952</v>
      </c>
      <c r="G3144" s="2">
        <v>16.879449000000001</v>
      </c>
      <c r="H3144" s="2">
        <f t="shared" si="493"/>
        <v>55.378771457160006</v>
      </c>
      <c r="I3144" s="2">
        <f>INDEX('Wood Density Lookup'!$B$2:$B$152,MATCH(B3144,'Wood Density Lookup'!$A$2:$A$152,0))</f>
        <v>0.75</v>
      </c>
      <c r="J3144" s="2">
        <f t="shared" si="494"/>
        <v>1012.8806706982032</v>
      </c>
      <c r="K3144" s="2">
        <f t="shared" si="498"/>
        <v>283.60658779549692</v>
      </c>
      <c r="L3144" s="2">
        <f t="shared" si="499"/>
        <v>1296.4872584937002</v>
      </c>
      <c r="M3144" s="2">
        <f t="shared" si="495"/>
        <v>939.95326240793258</v>
      </c>
      <c r="N3144" s="2">
        <f t="shared" si="496"/>
        <v>469.97663120396629</v>
      </c>
      <c r="O3144" s="2">
        <f t="shared" si="497"/>
        <v>1724.8142365185563</v>
      </c>
      <c r="P3144" s="2">
        <v>72.554428999999999</v>
      </c>
      <c r="Q3144" s="2">
        <v>23.037241999999999</v>
      </c>
    </row>
    <row r="3145" spans="1:17" x14ac:dyDescent="0.25">
      <c r="A3145" s="2">
        <v>3331</v>
      </c>
      <c r="B3145" s="2" t="s">
        <v>111</v>
      </c>
      <c r="C3145" s="2">
        <v>3</v>
      </c>
      <c r="D3145" s="2">
        <f t="shared" si="490"/>
        <v>7.62</v>
      </c>
      <c r="E3145" s="2">
        <f t="shared" si="491"/>
        <v>2.4255213327204852</v>
      </c>
      <c r="F3145" s="2">
        <f t="shared" si="492"/>
        <v>0.95492965855137202</v>
      </c>
      <c r="G3145" s="2">
        <v>1.3785259999999999</v>
      </c>
      <c r="H3145" s="2">
        <f t="shared" si="493"/>
        <v>4.5227232418399996</v>
      </c>
      <c r="I3145" s="2">
        <f>INDEX('Wood Density Lookup'!$B$2:$B$152,MATCH(B3145,'Wood Density Lookup'!$A$2:$A$152,0))</f>
        <v>0.4</v>
      </c>
      <c r="J3145" s="2">
        <f t="shared" si="494"/>
        <v>0.21224338862395165</v>
      </c>
      <c r="K3145" s="2">
        <f t="shared" si="498"/>
        <v>5.9428148814706469E-2</v>
      </c>
      <c r="L3145" s="2">
        <f t="shared" si="499"/>
        <v>0.27167153743865813</v>
      </c>
      <c r="M3145" s="2">
        <f t="shared" si="495"/>
        <v>0.19696186464302715</v>
      </c>
      <c r="N3145" s="2">
        <f t="shared" si="496"/>
        <v>9.8480932321513573E-2</v>
      </c>
      <c r="O3145" s="2">
        <f t="shared" si="497"/>
        <v>0.36142502161995482</v>
      </c>
      <c r="P3145" s="2">
        <v>72.554428999999999</v>
      </c>
      <c r="Q3145" s="2">
        <v>23.038627999999999</v>
      </c>
    </row>
    <row r="3146" spans="1:17" x14ac:dyDescent="0.25">
      <c r="A3146" s="2">
        <v>3332</v>
      </c>
      <c r="B3146" s="2" t="s">
        <v>111</v>
      </c>
      <c r="C3146" s="2">
        <v>3</v>
      </c>
      <c r="D3146" s="2">
        <f t="shared" si="490"/>
        <v>7.62</v>
      </c>
      <c r="E3146" s="2">
        <f t="shared" si="491"/>
        <v>2.4255213327204852</v>
      </c>
      <c r="F3146" s="2">
        <f t="shared" si="492"/>
        <v>0.95492965855137202</v>
      </c>
      <c r="G3146" s="2">
        <v>2.3497780000000001</v>
      </c>
      <c r="H3146" s="2">
        <f t="shared" si="493"/>
        <v>7.70924565352</v>
      </c>
      <c r="I3146" s="2">
        <f>INDEX('Wood Density Lookup'!$B$2:$B$152,MATCH(B3146,'Wood Density Lookup'!$A$2:$A$152,0))</f>
        <v>0.4</v>
      </c>
      <c r="J3146" s="2">
        <f t="shared" si="494"/>
        <v>0.35718018483915059</v>
      </c>
      <c r="K3146" s="2">
        <f t="shared" si="498"/>
        <v>0.10001045175496218</v>
      </c>
      <c r="L3146" s="2">
        <f t="shared" si="499"/>
        <v>0.45719063659411274</v>
      </c>
      <c r="M3146" s="2">
        <f t="shared" si="495"/>
        <v>0.33146321153073172</v>
      </c>
      <c r="N3146" s="2">
        <f t="shared" si="496"/>
        <v>0.16573160576536586</v>
      </c>
      <c r="O3146" s="2">
        <f t="shared" si="497"/>
        <v>0.60823499315889273</v>
      </c>
      <c r="P3146" s="2">
        <v>72.554430999999994</v>
      </c>
      <c r="Q3146" s="2">
        <v>23.038615</v>
      </c>
    </row>
    <row r="3147" spans="1:17" x14ac:dyDescent="0.25">
      <c r="A3147" s="2">
        <v>3333</v>
      </c>
      <c r="B3147" s="2" t="s">
        <v>146</v>
      </c>
      <c r="C3147" s="2">
        <v>3</v>
      </c>
      <c r="D3147" s="2">
        <f t="shared" si="490"/>
        <v>7.62</v>
      </c>
      <c r="E3147" s="2">
        <f t="shared" si="491"/>
        <v>2.4255213327204852</v>
      </c>
      <c r="F3147" s="2">
        <f t="shared" si="492"/>
        <v>0.95492965855137202</v>
      </c>
      <c r="G3147" s="2">
        <v>12.922091999999999</v>
      </c>
      <c r="H3147" s="2">
        <f t="shared" si="493"/>
        <v>42.395316317279999</v>
      </c>
      <c r="I3147" s="2">
        <f>INDEX('Wood Density Lookup'!$B$2:$B$152,MATCH(B3147,'Wood Density Lookup'!$A$2:$A$152,0))</f>
        <v>0.55000000000000004</v>
      </c>
      <c r="J3147" s="2">
        <f t="shared" si="494"/>
        <v>2.5728202337098018</v>
      </c>
      <c r="K3147" s="2">
        <f t="shared" si="498"/>
        <v>0.72038966543874461</v>
      </c>
      <c r="L3147" s="2">
        <f t="shared" si="499"/>
        <v>3.2932098991485463</v>
      </c>
      <c r="M3147" s="2">
        <f t="shared" si="495"/>
        <v>2.3875771768826959</v>
      </c>
      <c r="N3147" s="2">
        <f t="shared" si="496"/>
        <v>1.1937885884413479</v>
      </c>
      <c r="O3147" s="2">
        <f t="shared" si="497"/>
        <v>4.3812041195797464</v>
      </c>
      <c r="P3147" s="2">
        <v>72.554433000000003</v>
      </c>
      <c r="Q3147" s="2">
        <v>23.038468999999999</v>
      </c>
    </row>
    <row r="3148" spans="1:17" x14ac:dyDescent="0.25">
      <c r="A3148" s="2">
        <v>3334</v>
      </c>
      <c r="B3148" s="2" t="s">
        <v>111</v>
      </c>
      <c r="C3148" s="2">
        <v>2</v>
      </c>
      <c r="D3148" s="2">
        <f t="shared" si="490"/>
        <v>5.08</v>
      </c>
      <c r="E3148" s="2">
        <f t="shared" si="491"/>
        <v>1.6170142218136567</v>
      </c>
      <c r="F3148" s="2">
        <f t="shared" si="492"/>
        <v>0.63661977236758138</v>
      </c>
      <c r="G3148" s="2">
        <v>1.3867039999999999</v>
      </c>
      <c r="H3148" s="2">
        <f t="shared" si="493"/>
        <v>4.5495539513600001</v>
      </c>
      <c r="I3148" s="2">
        <f>INDEX('Wood Density Lookup'!$B$2:$B$152,MATCH(B3148,'Wood Density Lookup'!$A$2:$A$152,0))</f>
        <v>0.4</v>
      </c>
      <c r="J3148" s="2">
        <f t="shared" si="494"/>
        <v>9.6741137254358206E-2</v>
      </c>
      <c r="K3148" s="2">
        <f t="shared" si="498"/>
        <v>2.70875184312203E-2</v>
      </c>
      <c r="L3148" s="2">
        <f t="shared" si="499"/>
        <v>0.12382865568557851</v>
      </c>
      <c r="M3148" s="2">
        <f t="shared" si="495"/>
        <v>8.9775775372044411E-2</v>
      </c>
      <c r="N3148" s="2">
        <f t="shared" si="496"/>
        <v>4.4887887686022206E-2</v>
      </c>
      <c r="O3148" s="2">
        <f t="shared" si="497"/>
        <v>0.1647385478077015</v>
      </c>
      <c r="P3148" s="2">
        <v>72.554434000000001</v>
      </c>
      <c r="Q3148" s="2">
        <v>23.038623000000001</v>
      </c>
    </row>
    <row r="3149" spans="1:17" x14ac:dyDescent="0.25">
      <c r="A3149" s="2">
        <v>3335</v>
      </c>
      <c r="B3149" s="2" t="s">
        <v>103</v>
      </c>
      <c r="C3149" s="2">
        <v>2</v>
      </c>
      <c r="D3149" s="2">
        <f t="shared" si="490"/>
        <v>5.08</v>
      </c>
      <c r="E3149" s="2">
        <f t="shared" si="491"/>
        <v>1.6170142218136567</v>
      </c>
      <c r="F3149" s="2">
        <f t="shared" si="492"/>
        <v>0.63661977236758138</v>
      </c>
      <c r="G3149" s="2">
        <v>11.19875</v>
      </c>
      <c r="H3149" s="2">
        <f t="shared" si="493"/>
        <v>36.741306950000002</v>
      </c>
      <c r="I3149" s="2">
        <f>INDEX('Wood Density Lookup'!$B$2:$B$152,MATCH(B3149,'Wood Density Lookup'!$A$2:$A$152,0))</f>
        <v>0.6</v>
      </c>
      <c r="J3149" s="2">
        <f t="shared" si="494"/>
        <v>1.1037979417101049</v>
      </c>
      <c r="K3149" s="2">
        <f t="shared" si="498"/>
        <v>0.30906342367882939</v>
      </c>
      <c r="L3149" s="2">
        <f t="shared" si="499"/>
        <v>1.4128613653889344</v>
      </c>
      <c r="M3149" s="2">
        <f t="shared" si="495"/>
        <v>1.0243244899069774</v>
      </c>
      <c r="N3149" s="2">
        <f t="shared" si="496"/>
        <v>0.51216224495348872</v>
      </c>
      <c r="O3149" s="2">
        <f t="shared" si="497"/>
        <v>1.8796354389793035</v>
      </c>
      <c r="P3149" s="2">
        <v>72.554434000000001</v>
      </c>
      <c r="Q3149" s="2">
        <v>23.038257999999999</v>
      </c>
    </row>
    <row r="3150" spans="1:17" x14ac:dyDescent="0.25">
      <c r="A3150" s="2">
        <v>3336</v>
      </c>
      <c r="B3150" s="2" t="s">
        <v>15</v>
      </c>
      <c r="C3150" s="2">
        <v>92</v>
      </c>
      <c r="D3150" s="2">
        <f t="shared" si="490"/>
        <v>233.68</v>
      </c>
      <c r="E3150" s="2">
        <f t="shared" si="491"/>
        <v>74.382654203428203</v>
      </c>
      <c r="F3150" s="2">
        <f t="shared" si="492"/>
        <v>29.284509528908742</v>
      </c>
      <c r="G3150" s="2">
        <v>15.249347999999999</v>
      </c>
      <c r="H3150" s="2">
        <f t="shared" si="493"/>
        <v>50.030670892319996</v>
      </c>
      <c r="I3150" s="2">
        <f>INDEX('Wood Density Lookup'!$B$2:$B$152,MATCH(B3150,'Wood Density Lookup'!$A$2:$A$152,0))</f>
        <v>0.75</v>
      </c>
      <c r="J3150" s="2">
        <f t="shared" si="494"/>
        <v>3266.1851838781645</v>
      </c>
      <c r="K3150" s="2">
        <f t="shared" si="498"/>
        <v>914.53185148588614</v>
      </c>
      <c r="L3150" s="2">
        <f t="shared" si="499"/>
        <v>4180.7170353640504</v>
      </c>
      <c r="M3150" s="2">
        <f t="shared" si="495"/>
        <v>3031.0198506389365</v>
      </c>
      <c r="N3150" s="2">
        <f t="shared" si="496"/>
        <v>1515.5099253194683</v>
      </c>
      <c r="O3150" s="2">
        <f t="shared" si="497"/>
        <v>5561.9214259224482</v>
      </c>
      <c r="P3150" s="2">
        <v>72.554434999999998</v>
      </c>
      <c r="Q3150" s="2">
        <v>23.037395</v>
      </c>
    </row>
    <row r="3151" spans="1:17" x14ac:dyDescent="0.25">
      <c r="A3151" s="2">
        <v>3337</v>
      </c>
      <c r="B3151" s="2" t="s">
        <v>62</v>
      </c>
      <c r="C3151" s="2">
        <v>37</v>
      </c>
      <c r="D3151" s="2">
        <f t="shared" si="490"/>
        <v>93.98</v>
      </c>
      <c r="E3151" s="2">
        <f t="shared" si="491"/>
        <v>29.914763103552648</v>
      </c>
      <c r="F3151" s="2">
        <f t="shared" si="492"/>
        <v>11.777465788800255</v>
      </c>
      <c r="G3151" s="2">
        <v>9.247363</v>
      </c>
      <c r="H3151" s="2">
        <f t="shared" si="493"/>
        <v>30.339118424919999</v>
      </c>
      <c r="I3151" s="2">
        <f>INDEX('Wood Density Lookup'!$B$2:$B$152,MATCH(B3151,'Wood Density Lookup'!$A$2:$A$152,0))</f>
        <v>0.47</v>
      </c>
      <c r="J3151" s="2">
        <f t="shared" si="494"/>
        <v>214.65681367918165</v>
      </c>
      <c r="K3151" s="2">
        <f t="shared" si="498"/>
        <v>60.103907830170868</v>
      </c>
      <c r="L3151" s="2">
        <f t="shared" si="499"/>
        <v>274.76072150935249</v>
      </c>
      <c r="M3151" s="2">
        <f t="shared" si="495"/>
        <v>199.20152309428056</v>
      </c>
      <c r="N3151" s="2">
        <f t="shared" si="496"/>
        <v>99.60076154714028</v>
      </c>
      <c r="O3151" s="2">
        <f t="shared" si="497"/>
        <v>365.53479487800485</v>
      </c>
      <c r="P3151" s="2">
        <v>72.554435999999995</v>
      </c>
      <c r="Q3151" s="2">
        <v>23.036591000000001</v>
      </c>
    </row>
    <row r="3152" spans="1:17" x14ac:dyDescent="0.25">
      <c r="A3152" s="2">
        <v>3338</v>
      </c>
      <c r="B3152" s="2" t="s">
        <v>111</v>
      </c>
      <c r="C3152" s="2">
        <v>2</v>
      </c>
      <c r="D3152" s="2">
        <f t="shared" si="490"/>
        <v>5.08</v>
      </c>
      <c r="E3152" s="2">
        <f t="shared" si="491"/>
        <v>1.6170142218136567</v>
      </c>
      <c r="F3152" s="2">
        <f t="shared" si="492"/>
        <v>0.63661977236758138</v>
      </c>
      <c r="G3152" s="2">
        <v>1.5613809999999999</v>
      </c>
      <c r="H3152" s="2">
        <f t="shared" si="493"/>
        <v>5.1226412400400001</v>
      </c>
      <c r="I3152" s="2">
        <f>INDEX('Wood Density Lookup'!$B$2:$B$152,MATCH(B3152,'Wood Density Lookup'!$A$2:$A$152,0))</f>
        <v>0.4</v>
      </c>
      <c r="J3152" s="2">
        <f t="shared" si="494"/>
        <v>0.10861747621962035</v>
      </c>
      <c r="K3152" s="2">
        <f t="shared" si="498"/>
        <v>3.0412893341493701E-2</v>
      </c>
      <c r="L3152" s="2">
        <f t="shared" si="499"/>
        <v>0.13903036956111406</v>
      </c>
      <c r="M3152" s="2">
        <f t="shared" si="495"/>
        <v>0.10079701793180769</v>
      </c>
      <c r="N3152" s="2">
        <f t="shared" si="496"/>
        <v>5.0398508965903845E-2</v>
      </c>
      <c r="O3152" s="2">
        <f t="shared" si="497"/>
        <v>0.18496252790486711</v>
      </c>
      <c r="P3152" s="2">
        <v>72.554436999999993</v>
      </c>
      <c r="Q3152" s="2">
        <v>23.038647999999998</v>
      </c>
    </row>
    <row r="3153" spans="1:17" x14ac:dyDescent="0.25">
      <c r="A3153" s="2">
        <v>3339</v>
      </c>
      <c r="B3153" s="2" t="s">
        <v>111</v>
      </c>
      <c r="C3153" s="2">
        <v>2</v>
      </c>
      <c r="D3153" s="2">
        <f t="shared" si="490"/>
        <v>5.08</v>
      </c>
      <c r="E3153" s="2">
        <f t="shared" si="491"/>
        <v>1.6170142218136567</v>
      </c>
      <c r="F3153" s="2">
        <f t="shared" si="492"/>
        <v>0.63661977236758138</v>
      </c>
      <c r="G3153" s="2">
        <v>2.6819470000000001</v>
      </c>
      <c r="H3153" s="2">
        <f t="shared" si="493"/>
        <v>8.7990389954800001</v>
      </c>
      <c r="I3153" s="2">
        <f>INDEX('Wood Density Lookup'!$B$2:$B$152,MATCH(B3153,'Wood Density Lookup'!$A$2:$A$152,0))</f>
        <v>0.4</v>
      </c>
      <c r="J3153" s="2">
        <f t="shared" si="494"/>
        <v>0.18416301537718544</v>
      </c>
      <c r="K3153" s="2">
        <f t="shared" si="498"/>
        <v>5.1565644305611925E-2</v>
      </c>
      <c r="L3153" s="2">
        <f t="shared" si="499"/>
        <v>0.23572865968279735</v>
      </c>
      <c r="M3153" s="2">
        <f t="shared" si="495"/>
        <v>0.17090327827002808</v>
      </c>
      <c r="N3153" s="2">
        <f t="shared" si="496"/>
        <v>8.5451639135014038E-2</v>
      </c>
      <c r="O3153" s="2">
        <f t="shared" si="497"/>
        <v>0.31360751562550149</v>
      </c>
      <c r="P3153" s="2">
        <v>72.554436999999993</v>
      </c>
      <c r="Q3153" s="2">
        <v>23.038637000000001</v>
      </c>
    </row>
    <row r="3154" spans="1:17" x14ac:dyDescent="0.25">
      <c r="A3154" s="2">
        <v>3340</v>
      </c>
      <c r="B3154" s="2" t="s">
        <v>103</v>
      </c>
      <c r="C3154" s="2">
        <v>1</v>
      </c>
      <c r="D3154" s="2">
        <f t="shared" si="490"/>
        <v>2.54</v>
      </c>
      <c r="E3154" s="2">
        <f t="shared" si="491"/>
        <v>0.80850711090682836</v>
      </c>
      <c r="F3154" s="2">
        <f t="shared" si="492"/>
        <v>0.31830988618379069</v>
      </c>
      <c r="G3154" s="2">
        <v>11.279586999999999</v>
      </c>
      <c r="H3154" s="2">
        <f t="shared" si="493"/>
        <v>37.006520213079995</v>
      </c>
      <c r="I3154" s="2">
        <f>INDEX('Wood Density Lookup'!$B$2:$B$152,MATCH(B3154,'Wood Density Lookup'!$A$2:$A$152,0))</f>
        <v>0.6</v>
      </c>
      <c r="J3154" s="2">
        <f t="shared" si="494"/>
        <v>0.28729476303458507</v>
      </c>
      <c r="K3154" s="2">
        <f t="shared" si="498"/>
        <v>8.0442533649683831E-2</v>
      </c>
      <c r="L3154" s="2">
        <f t="shared" si="499"/>
        <v>0.36773729668426891</v>
      </c>
      <c r="M3154" s="2">
        <f t="shared" si="495"/>
        <v>0.26660954009609494</v>
      </c>
      <c r="N3154" s="2">
        <f t="shared" si="496"/>
        <v>0.13330477004804747</v>
      </c>
      <c r="O3154" s="2">
        <f t="shared" si="497"/>
        <v>0.48922850607633422</v>
      </c>
      <c r="P3154" s="2">
        <v>72.554438000000005</v>
      </c>
      <c r="Q3154" s="2">
        <v>23.038264999999999</v>
      </c>
    </row>
    <row r="3155" spans="1:17" x14ac:dyDescent="0.25">
      <c r="A3155" s="2">
        <v>3341</v>
      </c>
      <c r="B3155" s="2" t="s">
        <v>146</v>
      </c>
      <c r="C3155" s="2">
        <v>4</v>
      </c>
      <c r="D3155" s="2">
        <f t="shared" si="490"/>
        <v>10.16</v>
      </c>
      <c r="E3155" s="2">
        <f t="shared" si="491"/>
        <v>3.2340284436273135</v>
      </c>
      <c r="F3155" s="2">
        <f t="shared" si="492"/>
        <v>1.2732395447351628</v>
      </c>
      <c r="G3155" s="2">
        <v>1.337777</v>
      </c>
      <c r="H3155" s="2">
        <f t="shared" si="493"/>
        <v>4.3890322926799996</v>
      </c>
      <c r="I3155" s="2">
        <f>INDEX('Wood Density Lookup'!$B$2:$B$152,MATCH(B3155,'Wood Density Lookup'!$A$2:$A$152,0))</f>
        <v>0.55000000000000004</v>
      </c>
      <c r="J3155" s="2">
        <f t="shared" si="494"/>
        <v>0.49315056062013479</v>
      </c>
      <c r="K3155" s="2">
        <f t="shared" si="498"/>
        <v>0.13808215697363777</v>
      </c>
      <c r="L3155" s="2">
        <f t="shared" si="499"/>
        <v>0.63123271759377253</v>
      </c>
      <c r="M3155" s="2">
        <f t="shared" si="495"/>
        <v>0.45764372025548505</v>
      </c>
      <c r="N3155" s="2">
        <f t="shared" si="496"/>
        <v>0.22882186012774253</v>
      </c>
      <c r="O3155" s="2">
        <f t="shared" si="497"/>
        <v>0.83977622666881502</v>
      </c>
      <c r="P3155" s="2">
        <v>72.55444</v>
      </c>
      <c r="Q3155" s="2">
        <v>23.038623999999999</v>
      </c>
    </row>
    <row r="3156" spans="1:17" x14ac:dyDescent="0.25">
      <c r="A3156" s="2">
        <v>3342</v>
      </c>
      <c r="B3156" s="2" t="s">
        <v>115</v>
      </c>
      <c r="C3156" s="2">
        <v>6</v>
      </c>
      <c r="D3156" s="2">
        <f t="shared" si="490"/>
        <v>15.24</v>
      </c>
      <c r="E3156" s="2">
        <f t="shared" si="491"/>
        <v>4.8510426654409704</v>
      </c>
      <c r="F3156" s="2">
        <f t="shared" si="492"/>
        <v>1.909859317102744</v>
      </c>
      <c r="G3156" s="2">
        <v>2.0122770000000001</v>
      </c>
      <c r="H3156" s="2">
        <f t="shared" si="493"/>
        <v>6.60195887268</v>
      </c>
      <c r="I3156" s="2">
        <f>INDEX('Wood Density Lookup'!$B$2:$B$152,MATCH(B3156,'Wood Density Lookup'!$A$2:$A$152,0))</f>
        <v>0.65</v>
      </c>
      <c r="J3156" s="2">
        <f t="shared" si="494"/>
        <v>1.9079538311163613</v>
      </c>
      <c r="K3156" s="2">
        <f t="shared" si="498"/>
        <v>0.53422707271258119</v>
      </c>
      <c r="L3156" s="2">
        <f t="shared" si="499"/>
        <v>2.4421809038289424</v>
      </c>
      <c r="M3156" s="2">
        <f t="shared" si="495"/>
        <v>1.7705811552759831</v>
      </c>
      <c r="N3156" s="2">
        <f t="shared" si="496"/>
        <v>0.88529057763799157</v>
      </c>
      <c r="O3156" s="2">
        <f t="shared" si="497"/>
        <v>3.2490164199314289</v>
      </c>
      <c r="P3156" s="2">
        <v>72.55444</v>
      </c>
      <c r="Q3156" s="2">
        <v>23.038323999999999</v>
      </c>
    </row>
    <row r="3157" spans="1:17" x14ac:dyDescent="0.25">
      <c r="A3157" s="2">
        <v>3343</v>
      </c>
      <c r="B3157" s="2" t="s">
        <v>146</v>
      </c>
      <c r="C3157" s="2">
        <v>3</v>
      </c>
      <c r="D3157" s="2">
        <f t="shared" si="490"/>
        <v>7.62</v>
      </c>
      <c r="E3157" s="2">
        <f t="shared" si="491"/>
        <v>2.4255213327204852</v>
      </c>
      <c r="F3157" s="2">
        <f t="shared" si="492"/>
        <v>0.95492965855137202</v>
      </c>
      <c r="G3157" s="2">
        <v>2.8903430000000001</v>
      </c>
      <c r="H3157" s="2">
        <f t="shared" si="493"/>
        <v>9.48275292812</v>
      </c>
      <c r="I3157" s="2">
        <f>INDEX('Wood Density Lookup'!$B$2:$B$152,MATCH(B3157,'Wood Density Lookup'!$A$2:$A$152,0))</f>
        <v>0.55000000000000004</v>
      </c>
      <c r="J3157" s="2">
        <f t="shared" si="494"/>
        <v>0.59653399832340848</v>
      </c>
      <c r="K3157" s="2">
        <f t="shared" si="498"/>
        <v>0.16702951953055439</v>
      </c>
      <c r="L3157" s="2">
        <f t="shared" si="499"/>
        <v>0.76356351785396281</v>
      </c>
      <c r="M3157" s="2">
        <f t="shared" si="495"/>
        <v>0.553583550444123</v>
      </c>
      <c r="N3157" s="2">
        <f t="shared" si="496"/>
        <v>0.2767917752220615</v>
      </c>
      <c r="O3157" s="2">
        <f t="shared" si="497"/>
        <v>1.0158258150649657</v>
      </c>
      <c r="P3157" s="2">
        <v>72.554440999999997</v>
      </c>
      <c r="Q3157" s="2">
        <v>23.038643</v>
      </c>
    </row>
    <row r="3158" spans="1:17" x14ac:dyDescent="0.25">
      <c r="A3158" s="2">
        <v>3344</v>
      </c>
      <c r="B3158" s="2" t="s">
        <v>111</v>
      </c>
      <c r="C3158" s="2">
        <v>2</v>
      </c>
      <c r="D3158" s="2">
        <f t="shared" si="490"/>
        <v>5.08</v>
      </c>
      <c r="E3158" s="2">
        <f t="shared" si="491"/>
        <v>1.6170142218136567</v>
      </c>
      <c r="F3158" s="2">
        <f t="shared" si="492"/>
        <v>0.63661977236758138</v>
      </c>
      <c r="G3158" s="2">
        <v>9.3094979999999996</v>
      </c>
      <c r="H3158" s="2">
        <f t="shared" si="493"/>
        <v>30.542973418319999</v>
      </c>
      <c r="I3158" s="2">
        <f>INDEX('Wood Density Lookup'!$B$2:$B$152,MATCH(B3158,'Wood Density Lookup'!$A$2:$A$152,0))</f>
        <v>0.4</v>
      </c>
      <c r="J3158" s="2">
        <f t="shared" si="494"/>
        <v>0.62045039201486418</v>
      </c>
      <c r="K3158" s="2">
        <f t="shared" si="498"/>
        <v>0.173726109764162</v>
      </c>
      <c r="L3158" s="2">
        <f t="shared" si="499"/>
        <v>0.79417650177902621</v>
      </c>
      <c r="M3158" s="2">
        <f t="shared" si="495"/>
        <v>0.57577796378979396</v>
      </c>
      <c r="N3158" s="2">
        <f t="shared" si="496"/>
        <v>0.28788898189489698</v>
      </c>
      <c r="O3158" s="2">
        <f t="shared" si="497"/>
        <v>1.0565525635542719</v>
      </c>
      <c r="P3158" s="2">
        <v>72.554441999999995</v>
      </c>
      <c r="Q3158" s="2">
        <v>23.038654000000001</v>
      </c>
    </row>
    <row r="3159" spans="1:17" x14ac:dyDescent="0.25">
      <c r="A3159" s="2">
        <v>3345</v>
      </c>
      <c r="B3159" s="2" t="s">
        <v>103</v>
      </c>
      <c r="C3159" s="2">
        <v>2</v>
      </c>
      <c r="D3159" s="2">
        <f t="shared" si="490"/>
        <v>5.08</v>
      </c>
      <c r="E3159" s="2">
        <f t="shared" si="491"/>
        <v>1.6170142218136567</v>
      </c>
      <c r="F3159" s="2">
        <f t="shared" si="492"/>
        <v>0.63661977236758138</v>
      </c>
      <c r="G3159" s="2">
        <v>11.038608999999999</v>
      </c>
      <c r="H3159" s="2">
        <f t="shared" si="493"/>
        <v>36.21590995156</v>
      </c>
      <c r="I3159" s="2">
        <f>INDEX('Wood Density Lookup'!$B$2:$B$152,MATCH(B3159,'Wood Density Lookup'!$A$2:$A$152,0))</f>
        <v>0.6</v>
      </c>
      <c r="J3159" s="2">
        <f t="shared" si="494"/>
        <v>1.0883899062790914</v>
      </c>
      <c r="K3159" s="2">
        <f t="shared" si="498"/>
        <v>0.30474917375814564</v>
      </c>
      <c r="L3159" s="2">
        <f t="shared" si="499"/>
        <v>1.393139080037237</v>
      </c>
      <c r="M3159" s="2">
        <f t="shared" si="495"/>
        <v>1.0100258330269967</v>
      </c>
      <c r="N3159" s="2">
        <f t="shared" si="496"/>
        <v>0.50501291651349833</v>
      </c>
      <c r="O3159" s="2">
        <f t="shared" si="497"/>
        <v>1.8533974036045389</v>
      </c>
      <c r="P3159" s="2">
        <v>72.554441999999995</v>
      </c>
      <c r="Q3159" s="2">
        <v>23.038284000000001</v>
      </c>
    </row>
    <row r="3160" spans="1:17" x14ac:dyDescent="0.25">
      <c r="A3160" s="2">
        <v>3346</v>
      </c>
      <c r="B3160" s="2" t="s">
        <v>62</v>
      </c>
      <c r="C3160" s="2">
        <v>57</v>
      </c>
      <c r="D3160" s="2">
        <f t="shared" si="490"/>
        <v>144.78</v>
      </c>
      <c r="E3160" s="2">
        <f t="shared" si="491"/>
        <v>46.084905321689213</v>
      </c>
      <c r="F3160" s="2">
        <f t="shared" si="492"/>
        <v>18.143663512476071</v>
      </c>
      <c r="G3160" s="2">
        <v>14.333107</v>
      </c>
      <c r="H3160" s="2">
        <f t="shared" si="493"/>
        <v>47.024630769879998</v>
      </c>
      <c r="I3160" s="2">
        <f>INDEX('Wood Density Lookup'!$B$2:$B$152,MATCH(B3160,'Wood Density Lookup'!$A$2:$A$152,0))</f>
        <v>0.47</v>
      </c>
      <c r="J3160" s="2">
        <f t="shared" si="494"/>
        <v>765.30989748837658</v>
      </c>
      <c r="K3160" s="2">
        <f t="shared" si="498"/>
        <v>214.28677129674546</v>
      </c>
      <c r="L3160" s="2">
        <f t="shared" si="499"/>
        <v>979.59666878512201</v>
      </c>
      <c r="M3160" s="2">
        <f t="shared" si="495"/>
        <v>710.20758486921341</v>
      </c>
      <c r="N3160" s="2">
        <f t="shared" si="496"/>
        <v>355.1037924346067</v>
      </c>
      <c r="O3160" s="2">
        <f t="shared" si="497"/>
        <v>1303.2309182350066</v>
      </c>
      <c r="P3160" s="2">
        <v>72.554443000000006</v>
      </c>
      <c r="Q3160" s="2">
        <v>23.036943000000001</v>
      </c>
    </row>
    <row r="3161" spans="1:17" x14ac:dyDescent="0.25">
      <c r="A3161" s="2">
        <v>3347</v>
      </c>
      <c r="B3161" s="2" t="s">
        <v>111</v>
      </c>
      <c r="C3161" s="2">
        <v>3</v>
      </c>
      <c r="D3161" s="2">
        <f t="shared" si="490"/>
        <v>7.62</v>
      </c>
      <c r="E3161" s="2">
        <f t="shared" si="491"/>
        <v>2.4255213327204852</v>
      </c>
      <c r="F3161" s="2">
        <f t="shared" si="492"/>
        <v>0.95492965855137202</v>
      </c>
      <c r="G3161" s="2">
        <v>2.2200549999999999</v>
      </c>
      <c r="H3161" s="2">
        <f t="shared" si="493"/>
        <v>7.2836452461999999</v>
      </c>
      <c r="I3161" s="2">
        <f>INDEX('Wood Density Lookup'!$B$2:$B$152,MATCH(B3161,'Wood Density Lookup'!$A$2:$A$152,0))</f>
        <v>0.4</v>
      </c>
      <c r="J3161" s="2">
        <f t="shared" si="494"/>
        <v>0.33792177097606002</v>
      </c>
      <c r="K3161" s="2">
        <f t="shared" si="498"/>
        <v>9.4618095873296809E-2</v>
      </c>
      <c r="L3161" s="2">
        <f t="shared" si="499"/>
        <v>0.43253986684935686</v>
      </c>
      <c r="M3161" s="2">
        <f t="shared" si="495"/>
        <v>0.31359140346578374</v>
      </c>
      <c r="N3161" s="2">
        <f t="shared" si="496"/>
        <v>0.15679570173289187</v>
      </c>
      <c r="O3161" s="2">
        <f t="shared" si="497"/>
        <v>0.57544022535971318</v>
      </c>
      <c r="P3161" s="2">
        <v>72.554443000000006</v>
      </c>
      <c r="Q3161" s="2">
        <v>23.038661000000001</v>
      </c>
    </row>
    <row r="3162" spans="1:17" x14ac:dyDescent="0.25">
      <c r="A3162" s="2">
        <v>3348</v>
      </c>
      <c r="B3162" s="2" t="s">
        <v>111</v>
      </c>
      <c r="C3162" s="2">
        <v>3</v>
      </c>
      <c r="D3162" s="2">
        <f t="shared" si="490"/>
        <v>7.62</v>
      </c>
      <c r="E3162" s="2">
        <f t="shared" si="491"/>
        <v>2.4255213327204852</v>
      </c>
      <c r="F3162" s="2">
        <f t="shared" si="492"/>
        <v>0.95492965855137202</v>
      </c>
      <c r="G3162" s="2">
        <v>2.6673819999999999</v>
      </c>
      <c r="H3162" s="2">
        <f t="shared" si="493"/>
        <v>8.7512535608800004</v>
      </c>
      <c r="I3162" s="2">
        <f>INDEX('Wood Density Lookup'!$B$2:$B$152,MATCH(B3162,'Wood Density Lookup'!$A$2:$A$152,0))</f>
        <v>0.4</v>
      </c>
      <c r="J3162" s="2">
        <f t="shared" si="494"/>
        <v>0.40422608858721965</v>
      </c>
      <c r="K3162" s="2">
        <f t="shared" si="498"/>
        <v>0.11318330480442151</v>
      </c>
      <c r="L3162" s="2">
        <f t="shared" si="499"/>
        <v>0.51740939339164116</v>
      </c>
      <c r="M3162" s="2">
        <f t="shared" si="495"/>
        <v>0.37512181020893981</v>
      </c>
      <c r="N3162" s="2">
        <f t="shared" si="496"/>
        <v>0.1875609051044699</v>
      </c>
      <c r="O3162" s="2">
        <f t="shared" si="497"/>
        <v>0.68834852173340455</v>
      </c>
      <c r="P3162" s="2">
        <v>72.554443000000006</v>
      </c>
      <c r="Q3162" s="2">
        <v>23.038634999999999</v>
      </c>
    </row>
    <row r="3163" spans="1:17" x14ac:dyDescent="0.25">
      <c r="A3163" s="2">
        <v>3349</v>
      </c>
      <c r="B3163" s="2" t="s">
        <v>111</v>
      </c>
      <c r="C3163" s="2">
        <v>3</v>
      </c>
      <c r="D3163" s="2">
        <f t="shared" si="490"/>
        <v>7.62</v>
      </c>
      <c r="E3163" s="2">
        <f t="shared" si="491"/>
        <v>2.4255213327204852</v>
      </c>
      <c r="F3163" s="2">
        <f t="shared" si="492"/>
        <v>0.95492965855137202</v>
      </c>
      <c r="G3163" s="2">
        <v>1.6070120000000001</v>
      </c>
      <c r="H3163" s="2">
        <f t="shared" si="493"/>
        <v>5.2723492500800004</v>
      </c>
      <c r="I3163" s="2">
        <f>INDEX('Wood Density Lookup'!$B$2:$B$152,MATCH(B3163,'Wood Density Lookup'!$A$2:$A$152,0))</f>
        <v>0.4</v>
      </c>
      <c r="J3163" s="2">
        <f t="shared" si="494"/>
        <v>0.24651300126874076</v>
      </c>
      <c r="K3163" s="2">
        <f t="shared" si="498"/>
        <v>6.9023640355247426E-2</v>
      </c>
      <c r="L3163" s="2">
        <f t="shared" si="499"/>
        <v>0.3155366416239882</v>
      </c>
      <c r="M3163" s="2">
        <f t="shared" si="495"/>
        <v>0.22876406517739145</v>
      </c>
      <c r="N3163" s="2">
        <f t="shared" si="496"/>
        <v>0.11438203258869573</v>
      </c>
      <c r="O3163" s="2">
        <f t="shared" si="497"/>
        <v>0.41978205960051329</v>
      </c>
      <c r="P3163" s="2">
        <v>72.554444000000004</v>
      </c>
      <c r="Q3163" s="2">
        <v>23.038627999999999</v>
      </c>
    </row>
    <row r="3164" spans="1:17" x14ac:dyDescent="0.25">
      <c r="A3164" s="2">
        <v>3350</v>
      </c>
      <c r="B3164" s="2" t="s">
        <v>103</v>
      </c>
      <c r="C3164" s="2">
        <v>1</v>
      </c>
      <c r="D3164" s="2">
        <f t="shared" si="490"/>
        <v>2.54</v>
      </c>
      <c r="E3164" s="2">
        <f t="shared" si="491"/>
        <v>0.80850711090682836</v>
      </c>
      <c r="F3164" s="2">
        <f t="shared" si="492"/>
        <v>0.31830988618379069</v>
      </c>
      <c r="G3164" s="2">
        <v>9.8094549999999998</v>
      </c>
      <c r="H3164" s="2">
        <f t="shared" si="493"/>
        <v>32.183252342199999</v>
      </c>
      <c r="I3164" s="2">
        <f>INDEX('Wood Density Lookup'!$B$2:$B$152,MATCH(B3164,'Wood Density Lookup'!$A$2:$A$152,0))</f>
        <v>0.6</v>
      </c>
      <c r="J3164" s="2">
        <f t="shared" si="494"/>
        <v>0.25068881074838245</v>
      </c>
      <c r="K3164" s="2">
        <f t="shared" si="498"/>
        <v>7.0192867009547091E-2</v>
      </c>
      <c r="L3164" s="2">
        <f t="shared" si="499"/>
        <v>0.32088167775792953</v>
      </c>
      <c r="M3164" s="2">
        <f t="shared" si="495"/>
        <v>0.23263921637449891</v>
      </c>
      <c r="N3164" s="2">
        <f t="shared" si="496"/>
        <v>0.11631960818724946</v>
      </c>
      <c r="O3164" s="2">
        <f t="shared" si="497"/>
        <v>0.4268929620472055</v>
      </c>
      <c r="P3164" s="2">
        <v>72.554445000000001</v>
      </c>
      <c r="Q3164" s="2">
        <v>23.03856</v>
      </c>
    </row>
    <row r="3165" spans="1:17" x14ac:dyDescent="0.25">
      <c r="A3165" s="2">
        <v>3351</v>
      </c>
      <c r="B3165" s="2" t="s">
        <v>103</v>
      </c>
      <c r="C3165" s="2">
        <v>1</v>
      </c>
      <c r="D3165" s="2">
        <f t="shared" si="490"/>
        <v>2.54</v>
      </c>
      <c r="E3165" s="2">
        <f t="shared" si="491"/>
        <v>0.80850711090682836</v>
      </c>
      <c r="F3165" s="2">
        <f t="shared" si="492"/>
        <v>0.31830988618379069</v>
      </c>
      <c r="G3165" s="2">
        <v>1.430633</v>
      </c>
      <c r="H3165" s="2">
        <f t="shared" si="493"/>
        <v>4.6936779717199997</v>
      </c>
      <c r="I3165" s="2">
        <f>INDEX('Wood Density Lookup'!$B$2:$B$152,MATCH(B3165,'Wood Density Lookup'!$A$2:$A$152,0))</f>
        <v>0.6</v>
      </c>
      <c r="J3165" s="2">
        <f t="shared" si="494"/>
        <v>3.8289977291807949E-2</v>
      </c>
      <c r="K3165" s="2">
        <f t="shared" si="498"/>
        <v>1.0721193641706227E-2</v>
      </c>
      <c r="L3165" s="2">
        <f t="shared" si="499"/>
        <v>4.9011170933514175E-2</v>
      </c>
      <c r="M3165" s="2">
        <f t="shared" si="495"/>
        <v>3.5533098926797776E-2</v>
      </c>
      <c r="N3165" s="2">
        <f t="shared" si="496"/>
        <v>1.7766549463398888E-2</v>
      </c>
      <c r="O3165" s="2">
        <f t="shared" si="497"/>
        <v>6.5203236530673919E-2</v>
      </c>
      <c r="P3165" s="2">
        <v>72.554445000000001</v>
      </c>
      <c r="Q3165" s="2">
        <v>23.038595000000001</v>
      </c>
    </row>
    <row r="3166" spans="1:17" x14ac:dyDescent="0.25">
      <c r="A3166" s="2">
        <v>3352</v>
      </c>
      <c r="B3166" s="2" t="s">
        <v>103</v>
      </c>
      <c r="C3166" s="2">
        <v>1</v>
      </c>
      <c r="D3166" s="2">
        <f t="shared" si="490"/>
        <v>2.54</v>
      </c>
      <c r="E3166" s="2">
        <f t="shared" si="491"/>
        <v>0.80850711090682836</v>
      </c>
      <c r="F3166" s="2">
        <f t="shared" si="492"/>
        <v>0.31830988618379069</v>
      </c>
      <c r="G3166" s="2">
        <v>1.440283</v>
      </c>
      <c r="H3166" s="2">
        <f t="shared" si="493"/>
        <v>4.72533807772</v>
      </c>
      <c r="I3166" s="2">
        <f>INDEX('Wood Density Lookup'!$B$2:$B$152,MATCH(B3166,'Wood Density Lookup'!$A$2:$A$152,0))</f>
        <v>0.6</v>
      </c>
      <c r="J3166" s="2">
        <f t="shared" si="494"/>
        <v>3.854203438718852E-2</v>
      </c>
      <c r="K3166" s="2">
        <f t="shared" si="498"/>
        <v>1.0791769628412787E-2</v>
      </c>
      <c r="L3166" s="2">
        <f t="shared" si="499"/>
        <v>4.9333804015601307E-2</v>
      </c>
      <c r="M3166" s="2">
        <f t="shared" si="495"/>
        <v>3.5767007911310947E-2</v>
      </c>
      <c r="N3166" s="2">
        <f t="shared" si="496"/>
        <v>1.7883503955655473E-2</v>
      </c>
      <c r="O3166" s="2">
        <f t="shared" si="497"/>
        <v>6.563245951725559E-2</v>
      </c>
      <c r="P3166" s="2">
        <v>72.554445000000001</v>
      </c>
      <c r="Q3166" s="2">
        <v>23.038615</v>
      </c>
    </row>
    <row r="3167" spans="1:17" x14ac:dyDescent="0.25">
      <c r="A3167" s="2">
        <v>3353</v>
      </c>
      <c r="B3167" s="2" t="s">
        <v>103</v>
      </c>
      <c r="C3167" s="2">
        <v>2</v>
      </c>
      <c r="D3167" s="2">
        <f t="shared" si="490"/>
        <v>5.08</v>
      </c>
      <c r="E3167" s="2">
        <f t="shared" si="491"/>
        <v>1.6170142218136567</v>
      </c>
      <c r="F3167" s="2">
        <f t="shared" si="492"/>
        <v>0.63661977236758138</v>
      </c>
      <c r="G3167" s="2">
        <v>2.7499470000000001</v>
      </c>
      <c r="H3167" s="2">
        <f t="shared" si="493"/>
        <v>9.0221361154800004</v>
      </c>
      <c r="I3167" s="2">
        <f>INDEX('Wood Density Lookup'!$B$2:$B$152,MATCH(B3167,'Wood Density Lookup'!$A$2:$A$152,0))</f>
        <v>0.6</v>
      </c>
      <c r="J3167" s="2">
        <f t="shared" si="494"/>
        <v>0.28033714068722582</v>
      </c>
      <c r="K3167" s="2">
        <f t="shared" si="498"/>
        <v>7.8494399392423239E-2</v>
      </c>
      <c r="L3167" s="2">
        <f t="shared" si="499"/>
        <v>0.35883154007964907</v>
      </c>
      <c r="M3167" s="2">
        <f t="shared" si="495"/>
        <v>0.26015286655774555</v>
      </c>
      <c r="N3167" s="2">
        <f t="shared" si="496"/>
        <v>0.13007643327887278</v>
      </c>
      <c r="O3167" s="2">
        <f t="shared" si="497"/>
        <v>0.47738051013346311</v>
      </c>
      <c r="P3167" s="2">
        <v>72.554445999999999</v>
      </c>
      <c r="Q3167" s="2">
        <v>23.038606000000001</v>
      </c>
    </row>
    <row r="3168" spans="1:17" x14ac:dyDescent="0.25">
      <c r="A3168" s="2">
        <v>3354</v>
      </c>
      <c r="B3168" s="2" t="s">
        <v>103</v>
      </c>
      <c r="C3168" s="2">
        <v>1</v>
      </c>
      <c r="D3168" s="2">
        <f t="shared" si="490"/>
        <v>2.54</v>
      </c>
      <c r="E3168" s="2">
        <f t="shared" si="491"/>
        <v>0.80850711090682836</v>
      </c>
      <c r="F3168" s="2">
        <f t="shared" si="492"/>
        <v>0.31830988618379069</v>
      </c>
      <c r="G3168" s="2">
        <v>11.198012</v>
      </c>
      <c r="H3168" s="2">
        <f t="shared" si="493"/>
        <v>36.738885690080004</v>
      </c>
      <c r="I3168" s="2">
        <f>INDEX('Wood Density Lookup'!$B$2:$B$152,MATCH(B3168,'Wood Density Lookup'!$A$2:$A$152,0))</f>
        <v>0.6</v>
      </c>
      <c r="J3168" s="2">
        <f t="shared" si="494"/>
        <v>0.28526671053464214</v>
      </c>
      <c r="K3168" s="2">
        <f t="shared" si="498"/>
        <v>7.9874678949699809E-2</v>
      </c>
      <c r="L3168" s="2">
        <f t="shared" si="499"/>
        <v>0.36514138948434194</v>
      </c>
      <c r="M3168" s="2">
        <f t="shared" si="495"/>
        <v>0.26472750737614792</v>
      </c>
      <c r="N3168" s="2">
        <f t="shared" si="496"/>
        <v>0.13236375368807396</v>
      </c>
      <c r="O3168" s="2">
        <f t="shared" si="497"/>
        <v>0.4857749760352314</v>
      </c>
      <c r="P3168" s="2">
        <v>72.554445999999999</v>
      </c>
      <c r="Q3168" s="2">
        <v>23.038264999999999</v>
      </c>
    </row>
    <row r="3169" spans="1:17" x14ac:dyDescent="0.25">
      <c r="A3169" s="2">
        <v>3355</v>
      </c>
      <c r="B3169" s="2" t="s">
        <v>103</v>
      </c>
      <c r="C3169" s="2">
        <v>1</v>
      </c>
      <c r="D3169" s="2">
        <f t="shared" si="490"/>
        <v>2.54</v>
      </c>
      <c r="E3169" s="2">
        <f t="shared" si="491"/>
        <v>0.80850711090682836</v>
      </c>
      <c r="F3169" s="2">
        <f t="shared" si="492"/>
        <v>0.31830988618379069</v>
      </c>
      <c r="G3169" s="2">
        <v>11.684652</v>
      </c>
      <c r="H3169" s="2">
        <f t="shared" si="493"/>
        <v>38.335473667679999</v>
      </c>
      <c r="I3169" s="2">
        <f>INDEX('Wood Density Lookup'!$B$2:$B$152,MATCH(B3169,'Wood Density Lookup'!$A$2:$A$152,0))</f>
        <v>0.6</v>
      </c>
      <c r="J3169" s="2">
        <f t="shared" si="494"/>
        <v>0.29736000243142113</v>
      </c>
      <c r="K3169" s="2">
        <f t="shared" si="498"/>
        <v>8.3260800680797928E-2</v>
      </c>
      <c r="L3169" s="2">
        <f t="shared" si="499"/>
        <v>0.38062080311221907</v>
      </c>
      <c r="M3169" s="2">
        <f t="shared" si="495"/>
        <v>0.27595008225635881</v>
      </c>
      <c r="N3169" s="2">
        <f t="shared" si="496"/>
        <v>0.1379750411281794</v>
      </c>
      <c r="O3169" s="2">
        <f t="shared" si="497"/>
        <v>0.50636840094041835</v>
      </c>
      <c r="P3169" s="2">
        <v>72.554445999999999</v>
      </c>
      <c r="Q3169" s="2">
        <v>23.038259</v>
      </c>
    </row>
    <row r="3170" spans="1:17" x14ac:dyDescent="0.25">
      <c r="A3170" s="2">
        <v>3356</v>
      </c>
      <c r="B3170" s="2" t="s">
        <v>103</v>
      </c>
      <c r="C3170" s="2">
        <v>2</v>
      </c>
      <c r="D3170" s="2">
        <f t="shared" si="490"/>
        <v>5.08</v>
      </c>
      <c r="E3170" s="2">
        <f t="shared" si="491"/>
        <v>1.6170142218136567</v>
      </c>
      <c r="F3170" s="2">
        <f t="shared" si="492"/>
        <v>0.63661977236758138</v>
      </c>
      <c r="G3170" s="2">
        <v>2.467616</v>
      </c>
      <c r="H3170" s="2">
        <f t="shared" si="493"/>
        <v>8.0958532774399998</v>
      </c>
      <c r="I3170" s="2">
        <f>INDEX('Wood Density Lookup'!$B$2:$B$152,MATCH(B3170,'Wood Density Lookup'!$A$2:$A$152,0))</f>
        <v>0.6</v>
      </c>
      <c r="J3170" s="2">
        <f t="shared" si="494"/>
        <v>0.25221041407740585</v>
      </c>
      <c r="K3170" s="2">
        <f t="shared" si="498"/>
        <v>7.0618915941673646E-2</v>
      </c>
      <c r="L3170" s="2">
        <f t="shared" si="499"/>
        <v>0.32282933001907949</v>
      </c>
      <c r="M3170" s="2">
        <f t="shared" si="495"/>
        <v>0.23405126426383263</v>
      </c>
      <c r="N3170" s="2">
        <f t="shared" si="496"/>
        <v>0.11702563213191632</v>
      </c>
      <c r="O3170" s="2">
        <f t="shared" si="497"/>
        <v>0.42948406992413285</v>
      </c>
      <c r="P3170" s="2">
        <v>72.554446999999996</v>
      </c>
      <c r="Q3170" s="2">
        <v>23.038568999999999</v>
      </c>
    </row>
    <row r="3171" spans="1:17" x14ac:dyDescent="0.25">
      <c r="A3171" s="2">
        <v>3357</v>
      </c>
      <c r="B3171" s="2" t="s">
        <v>103</v>
      </c>
      <c r="C3171" s="2">
        <v>1</v>
      </c>
      <c r="D3171" s="2">
        <f t="shared" si="490"/>
        <v>2.54</v>
      </c>
      <c r="E3171" s="2">
        <f t="shared" si="491"/>
        <v>0.80850711090682836</v>
      </c>
      <c r="F3171" s="2">
        <f t="shared" si="492"/>
        <v>0.31830988618379069</v>
      </c>
      <c r="G3171" s="2">
        <v>2.319258</v>
      </c>
      <c r="H3171" s="2">
        <f t="shared" si="493"/>
        <v>7.6091144167199998</v>
      </c>
      <c r="I3171" s="2">
        <f>INDEX('Wood Density Lookup'!$B$2:$B$152,MATCH(B3171,'Wood Density Lookup'!$A$2:$A$152,0))</f>
        <v>0.6</v>
      </c>
      <c r="J3171" s="2">
        <f t="shared" si="494"/>
        <v>6.1357864178977276E-2</v>
      </c>
      <c r="K3171" s="2">
        <f t="shared" si="498"/>
        <v>1.7180201970113638E-2</v>
      </c>
      <c r="L3171" s="2">
        <f t="shared" si="499"/>
        <v>7.853806614909091E-2</v>
      </c>
      <c r="M3171" s="2">
        <f t="shared" si="495"/>
        <v>5.6940097958090907E-2</v>
      </c>
      <c r="N3171" s="2">
        <f t="shared" si="496"/>
        <v>2.8470048979045454E-2</v>
      </c>
      <c r="O3171" s="2">
        <f t="shared" si="497"/>
        <v>0.10448507975309682</v>
      </c>
      <c r="P3171" s="2">
        <v>72.554446999999996</v>
      </c>
      <c r="Q3171" s="2">
        <v>23.038587</v>
      </c>
    </row>
    <row r="3172" spans="1:17" x14ac:dyDescent="0.25">
      <c r="A3172" s="2">
        <v>3358</v>
      </c>
      <c r="B3172" s="2" t="s">
        <v>43</v>
      </c>
      <c r="C3172" s="2">
        <v>2</v>
      </c>
      <c r="D3172" s="2">
        <f t="shared" si="490"/>
        <v>5.08</v>
      </c>
      <c r="E3172" s="2">
        <f t="shared" si="491"/>
        <v>1.6170142218136567</v>
      </c>
      <c r="F3172" s="2">
        <f t="shared" si="492"/>
        <v>0.63661977236758138</v>
      </c>
      <c r="G3172" s="2">
        <v>9.0444940000000003</v>
      </c>
      <c r="H3172" s="2">
        <f t="shared" si="493"/>
        <v>29.67353769496</v>
      </c>
      <c r="I3172" s="2">
        <f>INDEX('Wood Density Lookup'!$B$2:$B$152,MATCH(B3172,'Wood Density Lookup'!$A$2:$A$152,0))</f>
        <v>0.6</v>
      </c>
      <c r="J3172" s="2">
        <f t="shared" si="494"/>
        <v>0.8960477463387776</v>
      </c>
      <c r="K3172" s="2">
        <f t="shared" si="498"/>
        <v>0.25089336897485776</v>
      </c>
      <c r="L3172" s="2">
        <f t="shared" si="499"/>
        <v>1.1469411153136353</v>
      </c>
      <c r="M3172" s="2">
        <f t="shared" si="495"/>
        <v>0.83153230860238558</v>
      </c>
      <c r="N3172" s="2">
        <f t="shared" si="496"/>
        <v>0.41576615430119279</v>
      </c>
      <c r="O3172" s="2">
        <f t="shared" si="497"/>
        <v>1.5258617862853776</v>
      </c>
      <c r="P3172" s="2">
        <v>72.554446999999996</v>
      </c>
      <c r="Q3172" s="2">
        <v>23.038318</v>
      </c>
    </row>
    <row r="3173" spans="1:17" x14ac:dyDescent="0.25">
      <c r="A3173" s="2">
        <v>3359</v>
      </c>
      <c r="B3173" s="2" t="s">
        <v>103</v>
      </c>
      <c r="C3173" s="2">
        <v>1</v>
      </c>
      <c r="D3173" s="2">
        <f t="shared" si="490"/>
        <v>2.54</v>
      </c>
      <c r="E3173" s="2">
        <f t="shared" si="491"/>
        <v>0.80850711090682836</v>
      </c>
      <c r="F3173" s="2">
        <f t="shared" si="492"/>
        <v>0.31830988618379069</v>
      </c>
      <c r="G3173" s="2">
        <v>2.490837</v>
      </c>
      <c r="H3173" s="2">
        <f t="shared" si="493"/>
        <v>8.1720376630799993</v>
      </c>
      <c r="I3173" s="2">
        <f>INDEX('Wood Density Lookup'!$B$2:$B$152,MATCH(B3173,'Wood Density Lookup'!$A$2:$A$152,0))</f>
        <v>0.6</v>
      </c>
      <c r="J3173" s="2">
        <f t="shared" si="494"/>
        <v>6.578434711579495E-2</v>
      </c>
      <c r="K3173" s="2">
        <f t="shared" si="498"/>
        <v>1.8419617192422588E-2</v>
      </c>
      <c r="L3173" s="2">
        <f t="shared" si="499"/>
        <v>8.4203964308217541E-2</v>
      </c>
      <c r="M3173" s="2">
        <f t="shared" si="495"/>
        <v>6.1047874123457718E-2</v>
      </c>
      <c r="N3173" s="2">
        <f t="shared" si="496"/>
        <v>3.0523937061728859E-2</v>
      </c>
      <c r="O3173" s="2">
        <f t="shared" si="497"/>
        <v>0.11202284901654491</v>
      </c>
      <c r="P3173" s="2">
        <v>72.554447999999994</v>
      </c>
      <c r="Q3173" s="2">
        <v>23.038578000000001</v>
      </c>
    </row>
    <row r="3174" spans="1:17" x14ac:dyDescent="0.25">
      <c r="A3174" s="2">
        <v>3360</v>
      </c>
      <c r="B3174" s="2" t="s">
        <v>15</v>
      </c>
      <c r="C3174" s="2">
        <v>4</v>
      </c>
      <c r="D3174" s="2">
        <f t="shared" si="490"/>
        <v>10.16</v>
      </c>
      <c r="E3174" s="2">
        <f t="shared" si="491"/>
        <v>3.2340284436273135</v>
      </c>
      <c r="F3174" s="2">
        <f t="shared" si="492"/>
        <v>1.2732395447351628</v>
      </c>
      <c r="G3174" s="2">
        <v>9.7117330000000006</v>
      </c>
      <c r="H3174" s="2">
        <f t="shared" si="493"/>
        <v>31.862642095720002</v>
      </c>
      <c r="I3174" s="2">
        <f>INDEX('Wood Density Lookup'!$B$2:$B$152,MATCH(B3174,'Wood Density Lookup'!$A$2:$A$152,0))</f>
        <v>0.75</v>
      </c>
      <c r="J3174" s="2">
        <f t="shared" si="494"/>
        <v>4.6205793849070735</v>
      </c>
      <c r="K3174" s="2">
        <f t="shared" si="498"/>
        <v>1.2937622277739806</v>
      </c>
      <c r="L3174" s="2">
        <f t="shared" si="499"/>
        <v>5.9143416126810546</v>
      </c>
      <c r="M3174" s="2">
        <f t="shared" si="495"/>
        <v>4.2878976691937645</v>
      </c>
      <c r="N3174" s="2">
        <f t="shared" si="496"/>
        <v>2.1439488345968822</v>
      </c>
      <c r="O3174" s="2">
        <f t="shared" si="497"/>
        <v>7.8682922229705579</v>
      </c>
      <c r="P3174" s="2">
        <v>72.554449000000005</v>
      </c>
      <c r="Q3174" s="2">
        <v>23.038553</v>
      </c>
    </row>
    <row r="3175" spans="1:17" x14ac:dyDescent="0.25">
      <c r="A3175" s="2">
        <v>3361</v>
      </c>
      <c r="B3175" s="2" t="s">
        <v>43</v>
      </c>
      <c r="C3175" s="2">
        <v>3</v>
      </c>
      <c r="D3175" s="2">
        <f t="shared" si="490"/>
        <v>7.62</v>
      </c>
      <c r="E3175" s="2">
        <f t="shared" si="491"/>
        <v>2.4255213327204852</v>
      </c>
      <c r="F3175" s="2">
        <f t="shared" si="492"/>
        <v>0.95492965855137202</v>
      </c>
      <c r="G3175" s="2">
        <v>10.466837</v>
      </c>
      <c r="H3175" s="2">
        <f t="shared" si="493"/>
        <v>34.340017503079999</v>
      </c>
      <c r="I3175" s="2">
        <f>INDEX('Wood Density Lookup'!$B$2:$B$152,MATCH(B3175,'Wood Density Lookup'!$A$2:$A$152,0))</f>
        <v>0.6</v>
      </c>
      <c r="J3175" s="2">
        <f t="shared" si="494"/>
        <v>2.2801852240236622</v>
      </c>
      <c r="K3175" s="2">
        <f t="shared" si="498"/>
        <v>0.63845186272662546</v>
      </c>
      <c r="L3175" s="2">
        <f t="shared" si="499"/>
        <v>2.9186370867502878</v>
      </c>
      <c r="M3175" s="2">
        <f t="shared" si="495"/>
        <v>2.1160118878939587</v>
      </c>
      <c r="N3175" s="2">
        <f t="shared" si="496"/>
        <v>1.0580059439469793</v>
      </c>
      <c r="O3175" s="2">
        <f t="shared" si="497"/>
        <v>3.882881814285414</v>
      </c>
      <c r="P3175" s="2">
        <v>72.554449000000005</v>
      </c>
      <c r="Q3175" s="2">
        <v>23.038336999999999</v>
      </c>
    </row>
    <row r="3176" spans="1:17" x14ac:dyDescent="0.25">
      <c r="A3176" s="2">
        <v>3362</v>
      </c>
      <c r="B3176" s="2" t="s">
        <v>103</v>
      </c>
      <c r="C3176" s="2">
        <v>1</v>
      </c>
      <c r="D3176" s="2">
        <f t="shared" si="490"/>
        <v>2.54</v>
      </c>
      <c r="E3176" s="2">
        <f t="shared" si="491"/>
        <v>0.80850711090682836</v>
      </c>
      <c r="F3176" s="2">
        <f t="shared" si="492"/>
        <v>0.31830988618379069</v>
      </c>
      <c r="G3176" s="2">
        <v>3.7103640000000002</v>
      </c>
      <c r="H3176" s="2">
        <f t="shared" si="493"/>
        <v>12.173110625760001</v>
      </c>
      <c r="I3176" s="2">
        <f>INDEX('Wood Density Lookup'!$B$2:$B$152,MATCH(B3176,'Wood Density Lookup'!$A$2:$A$152,0))</f>
        <v>0.6</v>
      </c>
      <c r="J3176" s="2">
        <f t="shared" si="494"/>
        <v>9.7059951299688585E-2</v>
      </c>
      <c r="K3176" s="2">
        <f t="shared" si="498"/>
        <v>2.7176786363912808E-2</v>
      </c>
      <c r="L3176" s="2">
        <f t="shared" si="499"/>
        <v>0.1242367376636014</v>
      </c>
      <c r="M3176" s="2">
        <f t="shared" si="495"/>
        <v>9.0071634806111009E-2</v>
      </c>
      <c r="N3176" s="2">
        <f t="shared" si="496"/>
        <v>4.5035817403055504E-2</v>
      </c>
      <c r="O3176" s="2">
        <f t="shared" si="497"/>
        <v>0.1652814498692137</v>
      </c>
      <c r="P3176" s="2">
        <v>72.554449000000005</v>
      </c>
      <c r="Q3176" s="2">
        <v>23.038302999999999</v>
      </c>
    </row>
    <row r="3177" spans="1:17" x14ac:dyDescent="0.25">
      <c r="A3177" s="2">
        <v>3363</v>
      </c>
      <c r="B3177" s="2" t="s">
        <v>103</v>
      </c>
      <c r="C3177" s="2">
        <v>2</v>
      </c>
      <c r="D3177" s="2">
        <f t="shared" si="490"/>
        <v>5.08</v>
      </c>
      <c r="E3177" s="2">
        <f t="shared" si="491"/>
        <v>1.6170142218136567</v>
      </c>
      <c r="F3177" s="2">
        <f t="shared" si="492"/>
        <v>0.63661977236758138</v>
      </c>
      <c r="G3177" s="2">
        <v>9.9313350000000007</v>
      </c>
      <c r="H3177" s="2">
        <f t="shared" si="493"/>
        <v>32.583121121400005</v>
      </c>
      <c r="I3177" s="2">
        <f>INDEX('Wood Density Lookup'!$B$2:$B$152,MATCH(B3177,'Wood Density Lookup'!$A$2:$A$152,0))</f>
        <v>0.6</v>
      </c>
      <c r="J3177" s="2">
        <f t="shared" si="494"/>
        <v>0.98170171097570869</v>
      </c>
      <c r="K3177" s="2">
        <f t="shared" si="498"/>
        <v>0.27487647907319845</v>
      </c>
      <c r="L3177" s="2">
        <f t="shared" si="499"/>
        <v>1.256578190048907</v>
      </c>
      <c r="M3177" s="2">
        <f t="shared" si="495"/>
        <v>0.91101918778545754</v>
      </c>
      <c r="N3177" s="2">
        <f t="shared" si="496"/>
        <v>0.45550959389272877</v>
      </c>
      <c r="O3177" s="2">
        <f t="shared" si="497"/>
        <v>1.6717202095863146</v>
      </c>
      <c r="P3177" s="2">
        <v>72.554449000000005</v>
      </c>
      <c r="Q3177" s="2">
        <v>23.038330999999999</v>
      </c>
    </row>
    <row r="3178" spans="1:17" x14ac:dyDescent="0.25">
      <c r="A3178" s="2">
        <v>3364</v>
      </c>
      <c r="B3178" s="2" t="s">
        <v>103</v>
      </c>
      <c r="C3178" s="2">
        <v>2</v>
      </c>
      <c r="D3178" s="2">
        <f t="shared" si="490"/>
        <v>5.08</v>
      </c>
      <c r="E3178" s="2">
        <f t="shared" si="491"/>
        <v>1.6170142218136567</v>
      </c>
      <c r="F3178" s="2">
        <f t="shared" si="492"/>
        <v>0.63661977236758138</v>
      </c>
      <c r="G3178" s="2">
        <v>10.779858000000001</v>
      </c>
      <c r="H3178" s="2">
        <f t="shared" si="493"/>
        <v>35.366989320720002</v>
      </c>
      <c r="I3178" s="2">
        <f>INDEX('Wood Density Lookup'!$B$2:$B$152,MATCH(B3178,'Wood Density Lookup'!$A$2:$A$152,0))</f>
        <v>0.6</v>
      </c>
      <c r="J3178" s="2">
        <f t="shared" si="494"/>
        <v>1.0634826928323198</v>
      </c>
      <c r="K3178" s="2">
        <f t="shared" si="498"/>
        <v>0.29777515399304955</v>
      </c>
      <c r="L3178" s="2">
        <f t="shared" si="499"/>
        <v>1.3612578468253693</v>
      </c>
      <c r="M3178" s="2">
        <f t="shared" si="495"/>
        <v>0.98691193894839269</v>
      </c>
      <c r="N3178" s="2">
        <f t="shared" si="496"/>
        <v>0.49345596947419634</v>
      </c>
      <c r="O3178" s="2">
        <f t="shared" si="497"/>
        <v>1.8109834079703004</v>
      </c>
      <c r="P3178" s="2">
        <v>72.554451</v>
      </c>
      <c r="Q3178" s="2">
        <v>23.038354999999999</v>
      </c>
    </row>
    <row r="3179" spans="1:17" x14ac:dyDescent="0.25">
      <c r="A3179" s="2">
        <v>3365</v>
      </c>
      <c r="B3179" s="2" t="s">
        <v>103</v>
      </c>
      <c r="C3179" s="2">
        <v>1</v>
      </c>
      <c r="D3179" s="2">
        <f t="shared" si="490"/>
        <v>2.54</v>
      </c>
      <c r="E3179" s="2">
        <f t="shared" si="491"/>
        <v>0.80850711090682836</v>
      </c>
      <c r="F3179" s="2">
        <f t="shared" si="492"/>
        <v>0.31830988618379069</v>
      </c>
      <c r="G3179" s="2">
        <v>9.2973739999999996</v>
      </c>
      <c r="H3179" s="2">
        <f t="shared" si="493"/>
        <v>30.503196514159999</v>
      </c>
      <c r="I3179" s="2">
        <f>INDEX('Wood Density Lookup'!$B$2:$B$152,MATCH(B3179,'Wood Density Lookup'!$A$2:$A$152,0))</f>
        <v>0.6</v>
      </c>
      <c r="J3179" s="2">
        <f t="shared" si="494"/>
        <v>0.23790808549292264</v>
      </c>
      <c r="K3179" s="2">
        <f t="shared" si="498"/>
        <v>6.661426393801835E-2</v>
      </c>
      <c r="L3179" s="2">
        <f t="shared" si="499"/>
        <v>0.30452234943094098</v>
      </c>
      <c r="M3179" s="2">
        <f t="shared" si="495"/>
        <v>0.22077870333743221</v>
      </c>
      <c r="N3179" s="2">
        <f t="shared" si="496"/>
        <v>0.11038935166871611</v>
      </c>
      <c r="O3179" s="2">
        <f t="shared" si="497"/>
        <v>0.40512892062418809</v>
      </c>
      <c r="P3179" s="2">
        <v>72.554451</v>
      </c>
      <c r="Q3179" s="2">
        <v>23.038314</v>
      </c>
    </row>
    <row r="3180" spans="1:17" x14ac:dyDescent="0.25">
      <c r="A3180" s="2">
        <v>3366</v>
      </c>
      <c r="B3180" s="2" t="s">
        <v>103</v>
      </c>
      <c r="C3180" s="2">
        <v>2</v>
      </c>
      <c r="D3180" s="2">
        <f t="shared" si="490"/>
        <v>5.08</v>
      </c>
      <c r="E3180" s="2">
        <f t="shared" si="491"/>
        <v>1.6170142218136567</v>
      </c>
      <c r="F3180" s="2">
        <f t="shared" si="492"/>
        <v>0.63661977236758138</v>
      </c>
      <c r="G3180" s="2">
        <v>10.048759</v>
      </c>
      <c r="H3180" s="2">
        <f t="shared" si="493"/>
        <v>32.968370477560001</v>
      </c>
      <c r="I3180" s="2">
        <f>INDEX('Wood Density Lookup'!$B$2:$B$152,MATCH(B3180,'Wood Density Lookup'!$A$2:$A$152,0))</f>
        <v>0.6</v>
      </c>
      <c r="J3180" s="2">
        <f t="shared" si="494"/>
        <v>0.993028771684899</v>
      </c>
      <c r="K3180" s="2">
        <f t="shared" si="498"/>
        <v>0.27804805607177174</v>
      </c>
      <c r="L3180" s="2">
        <f t="shared" si="499"/>
        <v>1.2710768277566706</v>
      </c>
      <c r="M3180" s="2">
        <f t="shared" si="495"/>
        <v>0.92153070012358618</v>
      </c>
      <c r="N3180" s="2">
        <f t="shared" si="496"/>
        <v>0.46076535006179309</v>
      </c>
      <c r="O3180" s="2">
        <f t="shared" si="497"/>
        <v>1.6910088347267807</v>
      </c>
      <c r="P3180" s="2">
        <v>72.554452999999995</v>
      </c>
      <c r="Q3180" s="2">
        <v>23.038277000000001</v>
      </c>
    </row>
    <row r="3181" spans="1:17" x14ac:dyDescent="0.25">
      <c r="A3181" s="2">
        <v>3367</v>
      </c>
      <c r="B3181" s="2" t="s">
        <v>15</v>
      </c>
      <c r="C3181" s="2">
        <v>28</v>
      </c>
      <c r="D3181" s="2">
        <f t="shared" si="490"/>
        <v>71.12</v>
      </c>
      <c r="E3181" s="2">
        <f t="shared" si="491"/>
        <v>22.638199105391195</v>
      </c>
      <c r="F3181" s="2">
        <f t="shared" si="492"/>
        <v>8.91267681314614</v>
      </c>
      <c r="G3181" s="2">
        <v>9.4989880000000007</v>
      </c>
      <c r="H3181" s="2">
        <f t="shared" si="493"/>
        <v>31.164659789920002</v>
      </c>
      <c r="I3181" s="2">
        <f>INDEX('Wood Density Lookup'!$B$2:$B$152,MATCH(B3181,'Wood Density Lookup'!$A$2:$A$152,0))</f>
        <v>0.75</v>
      </c>
      <c r="J3181" s="2">
        <f t="shared" si="494"/>
        <v>201.80841929363763</v>
      </c>
      <c r="K3181" s="2">
        <f t="shared" si="498"/>
        <v>56.506357402218541</v>
      </c>
      <c r="L3181" s="2">
        <f t="shared" si="499"/>
        <v>258.31477669585615</v>
      </c>
      <c r="M3181" s="2">
        <f t="shared" si="495"/>
        <v>187.27821310449571</v>
      </c>
      <c r="N3181" s="2">
        <f t="shared" si="496"/>
        <v>93.639106552247853</v>
      </c>
      <c r="O3181" s="2">
        <f t="shared" si="497"/>
        <v>343.65552104674964</v>
      </c>
      <c r="P3181" s="2">
        <v>72.554455000000004</v>
      </c>
      <c r="Q3181" s="2">
        <v>23.038547999999999</v>
      </c>
    </row>
    <row r="3182" spans="1:17" x14ac:dyDescent="0.25">
      <c r="A3182" s="2">
        <v>3368</v>
      </c>
      <c r="B3182" s="2" t="s">
        <v>146</v>
      </c>
      <c r="C3182" s="2">
        <v>2</v>
      </c>
      <c r="D3182" s="2">
        <f t="shared" si="490"/>
        <v>5.08</v>
      </c>
      <c r="E3182" s="2">
        <f t="shared" si="491"/>
        <v>1.6170142218136567</v>
      </c>
      <c r="F3182" s="2">
        <f t="shared" si="492"/>
        <v>0.63661977236758138</v>
      </c>
      <c r="G3182" s="2">
        <v>10.920040999999999</v>
      </c>
      <c r="H3182" s="2">
        <f t="shared" si="493"/>
        <v>35.82690731444</v>
      </c>
      <c r="I3182" s="2">
        <f>INDEX('Wood Density Lookup'!$B$2:$B$152,MATCH(B3182,'Wood Density Lookup'!$A$2:$A$152,0))</f>
        <v>0.55000000000000004</v>
      </c>
      <c r="J3182" s="2">
        <f t="shared" si="494"/>
        <v>0.98929394403992965</v>
      </c>
      <c r="K3182" s="2">
        <f t="shared" si="498"/>
        <v>0.27700230433118034</v>
      </c>
      <c r="L3182" s="2">
        <f t="shared" si="499"/>
        <v>1.26629624837111</v>
      </c>
      <c r="M3182" s="2">
        <f t="shared" si="495"/>
        <v>0.91806478006905468</v>
      </c>
      <c r="N3182" s="2">
        <f t="shared" si="496"/>
        <v>0.45903239003452734</v>
      </c>
      <c r="O3182" s="2">
        <f t="shared" si="497"/>
        <v>1.6846488714267154</v>
      </c>
      <c r="P3182" s="2">
        <v>72.554455000000004</v>
      </c>
      <c r="Q3182" s="2">
        <v>23.038323999999999</v>
      </c>
    </row>
    <row r="3183" spans="1:17" x14ac:dyDescent="0.25">
      <c r="A3183" s="2">
        <v>3369</v>
      </c>
      <c r="B3183" s="2" t="s">
        <v>103</v>
      </c>
      <c r="C3183" s="2">
        <v>2</v>
      </c>
      <c r="D3183" s="2">
        <f t="shared" si="490"/>
        <v>5.08</v>
      </c>
      <c r="E3183" s="2">
        <f t="shared" si="491"/>
        <v>1.6170142218136567</v>
      </c>
      <c r="F3183" s="2">
        <f t="shared" si="492"/>
        <v>0.63661977236758138</v>
      </c>
      <c r="G3183" s="2">
        <v>10.26754</v>
      </c>
      <c r="H3183" s="2">
        <f t="shared" si="493"/>
        <v>33.686155933599998</v>
      </c>
      <c r="I3183" s="2">
        <f>INDEX('Wood Density Lookup'!$B$2:$B$152,MATCH(B3183,'Wood Density Lookup'!$A$2:$A$152,0))</f>
        <v>0.6</v>
      </c>
      <c r="J3183" s="2">
        <f t="shared" si="494"/>
        <v>1.0141245802657559</v>
      </c>
      <c r="K3183" s="2">
        <f t="shared" si="498"/>
        <v>0.2839548824744117</v>
      </c>
      <c r="L3183" s="2">
        <f t="shared" si="499"/>
        <v>1.2980794627401675</v>
      </c>
      <c r="M3183" s="2">
        <f t="shared" si="495"/>
        <v>0.94110761048662139</v>
      </c>
      <c r="N3183" s="2">
        <f t="shared" si="496"/>
        <v>0.4705538052433107</v>
      </c>
      <c r="O3183" s="2">
        <f t="shared" si="497"/>
        <v>1.7269324652429503</v>
      </c>
      <c r="P3183" s="2">
        <v>72.554456999999999</v>
      </c>
      <c r="Q3183" s="2">
        <v>23.038356</v>
      </c>
    </row>
    <row r="3184" spans="1:17" x14ac:dyDescent="0.25">
      <c r="A3184" s="2">
        <v>3370</v>
      </c>
      <c r="B3184" s="2" t="s">
        <v>15</v>
      </c>
      <c r="C3184" s="2">
        <v>3</v>
      </c>
      <c r="D3184" s="2">
        <f t="shared" si="490"/>
        <v>7.62</v>
      </c>
      <c r="E3184" s="2">
        <f t="shared" si="491"/>
        <v>2.4255213327204852</v>
      </c>
      <c r="F3184" s="2">
        <f t="shared" si="492"/>
        <v>0.95492965855137202</v>
      </c>
      <c r="G3184" s="2">
        <v>6.602519</v>
      </c>
      <c r="H3184" s="2">
        <f t="shared" si="493"/>
        <v>21.661808435960001</v>
      </c>
      <c r="I3184" s="2">
        <f>INDEX('Wood Density Lookup'!$B$2:$B$152,MATCH(B3184,'Wood Density Lookup'!$A$2:$A$152,0))</f>
        <v>0.75</v>
      </c>
      <c r="J3184" s="2">
        <f t="shared" si="494"/>
        <v>1.8082190389304014</v>
      </c>
      <c r="K3184" s="2">
        <f t="shared" si="498"/>
        <v>0.50630133090051244</v>
      </c>
      <c r="L3184" s="2">
        <f t="shared" si="499"/>
        <v>2.3145203698309138</v>
      </c>
      <c r="M3184" s="2">
        <f t="shared" si="495"/>
        <v>1.6780272681274124</v>
      </c>
      <c r="N3184" s="2">
        <f t="shared" si="496"/>
        <v>0.83901363406370622</v>
      </c>
      <c r="O3184" s="2">
        <f t="shared" si="497"/>
        <v>3.0791800370138018</v>
      </c>
      <c r="P3184" s="2">
        <v>72.554457999999997</v>
      </c>
      <c r="Q3184" s="2">
        <v>23.038561000000001</v>
      </c>
    </row>
    <row r="3185" spans="1:17" x14ac:dyDescent="0.25">
      <c r="A3185" s="2">
        <v>3371</v>
      </c>
      <c r="B3185" s="2" t="s">
        <v>103</v>
      </c>
      <c r="C3185" s="2">
        <v>2</v>
      </c>
      <c r="D3185" s="2">
        <f t="shared" si="490"/>
        <v>5.08</v>
      </c>
      <c r="E3185" s="2">
        <f t="shared" si="491"/>
        <v>1.6170142218136567</v>
      </c>
      <c r="F3185" s="2">
        <f t="shared" si="492"/>
        <v>0.63661977236758138</v>
      </c>
      <c r="G3185" s="2">
        <v>11.283051</v>
      </c>
      <c r="H3185" s="2">
        <f t="shared" si="493"/>
        <v>37.01788504284</v>
      </c>
      <c r="I3185" s="2">
        <f>INDEX('Wood Density Lookup'!$B$2:$B$152,MATCH(B3185,'Wood Density Lookup'!$A$2:$A$152,0))</f>
        <v>0.6</v>
      </c>
      <c r="J3185" s="2">
        <f t="shared" si="494"/>
        <v>1.1119068696680257</v>
      </c>
      <c r="K3185" s="2">
        <f t="shared" si="498"/>
        <v>0.31133392350704719</v>
      </c>
      <c r="L3185" s="2">
        <f t="shared" si="499"/>
        <v>1.4232407931750728</v>
      </c>
      <c r="M3185" s="2">
        <f t="shared" si="495"/>
        <v>1.0318495750519276</v>
      </c>
      <c r="N3185" s="2">
        <f t="shared" si="496"/>
        <v>0.51592478752596382</v>
      </c>
      <c r="O3185" s="2">
        <f t="shared" si="497"/>
        <v>1.8934439702202872</v>
      </c>
      <c r="P3185" s="2">
        <v>72.554457999999997</v>
      </c>
      <c r="Q3185" s="2">
        <v>23.038367000000001</v>
      </c>
    </row>
    <row r="3186" spans="1:17" x14ac:dyDescent="0.25">
      <c r="A3186" s="2">
        <v>3372</v>
      </c>
      <c r="B3186" s="2" t="s">
        <v>103</v>
      </c>
      <c r="C3186" s="2">
        <v>1</v>
      </c>
      <c r="D3186" s="2">
        <f t="shared" si="490"/>
        <v>2.54</v>
      </c>
      <c r="E3186" s="2">
        <f t="shared" si="491"/>
        <v>0.80850711090682836</v>
      </c>
      <c r="F3186" s="2">
        <f t="shared" si="492"/>
        <v>0.31830988618379069</v>
      </c>
      <c r="G3186" s="2">
        <v>2.9093499999999999</v>
      </c>
      <c r="H3186" s="2">
        <f t="shared" si="493"/>
        <v>9.545111854</v>
      </c>
      <c r="I3186" s="2">
        <f>INDEX('Wood Density Lookup'!$B$2:$B$152,MATCH(B3186,'Wood Density Lookup'!$A$2:$A$152,0))</f>
        <v>0.6</v>
      </c>
      <c r="J3186" s="2">
        <f t="shared" si="494"/>
        <v>7.6551625231582612E-2</v>
      </c>
      <c r="K3186" s="2">
        <f t="shared" si="498"/>
        <v>2.1434455064843132E-2</v>
      </c>
      <c r="L3186" s="2">
        <f t="shared" si="499"/>
        <v>9.7986080296425748E-2</v>
      </c>
      <c r="M3186" s="2">
        <f t="shared" si="495"/>
        <v>7.1039908214908659E-2</v>
      </c>
      <c r="N3186" s="2">
        <f t="shared" si="496"/>
        <v>3.551995410745433E-2</v>
      </c>
      <c r="O3186" s="2">
        <f t="shared" si="497"/>
        <v>0.13035823157435739</v>
      </c>
      <c r="P3186" s="2">
        <v>72.554457999999997</v>
      </c>
      <c r="Q3186" s="2">
        <v>23.038298999999999</v>
      </c>
    </row>
    <row r="3187" spans="1:17" x14ac:dyDescent="0.25">
      <c r="A3187" s="2">
        <v>3373</v>
      </c>
      <c r="B3187" s="2" t="s">
        <v>103</v>
      </c>
      <c r="C3187" s="2">
        <v>1</v>
      </c>
      <c r="D3187" s="2">
        <f t="shared" si="490"/>
        <v>2.54</v>
      </c>
      <c r="E3187" s="2">
        <f t="shared" si="491"/>
        <v>0.80850711090682836</v>
      </c>
      <c r="F3187" s="2">
        <f t="shared" si="492"/>
        <v>0.31830988618379069</v>
      </c>
      <c r="G3187" s="2">
        <v>12.239190000000001</v>
      </c>
      <c r="H3187" s="2">
        <f t="shared" si="493"/>
        <v>40.154824119600001</v>
      </c>
      <c r="I3187" s="2">
        <f>INDEX('Wood Density Lookup'!$B$2:$B$152,MATCH(B3187,'Wood Density Lookup'!$A$2:$A$152,0))</f>
        <v>0.6</v>
      </c>
      <c r="J3187" s="2">
        <f t="shared" si="494"/>
        <v>0.31112589611047842</v>
      </c>
      <c r="K3187" s="2">
        <f t="shared" si="498"/>
        <v>8.7115250910933958E-2</v>
      </c>
      <c r="L3187" s="2">
        <f t="shared" si="499"/>
        <v>0.39824114702141239</v>
      </c>
      <c r="M3187" s="2">
        <f t="shared" si="495"/>
        <v>0.28872483159052398</v>
      </c>
      <c r="N3187" s="2">
        <f t="shared" si="496"/>
        <v>0.14436241579526199</v>
      </c>
      <c r="O3187" s="2">
        <f t="shared" si="497"/>
        <v>0.52981006596861147</v>
      </c>
      <c r="P3187" s="2">
        <v>72.554457999999997</v>
      </c>
      <c r="Q3187" s="2">
        <v>23.038259</v>
      </c>
    </row>
    <row r="3188" spans="1:17" x14ac:dyDescent="0.25">
      <c r="A3188" s="2">
        <v>3374</v>
      </c>
      <c r="B3188" s="2" t="s">
        <v>103</v>
      </c>
      <c r="C3188" s="2">
        <v>1</v>
      </c>
      <c r="D3188" s="2">
        <f t="shared" si="490"/>
        <v>2.54</v>
      </c>
      <c r="E3188" s="2">
        <f t="shared" si="491"/>
        <v>0.80850711090682836</v>
      </c>
      <c r="F3188" s="2">
        <f t="shared" si="492"/>
        <v>0.31830988618379069</v>
      </c>
      <c r="G3188" s="2">
        <v>10.785938</v>
      </c>
      <c r="H3188" s="2">
        <f t="shared" si="493"/>
        <v>35.386936827919996</v>
      </c>
      <c r="I3188" s="2">
        <f>INDEX('Wood Density Lookup'!$B$2:$B$152,MATCH(B3188,'Wood Density Lookup'!$A$2:$A$152,0))</f>
        <v>0.6</v>
      </c>
      <c r="J3188" s="2">
        <f t="shared" si="494"/>
        <v>0.2750165802276302</v>
      </c>
      <c r="K3188" s="2">
        <f t="shared" si="498"/>
        <v>7.7004642463736464E-2</v>
      </c>
      <c r="L3188" s="2">
        <f t="shared" si="499"/>
        <v>0.35202122269136665</v>
      </c>
      <c r="M3188" s="2">
        <f t="shared" si="495"/>
        <v>0.25521538645124081</v>
      </c>
      <c r="N3188" s="2">
        <f t="shared" si="496"/>
        <v>0.12760769322562041</v>
      </c>
      <c r="O3188" s="2">
        <f t="shared" si="497"/>
        <v>0.46832023413802687</v>
      </c>
      <c r="P3188" s="2">
        <v>72.554458999999994</v>
      </c>
      <c r="Q3188" s="2">
        <v>23.038333999999999</v>
      </c>
    </row>
    <row r="3189" spans="1:17" x14ac:dyDescent="0.25">
      <c r="A3189" s="2">
        <v>3375</v>
      </c>
      <c r="B3189" s="2" t="s">
        <v>146</v>
      </c>
      <c r="C3189" s="2">
        <v>3</v>
      </c>
      <c r="D3189" s="2">
        <f t="shared" si="490"/>
        <v>7.62</v>
      </c>
      <c r="E3189" s="2">
        <f t="shared" si="491"/>
        <v>2.4255213327204852</v>
      </c>
      <c r="F3189" s="2">
        <f t="shared" si="492"/>
        <v>0.95492965855137202</v>
      </c>
      <c r="G3189" s="2">
        <v>9.1350239999999996</v>
      </c>
      <c r="H3189" s="2">
        <f t="shared" si="493"/>
        <v>29.970552140159999</v>
      </c>
      <c r="I3189" s="2">
        <f>INDEX('Wood Density Lookup'!$B$2:$B$152,MATCH(B3189,'Wood Density Lookup'!$A$2:$A$152,0))</f>
        <v>0.55000000000000004</v>
      </c>
      <c r="J3189" s="2">
        <f t="shared" si="494"/>
        <v>1.8340081522299727</v>
      </c>
      <c r="K3189" s="2">
        <f t="shared" si="498"/>
        <v>0.51352228262439237</v>
      </c>
      <c r="L3189" s="2">
        <f t="shared" si="499"/>
        <v>2.3475304348543649</v>
      </c>
      <c r="M3189" s="2">
        <f t="shared" si="495"/>
        <v>1.7019595652694144</v>
      </c>
      <c r="N3189" s="2">
        <f t="shared" si="496"/>
        <v>0.85097978263470719</v>
      </c>
      <c r="O3189" s="2">
        <f t="shared" si="497"/>
        <v>3.1230958022693756</v>
      </c>
      <c r="P3189" s="2">
        <v>72.554458999999994</v>
      </c>
      <c r="Q3189" s="2">
        <v>23.038291999999998</v>
      </c>
    </row>
    <row r="3190" spans="1:17" x14ac:dyDescent="0.25">
      <c r="A3190" s="2">
        <v>3376</v>
      </c>
      <c r="B3190" s="2" t="s">
        <v>146</v>
      </c>
      <c r="C3190" s="2">
        <v>3</v>
      </c>
      <c r="D3190" s="2">
        <f t="shared" si="490"/>
        <v>7.62</v>
      </c>
      <c r="E3190" s="2">
        <f t="shared" si="491"/>
        <v>2.4255213327204852</v>
      </c>
      <c r="F3190" s="2">
        <f t="shared" si="492"/>
        <v>0.95492965855137202</v>
      </c>
      <c r="G3190" s="2">
        <v>11.164682000000001</v>
      </c>
      <c r="H3190" s="2">
        <f t="shared" si="493"/>
        <v>36.62953529288</v>
      </c>
      <c r="I3190" s="2">
        <f>INDEX('Wood Density Lookup'!$B$2:$B$152,MATCH(B3190,'Wood Density Lookup'!$A$2:$A$152,0))</f>
        <v>0.55000000000000004</v>
      </c>
      <c r="J3190" s="2">
        <f t="shared" si="494"/>
        <v>2.230728145354413</v>
      </c>
      <c r="K3190" s="2">
        <f t="shared" si="498"/>
        <v>0.62460388069923567</v>
      </c>
      <c r="L3190" s="2">
        <f t="shared" si="499"/>
        <v>2.8553320260536488</v>
      </c>
      <c r="M3190" s="2">
        <f t="shared" si="495"/>
        <v>2.0701157188888955</v>
      </c>
      <c r="N3190" s="2">
        <f t="shared" si="496"/>
        <v>1.0350578594444477</v>
      </c>
      <c r="O3190" s="2">
        <f t="shared" si="497"/>
        <v>3.7986623441611229</v>
      </c>
      <c r="P3190" s="2">
        <v>72.554460000000006</v>
      </c>
      <c r="Q3190" s="2">
        <v>23.038347000000002</v>
      </c>
    </row>
    <row r="3191" spans="1:17" x14ac:dyDescent="0.25">
      <c r="A3191" s="2">
        <v>3377</v>
      </c>
      <c r="B3191" s="2" t="s">
        <v>146</v>
      </c>
      <c r="C3191" s="2">
        <v>2</v>
      </c>
      <c r="D3191" s="2">
        <f t="shared" si="490"/>
        <v>5.08</v>
      </c>
      <c r="E3191" s="2">
        <f t="shared" si="491"/>
        <v>1.6170142218136567</v>
      </c>
      <c r="F3191" s="2">
        <f t="shared" si="492"/>
        <v>0.63661977236758138</v>
      </c>
      <c r="G3191" s="2">
        <v>10.345618</v>
      </c>
      <c r="H3191" s="2">
        <f t="shared" si="493"/>
        <v>33.942317359119997</v>
      </c>
      <c r="I3191" s="2">
        <f>INDEX('Wood Density Lookup'!$B$2:$B$152,MATCH(B3191,'Wood Density Lookup'!$A$2:$A$152,0))</f>
        <v>0.55000000000000004</v>
      </c>
      <c r="J3191" s="2">
        <f t="shared" si="494"/>
        <v>0.93847076485574066</v>
      </c>
      <c r="K3191" s="2">
        <f t="shared" si="498"/>
        <v>0.26277181415960743</v>
      </c>
      <c r="L3191" s="2">
        <f t="shared" si="499"/>
        <v>1.201242579015348</v>
      </c>
      <c r="M3191" s="2">
        <f t="shared" si="495"/>
        <v>0.87090086978612735</v>
      </c>
      <c r="N3191" s="2">
        <f t="shared" si="496"/>
        <v>0.43545043489306368</v>
      </c>
      <c r="O3191" s="2">
        <f t="shared" si="497"/>
        <v>1.5981030960575437</v>
      </c>
      <c r="P3191" s="2">
        <v>72.554460000000006</v>
      </c>
      <c r="Q3191" s="2">
        <v>23.038312000000001</v>
      </c>
    </row>
    <row r="3192" spans="1:17" x14ac:dyDescent="0.25">
      <c r="A3192" s="2">
        <v>3378</v>
      </c>
      <c r="B3192" s="2" t="s">
        <v>103</v>
      </c>
      <c r="C3192" s="2">
        <v>2</v>
      </c>
      <c r="D3192" s="2">
        <f t="shared" si="490"/>
        <v>5.08</v>
      </c>
      <c r="E3192" s="2">
        <f t="shared" si="491"/>
        <v>1.6170142218136567</v>
      </c>
      <c r="F3192" s="2">
        <f t="shared" si="492"/>
        <v>0.63661977236758138</v>
      </c>
      <c r="G3192" s="2">
        <v>10.754248</v>
      </c>
      <c r="H3192" s="2">
        <f t="shared" si="493"/>
        <v>35.28296700832</v>
      </c>
      <c r="I3192" s="2">
        <f>INDEX('Wood Density Lookup'!$B$2:$B$152,MATCH(B3192,'Wood Density Lookup'!$A$2:$A$152,0))</f>
        <v>0.6</v>
      </c>
      <c r="J3192" s="2">
        <f t="shared" si="494"/>
        <v>1.0610167149688752</v>
      </c>
      <c r="K3192" s="2">
        <f t="shared" si="498"/>
        <v>0.29708468019128509</v>
      </c>
      <c r="L3192" s="2">
        <f t="shared" si="499"/>
        <v>1.3581013951601602</v>
      </c>
      <c r="M3192" s="2">
        <f t="shared" si="495"/>
        <v>0.98462351149111604</v>
      </c>
      <c r="N3192" s="2">
        <f t="shared" si="496"/>
        <v>0.49231175574555802</v>
      </c>
      <c r="O3192" s="2">
        <f t="shared" si="497"/>
        <v>1.806784143586198</v>
      </c>
      <c r="P3192" s="2">
        <v>72.554460000000006</v>
      </c>
      <c r="Q3192" s="2">
        <v>23.038321</v>
      </c>
    </row>
    <row r="3193" spans="1:17" x14ac:dyDescent="0.25">
      <c r="A3193" s="2">
        <v>3379</v>
      </c>
      <c r="B3193" s="2" t="s">
        <v>11</v>
      </c>
      <c r="C3193" s="2">
        <v>11</v>
      </c>
      <c r="D3193" s="2">
        <f t="shared" si="490"/>
        <v>27.94</v>
      </c>
      <c r="E3193" s="2">
        <f t="shared" si="491"/>
        <v>8.8935782199751117</v>
      </c>
      <c r="F3193" s="2">
        <f t="shared" si="492"/>
        <v>3.5014087480216975</v>
      </c>
      <c r="G3193" s="2">
        <v>8.1389899999999997</v>
      </c>
      <c r="H3193" s="2">
        <f t="shared" si="493"/>
        <v>26.702723951599999</v>
      </c>
      <c r="I3193" s="2">
        <f>INDEX('Wood Density Lookup'!$B$2:$B$152,MATCH(B3193,'Wood Density Lookup'!$A$2:$A$152,0))</f>
        <v>0.45</v>
      </c>
      <c r="J3193" s="2">
        <f t="shared" si="494"/>
        <v>17.01628242032027</v>
      </c>
      <c r="K3193" s="2">
        <f t="shared" si="498"/>
        <v>4.7645590776896762</v>
      </c>
      <c r="L3193" s="2">
        <f t="shared" si="499"/>
        <v>21.780841498009945</v>
      </c>
      <c r="M3193" s="2">
        <f t="shared" si="495"/>
        <v>15.791110086057209</v>
      </c>
      <c r="N3193" s="2">
        <f t="shared" si="496"/>
        <v>7.8955550430286046</v>
      </c>
      <c r="O3193" s="2">
        <f t="shared" si="497"/>
        <v>28.976687007914979</v>
      </c>
      <c r="P3193" s="2">
        <v>72.554461000000003</v>
      </c>
      <c r="Q3193" s="2">
        <v>23.037110999999999</v>
      </c>
    </row>
    <row r="3194" spans="1:17" x14ac:dyDescent="0.25">
      <c r="A3194" s="2">
        <v>3380</v>
      </c>
      <c r="B3194" s="2" t="s">
        <v>62</v>
      </c>
      <c r="C3194" s="2">
        <v>14</v>
      </c>
      <c r="D3194" s="2">
        <f t="shared" si="490"/>
        <v>35.56</v>
      </c>
      <c r="E3194" s="2">
        <f t="shared" si="491"/>
        <v>11.319099552695597</v>
      </c>
      <c r="F3194" s="2">
        <f t="shared" si="492"/>
        <v>4.45633840657307</v>
      </c>
      <c r="G3194" s="2">
        <v>9.8239479999999997</v>
      </c>
      <c r="H3194" s="2">
        <f t="shared" si="493"/>
        <v>32.230801556319996</v>
      </c>
      <c r="I3194" s="2">
        <f>INDEX('Wood Density Lookup'!$B$2:$B$152,MATCH(B3194,'Wood Density Lookup'!$A$2:$A$152,0))</f>
        <v>0.47</v>
      </c>
      <c r="J3194" s="2">
        <f t="shared" si="494"/>
        <v>34.158166588022311</v>
      </c>
      <c r="K3194" s="2">
        <f t="shared" si="498"/>
        <v>9.5642866446462484</v>
      </c>
      <c r="L3194" s="2">
        <f t="shared" si="499"/>
        <v>43.722453232668556</v>
      </c>
      <c r="M3194" s="2">
        <f t="shared" si="495"/>
        <v>31.698778593684704</v>
      </c>
      <c r="N3194" s="2">
        <f t="shared" si="496"/>
        <v>15.849389296842352</v>
      </c>
      <c r="O3194" s="2">
        <f t="shared" si="497"/>
        <v>58.167258719411429</v>
      </c>
      <c r="P3194" s="2">
        <v>72.554463999999996</v>
      </c>
      <c r="Q3194" s="2">
        <v>23.036598999999999</v>
      </c>
    </row>
    <row r="3195" spans="1:17" x14ac:dyDescent="0.25">
      <c r="A3195" s="2">
        <v>3381</v>
      </c>
      <c r="B3195" s="2" t="s">
        <v>103</v>
      </c>
      <c r="C3195" s="2">
        <v>2</v>
      </c>
      <c r="D3195" s="2">
        <f t="shared" si="490"/>
        <v>5.08</v>
      </c>
      <c r="E3195" s="2">
        <f t="shared" si="491"/>
        <v>1.6170142218136567</v>
      </c>
      <c r="F3195" s="2">
        <f t="shared" si="492"/>
        <v>0.63661977236758138</v>
      </c>
      <c r="G3195" s="2">
        <v>11.559687</v>
      </c>
      <c r="H3195" s="2">
        <f t="shared" si="493"/>
        <v>37.925483497080002</v>
      </c>
      <c r="I3195" s="2">
        <f>INDEX('Wood Density Lookup'!$B$2:$B$152,MATCH(B3195,'Wood Density Lookup'!$A$2:$A$152,0))</f>
        <v>0.6</v>
      </c>
      <c r="J3195" s="2">
        <f t="shared" si="494"/>
        <v>1.1385063797947115</v>
      </c>
      <c r="K3195" s="2">
        <f t="shared" si="498"/>
        <v>0.31878178634251925</v>
      </c>
      <c r="L3195" s="2">
        <f t="shared" si="499"/>
        <v>1.4572881661372308</v>
      </c>
      <c r="M3195" s="2">
        <f t="shared" si="495"/>
        <v>1.0565339204494923</v>
      </c>
      <c r="N3195" s="2">
        <f t="shared" si="496"/>
        <v>0.52826696022474617</v>
      </c>
      <c r="O3195" s="2">
        <f t="shared" si="497"/>
        <v>1.9387397440248184</v>
      </c>
      <c r="P3195" s="2">
        <v>72.554463999999996</v>
      </c>
      <c r="Q3195" s="2">
        <v>23.038340000000002</v>
      </c>
    </row>
    <row r="3196" spans="1:17" x14ac:dyDescent="0.25">
      <c r="A3196" s="2">
        <v>3382</v>
      </c>
      <c r="B3196" s="2" t="s">
        <v>103</v>
      </c>
      <c r="C3196" s="2">
        <v>2</v>
      </c>
      <c r="D3196" s="2">
        <f t="shared" si="490"/>
        <v>5.08</v>
      </c>
      <c r="E3196" s="2">
        <f t="shared" si="491"/>
        <v>1.6170142218136567</v>
      </c>
      <c r="F3196" s="2">
        <f t="shared" si="492"/>
        <v>0.63661977236758138</v>
      </c>
      <c r="G3196" s="2">
        <v>11.6844</v>
      </c>
      <c r="H3196" s="2">
        <f t="shared" si="493"/>
        <v>38.334646896000002</v>
      </c>
      <c r="I3196" s="2">
        <f>INDEX('Wood Density Lookup'!$B$2:$B$152,MATCH(B3196,'Wood Density Lookup'!$A$2:$A$152,0))</f>
        <v>0.6</v>
      </c>
      <c r="J3196" s="2">
        <f t="shared" si="494"/>
        <v>1.150492949488005</v>
      </c>
      <c r="K3196" s="2">
        <f t="shared" si="498"/>
        <v>0.32213802585664142</v>
      </c>
      <c r="L3196" s="2">
        <f t="shared" si="499"/>
        <v>1.4726309753446465</v>
      </c>
      <c r="M3196" s="2">
        <f t="shared" si="495"/>
        <v>1.0676574571248687</v>
      </c>
      <c r="N3196" s="2">
        <f t="shared" si="496"/>
        <v>0.53382872856243435</v>
      </c>
      <c r="O3196" s="2">
        <f t="shared" si="497"/>
        <v>1.959151433824134</v>
      </c>
      <c r="P3196" s="2">
        <v>72.554463999999996</v>
      </c>
      <c r="Q3196" s="2">
        <v>23.038264999999999</v>
      </c>
    </row>
    <row r="3197" spans="1:17" x14ac:dyDescent="0.25">
      <c r="A3197" s="2">
        <v>3383</v>
      </c>
      <c r="B3197" s="2" t="s">
        <v>103</v>
      </c>
      <c r="C3197" s="2">
        <v>2</v>
      </c>
      <c r="D3197" s="2">
        <f t="shared" si="490"/>
        <v>5.08</v>
      </c>
      <c r="E3197" s="2">
        <f t="shared" si="491"/>
        <v>1.6170142218136567</v>
      </c>
      <c r="F3197" s="2">
        <f t="shared" si="492"/>
        <v>0.63661977236758138</v>
      </c>
      <c r="G3197" s="2">
        <v>9.6289719999999992</v>
      </c>
      <c r="H3197" s="2">
        <f t="shared" si="493"/>
        <v>31.591116496479998</v>
      </c>
      <c r="I3197" s="2">
        <f>INDEX('Wood Density Lookup'!$B$2:$B$152,MATCH(B3197,'Wood Density Lookup'!$A$2:$A$152,0))</f>
        <v>0.6</v>
      </c>
      <c r="J3197" s="2">
        <f t="shared" si="494"/>
        <v>0.95252000402755088</v>
      </c>
      <c r="K3197" s="2">
        <f t="shared" si="498"/>
        <v>0.2667056011277143</v>
      </c>
      <c r="L3197" s="2">
        <f t="shared" si="499"/>
        <v>1.2192256051552652</v>
      </c>
      <c r="M3197" s="2">
        <f t="shared" si="495"/>
        <v>0.8839385637375673</v>
      </c>
      <c r="N3197" s="2">
        <f t="shared" si="496"/>
        <v>0.44196928186878365</v>
      </c>
      <c r="O3197" s="2">
        <f t="shared" si="497"/>
        <v>1.6220272644584359</v>
      </c>
      <c r="P3197" s="2">
        <v>72.554464999999993</v>
      </c>
      <c r="Q3197" s="2">
        <v>23.038329000000001</v>
      </c>
    </row>
    <row r="3198" spans="1:17" x14ac:dyDescent="0.25">
      <c r="A3198" s="2">
        <v>3384</v>
      </c>
      <c r="B3198" s="2" t="s">
        <v>103</v>
      </c>
      <c r="C3198" s="2">
        <v>1</v>
      </c>
      <c r="D3198" s="2">
        <f t="shared" si="490"/>
        <v>2.54</v>
      </c>
      <c r="E3198" s="2">
        <f t="shared" si="491"/>
        <v>0.80850711090682836</v>
      </c>
      <c r="F3198" s="2">
        <f t="shared" si="492"/>
        <v>0.31830988618379069</v>
      </c>
      <c r="G3198" s="2">
        <v>4.3169729999999999</v>
      </c>
      <c r="H3198" s="2">
        <f t="shared" si="493"/>
        <v>14.163297697319999</v>
      </c>
      <c r="I3198" s="2">
        <f>INDEX('Wood Density Lookup'!$B$2:$B$152,MATCH(B3198,'Wood Density Lookup'!$A$2:$A$152,0))</f>
        <v>0.6</v>
      </c>
      <c r="J3198" s="2">
        <f t="shared" si="494"/>
        <v>0.11251866645959797</v>
      </c>
      <c r="K3198" s="2">
        <f t="shared" si="498"/>
        <v>3.1505226608687438E-2</v>
      </c>
      <c r="L3198" s="2">
        <f t="shared" si="499"/>
        <v>0.14402389306828542</v>
      </c>
      <c r="M3198" s="2">
        <f t="shared" si="495"/>
        <v>0.10441732247450693</v>
      </c>
      <c r="N3198" s="2">
        <f t="shared" si="496"/>
        <v>5.2208661237253463E-2</v>
      </c>
      <c r="O3198" s="2">
        <f t="shared" si="497"/>
        <v>0.19160578674072021</v>
      </c>
      <c r="P3198" s="2">
        <v>72.554466000000005</v>
      </c>
      <c r="Q3198" s="2">
        <v>23.038302999999999</v>
      </c>
    </row>
    <row r="3199" spans="1:17" x14ac:dyDescent="0.25">
      <c r="A3199" s="2">
        <v>3385</v>
      </c>
      <c r="B3199" s="2" t="s">
        <v>15</v>
      </c>
      <c r="C3199" s="2">
        <v>110</v>
      </c>
      <c r="D3199" s="2">
        <f t="shared" si="490"/>
        <v>279.39999999999998</v>
      </c>
      <c r="E3199" s="2">
        <f t="shared" si="491"/>
        <v>88.935782199751117</v>
      </c>
      <c r="F3199" s="2">
        <f t="shared" si="492"/>
        <v>35.014087480216972</v>
      </c>
      <c r="G3199" s="2">
        <v>12.990207</v>
      </c>
      <c r="H3199" s="2">
        <f t="shared" si="493"/>
        <v>42.618790733879997</v>
      </c>
      <c r="I3199" s="2">
        <f>INDEX('Wood Density Lookup'!$B$2:$B$152,MATCH(B3199,'Wood Density Lookup'!$A$2:$A$152,0))</f>
        <v>0.75</v>
      </c>
      <c r="J3199" s="2">
        <f t="shared" si="494"/>
        <v>3958.7814628131991</v>
      </c>
      <c r="K3199" s="2">
        <f t="shared" si="498"/>
        <v>1108.4588095876959</v>
      </c>
      <c r="L3199" s="2">
        <f t="shared" si="499"/>
        <v>5067.2402724008953</v>
      </c>
      <c r="M3199" s="2">
        <f t="shared" si="495"/>
        <v>3673.7491974906488</v>
      </c>
      <c r="N3199" s="2">
        <f t="shared" si="496"/>
        <v>1836.8745987453244</v>
      </c>
      <c r="O3199" s="2">
        <f t="shared" si="497"/>
        <v>6741.3297773953409</v>
      </c>
      <c r="P3199" s="2">
        <v>72.554468</v>
      </c>
      <c r="Q3199" s="2">
        <v>23.038231</v>
      </c>
    </row>
    <row r="3200" spans="1:17" x14ac:dyDescent="0.25">
      <c r="A3200" s="2">
        <v>3386</v>
      </c>
      <c r="B3200" s="2" t="s">
        <v>103</v>
      </c>
      <c r="C3200" s="2">
        <v>1</v>
      </c>
      <c r="D3200" s="2">
        <f t="shared" si="490"/>
        <v>2.54</v>
      </c>
      <c r="E3200" s="2">
        <f t="shared" si="491"/>
        <v>0.80850711090682836</v>
      </c>
      <c r="F3200" s="2">
        <f t="shared" si="492"/>
        <v>0.31830988618379069</v>
      </c>
      <c r="G3200" s="2">
        <v>11.840221</v>
      </c>
      <c r="H3200" s="2">
        <f t="shared" si="493"/>
        <v>38.84587066564</v>
      </c>
      <c r="I3200" s="2">
        <f>INDEX('Wood Density Lookup'!$B$2:$B$152,MATCH(B3200,'Wood Density Lookup'!$A$2:$A$152,0))</f>
        <v>0.6</v>
      </c>
      <c r="J3200" s="2">
        <f t="shared" si="494"/>
        <v>0.30122341037528777</v>
      </c>
      <c r="K3200" s="2">
        <f t="shared" si="498"/>
        <v>8.434255490508058E-2</v>
      </c>
      <c r="L3200" s="2">
        <f t="shared" si="499"/>
        <v>0.38556596528036835</v>
      </c>
      <c r="M3200" s="2">
        <f t="shared" si="495"/>
        <v>0.27953532482826704</v>
      </c>
      <c r="N3200" s="2">
        <f t="shared" si="496"/>
        <v>0.13976766241413352</v>
      </c>
      <c r="O3200" s="2">
        <f t="shared" si="497"/>
        <v>0.51294732105986995</v>
      </c>
      <c r="P3200" s="2">
        <v>72.554468999999997</v>
      </c>
      <c r="Q3200" s="2">
        <v>23.038262</v>
      </c>
    </row>
    <row r="3201" spans="1:17" x14ac:dyDescent="0.25">
      <c r="A3201" s="2">
        <v>3387</v>
      </c>
      <c r="B3201" s="2" t="s">
        <v>103</v>
      </c>
      <c r="C3201" s="2">
        <v>1</v>
      </c>
      <c r="D3201" s="2">
        <f t="shared" ref="D3201:D3260" si="500">C3201*2.54</f>
        <v>2.54</v>
      </c>
      <c r="E3201" s="2">
        <f t="shared" ref="E3201:E3264" si="501">D3201/PI()</f>
        <v>0.80850711090682836</v>
      </c>
      <c r="F3201" s="2">
        <f t="shared" ref="F3201:F3260" si="502">C3201/PI()</f>
        <v>0.31830988618379069</v>
      </c>
      <c r="G3201" s="2">
        <v>13.697271000000001</v>
      </c>
      <c r="H3201" s="2">
        <f t="shared" ref="H3201:H3260" si="503">G3201*3.28084</f>
        <v>44.938554587639999</v>
      </c>
      <c r="I3201" s="2">
        <f>INDEX('Wood Density Lookup'!$B$2:$B$152,MATCH(B3201,'Wood Density Lookup'!$A$2:$A$152,0))</f>
        <v>0.6</v>
      </c>
      <c r="J3201" s="2">
        <f t="shared" ref="J3201:J3260" si="504">0.0673*POWER(I3201*E3201^2*G3201,0.976)</f>
        <v>0.34725169887045759</v>
      </c>
      <c r="K3201" s="2">
        <f t="shared" si="498"/>
        <v>9.723047568372814E-2</v>
      </c>
      <c r="L3201" s="2">
        <f t="shared" si="499"/>
        <v>0.4444821745541857</v>
      </c>
      <c r="M3201" s="2">
        <f t="shared" ref="M3201:M3264" si="505">0.725*L3201</f>
        <v>0.3222495765517846</v>
      </c>
      <c r="N3201" s="2">
        <f t="shared" ref="N3201:N3264" si="506">0.5*M3201</f>
        <v>0.1611247882758923</v>
      </c>
      <c r="O3201" s="2">
        <f t="shared" ref="O3201:O3264" si="507">3.67*N3201</f>
        <v>0.59132797297252471</v>
      </c>
      <c r="P3201" s="2">
        <v>72.554471000000007</v>
      </c>
      <c r="Q3201" s="2">
        <v>23.038350000000001</v>
      </c>
    </row>
    <row r="3202" spans="1:17" x14ac:dyDescent="0.25">
      <c r="A3202" s="2">
        <v>3388</v>
      </c>
      <c r="B3202" s="2" t="s">
        <v>103</v>
      </c>
      <c r="C3202" s="2">
        <v>1</v>
      </c>
      <c r="D3202" s="2">
        <f t="shared" si="500"/>
        <v>2.54</v>
      </c>
      <c r="E3202" s="2">
        <f t="shared" si="501"/>
        <v>0.80850711090682836</v>
      </c>
      <c r="F3202" s="2">
        <f t="shared" si="502"/>
        <v>0.31830988618379069</v>
      </c>
      <c r="G3202" s="2">
        <v>11.594426</v>
      </c>
      <c r="H3202" s="2">
        <f t="shared" si="503"/>
        <v>38.039456597840001</v>
      </c>
      <c r="I3202" s="2">
        <f>INDEX('Wood Density Lookup'!$B$2:$B$152,MATCH(B3202,'Wood Density Lookup'!$A$2:$A$152,0))</f>
        <v>0.6</v>
      </c>
      <c r="J3202" s="2">
        <f t="shared" si="504"/>
        <v>0.29511876102283296</v>
      </c>
      <c r="K3202" s="2">
        <f t="shared" si="498"/>
        <v>8.2633253086393244E-2</v>
      </c>
      <c r="L3202" s="2">
        <f t="shared" si="499"/>
        <v>0.37775201410922621</v>
      </c>
      <c r="M3202" s="2">
        <f t="shared" si="505"/>
        <v>0.273870210229189</v>
      </c>
      <c r="N3202" s="2">
        <f t="shared" si="506"/>
        <v>0.1369351051145945</v>
      </c>
      <c r="O3202" s="2">
        <f t="shared" si="507"/>
        <v>0.50255183577056184</v>
      </c>
      <c r="P3202" s="2">
        <v>72.554473000000002</v>
      </c>
      <c r="Q3202" s="2">
        <v>23.038312999999999</v>
      </c>
    </row>
    <row r="3203" spans="1:17" x14ac:dyDescent="0.25">
      <c r="A3203" s="2">
        <v>3389</v>
      </c>
      <c r="B3203" s="2" t="s">
        <v>128</v>
      </c>
      <c r="C3203" s="2">
        <v>24</v>
      </c>
      <c r="D3203" s="2">
        <f t="shared" si="500"/>
        <v>60.96</v>
      </c>
      <c r="E3203" s="2">
        <f t="shared" si="501"/>
        <v>19.404170661763882</v>
      </c>
      <c r="F3203" s="2">
        <f t="shared" si="502"/>
        <v>7.6394372684109761</v>
      </c>
      <c r="G3203" s="2">
        <v>2.535898</v>
      </c>
      <c r="H3203" s="2">
        <f t="shared" si="503"/>
        <v>8.3198755943199991</v>
      </c>
      <c r="I3203" s="2">
        <f>INDEX('Wood Density Lookup'!$B$2:$B$152,MATCH(B3203,'Wood Density Lookup'!$A$2:$A$152,0))</f>
        <v>0.75</v>
      </c>
      <c r="J3203" s="2">
        <f t="shared" si="504"/>
        <v>41.160314348745764</v>
      </c>
      <c r="K3203" s="2">
        <f t="shared" ref="K3203:K3260" si="508">0.28*J3203</f>
        <v>11.524888017648815</v>
      </c>
      <c r="L3203" s="2">
        <f t="shared" ref="L3203:L3260" si="509">J3203+K3203</f>
        <v>52.685202366394577</v>
      </c>
      <c r="M3203" s="2">
        <f t="shared" si="505"/>
        <v>38.196771715636068</v>
      </c>
      <c r="N3203" s="2">
        <f t="shared" si="506"/>
        <v>19.098385857818034</v>
      </c>
      <c r="O3203" s="2">
        <f t="shared" si="507"/>
        <v>70.09107609819219</v>
      </c>
      <c r="P3203" s="2">
        <v>72.554473999999999</v>
      </c>
      <c r="Q3203" s="2">
        <v>23.038578000000001</v>
      </c>
    </row>
    <row r="3204" spans="1:17" x14ac:dyDescent="0.25">
      <c r="A3204" s="2">
        <v>3390</v>
      </c>
      <c r="B3204" s="2" t="s">
        <v>115</v>
      </c>
      <c r="C3204" s="2">
        <v>24</v>
      </c>
      <c r="D3204" s="2">
        <f t="shared" si="500"/>
        <v>60.96</v>
      </c>
      <c r="E3204" s="2">
        <f t="shared" si="501"/>
        <v>19.404170661763882</v>
      </c>
      <c r="F3204" s="2">
        <f t="shared" si="502"/>
        <v>7.6394372684109761</v>
      </c>
      <c r="G3204" s="2">
        <v>8.5624939999999992</v>
      </c>
      <c r="H3204" s="2">
        <f t="shared" si="503"/>
        <v>28.092172814959998</v>
      </c>
      <c r="I3204" s="2">
        <f>INDEX('Wood Density Lookup'!$B$2:$B$152,MATCH(B3204,'Wood Density Lookup'!$A$2:$A$152,0))</f>
        <v>0.65</v>
      </c>
      <c r="J3204" s="2">
        <f t="shared" si="504"/>
        <v>117.38364224689961</v>
      </c>
      <c r="K3204" s="2">
        <f t="shared" si="508"/>
        <v>32.867419829131897</v>
      </c>
      <c r="L3204" s="2">
        <f t="shared" si="509"/>
        <v>150.2510620760315</v>
      </c>
      <c r="M3204" s="2">
        <f t="shared" si="505"/>
        <v>108.93202000512284</v>
      </c>
      <c r="N3204" s="2">
        <f t="shared" si="506"/>
        <v>54.466010002561418</v>
      </c>
      <c r="O3204" s="2">
        <f t="shared" si="507"/>
        <v>199.8902567094004</v>
      </c>
      <c r="P3204" s="2">
        <v>72.554474999999996</v>
      </c>
      <c r="Q3204" s="2">
        <v>23.038627000000002</v>
      </c>
    </row>
    <row r="3205" spans="1:17" x14ac:dyDescent="0.25">
      <c r="A3205" s="2">
        <v>3391</v>
      </c>
      <c r="B3205" s="2" t="s">
        <v>62</v>
      </c>
      <c r="C3205" s="2">
        <v>11</v>
      </c>
      <c r="D3205" s="2">
        <f t="shared" si="500"/>
        <v>27.94</v>
      </c>
      <c r="E3205" s="2">
        <f t="shared" si="501"/>
        <v>8.8935782199751117</v>
      </c>
      <c r="F3205" s="2">
        <f t="shared" si="502"/>
        <v>3.5014087480216975</v>
      </c>
      <c r="G3205" s="2">
        <v>8.4587880000000002</v>
      </c>
      <c r="H3205" s="2">
        <f t="shared" si="503"/>
        <v>27.75193002192</v>
      </c>
      <c r="I3205" s="2">
        <f>INDEX('Wood Density Lookup'!$B$2:$B$152,MATCH(B3205,'Wood Density Lookup'!$A$2:$A$152,0))</f>
        <v>0.47</v>
      </c>
      <c r="J3205" s="2">
        <f t="shared" si="504"/>
        <v>18.434556911693402</v>
      </c>
      <c r="K3205" s="2">
        <f t="shared" si="508"/>
        <v>5.161675935274153</v>
      </c>
      <c r="L3205" s="2">
        <f t="shared" si="509"/>
        <v>23.596232846967556</v>
      </c>
      <c r="M3205" s="2">
        <f t="shared" si="505"/>
        <v>17.107268814051476</v>
      </c>
      <c r="N3205" s="2">
        <f t="shared" si="506"/>
        <v>8.5536344070257382</v>
      </c>
      <c r="O3205" s="2">
        <f t="shared" si="507"/>
        <v>31.391838273784458</v>
      </c>
      <c r="P3205" s="2">
        <v>72.554477000000006</v>
      </c>
      <c r="Q3205" s="2">
        <v>23.036587999999998</v>
      </c>
    </row>
    <row r="3206" spans="1:17" x14ac:dyDescent="0.25">
      <c r="A3206" s="2">
        <v>3392</v>
      </c>
      <c r="B3206" s="2" t="s">
        <v>114</v>
      </c>
      <c r="C3206" s="2">
        <v>5</v>
      </c>
      <c r="D3206" s="2">
        <f t="shared" si="500"/>
        <v>12.7</v>
      </c>
      <c r="E3206" s="2">
        <f t="shared" si="501"/>
        <v>4.0425355545341413</v>
      </c>
      <c r="F3206" s="2">
        <f t="shared" si="502"/>
        <v>1.5915494309189535</v>
      </c>
      <c r="G3206" s="2">
        <v>11.062681</v>
      </c>
      <c r="H3206" s="2">
        <f t="shared" si="503"/>
        <v>36.294886332040001</v>
      </c>
      <c r="I3206" s="2">
        <f>INDEX('Wood Density Lookup'!$B$2:$B$152,MATCH(B3206,'Wood Density Lookup'!$A$2:$A$152,0))</f>
        <v>0.55000000000000004</v>
      </c>
      <c r="J3206" s="2">
        <f t="shared" si="504"/>
        <v>5.9924594101111177</v>
      </c>
      <c r="K3206" s="2">
        <f t="shared" si="508"/>
        <v>1.6778886348311131</v>
      </c>
      <c r="L3206" s="2">
        <f t="shared" si="509"/>
        <v>7.670348044942231</v>
      </c>
      <c r="M3206" s="2">
        <f t="shared" si="505"/>
        <v>5.5610023325831177</v>
      </c>
      <c r="N3206" s="2">
        <f t="shared" si="506"/>
        <v>2.7805011662915589</v>
      </c>
      <c r="O3206" s="2">
        <f t="shared" si="507"/>
        <v>10.204439280290021</v>
      </c>
      <c r="P3206" s="2">
        <v>72.554479999999998</v>
      </c>
      <c r="Q3206" s="2">
        <v>23.037112</v>
      </c>
    </row>
    <row r="3207" spans="1:17" x14ac:dyDescent="0.25">
      <c r="A3207" s="2">
        <v>3393</v>
      </c>
      <c r="B3207" s="2" t="s">
        <v>62</v>
      </c>
      <c r="C3207" s="2">
        <v>8</v>
      </c>
      <c r="D3207" s="2">
        <f t="shared" si="500"/>
        <v>20.32</v>
      </c>
      <c r="E3207" s="2">
        <f t="shared" si="501"/>
        <v>6.4680568872546269</v>
      </c>
      <c r="F3207" s="2">
        <f t="shared" si="502"/>
        <v>2.5464790894703255</v>
      </c>
      <c r="G3207" s="2">
        <v>7.8143279999999997</v>
      </c>
      <c r="H3207" s="2">
        <f t="shared" si="503"/>
        <v>25.637559875519997</v>
      </c>
      <c r="I3207" s="2">
        <f>INDEX('Wood Density Lookup'!$B$2:$B$152,MATCH(B3207,'Wood Density Lookup'!$A$2:$A$152,0))</f>
        <v>0.47</v>
      </c>
      <c r="J3207" s="2">
        <f t="shared" si="504"/>
        <v>9.1637942296964265</v>
      </c>
      <c r="K3207" s="2">
        <f t="shared" si="508"/>
        <v>2.5658623843149995</v>
      </c>
      <c r="L3207" s="2">
        <f t="shared" si="509"/>
        <v>11.729656614011425</v>
      </c>
      <c r="M3207" s="2">
        <f t="shared" si="505"/>
        <v>8.504001045158283</v>
      </c>
      <c r="N3207" s="2">
        <f t="shared" si="506"/>
        <v>4.2520005225791415</v>
      </c>
      <c r="O3207" s="2">
        <f t="shared" si="507"/>
        <v>15.60484191786545</v>
      </c>
      <c r="P3207" s="2">
        <v>72.554485999999997</v>
      </c>
      <c r="Q3207" s="2">
        <v>23.036602999999999</v>
      </c>
    </row>
    <row r="3208" spans="1:17" x14ac:dyDescent="0.25">
      <c r="A3208" s="2">
        <v>3394</v>
      </c>
      <c r="B3208" s="2" t="s">
        <v>55</v>
      </c>
      <c r="C3208" s="2">
        <v>52</v>
      </c>
      <c r="D3208" s="2">
        <f t="shared" si="500"/>
        <v>132.08000000000001</v>
      </c>
      <c r="E3208" s="2">
        <f t="shared" si="501"/>
        <v>42.04236976715508</v>
      </c>
      <c r="F3208" s="2">
        <f t="shared" si="502"/>
        <v>16.552114081557114</v>
      </c>
      <c r="G3208" s="2">
        <v>9.0404940000000007</v>
      </c>
      <c r="H3208" s="2">
        <f t="shared" si="503"/>
        <v>29.660414334960002</v>
      </c>
      <c r="I3208" s="2">
        <f>INDEX('Wood Density Lookup'!$B$2:$B$152,MATCH(B3208,'Wood Density Lookup'!$A$2:$A$152,0))</f>
        <v>0.75</v>
      </c>
      <c r="J3208" s="2">
        <f t="shared" si="504"/>
        <v>643.8071533206612</v>
      </c>
      <c r="K3208" s="2">
        <f t="shared" si="508"/>
        <v>180.26600292978515</v>
      </c>
      <c r="L3208" s="2">
        <f t="shared" si="509"/>
        <v>824.07315625044635</v>
      </c>
      <c r="M3208" s="2">
        <f t="shared" si="505"/>
        <v>597.45303828157353</v>
      </c>
      <c r="N3208" s="2">
        <f t="shared" si="506"/>
        <v>298.72651914078676</v>
      </c>
      <c r="O3208" s="2">
        <f t="shared" si="507"/>
        <v>1096.3263252466875</v>
      </c>
      <c r="P3208" s="2">
        <v>72.554486999999995</v>
      </c>
      <c r="Q3208" s="2">
        <v>23.037497999999999</v>
      </c>
    </row>
    <row r="3209" spans="1:17" x14ac:dyDescent="0.25">
      <c r="A3209" s="2">
        <v>3395</v>
      </c>
      <c r="B3209" s="2" t="s">
        <v>15</v>
      </c>
      <c r="C3209" s="2">
        <v>28</v>
      </c>
      <c r="D3209" s="2">
        <f t="shared" si="500"/>
        <v>71.12</v>
      </c>
      <c r="E3209" s="2">
        <f t="shared" si="501"/>
        <v>22.638199105391195</v>
      </c>
      <c r="F3209" s="2">
        <f t="shared" si="502"/>
        <v>8.91267681314614</v>
      </c>
      <c r="G3209" s="2">
        <v>11.931996</v>
      </c>
      <c r="H3209" s="2">
        <f t="shared" si="503"/>
        <v>39.146969756639997</v>
      </c>
      <c r="I3209" s="2">
        <f>INDEX('Wood Density Lookup'!$B$2:$B$152,MATCH(B3209,'Wood Density Lookup'!$A$2:$A$152,0))</f>
        <v>0.75</v>
      </c>
      <c r="J3209" s="2">
        <f t="shared" si="504"/>
        <v>252.11470801425466</v>
      </c>
      <c r="K3209" s="2">
        <f t="shared" si="508"/>
        <v>70.592118243991308</v>
      </c>
      <c r="L3209" s="2">
        <f t="shared" si="509"/>
        <v>322.706826258246</v>
      </c>
      <c r="M3209" s="2">
        <f t="shared" si="505"/>
        <v>233.96244903722834</v>
      </c>
      <c r="N3209" s="2">
        <f t="shared" si="506"/>
        <v>116.98122451861417</v>
      </c>
      <c r="O3209" s="2">
        <f t="shared" si="507"/>
        <v>429.32109398331397</v>
      </c>
      <c r="P3209" s="2">
        <v>72.554489000000004</v>
      </c>
      <c r="Q3209" s="2">
        <v>23.037134999999999</v>
      </c>
    </row>
    <row r="3210" spans="1:17" x14ac:dyDescent="0.25">
      <c r="A3210" s="2">
        <v>3396</v>
      </c>
      <c r="B3210" s="2" t="s">
        <v>124</v>
      </c>
      <c r="C3210" s="2">
        <v>6</v>
      </c>
      <c r="D3210" s="2">
        <f t="shared" si="500"/>
        <v>15.24</v>
      </c>
      <c r="E3210" s="2">
        <f t="shared" si="501"/>
        <v>4.8510426654409704</v>
      </c>
      <c r="F3210" s="2">
        <f t="shared" si="502"/>
        <v>1.909859317102744</v>
      </c>
      <c r="G3210" s="2">
        <v>11.952026999999999</v>
      </c>
      <c r="H3210" s="2">
        <f t="shared" si="503"/>
        <v>39.212688262679997</v>
      </c>
      <c r="I3210" s="2">
        <f>INDEX('Wood Density Lookup'!$B$2:$B$152,MATCH(B3210,'Wood Density Lookup'!$A$2:$A$152,0))</f>
        <v>0.55000000000000004</v>
      </c>
      <c r="J3210" s="2">
        <f t="shared" si="504"/>
        <v>9.2244848355600428</v>
      </c>
      <c r="K3210" s="2">
        <f t="shared" si="508"/>
        <v>2.5828557539568124</v>
      </c>
      <c r="L3210" s="2">
        <f t="shared" si="509"/>
        <v>11.807340589516855</v>
      </c>
      <c r="M3210" s="2">
        <f t="shared" si="505"/>
        <v>8.5603219273997198</v>
      </c>
      <c r="N3210" s="2">
        <f t="shared" si="506"/>
        <v>4.2801609636998599</v>
      </c>
      <c r="O3210" s="2">
        <f t="shared" si="507"/>
        <v>15.708190736778485</v>
      </c>
      <c r="P3210" s="2">
        <v>72.554492999999994</v>
      </c>
      <c r="Q3210" s="2">
        <v>23.037112</v>
      </c>
    </row>
    <row r="3211" spans="1:17" x14ac:dyDescent="0.25">
      <c r="A3211" s="2">
        <v>3397</v>
      </c>
      <c r="B3211" s="2" t="s">
        <v>15</v>
      </c>
      <c r="C3211" s="2">
        <v>14</v>
      </c>
      <c r="D3211" s="2">
        <f t="shared" si="500"/>
        <v>35.56</v>
      </c>
      <c r="E3211" s="2">
        <f t="shared" si="501"/>
        <v>11.319099552695597</v>
      </c>
      <c r="F3211" s="2">
        <f t="shared" si="502"/>
        <v>4.45633840657307</v>
      </c>
      <c r="G3211" s="2">
        <v>11.675502</v>
      </c>
      <c r="H3211" s="2">
        <f t="shared" si="503"/>
        <v>38.305453981679996</v>
      </c>
      <c r="I3211" s="2">
        <f>INDEX('Wood Density Lookup'!$B$2:$B$152,MATCH(B3211,'Wood Density Lookup'!$A$2:$A$152,0))</f>
        <v>0.75</v>
      </c>
      <c r="J3211" s="2">
        <f t="shared" si="504"/>
        <v>63.793524264035192</v>
      </c>
      <c r="K3211" s="2">
        <f t="shared" si="508"/>
        <v>17.862186793929855</v>
      </c>
      <c r="L3211" s="2">
        <f t="shared" si="509"/>
        <v>81.65571105796505</v>
      </c>
      <c r="M3211" s="2">
        <f t="shared" si="505"/>
        <v>59.200390517024658</v>
      </c>
      <c r="N3211" s="2">
        <f t="shared" si="506"/>
        <v>29.600195258512329</v>
      </c>
      <c r="O3211" s="2">
        <f t="shared" si="507"/>
        <v>108.63271659874025</v>
      </c>
      <c r="P3211" s="2">
        <v>72.554520999999994</v>
      </c>
      <c r="Q3211" s="2">
        <v>23.03736</v>
      </c>
    </row>
    <row r="3212" spans="1:17" x14ac:dyDescent="0.25">
      <c r="A3212" s="2">
        <v>3398</v>
      </c>
      <c r="B3212" s="2" t="s">
        <v>61</v>
      </c>
      <c r="C3212" s="2">
        <v>41</v>
      </c>
      <c r="D3212" s="2">
        <f t="shared" si="500"/>
        <v>104.14</v>
      </c>
      <c r="E3212" s="2">
        <f t="shared" si="501"/>
        <v>33.148791547179961</v>
      </c>
      <c r="F3212" s="2">
        <f t="shared" si="502"/>
        <v>13.050705333535419</v>
      </c>
      <c r="G3212" s="2">
        <v>8.8312860000000004</v>
      </c>
      <c r="H3212" s="2">
        <f t="shared" si="503"/>
        <v>28.97403636024</v>
      </c>
      <c r="I3212" s="2">
        <f>INDEX('Wood Density Lookup'!$B$2:$B$152,MATCH(B3212,'Wood Density Lookup'!$A$2:$A$152,0))</f>
        <v>0.5</v>
      </c>
      <c r="J3212" s="2">
        <f t="shared" si="504"/>
        <v>266.36803988425135</v>
      </c>
      <c r="K3212" s="2">
        <f t="shared" si="508"/>
        <v>74.583051167590384</v>
      </c>
      <c r="L3212" s="2">
        <f t="shared" si="509"/>
        <v>340.95109105184173</v>
      </c>
      <c r="M3212" s="2">
        <f t="shared" si="505"/>
        <v>247.18954101258524</v>
      </c>
      <c r="N3212" s="2">
        <f t="shared" si="506"/>
        <v>123.59477050629262</v>
      </c>
      <c r="O3212" s="2">
        <f t="shared" si="507"/>
        <v>453.5928077580939</v>
      </c>
      <c r="P3212" s="2">
        <v>72.554524000000001</v>
      </c>
      <c r="Q3212" s="2">
        <v>23.036594999999998</v>
      </c>
    </row>
    <row r="3213" spans="1:17" x14ac:dyDescent="0.25">
      <c r="A3213" s="2">
        <v>3399</v>
      </c>
      <c r="B3213" s="2" t="s">
        <v>115</v>
      </c>
      <c r="C3213" s="2">
        <v>17</v>
      </c>
      <c r="D3213" s="2">
        <f t="shared" si="500"/>
        <v>43.18</v>
      </c>
      <c r="E3213" s="2">
        <f t="shared" si="501"/>
        <v>13.744620885416081</v>
      </c>
      <c r="F3213" s="2">
        <f t="shared" si="502"/>
        <v>5.4112680651244416</v>
      </c>
      <c r="G3213" s="2">
        <v>6.2884370000000001</v>
      </c>
      <c r="H3213" s="2">
        <f t="shared" si="503"/>
        <v>20.631355647079999</v>
      </c>
      <c r="I3213" s="2">
        <f>INDEX('Wood Density Lookup'!$B$2:$B$152,MATCH(B3213,'Wood Density Lookup'!$A$2:$A$152,0))</f>
        <v>0.65</v>
      </c>
      <c r="J3213" s="2">
        <f t="shared" si="504"/>
        <v>44.302817572516091</v>
      </c>
      <c r="K3213" s="2">
        <f t="shared" si="508"/>
        <v>12.404788920304506</v>
      </c>
      <c r="L3213" s="2">
        <f t="shared" si="509"/>
        <v>56.707606492820595</v>
      </c>
      <c r="M3213" s="2">
        <f t="shared" si="505"/>
        <v>41.11301470729493</v>
      </c>
      <c r="N3213" s="2">
        <f t="shared" si="506"/>
        <v>20.556507353647465</v>
      </c>
      <c r="O3213" s="2">
        <f t="shared" si="507"/>
        <v>75.442381987886193</v>
      </c>
      <c r="P3213" s="2">
        <v>72.554530999999997</v>
      </c>
      <c r="Q3213" s="2">
        <v>23.038212000000001</v>
      </c>
    </row>
    <row r="3214" spans="1:17" x14ac:dyDescent="0.25">
      <c r="A3214" s="2">
        <v>3400</v>
      </c>
      <c r="B3214" s="2" t="s">
        <v>33</v>
      </c>
      <c r="C3214" s="2">
        <v>15</v>
      </c>
      <c r="D3214" s="2">
        <f t="shared" si="500"/>
        <v>38.1</v>
      </c>
      <c r="E3214" s="2">
        <f t="shared" si="501"/>
        <v>12.127606663602425</v>
      </c>
      <c r="F3214" s="2">
        <f t="shared" si="502"/>
        <v>4.7746482927568605</v>
      </c>
      <c r="G3214" s="2">
        <v>8.1243920000000003</v>
      </c>
      <c r="H3214" s="2">
        <f t="shared" si="503"/>
        <v>26.65483024928</v>
      </c>
      <c r="I3214" s="2">
        <f>INDEX('Wood Density Lookup'!$B$2:$B$152,MATCH(B3214,'Wood Density Lookup'!$A$2:$A$152,0))</f>
        <v>0.65</v>
      </c>
      <c r="J3214" s="2">
        <f t="shared" si="504"/>
        <v>44.555712227064056</v>
      </c>
      <c r="K3214" s="2">
        <f t="shared" si="508"/>
        <v>12.475599423577936</v>
      </c>
      <c r="L3214" s="2">
        <f t="shared" si="509"/>
        <v>57.031311650641996</v>
      </c>
      <c r="M3214" s="2">
        <f t="shared" si="505"/>
        <v>41.347700946715449</v>
      </c>
      <c r="N3214" s="2">
        <f t="shared" si="506"/>
        <v>20.673850473357724</v>
      </c>
      <c r="O3214" s="2">
        <f t="shared" si="507"/>
        <v>75.873031237222847</v>
      </c>
      <c r="P3214" s="2">
        <v>72.554531999999995</v>
      </c>
      <c r="Q3214" s="2">
        <v>23.037502</v>
      </c>
    </row>
    <row r="3215" spans="1:17" x14ac:dyDescent="0.25">
      <c r="A3215" s="2">
        <v>3401</v>
      </c>
      <c r="B3215" s="2" t="s">
        <v>82</v>
      </c>
      <c r="C3215" s="2">
        <v>5</v>
      </c>
      <c r="D3215" s="2">
        <f t="shared" si="500"/>
        <v>12.7</v>
      </c>
      <c r="E3215" s="2">
        <f t="shared" si="501"/>
        <v>4.0425355545341413</v>
      </c>
      <c r="F3215" s="2">
        <f t="shared" si="502"/>
        <v>1.5915494309189535</v>
      </c>
      <c r="G3215" s="2">
        <v>10.180612</v>
      </c>
      <c r="H3215" s="2">
        <f t="shared" si="503"/>
        <v>33.400959074079999</v>
      </c>
      <c r="I3215" s="2">
        <f>INDEX('Wood Density Lookup'!$B$2:$B$152,MATCH(B3215,'Wood Density Lookup'!$A$2:$A$152,0))</f>
        <v>0.7</v>
      </c>
      <c r="J3215" s="2">
        <f t="shared" si="504"/>
        <v>6.9920797948149387</v>
      </c>
      <c r="K3215" s="2">
        <f t="shared" si="508"/>
        <v>1.9577823425481831</v>
      </c>
      <c r="L3215" s="2">
        <f t="shared" si="509"/>
        <v>8.9498621373631213</v>
      </c>
      <c r="M3215" s="2">
        <f t="shared" si="505"/>
        <v>6.4886500495882631</v>
      </c>
      <c r="N3215" s="2">
        <f t="shared" si="506"/>
        <v>3.2443250247941315</v>
      </c>
      <c r="O3215" s="2">
        <f t="shared" si="507"/>
        <v>11.906672840994462</v>
      </c>
      <c r="P3215" s="2">
        <v>72.554537999999994</v>
      </c>
      <c r="Q3215" s="2">
        <v>23.037156</v>
      </c>
    </row>
    <row r="3216" spans="1:17" x14ac:dyDescent="0.25">
      <c r="A3216" s="2">
        <v>3402</v>
      </c>
      <c r="B3216" s="2" t="s">
        <v>15</v>
      </c>
      <c r="C3216" s="2">
        <v>110</v>
      </c>
      <c r="D3216" s="2">
        <f t="shared" si="500"/>
        <v>279.39999999999998</v>
      </c>
      <c r="E3216" s="2">
        <f t="shared" si="501"/>
        <v>88.935782199751117</v>
      </c>
      <c r="F3216" s="2">
        <f t="shared" si="502"/>
        <v>35.014087480216972</v>
      </c>
      <c r="G3216" s="2">
        <v>6.8784390000000002</v>
      </c>
      <c r="H3216" s="2">
        <f t="shared" si="503"/>
        <v>22.567057808760001</v>
      </c>
      <c r="I3216" s="2">
        <f>INDEX('Wood Density Lookup'!$B$2:$B$152,MATCH(B3216,'Wood Density Lookup'!$A$2:$A$152,0))</f>
        <v>0.75</v>
      </c>
      <c r="J3216" s="2">
        <f t="shared" si="504"/>
        <v>2128.4447186659199</v>
      </c>
      <c r="K3216" s="2">
        <f t="shared" si="508"/>
        <v>595.96452122645769</v>
      </c>
      <c r="L3216" s="2">
        <f t="shared" si="509"/>
        <v>2724.4092398923776</v>
      </c>
      <c r="M3216" s="2">
        <f t="shared" si="505"/>
        <v>1975.1966989219736</v>
      </c>
      <c r="N3216" s="2">
        <f t="shared" si="506"/>
        <v>987.59834946098681</v>
      </c>
      <c r="O3216" s="2">
        <f t="shared" si="507"/>
        <v>3624.4859425218215</v>
      </c>
      <c r="P3216" s="2">
        <v>72.554541999999998</v>
      </c>
      <c r="Q3216" s="2">
        <v>23.038119999999999</v>
      </c>
    </row>
    <row r="3217" spans="1:17" x14ac:dyDescent="0.25">
      <c r="A3217" s="2">
        <v>3404</v>
      </c>
      <c r="B3217" s="2" t="s">
        <v>31</v>
      </c>
      <c r="C3217" s="2">
        <v>17</v>
      </c>
      <c r="D3217" s="2">
        <f t="shared" si="500"/>
        <v>43.18</v>
      </c>
      <c r="E3217" s="2">
        <f t="shared" si="501"/>
        <v>13.744620885416081</v>
      </c>
      <c r="F3217" s="2">
        <f t="shared" si="502"/>
        <v>5.4112680651244416</v>
      </c>
      <c r="G3217" s="2">
        <v>6.0493259999999998</v>
      </c>
      <c r="H3217" s="2">
        <f t="shared" si="503"/>
        <v>19.846870713839998</v>
      </c>
      <c r="I3217" s="2">
        <f>INDEX('Wood Density Lookup'!$B$2:$B$152,MATCH(B3217,'Wood Density Lookup'!$A$2:$A$152,0))</f>
        <v>0.78</v>
      </c>
      <c r="J3217" s="2">
        <f t="shared" si="504"/>
        <v>50.966003061258959</v>
      </c>
      <c r="K3217" s="2">
        <f t="shared" si="508"/>
        <v>14.27048085715251</v>
      </c>
      <c r="L3217" s="2">
        <f t="shared" si="509"/>
        <v>65.236483918411466</v>
      </c>
      <c r="M3217" s="2">
        <f t="shared" si="505"/>
        <v>47.296450840848308</v>
      </c>
      <c r="N3217" s="2">
        <f t="shared" si="506"/>
        <v>23.648225420424154</v>
      </c>
      <c r="O3217" s="2">
        <f t="shared" si="507"/>
        <v>86.788987292956648</v>
      </c>
      <c r="P3217" s="2">
        <v>72.554544000000007</v>
      </c>
      <c r="Q3217" s="2">
        <v>23.037700000000001</v>
      </c>
    </row>
    <row r="3218" spans="1:17" x14ac:dyDescent="0.25">
      <c r="A3218" s="2">
        <v>3406</v>
      </c>
      <c r="B3218" s="2" t="s">
        <v>135</v>
      </c>
      <c r="C3218" s="2">
        <v>6</v>
      </c>
      <c r="D3218" s="2">
        <f t="shared" si="500"/>
        <v>15.24</v>
      </c>
      <c r="E3218" s="2">
        <f t="shared" si="501"/>
        <v>4.8510426654409704</v>
      </c>
      <c r="F3218" s="2">
        <f t="shared" si="502"/>
        <v>1.909859317102744</v>
      </c>
      <c r="G3218" s="2">
        <v>2.2407430000000002</v>
      </c>
      <c r="H3218" s="2">
        <f t="shared" si="503"/>
        <v>7.3515192641200002</v>
      </c>
      <c r="I3218" s="2">
        <f>INDEX('Wood Density Lookup'!$B$2:$B$152,MATCH(B3218,'Wood Density Lookup'!$A$2:$A$152,0))</f>
        <v>0.8</v>
      </c>
      <c r="J3218" s="2">
        <f t="shared" si="504"/>
        <v>2.5951569893147362</v>
      </c>
      <c r="K3218" s="2">
        <f t="shared" si="508"/>
        <v>0.72664395700812623</v>
      </c>
      <c r="L3218" s="2">
        <f t="shared" si="509"/>
        <v>3.3218009463228624</v>
      </c>
      <c r="M3218" s="2">
        <f t="shared" si="505"/>
        <v>2.4083056860840752</v>
      </c>
      <c r="N3218" s="2">
        <f t="shared" si="506"/>
        <v>1.2041528430420376</v>
      </c>
      <c r="O3218" s="2">
        <f t="shared" si="507"/>
        <v>4.4192409339642778</v>
      </c>
      <c r="P3218" s="2">
        <v>72.554544000000007</v>
      </c>
      <c r="Q3218" s="2">
        <v>23.036975000000002</v>
      </c>
    </row>
    <row r="3219" spans="1:17" x14ac:dyDescent="0.25">
      <c r="A3219" s="2">
        <v>3407</v>
      </c>
      <c r="B3219" s="2" t="s">
        <v>15</v>
      </c>
      <c r="C3219" s="2">
        <v>26</v>
      </c>
      <c r="D3219" s="2">
        <f t="shared" si="500"/>
        <v>66.040000000000006</v>
      </c>
      <c r="E3219" s="2">
        <f t="shared" si="501"/>
        <v>21.02118488357754</v>
      </c>
      <c r="F3219" s="2">
        <f t="shared" si="502"/>
        <v>8.2760570407785572</v>
      </c>
      <c r="G3219" s="2">
        <v>12.306803</v>
      </c>
      <c r="H3219" s="2">
        <f t="shared" si="503"/>
        <v>40.376651554520002</v>
      </c>
      <c r="I3219" s="2">
        <f>INDEX('Wood Density Lookup'!$B$2:$B$152,MATCH(B3219,'Wood Density Lookup'!$A$2:$A$152,0))</f>
        <v>0.75</v>
      </c>
      <c r="J3219" s="2">
        <f t="shared" si="504"/>
        <v>224.84511610598395</v>
      </c>
      <c r="K3219" s="2">
        <f t="shared" si="508"/>
        <v>62.956632509675508</v>
      </c>
      <c r="L3219" s="2">
        <f t="shared" si="509"/>
        <v>287.80174861565945</v>
      </c>
      <c r="M3219" s="2">
        <f t="shared" si="505"/>
        <v>208.65626774635308</v>
      </c>
      <c r="N3219" s="2">
        <f t="shared" si="506"/>
        <v>104.32813387317654</v>
      </c>
      <c r="O3219" s="2">
        <f t="shared" si="507"/>
        <v>382.8842513145579</v>
      </c>
      <c r="P3219" s="2">
        <v>72.554545000000005</v>
      </c>
      <c r="Q3219" s="2">
        <v>23.037357</v>
      </c>
    </row>
    <row r="3220" spans="1:17" x14ac:dyDescent="0.25">
      <c r="A3220" s="2">
        <v>3409</v>
      </c>
      <c r="B3220" s="2" t="s">
        <v>138</v>
      </c>
      <c r="C3220" s="2">
        <v>7</v>
      </c>
      <c r="D3220" s="2">
        <f t="shared" si="500"/>
        <v>17.78</v>
      </c>
      <c r="E3220" s="2">
        <f t="shared" si="501"/>
        <v>5.6595497763477987</v>
      </c>
      <c r="F3220" s="2">
        <f t="shared" si="502"/>
        <v>2.228169203286535</v>
      </c>
      <c r="G3220" s="2">
        <v>2.6035650000000001</v>
      </c>
      <c r="H3220" s="2">
        <f t="shared" si="503"/>
        <v>8.5418801946000009</v>
      </c>
      <c r="I3220" s="2">
        <f>INDEX('Wood Density Lookup'!$B$2:$B$152,MATCH(B3220,'Wood Density Lookup'!$A$2:$A$152,0))</f>
        <v>0.5</v>
      </c>
      <c r="J3220" s="2">
        <f t="shared" si="504"/>
        <v>2.5658709413122671</v>
      </c>
      <c r="K3220" s="2">
        <f t="shared" si="508"/>
        <v>0.71844386356743484</v>
      </c>
      <c r="L3220" s="2">
        <f t="shared" si="509"/>
        <v>3.2843148048797017</v>
      </c>
      <c r="M3220" s="2">
        <f t="shared" si="505"/>
        <v>2.3811282335377837</v>
      </c>
      <c r="N3220" s="2">
        <f t="shared" si="506"/>
        <v>1.1905641167688918</v>
      </c>
      <c r="O3220" s="2">
        <f t="shared" si="507"/>
        <v>4.3693703085418329</v>
      </c>
      <c r="P3220" s="2">
        <v>72.554548999999994</v>
      </c>
      <c r="Q3220" s="2">
        <v>23.036997</v>
      </c>
    </row>
    <row r="3221" spans="1:17" x14ac:dyDescent="0.25">
      <c r="A3221" s="2">
        <v>3411</v>
      </c>
      <c r="B3221" s="2" t="s">
        <v>15</v>
      </c>
      <c r="C3221" s="2">
        <v>24</v>
      </c>
      <c r="D3221" s="2">
        <f t="shared" si="500"/>
        <v>60.96</v>
      </c>
      <c r="E3221" s="2">
        <f t="shared" si="501"/>
        <v>19.404170661763882</v>
      </c>
      <c r="F3221" s="2">
        <f t="shared" si="502"/>
        <v>7.6394372684109761</v>
      </c>
      <c r="G3221" s="2">
        <v>11.789533</v>
      </c>
      <c r="H3221" s="2">
        <f t="shared" si="503"/>
        <v>38.679571447720001</v>
      </c>
      <c r="I3221" s="2">
        <f>INDEX('Wood Density Lookup'!$B$2:$B$152,MATCH(B3221,'Wood Density Lookup'!$A$2:$A$152,0))</f>
        <v>0.75</v>
      </c>
      <c r="J3221" s="2">
        <f t="shared" si="504"/>
        <v>184.42795404179148</v>
      </c>
      <c r="K3221" s="2">
        <f t="shared" si="508"/>
        <v>51.639827131701622</v>
      </c>
      <c r="L3221" s="2">
        <f t="shared" si="509"/>
        <v>236.0677811734931</v>
      </c>
      <c r="M3221" s="2">
        <f t="shared" si="505"/>
        <v>171.14914135078249</v>
      </c>
      <c r="N3221" s="2">
        <f t="shared" si="506"/>
        <v>85.574570675391243</v>
      </c>
      <c r="O3221" s="2">
        <f t="shared" si="507"/>
        <v>314.05867437868585</v>
      </c>
      <c r="P3221" s="2">
        <v>72.554552000000001</v>
      </c>
      <c r="Q3221" s="2">
        <v>23.037137000000001</v>
      </c>
    </row>
    <row r="3222" spans="1:17" x14ac:dyDescent="0.25">
      <c r="A3222" s="2">
        <v>3412</v>
      </c>
      <c r="B3222" s="2" t="s">
        <v>15</v>
      </c>
      <c r="C3222" s="2">
        <v>111</v>
      </c>
      <c r="D3222" s="2">
        <f t="shared" si="500"/>
        <v>281.94</v>
      </c>
      <c r="E3222" s="2">
        <f t="shared" si="501"/>
        <v>89.744289310657948</v>
      </c>
      <c r="F3222" s="2">
        <f t="shared" si="502"/>
        <v>35.332397366400762</v>
      </c>
      <c r="G3222" s="2">
        <v>10.042646</v>
      </c>
      <c r="H3222" s="2">
        <f t="shared" si="503"/>
        <v>32.948314702639998</v>
      </c>
      <c r="I3222" s="2">
        <f>INDEX('Wood Density Lookup'!$B$2:$B$152,MATCH(B3222,'Wood Density Lookup'!$A$2:$A$152,0))</f>
        <v>0.75</v>
      </c>
      <c r="J3222" s="2">
        <f t="shared" si="504"/>
        <v>3134.3534860686268</v>
      </c>
      <c r="K3222" s="2">
        <f t="shared" si="508"/>
        <v>877.61897609921562</v>
      </c>
      <c r="L3222" s="2">
        <f t="shared" si="509"/>
        <v>4011.9724621678424</v>
      </c>
      <c r="M3222" s="2">
        <f t="shared" si="505"/>
        <v>2908.6800350716858</v>
      </c>
      <c r="N3222" s="2">
        <f t="shared" si="506"/>
        <v>1454.3400175358429</v>
      </c>
      <c r="O3222" s="2">
        <f t="shared" si="507"/>
        <v>5337.4278643565431</v>
      </c>
      <c r="P3222" s="2">
        <v>72.554553999999996</v>
      </c>
      <c r="Q3222" s="2">
        <v>23.037991000000002</v>
      </c>
    </row>
    <row r="3223" spans="1:17" x14ac:dyDescent="0.25">
      <c r="A3223" s="2">
        <v>3413</v>
      </c>
      <c r="B3223" s="2" t="s">
        <v>124</v>
      </c>
      <c r="C3223" s="2">
        <v>7</v>
      </c>
      <c r="D3223" s="2">
        <f t="shared" si="500"/>
        <v>17.78</v>
      </c>
      <c r="E3223" s="2">
        <f t="shared" si="501"/>
        <v>5.6595497763477987</v>
      </c>
      <c r="F3223" s="2">
        <f t="shared" si="502"/>
        <v>2.228169203286535</v>
      </c>
      <c r="G3223" s="2">
        <v>2.081623</v>
      </c>
      <c r="H3223" s="2">
        <f t="shared" si="503"/>
        <v>6.8294720033200003</v>
      </c>
      <c r="I3223" s="2">
        <f>INDEX('Wood Density Lookup'!$B$2:$B$152,MATCH(B3223,'Wood Density Lookup'!$A$2:$A$152,0))</f>
        <v>0.55000000000000004</v>
      </c>
      <c r="J3223" s="2">
        <f t="shared" si="504"/>
        <v>2.2636001526399814</v>
      </c>
      <c r="K3223" s="2">
        <f t="shared" si="508"/>
        <v>0.63380804273919489</v>
      </c>
      <c r="L3223" s="2">
        <f t="shared" si="509"/>
        <v>2.8974081953791764</v>
      </c>
      <c r="M3223" s="2">
        <f t="shared" si="505"/>
        <v>2.1006209416499027</v>
      </c>
      <c r="N3223" s="2">
        <f t="shared" si="506"/>
        <v>1.0503104708249513</v>
      </c>
      <c r="O3223" s="2">
        <f t="shared" si="507"/>
        <v>3.8546394279275713</v>
      </c>
      <c r="P3223" s="2">
        <v>72.554554999999993</v>
      </c>
      <c r="Q3223" s="2">
        <v>23.037275000000001</v>
      </c>
    </row>
    <row r="3224" spans="1:17" x14ac:dyDescent="0.25">
      <c r="A3224" s="2">
        <v>3414</v>
      </c>
      <c r="B3224" s="2" t="s">
        <v>31</v>
      </c>
      <c r="C3224" s="2">
        <v>6</v>
      </c>
      <c r="D3224" s="2">
        <f t="shared" si="500"/>
        <v>15.24</v>
      </c>
      <c r="E3224" s="2">
        <f t="shared" si="501"/>
        <v>4.8510426654409704</v>
      </c>
      <c r="F3224" s="2">
        <f t="shared" si="502"/>
        <v>1.909859317102744</v>
      </c>
      <c r="G3224" s="2">
        <v>11.882153000000001</v>
      </c>
      <c r="H3224" s="2">
        <f t="shared" si="503"/>
        <v>38.983442848519999</v>
      </c>
      <c r="I3224" s="2">
        <f>INDEX('Wood Density Lookup'!$B$2:$B$152,MATCH(B3224,'Wood Density Lookup'!$A$2:$A$152,0))</f>
        <v>0.78</v>
      </c>
      <c r="J3224" s="2">
        <f t="shared" si="504"/>
        <v>12.898736099120482</v>
      </c>
      <c r="K3224" s="2">
        <f t="shared" si="508"/>
        <v>3.6116461077537352</v>
      </c>
      <c r="L3224" s="2">
        <f t="shared" si="509"/>
        <v>16.510382206874219</v>
      </c>
      <c r="M3224" s="2">
        <f t="shared" si="505"/>
        <v>11.970027099983808</v>
      </c>
      <c r="N3224" s="2">
        <f t="shared" si="506"/>
        <v>5.9850135499919039</v>
      </c>
      <c r="O3224" s="2">
        <f t="shared" si="507"/>
        <v>21.964999728470286</v>
      </c>
      <c r="P3224" s="2">
        <v>72.554558999999998</v>
      </c>
      <c r="Q3224" s="2">
        <v>23.037358000000001</v>
      </c>
    </row>
    <row r="3225" spans="1:17" x14ac:dyDescent="0.25">
      <c r="A3225" s="2">
        <v>3415</v>
      </c>
      <c r="B3225" s="2" t="s">
        <v>15</v>
      </c>
      <c r="C3225" s="2">
        <v>82</v>
      </c>
      <c r="D3225" s="2">
        <f t="shared" si="500"/>
        <v>208.28</v>
      </c>
      <c r="E3225" s="2">
        <f t="shared" si="501"/>
        <v>66.297583094359922</v>
      </c>
      <c r="F3225" s="2">
        <f t="shared" si="502"/>
        <v>26.101410667070837</v>
      </c>
      <c r="G3225" s="2">
        <v>11.960195000000001</v>
      </c>
      <c r="H3225" s="2">
        <f t="shared" si="503"/>
        <v>39.239486163800002</v>
      </c>
      <c r="I3225" s="2">
        <f>INDEX('Wood Density Lookup'!$B$2:$B$152,MATCH(B3225,'Wood Density Lookup'!$A$2:$A$152,0))</f>
        <v>0.75</v>
      </c>
      <c r="J3225" s="2">
        <f t="shared" si="504"/>
        <v>2058.3105626372685</v>
      </c>
      <c r="K3225" s="2">
        <f t="shared" si="508"/>
        <v>576.32695753843518</v>
      </c>
      <c r="L3225" s="2">
        <f t="shared" si="509"/>
        <v>2634.6375201757037</v>
      </c>
      <c r="M3225" s="2">
        <f t="shared" si="505"/>
        <v>1910.1122021273852</v>
      </c>
      <c r="N3225" s="2">
        <f t="shared" si="506"/>
        <v>955.05610106369261</v>
      </c>
      <c r="O3225" s="2">
        <f t="shared" si="507"/>
        <v>3505.0558909037518</v>
      </c>
      <c r="P3225" s="2">
        <v>72.554559999999995</v>
      </c>
      <c r="Q3225" s="2">
        <v>23.037907000000001</v>
      </c>
    </row>
    <row r="3226" spans="1:17" x14ac:dyDescent="0.25">
      <c r="A3226" s="2">
        <v>3416</v>
      </c>
      <c r="B3226" s="2" t="s">
        <v>124</v>
      </c>
      <c r="C3226" s="2">
        <v>5</v>
      </c>
      <c r="D3226" s="2">
        <f t="shared" si="500"/>
        <v>12.7</v>
      </c>
      <c r="E3226" s="2">
        <f t="shared" si="501"/>
        <v>4.0425355545341413</v>
      </c>
      <c r="F3226" s="2">
        <f t="shared" si="502"/>
        <v>1.5915494309189535</v>
      </c>
      <c r="G3226" s="2">
        <v>2.051256</v>
      </c>
      <c r="H3226" s="2">
        <f t="shared" si="503"/>
        <v>6.7298427350400001</v>
      </c>
      <c r="I3226" s="2">
        <f>INDEX('Wood Density Lookup'!$B$2:$B$152,MATCH(B3226,'Wood Density Lookup'!$A$2:$A$152,0))</f>
        <v>0.55000000000000004</v>
      </c>
      <c r="J3226" s="2">
        <f t="shared" si="504"/>
        <v>1.1569877177289245</v>
      </c>
      <c r="K3226" s="2">
        <f t="shared" si="508"/>
        <v>0.32395656096409892</v>
      </c>
      <c r="L3226" s="2">
        <f t="shared" si="509"/>
        <v>1.4809442786930234</v>
      </c>
      <c r="M3226" s="2">
        <f t="shared" si="505"/>
        <v>1.073684602052442</v>
      </c>
      <c r="N3226" s="2">
        <f t="shared" si="506"/>
        <v>0.53684230102622099</v>
      </c>
      <c r="O3226" s="2">
        <f t="shared" si="507"/>
        <v>1.970211244766231</v>
      </c>
      <c r="P3226" s="2">
        <v>72.554559999999995</v>
      </c>
      <c r="Q3226" s="2">
        <v>23.037244000000001</v>
      </c>
    </row>
    <row r="3227" spans="1:17" x14ac:dyDescent="0.25">
      <c r="A3227" s="2">
        <v>3417</v>
      </c>
      <c r="B3227" s="2" t="s">
        <v>124</v>
      </c>
      <c r="C3227" s="2">
        <v>5</v>
      </c>
      <c r="D3227" s="2">
        <f t="shared" si="500"/>
        <v>12.7</v>
      </c>
      <c r="E3227" s="2">
        <f t="shared" si="501"/>
        <v>4.0425355545341413</v>
      </c>
      <c r="F3227" s="2">
        <f t="shared" si="502"/>
        <v>1.5915494309189535</v>
      </c>
      <c r="G3227" s="2">
        <v>2.0468449999999998</v>
      </c>
      <c r="H3227" s="2">
        <f t="shared" si="503"/>
        <v>6.7153709497999996</v>
      </c>
      <c r="I3227" s="2">
        <f>INDEX('Wood Density Lookup'!$B$2:$B$152,MATCH(B3227,'Wood Density Lookup'!$A$2:$A$152,0))</f>
        <v>0.55000000000000004</v>
      </c>
      <c r="J3227" s="2">
        <f t="shared" si="504"/>
        <v>1.1545593918142527</v>
      </c>
      <c r="K3227" s="2">
        <f t="shared" si="508"/>
        <v>0.32327662970799081</v>
      </c>
      <c r="L3227" s="2">
        <f t="shared" si="509"/>
        <v>1.4778360215222435</v>
      </c>
      <c r="M3227" s="2">
        <f t="shared" si="505"/>
        <v>1.0714311156036265</v>
      </c>
      <c r="N3227" s="2">
        <f t="shared" si="506"/>
        <v>0.53571555780181324</v>
      </c>
      <c r="O3227" s="2">
        <f t="shared" si="507"/>
        <v>1.9660760971326545</v>
      </c>
      <c r="P3227" s="2">
        <v>72.554561000000007</v>
      </c>
      <c r="Q3227" s="2">
        <v>23.037196999999999</v>
      </c>
    </row>
    <row r="3228" spans="1:17" x14ac:dyDescent="0.25">
      <c r="A3228" s="2">
        <v>3418</v>
      </c>
      <c r="B3228" s="2" t="s">
        <v>124</v>
      </c>
      <c r="C3228" s="2">
        <v>6</v>
      </c>
      <c r="D3228" s="2">
        <f t="shared" si="500"/>
        <v>15.24</v>
      </c>
      <c r="E3228" s="2">
        <f t="shared" si="501"/>
        <v>4.8510426654409704</v>
      </c>
      <c r="F3228" s="2">
        <f t="shared" si="502"/>
        <v>1.909859317102744</v>
      </c>
      <c r="G3228" s="2">
        <v>1.0158180000000001</v>
      </c>
      <c r="H3228" s="2">
        <f t="shared" si="503"/>
        <v>3.3327363271200001</v>
      </c>
      <c r="I3228" s="2">
        <f>INDEX('Wood Density Lookup'!$B$2:$B$152,MATCH(B3228,'Wood Density Lookup'!$A$2:$A$152,0))</f>
        <v>0.55000000000000004</v>
      </c>
      <c r="J3228" s="2">
        <f t="shared" si="504"/>
        <v>0.8317857497249227</v>
      </c>
      <c r="K3228" s="2">
        <f t="shared" si="508"/>
        <v>0.23290000992297838</v>
      </c>
      <c r="L3228" s="2">
        <f t="shared" si="509"/>
        <v>1.0646857596479011</v>
      </c>
      <c r="M3228" s="2">
        <f t="shared" si="505"/>
        <v>0.77189717574472827</v>
      </c>
      <c r="N3228" s="2">
        <f t="shared" si="506"/>
        <v>0.38594858787236413</v>
      </c>
      <c r="O3228" s="2">
        <f t="shared" si="507"/>
        <v>1.4164313174915764</v>
      </c>
      <c r="P3228" s="2">
        <v>72.554562000000004</v>
      </c>
      <c r="Q3228" s="2">
        <v>23.037224999999999</v>
      </c>
    </row>
    <row r="3229" spans="1:17" x14ac:dyDescent="0.25">
      <c r="A3229" s="2">
        <v>3419</v>
      </c>
      <c r="B3229" s="2" t="s">
        <v>124</v>
      </c>
      <c r="C3229" s="2">
        <v>7</v>
      </c>
      <c r="D3229" s="2">
        <f t="shared" si="500"/>
        <v>17.78</v>
      </c>
      <c r="E3229" s="2">
        <f t="shared" si="501"/>
        <v>5.6595497763477987</v>
      </c>
      <c r="F3229" s="2">
        <f t="shared" si="502"/>
        <v>2.228169203286535</v>
      </c>
      <c r="G3229" s="2">
        <v>8.8961009999999998</v>
      </c>
      <c r="H3229" s="2">
        <f t="shared" si="503"/>
        <v>29.18668400484</v>
      </c>
      <c r="I3229" s="2">
        <f>INDEX('Wood Density Lookup'!$B$2:$B$152,MATCH(B3229,'Wood Density Lookup'!$A$2:$A$152,0))</f>
        <v>0.55000000000000004</v>
      </c>
      <c r="J3229" s="2">
        <f t="shared" si="504"/>
        <v>9.3423944227166071</v>
      </c>
      <c r="K3229" s="2">
        <f t="shared" si="508"/>
        <v>2.6158704383606501</v>
      </c>
      <c r="L3229" s="2">
        <f t="shared" si="509"/>
        <v>11.958264861077257</v>
      </c>
      <c r="M3229" s="2">
        <f t="shared" si="505"/>
        <v>8.6697420242810121</v>
      </c>
      <c r="N3229" s="2">
        <f t="shared" si="506"/>
        <v>4.3348710121405061</v>
      </c>
      <c r="O3229" s="2">
        <f t="shared" si="507"/>
        <v>15.908976614555657</v>
      </c>
      <c r="P3229" s="2">
        <v>72.554563999999999</v>
      </c>
      <c r="Q3229" s="2">
        <v>23.037177</v>
      </c>
    </row>
    <row r="3230" spans="1:17" x14ac:dyDescent="0.25">
      <c r="A3230" s="2">
        <v>3420</v>
      </c>
      <c r="B3230" s="2" t="s">
        <v>15</v>
      </c>
      <c r="C3230" s="2">
        <v>52</v>
      </c>
      <c r="D3230" s="2">
        <f t="shared" si="500"/>
        <v>132.08000000000001</v>
      </c>
      <c r="E3230" s="2">
        <f t="shared" si="501"/>
        <v>42.04236976715508</v>
      </c>
      <c r="F3230" s="2">
        <f t="shared" si="502"/>
        <v>16.552114081557114</v>
      </c>
      <c r="G3230" s="2">
        <v>11.455101000000001</v>
      </c>
      <c r="H3230" s="2">
        <f t="shared" si="503"/>
        <v>37.582353564840005</v>
      </c>
      <c r="I3230" s="2">
        <f>INDEX('Wood Density Lookup'!$B$2:$B$152,MATCH(B3230,'Wood Density Lookup'!$A$2:$A$152,0))</f>
        <v>0.75</v>
      </c>
      <c r="J3230" s="2">
        <f t="shared" si="504"/>
        <v>811.13883747592388</v>
      </c>
      <c r="K3230" s="2">
        <f t="shared" si="508"/>
        <v>227.11887449325872</v>
      </c>
      <c r="L3230" s="2">
        <f t="shared" si="509"/>
        <v>1038.2577119691825</v>
      </c>
      <c r="M3230" s="2">
        <f t="shared" si="505"/>
        <v>752.73684117765731</v>
      </c>
      <c r="N3230" s="2">
        <f t="shared" si="506"/>
        <v>376.36842058882866</v>
      </c>
      <c r="O3230" s="2">
        <f t="shared" si="507"/>
        <v>1381.2721035610011</v>
      </c>
      <c r="P3230" s="2">
        <v>72.554578000000006</v>
      </c>
      <c r="Q3230" s="2">
        <v>23.037800000000001</v>
      </c>
    </row>
    <row r="3231" spans="1:17" x14ac:dyDescent="0.25">
      <c r="A3231" s="2">
        <v>3421</v>
      </c>
      <c r="B3231" s="2" t="s">
        <v>82</v>
      </c>
      <c r="C3231" s="2">
        <v>8</v>
      </c>
      <c r="D3231" s="2">
        <f t="shared" si="500"/>
        <v>20.32</v>
      </c>
      <c r="E3231" s="2">
        <f t="shared" si="501"/>
        <v>6.4680568872546269</v>
      </c>
      <c r="F3231" s="2">
        <f t="shared" si="502"/>
        <v>2.5464790894703255</v>
      </c>
      <c r="G3231" s="2">
        <v>3.627284</v>
      </c>
      <c r="H3231" s="2">
        <f t="shared" si="503"/>
        <v>11.90053843856</v>
      </c>
      <c r="I3231" s="2">
        <f>INDEX('Wood Density Lookup'!$B$2:$B$152,MATCH(B3231,'Wood Density Lookup'!$A$2:$A$152,0))</f>
        <v>0.7</v>
      </c>
      <c r="J3231" s="2">
        <f t="shared" si="504"/>
        <v>6.3916483302855429</v>
      </c>
      <c r="K3231" s="2">
        <f t="shared" si="508"/>
        <v>1.7896615324799521</v>
      </c>
      <c r="L3231" s="2">
        <f t="shared" si="509"/>
        <v>8.1813098627654952</v>
      </c>
      <c r="M3231" s="2">
        <f t="shared" si="505"/>
        <v>5.9314496505049839</v>
      </c>
      <c r="N3231" s="2">
        <f t="shared" si="506"/>
        <v>2.9657248252524919</v>
      </c>
      <c r="O3231" s="2">
        <f t="shared" si="507"/>
        <v>10.884210108676646</v>
      </c>
      <c r="P3231" s="2">
        <v>72.554585000000003</v>
      </c>
      <c r="Q3231" s="2">
        <v>23.037400000000002</v>
      </c>
    </row>
    <row r="3232" spans="1:17" x14ac:dyDescent="0.25">
      <c r="A3232" s="2">
        <v>3423</v>
      </c>
      <c r="B3232" s="2" t="s">
        <v>15</v>
      </c>
      <c r="C3232" s="2">
        <v>69</v>
      </c>
      <c r="D3232" s="2">
        <f t="shared" si="500"/>
        <v>175.26</v>
      </c>
      <c r="E3232" s="2">
        <f t="shared" si="501"/>
        <v>55.786990652571156</v>
      </c>
      <c r="F3232" s="2">
        <f t="shared" si="502"/>
        <v>21.963382146681557</v>
      </c>
      <c r="G3232" s="2">
        <v>12.338198</v>
      </c>
      <c r="H3232" s="2">
        <f t="shared" si="503"/>
        <v>40.47965352632</v>
      </c>
      <c r="I3232" s="2">
        <f>INDEX('Wood Density Lookup'!$B$2:$B$152,MATCH(B3232,'Wood Density Lookup'!$A$2:$A$152,0))</f>
        <v>0.75</v>
      </c>
      <c r="J3232" s="2">
        <f t="shared" si="504"/>
        <v>1514.8472383330065</v>
      </c>
      <c r="K3232" s="2">
        <f t="shared" si="508"/>
        <v>424.15722673324188</v>
      </c>
      <c r="L3232" s="2">
        <f t="shared" si="509"/>
        <v>1939.0044650662485</v>
      </c>
      <c r="M3232" s="2">
        <f t="shared" si="505"/>
        <v>1405.7782371730302</v>
      </c>
      <c r="N3232" s="2">
        <f t="shared" si="506"/>
        <v>702.88911858651511</v>
      </c>
      <c r="O3232" s="2">
        <f t="shared" si="507"/>
        <v>2579.6030652125105</v>
      </c>
      <c r="P3232" s="2">
        <v>72.554586999999998</v>
      </c>
      <c r="Q3232" s="2">
        <v>23.037134000000002</v>
      </c>
    </row>
    <row r="3233" spans="1:17" x14ac:dyDescent="0.25">
      <c r="A3233" s="2">
        <v>3424</v>
      </c>
      <c r="B3233" s="2" t="s">
        <v>9</v>
      </c>
      <c r="C3233" s="2">
        <v>18</v>
      </c>
      <c r="D3233" s="2">
        <f t="shared" si="500"/>
        <v>45.72</v>
      </c>
      <c r="E3233" s="2">
        <f t="shared" si="501"/>
        <v>14.55312799632291</v>
      </c>
      <c r="F3233" s="2">
        <f t="shared" si="502"/>
        <v>5.7295779513082321</v>
      </c>
      <c r="G3233" s="2">
        <v>9.0112539999999992</v>
      </c>
      <c r="H3233" s="2">
        <f t="shared" si="503"/>
        <v>29.564482573359996</v>
      </c>
      <c r="I3233" s="2">
        <f>INDEX('Wood Density Lookup'!$B$2:$B$152,MATCH(B3233,'Wood Density Lookup'!$A$2:$A$152,0))</f>
        <v>0.42</v>
      </c>
      <c r="J3233" s="2">
        <f t="shared" si="504"/>
        <v>45.948099273674309</v>
      </c>
      <c r="K3233" s="2">
        <f t="shared" si="508"/>
        <v>12.865467796628808</v>
      </c>
      <c r="L3233" s="2">
        <f t="shared" si="509"/>
        <v>58.813567070303115</v>
      </c>
      <c r="M3233" s="2">
        <f t="shared" si="505"/>
        <v>42.639836125969758</v>
      </c>
      <c r="N3233" s="2">
        <f t="shared" si="506"/>
        <v>21.319918062984879</v>
      </c>
      <c r="O3233" s="2">
        <f t="shared" si="507"/>
        <v>78.244099291154498</v>
      </c>
      <c r="P3233" s="2">
        <v>72.554592999999997</v>
      </c>
      <c r="Q3233" s="2">
        <v>23.037272000000002</v>
      </c>
    </row>
    <row r="3234" spans="1:17" x14ac:dyDescent="0.25">
      <c r="A3234" s="2">
        <v>3425</v>
      </c>
      <c r="B3234" s="2" t="s">
        <v>15</v>
      </c>
      <c r="C3234" s="2">
        <v>35</v>
      </c>
      <c r="D3234" s="2">
        <f t="shared" si="500"/>
        <v>88.9</v>
      </c>
      <c r="E3234" s="2">
        <f t="shared" si="501"/>
        <v>28.297748881738993</v>
      </c>
      <c r="F3234" s="2">
        <f t="shared" si="502"/>
        <v>11.140846016432674</v>
      </c>
      <c r="G3234" s="2">
        <v>9.1468319999999999</v>
      </c>
      <c r="H3234" s="2">
        <f t="shared" si="503"/>
        <v>30.009292298879998</v>
      </c>
      <c r="I3234" s="2">
        <f>INDEX('Wood Density Lookup'!$B$2:$B$152,MATCH(B3234,'Wood Density Lookup'!$A$2:$A$152,0))</f>
        <v>0.75</v>
      </c>
      <c r="J3234" s="2">
        <f t="shared" si="504"/>
        <v>300.6732201450979</v>
      </c>
      <c r="K3234" s="2">
        <f t="shared" si="508"/>
        <v>84.188501640627422</v>
      </c>
      <c r="L3234" s="2">
        <f t="shared" si="509"/>
        <v>384.86172178572531</v>
      </c>
      <c r="M3234" s="2">
        <f t="shared" si="505"/>
        <v>279.02474829465086</v>
      </c>
      <c r="N3234" s="2">
        <f t="shared" si="506"/>
        <v>139.51237414732543</v>
      </c>
      <c r="O3234" s="2">
        <f t="shared" si="507"/>
        <v>512.01041312068435</v>
      </c>
      <c r="P3234" s="2">
        <v>72.554597999999999</v>
      </c>
      <c r="Q3234" s="2">
        <v>23.037503000000001</v>
      </c>
    </row>
    <row r="3235" spans="1:17" x14ac:dyDescent="0.25">
      <c r="A3235" s="2">
        <v>3426</v>
      </c>
      <c r="B3235" s="2" t="s">
        <v>15</v>
      </c>
      <c r="C3235" s="2">
        <v>124</v>
      </c>
      <c r="D3235" s="2">
        <f t="shared" si="500"/>
        <v>314.95999999999998</v>
      </c>
      <c r="E3235" s="2">
        <f t="shared" si="501"/>
        <v>100.25488175244671</v>
      </c>
      <c r="F3235" s="2">
        <f t="shared" si="502"/>
        <v>39.470425886790046</v>
      </c>
      <c r="G3235" s="2">
        <v>9.1468319999999999</v>
      </c>
      <c r="H3235" s="2">
        <f t="shared" si="503"/>
        <v>30.009292298879998</v>
      </c>
      <c r="I3235" s="2">
        <f>INDEX('Wood Density Lookup'!$B$2:$B$152,MATCH(B3235,'Wood Density Lookup'!$A$2:$A$152,0))</f>
        <v>0.75</v>
      </c>
      <c r="J3235" s="2">
        <f t="shared" si="504"/>
        <v>3551.673669912122</v>
      </c>
      <c r="K3235" s="2">
        <f t="shared" si="508"/>
        <v>994.46862757539429</v>
      </c>
      <c r="L3235" s="2">
        <f t="shared" si="509"/>
        <v>4546.1422974875168</v>
      </c>
      <c r="M3235" s="2">
        <f t="shared" si="505"/>
        <v>3295.9531656784497</v>
      </c>
      <c r="N3235" s="2">
        <f t="shared" si="506"/>
        <v>1647.9765828392249</v>
      </c>
      <c r="O3235" s="2">
        <f t="shared" si="507"/>
        <v>6048.0740590199548</v>
      </c>
      <c r="P3235" s="2">
        <v>72.554597999999999</v>
      </c>
      <c r="Q3235" s="2">
        <v>23.037503000000001</v>
      </c>
    </row>
    <row r="3236" spans="1:17" x14ac:dyDescent="0.25">
      <c r="A3236" s="2">
        <v>3427</v>
      </c>
      <c r="B3236" s="2" t="s">
        <v>62</v>
      </c>
      <c r="C3236" s="2">
        <v>18</v>
      </c>
      <c r="D3236" s="2">
        <f t="shared" si="500"/>
        <v>45.72</v>
      </c>
      <c r="E3236" s="2">
        <f t="shared" si="501"/>
        <v>14.55312799632291</v>
      </c>
      <c r="F3236" s="2">
        <f t="shared" si="502"/>
        <v>5.7295779513082321</v>
      </c>
      <c r="G3236" s="2">
        <v>12.344472</v>
      </c>
      <c r="H3236" s="2">
        <f t="shared" si="503"/>
        <v>40.500237516479999</v>
      </c>
      <c r="I3236" s="2">
        <f>INDEX('Wood Density Lookup'!$B$2:$B$152,MATCH(B3236,'Wood Density Lookup'!$A$2:$A$152,0))</f>
        <v>0.47</v>
      </c>
      <c r="J3236" s="2">
        <f t="shared" si="504"/>
        <v>69.718903052377996</v>
      </c>
      <c r="K3236" s="2">
        <f t="shared" si="508"/>
        <v>19.521292854665841</v>
      </c>
      <c r="L3236" s="2">
        <f t="shared" si="509"/>
        <v>89.240195907043841</v>
      </c>
      <c r="M3236" s="2">
        <f t="shared" si="505"/>
        <v>64.699142032606787</v>
      </c>
      <c r="N3236" s="2">
        <f t="shared" si="506"/>
        <v>32.349571016303393</v>
      </c>
      <c r="O3236" s="2">
        <f t="shared" si="507"/>
        <v>118.72292562983345</v>
      </c>
      <c r="P3236" s="2">
        <v>72.554601000000005</v>
      </c>
      <c r="Q3236" s="2">
        <v>23.036608000000001</v>
      </c>
    </row>
    <row r="3237" spans="1:17" x14ac:dyDescent="0.25">
      <c r="A3237" s="2">
        <v>3428</v>
      </c>
      <c r="B3237" s="2" t="s">
        <v>15</v>
      </c>
      <c r="C3237" s="2">
        <v>73</v>
      </c>
      <c r="D3237" s="2">
        <f t="shared" si="500"/>
        <v>185.42000000000002</v>
      </c>
      <c r="E3237" s="2">
        <f t="shared" si="501"/>
        <v>59.021019096198472</v>
      </c>
      <c r="F3237" s="2">
        <f t="shared" si="502"/>
        <v>23.236621691416719</v>
      </c>
      <c r="G3237" s="2">
        <v>12.727933999999999</v>
      </c>
      <c r="H3237" s="2">
        <f t="shared" si="503"/>
        <v>41.758314984559995</v>
      </c>
      <c r="I3237" s="2">
        <f>INDEX('Wood Density Lookup'!$B$2:$B$152,MATCH(B3237,'Wood Density Lookup'!$A$2:$A$152,0))</f>
        <v>0.75</v>
      </c>
      <c r="J3237" s="2">
        <f t="shared" si="504"/>
        <v>1743.1054801745477</v>
      </c>
      <c r="K3237" s="2">
        <f t="shared" si="508"/>
        <v>488.06953444887341</v>
      </c>
      <c r="L3237" s="2">
        <f t="shared" si="509"/>
        <v>2231.1750146234212</v>
      </c>
      <c r="M3237" s="2">
        <f t="shared" si="505"/>
        <v>1617.6018856019803</v>
      </c>
      <c r="N3237" s="2">
        <f t="shared" si="506"/>
        <v>808.80094280099013</v>
      </c>
      <c r="O3237" s="2">
        <f t="shared" si="507"/>
        <v>2968.2994600796337</v>
      </c>
      <c r="P3237" s="2">
        <v>72.554601000000005</v>
      </c>
      <c r="Q3237" s="2">
        <v>23.037569000000001</v>
      </c>
    </row>
    <row r="3238" spans="1:17" x14ac:dyDescent="0.25">
      <c r="A3238" s="2">
        <v>3429</v>
      </c>
      <c r="B3238" s="2" t="s">
        <v>9</v>
      </c>
      <c r="C3238" s="2">
        <v>25</v>
      </c>
      <c r="D3238" s="2">
        <f t="shared" si="500"/>
        <v>63.5</v>
      </c>
      <c r="E3238" s="2">
        <f t="shared" si="501"/>
        <v>20.212677772670709</v>
      </c>
      <c r="F3238" s="2">
        <f t="shared" si="502"/>
        <v>7.9577471545947667</v>
      </c>
      <c r="G3238" s="2">
        <v>14.51299</v>
      </c>
      <c r="H3238" s="2">
        <f t="shared" si="503"/>
        <v>47.614798111600003</v>
      </c>
      <c r="I3238" s="2">
        <f>INDEX('Wood Density Lookup'!$B$2:$B$152,MATCH(B3238,'Wood Density Lookup'!$A$2:$A$152,0))</f>
        <v>0.42</v>
      </c>
      <c r="J3238" s="2">
        <f t="shared" si="504"/>
        <v>138.91810884611684</v>
      </c>
      <c r="K3238" s="2">
        <f t="shared" si="508"/>
        <v>38.897070476912717</v>
      </c>
      <c r="L3238" s="2">
        <f t="shared" si="509"/>
        <v>177.81517932302955</v>
      </c>
      <c r="M3238" s="2">
        <f t="shared" si="505"/>
        <v>128.91600500919643</v>
      </c>
      <c r="N3238" s="2">
        <f t="shared" si="506"/>
        <v>64.458002504598213</v>
      </c>
      <c r="O3238" s="2">
        <f t="shared" si="507"/>
        <v>236.56086919187544</v>
      </c>
      <c r="P3238" s="2">
        <v>72.554603999999998</v>
      </c>
      <c r="Q3238" s="2">
        <v>23.037316000000001</v>
      </c>
    </row>
    <row r="3239" spans="1:17" x14ac:dyDescent="0.25">
      <c r="A3239" s="2">
        <v>3430</v>
      </c>
      <c r="B3239" s="2" t="s">
        <v>15</v>
      </c>
      <c r="C3239" s="2">
        <v>58</v>
      </c>
      <c r="D3239" s="2">
        <f t="shared" si="500"/>
        <v>147.32</v>
      </c>
      <c r="E3239" s="2">
        <f t="shared" si="501"/>
        <v>46.893412432596044</v>
      </c>
      <c r="F3239" s="2">
        <f t="shared" si="502"/>
        <v>18.461973398659861</v>
      </c>
      <c r="G3239" s="2">
        <v>10.478146000000001</v>
      </c>
      <c r="H3239" s="2">
        <f t="shared" si="503"/>
        <v>34.377120522639999</v>
      </c>
      <c r="I3239" s="2">
        <f>INDEX('Wood Density Lookup'!$B$2:$B$152,MATCH(B3239,'Wood Density Lookup'!$A$2:$A$152,0))</f>
        <v>0.75</v>
      </c>
      <c r="J3239" s="2">
        <f t="shared" si="504"/>
        <v>920.20117375612006</v>
      </c>
      <c r="K3239" s="2">
        <f t="shared" si="508"/>
        <v>257.65632865171364</v>
      </c>
      <c r="L3239" s="2">
        <f t="shared" si="509"/>
        <v>1177.8575024078336</v>
      </c>
      <c r="M3239" s="2">
        <f t="shared" si="505"/>
        <v>853.94668924567941</v>
      </c>
      <c r="N3239" s="2">
        <f t="shared" si="506"/>
        <v>426.9733446228397</v>
      </c>
      <c r="O3239" s="2">
        <f t="shared" si="507"/>
        <v>1566.9921747658216</v>
      </c>
      <c r="P3239" s="2">
        <v>72.554608999999999</v>
      </c>
      <c r="Q3239" s="2">
        <v>23.037614000000001</v>
      </c>
    </row>
    <row r="3240" spans="1:17" x14ac:dyDescent="0.25">
      <c r="A3240" s="2">
        <v>3431</v>
      </c>
      <c r="B3240" s="2" t="s">
        <v>15</v>
      </c>
      <c r="C3240" s="2">
        <v>112</v>
      </c>
      <c r="D3240" s="2">
        <f t="shared" si="500"/>
        <v>284.48</v>
      </c>
      <c r="E3240" s="2">
        <f t="shared" si="501"/>
        <v>90.552796421564778</v>
      </c>
      <c r="F3240" s="2">
        <f t="shared" si="502"/>
        <v>35.65070725258456</v>
      </c>
      <c r="G3240" s="2">
        <v>10.478146000000001</v>
      </c>
      <c r="H3240" s="2">
        <f t="shared" si="503"/>
        <v>34.377120522639999</v>
      </c>
      <c r="I3240" s="2">
        <f>INDEX('Wood Density Lookup'!$B$2:$B$152,MATCH(B3240,'Wood Density Lookup'!$A$2:$A$152,0))</f>
        <v>0.75</v>
      </c>
      <c r="J3240" s="2">
        <f t="shared" si="504"/>
        <v>3324.6422504328693</v>
      </c>
      <c r="K3240" s="2">
        <f t="shared" si="508"/>
        <v>930.89983012120354</v>
      </c>
      <c r="L3240" s="2">
        <f t="shared" si="509"/>
        <v>4255.5420805540725</v>
      </c>
      <c r="M3240" s="2">
        <f t="shared" si="505"/>
        <v>3085.2680084017024</v>
      </c>
      <c r="N3240" s="2">
        <f t="shared" si="506"/>
        <v>1542.6340042008512</v>
      </c>
      <c r="O3240" s="2">
        <f t="shared" si="507"/>
        <v>5661.4667954171236</v>
      </c>
      <c r="P3240" s="2">
        <v>72.554608999999999</v>
      </c>
      <c r="Q3240" s="2">
        <v>23.037614000000001</v>
      </c>
    </row>
    <row r="3241" spans="1:17" x14ac:dyDescent="0.25">
      <c r="A3241" s="2">
        <v>3432</v>
      </c>
      <c r="B3241" s="2" t="s">
        <v>148</v>
      </c>
      <c r="C3241" s="2">
        <v>13</v>
      </c>
      <c r="D3241" s="2">
        <f t="shared" si="500"/>
        <v>33.020000000000003</v>
      </c>
      <c r="E3241" s="2">
        <f t="shared" si="501"/>
        <v>10.51059244178877</v>
      </c>
      <c r="F3241" s="2">
        <f t="shared" si="502"/>
        <v>4.1380285203892786</v>
      </c>
      <c r="G3241" s="2">
        <v>9.4757990000000003</v>
      </c>
      <c r="H3241" s="2">
        <f t="shared" si="503"/>
        <v>31.088580391160001</v>
      </c>
      <c r="I3241" s="2">
        <f>INDEX('Wood Density Lookup'!$B$2:$B$152,MATCH(B3241,'Wood Density Lookup'!$A$2:$A$152,0))</f>
        <v>0.5</v>
      </c>
      <c r="J3241" s="2">
        <f t="shared" si="504"/>
        <v>30.311200358279226</v>
      </c>
      <c r="K3241" s="2">
        <f t="shared" si="508"/>
        <v>8.4871361003181836</v>
      </c>
      <c r="L3241" s="2">
        <f t="shared" si="509"/>
        <v>38.798336458597412</v>
      </c>
      <c r="M3241" s="2">
        <f t="shared" si="505"/>
        <v>28.128793932483124</v>
      </c>
      <c r="N3241" s="2">
        <f t="shared" si="506"/>
        <v>14.064396966241562</v>
      </c>
      <c r="O3241" s="2">
        <f t="shared" si="507"/>
        <v>51.616336866106529</v>
      </c>
      <c r="P3241" s="2">
        <v>72.554624000000004</v>
      </c>
      <c r="Q3241" s="2">
        <v>23.036981000000001</v>
      </c>
    </row>
    <row r="3242" spans="1:17" x14ac:dyDescent="0.25">
      <c r="A3242" s="2">
        <v>3433</v>
      </c>
      <c r="B3242" s="2" t="s">
        <v>45</v>
      </c>
      <c r="C3242" s="2">
        <v>6</v>
      </c>
      <c r="D3242" s="2">
        <f t="shared" si="500"/>
        <v>15.24</v>
      </c>
      <c r="E3242" s="2">
        <f t="shared" si="501"/>
        <v>4.8510426654409704</v>
      </c>
      <c r="F3242" s="2">
        <f t="shared" si="502"/>
        <v>1.909859317102744</v>
      </c>
      <c r="G3242" s="2">
        <v>9.7062139999999992</v>
      </c>
      <c r="H3242" s="2">
        <f t="shared" si="503"/>
        <v>31.844535139759998</v>
      </c>
      <c r="I3242" s="2">
        <f>INDEX('Wood Density Lookup'!$B$2:$B$152,MATCH(B3242,'Wood Density Lookup'!$A$2:$A$152,0))</f>
        <v>0.6</v>
      </c>
      <c r="J3242" s="2">
        <f t="shared" si="504"/>
        <v>8.1959906500530355</v>
      </c>
      <c r="K3242" s="2">
        <f t="shared" si="508"/>
        <v>2.29487738201485</v>
      </c>
      <c r="L3242" s="2">
        <f t="shared" si="509"/>
        <v>10.490868032067885</v>
      </c>
      <c r="M3242" s="2">
        <f t="shared" si="505"/>
        <v>7.6058793232492166</v>
      </c>
      <c r="N3242" s="2">
        <f t="shared" si="506"/>
        <v>3.8029396616246083</v>
      </c>
      <c r="O3242" s="2">
        <f t="shared" si="507"/>
        <v>13.956788558162312</v>
      </c>
      <c r="P3242" s="2">
        <v>72.554631999999998</v>
      </c>
      <c r="Q3242" s="2">
        <v>23.036968999999999</v>
      </c>
    </row>
    <row r="3243" spans="1:17" x14ac:dyDescent="0.25">
      <c r="A3243" s="2">
        <v>3434</v>
      </c>
      <c r="B3243" s="2" t="s">
        <v>115</v>
      </c>
      <c r="C3243" s="2">
        <v>28</v>
      </c>
      <c r="D3243" s="2">
        <f t="shared" si="500"/>
        <v>71.12</v>
      </c>
      <c r="E3243" s="2">
        <f t="shared" si="501"/>
        <v>22.638199105391195</v>
      </c>
      <c r="F3243" s="2">
        <f t="shared" si="502"/>
        <v>8.91267681314614</v>
      </c>
      <c r="G3243" s="2">
        <v>9.7054379999999991</v>
      </c>
      <c r="H3243" s="2">
        <f t="shared" si="503"/>
        <v>31.841989207919998</v>
      </c>
      <c r="I3243" s="2">
        <f>INDEX('Wood Density Lookup'!$B$2:$B$152,MATCH(B3243,'Wood Density Lookup'!$A$2:$A$152,0))</f>
        <v>0.65</v>
      </c>
      <c r="J3243" s="2">
        <f t="shared" si="504"/>
        <v>179.22418620017001</v>
      </c>
      <c r="K3243" s="2">
        <f t="shared" si="508"/>
        <v>50.18277213604761</v>
      </c>
      <c r="L3243" s="2">
        <f t="shared" si="509"/>
        <v>229.40695833621763</v>
      </c>
      <c r="M3243" s="2">
        <f t="shared" si="505"/>
        <v>166.32004479375777</v>
      </c>
      <c r="N3243" s="2">
        <f t="shared" si="506"/>
        <v>83.160022396878887</v>
      </c>
      <c r="O3243" s="2">
        <f t="shared" si="507"/>
        <v>305.19728219654553</v>
      </c>
      <c r="P3243" s="2">
        <v>72.554637999999997</v>
      </c>
      <c r="Q3243" s="2">
        <v>23.036995999999998</v>
      </c>
    </row>
    <row r="3244" spans="1:17" x14ac:dyDescent="0.25">
      <c r="A3244" s="2">
        <v>3435</v>
      </c>
      <c r="B3244" s="2" t="s">
        <v>137</v>
      </c>
      <c r="C3244" s="2">
        <v>12</v>
      </c>
      <c r="D3244" s="2">
        <f t="shared" si="500"/>
        <v>30.48</v>
      </c>
      <c r="E3244" s="2">
        <f t="shared" si="501"/>
        <v>9.7020853308819408</v>
      </c>
      <c r="F3244" s="2">
        <f t="shared" si="502"/>
        <v>3.8197186342054881</v>
      </c>
      <c r="G3244" s="2">
        <v>13.084922000000001</v>
      </c>
      <c r="H3244" s="2">
        <f t="shared" si="503"/>
        <v>42.92953549448</v>
      </c>
      <c r="I3244" s="2">
        <f>INDEX('Wood Density Lookup'!$B$2:$B$152,MATCH(B3244,'Wood Density Lookup'!$A$2:$A$152,0))</f>
        <v>0.55000000000000004</v>
      </c>
      <c r="J3244" s="2">
        <f t="shared" si="504"/>
        <v>38.988662371876401</v>
      </c>
      <c r="K3244" s="2">
        <f t="shared" si="508"/>
        <v>10.916825464125393</v>
      </c>
      <c r="L3244" s="2">
        <f t="shared" si="509"/>
        <v>49.905487836001797</v>
      </c>
      <c r="M3244" s="2">
        <f t="shared" si="505"/>
        <v>36.181478681101304</v>
      </c>
      <c r="N3244" s="2">
        <f t="shared" si="506"/>
        <v>18.090739340550652</v>
      </c>
      <c r="O3244" s="2">
        <f t="shared" si="507"/>
        <v>66.393013379820886</v>
      </c>
      <c r="P3244" s="2">
        <v>72.554640000000006</v>
      </c>
      <c r="Q3244" s="2">
        <v>23.036954000000001</v>
      </c>
    </row>
    <row r="3245" spans="1:17" x14ac:dyDescent="0.25">
      <c r="A3245" s="2">
        <v>3436</v>
      </c>
      <c r="B3245" s="2" t="s">
        <v>137</v>
      </c>
      <c r="C3245" s="2">
        <v>8</v>
      </c>
      <c r="D3245" s="2">
        <f t="shared" si="500"/>
        <v>20.32</v>
      </c>
      <c r="E3245" s="2">
        <f t="shared" si="501"/>
        <v>6.4680568872546269</v>
      </c>
      <c r="F3245" s="2">
        <f t="shared" si="502"/>
        <v>2.5464790894703255</v>
      </c>
      <c r="G3245" s="2">
        <v>12.954586000000001</v>
      </c>
      <c r="H3245" s="2">
        <f t="shared" si="503"/>
        <v>42.501923932240004</v>
      </c>
      <c r="I3245" s="2">
        <f>INDEX('Wood Density Lookup'!$B$2:$B$152,MATCH(B3245,'Wood Density Lookup'!$A$2:$A$152,0))</f>
        <v>0.55000000000000004</v>
      </c>
      <c r="J3245" s="2">
        <f t="shared" si="504"/>
        <v>17.497054342083178</v>
      </c>
      <c r="K3245" s="2">
        <f t="shared" si="508"/>
        <v>4.8991752157832904</v>
      </c>
      <c r="L3245" s="2">
        <f t="shared" si="509"/>
        <v>22.396229557866469</v>
      </c>
      <c r="M3245" s="2">
        <f t="shared" si="505"/>
        <v>16.237266429453189</v>
      </c>
      <c r="N3245" s="2">
        <f t="shared" si="506"/>
        <v>8.1186332147265947</v>
      </c>
      <c r="O3245" s="2">
        <f t="shared" si="507"/>
        <v>29.795383898046602</v>
      </c>
      <c r="P3245" s="2">
        <v>72.554642999999999</v>
      </c>
      <c r="Q3245" s="2">
        <v>23.036942</v>
      </c>
    </row>
    <row r="3246" spans="1:17" x14ac:dyDescent="0.25">
      <c r="A3246" s="2">
        <v>3437</v>
      </c>
      <c r="B3246" s="2" t="s">
        <v>137</v>
      </c>
      <c r="C3246" s="2">
        <v>18</v>
      </c>
      <c r="D3246" s="2">
        <f t="shared" si="500"/>
        <v>45.72</v>
      </c>
      <c r="E3246" s="2">
        <f t="shared" si="501"/>
        <v>14.55312799632291</v>
      </c>
      <c r="F3246" s="2">
        <f t="shared" si="502"/>
        <v>5.7295779513082321</v>
      </c>
      <c r="G3246" s="2">
        <v>8.5761369999999992</v>
      </c>
      <c r="H3246" s="2">
        <f t="shared" si="503"/>
        <v>28.136933315079997</v>
      </c>
      <c r="I3246" s="2">
        <f>INDEX('Wood Density Lookup'!$B$2:$B$152,MATCH(B3246,'Wood Density Lookup'!$A$2:$A$152,0))</f>
        <v>0.55000000000000004</v>
      </c>
      <c r="J3246" s="2">
        <f t="shared" si="504"/>
        <v>56.962960365135913</v>
      </c>
      <c r="K3246" s="2">
        <f t="shared" si="508"/>
        <v>15.949628902238057</v>
      </c>
      <c r="L3246" s="2">
        <f t="shared" si="509"/>
        <v>72.912589267373974</v>
      </c>
      <c r="M3246" s="2">
        <f t="shared" si="505"/>
        <v>52.861627218846131</v>
      </c>
      <c r="N3246" s="2">
        <f t="shared" si="506"/>
        <v>26.430813609423065</v>
      </c>
      <c r="O3246" s="2">
        <f t="shared" si="507"/>
        <v>97.001085946582648</v>
      </c>
      <c r="P3246" s="2">
        <v>72.554651000000007</v>
      </c>
      <c r="Q3246" s="2">
        <v>23.037039</v>
      </c>
    </row>
    <row r="3247" spans="1:17" x14ac:dyDescent="0.25">
      <c r="A3247" s="2">
        <v>3438</v>
      </c>
      <c r="B3247" s="2" t="s">
        <v>15</v>
      </c>
      <c r="C3247" s="2">
        <v>107</v>
      </c>
      <c r="D3247" s="2">
        <f t="shared" si="500"/>
        <v>271.78000000000003</v>
      </c>
      <c r="E3247" s="2">
        <f t="shared" si="501"/>
        <v>86.510260867030638</v>
      </c>
      <c r="F3247" s="2">
        <f t="shared" si="502"/>
        <v>34.0591578216656</v>
      </c>
      <c r="G3247" s="2">
        <v>12.589186</v>
      </c>
      <c r="H3247" s="2">
        <f t="shared" si="503"/>
        <v>41.303104996240002</v>
      </c>
      <c r="I3247" s="2">
        <f>INDEX('Wood Density Lookup'!$B$2:$B$152,MATCH(B3247,'Wood Density Lookup'!$A$2:$A$152,0))</f>
        <v>0.75</v>
      </c>
      <c r="J3247" s="2">
        <f t="shared" si="504"/>
        <v>3637.714081256293</v>
      </c>
      <c r="K3247" s="2">
        <f t="shared" si="508"/>
        <v>1018.5599427517622</v>
      </c>
      <c r="L3247" s="2">
        <f t="shared" si="509"/>
        <v>4656.2740240080548</v>
      </c>
      <c r="M3247" s="2">
        <f t="shared" si="505"/>
        <v>3375.7986674058398</v>
      </c>
      <c r="N3247" s="2">
        <f t="shared" si="506"/>
        <v>1687.8993337029199</v>
      </c>
      <c r="O3247" s="2">
        <f t="shared" si="507"/>
        <v>6194.5905546897156</v>
      </c>
      <c r="P3247" s="2">
        <v>72.554652000000004</v>
      </c>
      <c r="Q3247" s="2">
        <v>23.036915</v>
      </c>
    </row>
    <row r="3248" spans="1:17" x14ac:dyDescent="0.25">
      <c r="A3248" s="2">
        <v>3439</v>
      </c>
      <c r="B3248" s="2" t="s">
        <v>15</v>
      </c>
      <c r="C3248" s="2">
        <v>196</v>
      </c>
      <c r="D3248" s="2">
        <f t="shared" si="500"/>
        <v>497.84000000000003</v>
      </c>
      <c r="E3248" s="2">
        <f t="shared" si="501"/>
        <v>158.46739373773838</v>
      </c>
      <c r="F3248" s="2">
        <f t="shared" si="502"/>
        <v>62.388737692022971</v>
      </c>
      <c r="G3248" s="2">
        <v>16.225850999999999</v>
      </c>
      <c r="H3248" s="2">
        <f t="shared" si="503"/>
        <v>53.234420994839994</v>
      </c>
      <c r="I3248" s="2">
        <f>INDEX('Wood Density Lookup'!$B$2:$B$152,MATCH(B3248,'Wood Density Lookup'!$A$2:$A$152,0))</f>
        <v>0.75</v>
      </c>
      <c r="J3248" s="2">
        <f t="shared" si="504"/>
        <v>15188.68152341432</v>
      </c>
      <c r="K3248" s="2">
        <f t="shared" si="508"/>
        <v>4252.8308265560099</v>
      </c>
      <c r="L3248" s="2">
        <f t="shared" si="509"/>
        <v>19441.51234997033</v>
      </c>
      <c r="M3248" s="2">
        <f t="shared" si="505"/>
        <v>14095.096453728489</v>
      </c>
      <c r="N3248" s="2">
        <f t="shared" si="506"/>
        <v>7047.5482268642445</v>
      </c>
      <c r="O3248" s="2">
        <f t="shared" si="507"/>
        <v>25864.501992591777</v>
      </c>
      <c r="P3248" s="2">
        <v>72.554666999999995</v>
      </c>
      <c r="Q3248" s="2">
        <v>23.036552</v>
      </c>
    </row>
    <row r="3249" spans="1:17" x14ac:dyDescent="0.25">
      <c r="A3249" s="2">
        <v>3440</v>
      </c>
      <c r="B3249" s="2" t="s">
        <v>123</v>
      </c>
      <c r="C3249" s="2">
        <v>42</v>
      </c>
      <c r="D3249" s="2">
        <f t="shared" si="500"/>
        <v>106.68</v>
      </c>
      <c r="E3249" s="2">
        <f t="shared" si="501"/>
        <v>33.957298658086792</v>
      </c>
      <c r="F3249" s="2">
        <f t="shared" si="502"/>
        <v>13.369015219719209</v>
      </c>
      <c r="G3249" s="2">
        <v>5.4844809999999997</v>
      </c>
      <c r="H3249" s="2">
        <f t="shared" si="503"/>
        <v>17.993704644039997</v>
      </c>
      <c r="I3249" s="2">
        <f>INDEX('Wood Density Lookup'!$B$2:$B$152,MATCH(B3249,'Wood Density Lookup'!$A$2:$A$152,0))</f>
        <v>0.85</v>
      </c>
      <c r="J3249" s="2">
        <f t="shared" si="504"/>
        <v>294.37823517665458</v>
      </c>
      <c r="K3249" s="2">
        <f t="shared" si="508"/>
        <v>82.425905849463291</v>
      </c>
      <c r="L3249" s="2">
        <f t="shared" si="509"/>
        <v>376.80414102611786</v>
      </c>
      <c r="M3249" s="2">
        <f t="shared" si="505"/>
        <v>273.18300224393545</v>
      </c>
      <c r="N3249" s="2">
        <f t="shared" si="506"/>
        <v>136.59150112196772</v>
      </c>
      <c r="O3249" s="2">
        <f t="shared" si="507"/>
        <v>501.29080911762156</v>
      </c>
      <c r="P3249" s="2">
        <v>72.554668000000007</v>
      </c>
      <c r="Q3249" s="2">
        <v>23.036832</v>
      </c>
    </row>
    <row r="3250" spans="1:17" x14ac:dyDescent="0.25">
      <c r="A3250" s="2">
        <v>3441</v>
      </c>
      <c r="B3250" s="2" t="s">
        <v>62</v>
      </c>
      <c r="C3250" s="2">
        <v>29</v>
      </c>
      <c r="D3250" s="2">
        <f t="shared" si="500"/>
        <v>73.66</v>
      </c>
      <c r="E3250" s="2">
        <f t="shared" si="501"/>
        <v>23.446706216298022</v>
      </c>
      <c r="F3250" s="2">
        <f t="shared" si="502"/>
        <v>9.2309866993299305</v>
      </c>
      <c r="G3250" s="2">
        <v>8.5884800000000006</v>
      </c>
      <c r="H3250" s="2">
        <f t="shared" si="503"/>
        <v>28.177428723200002</v>
      </c>
      <c r="I3250" s="2">
        <f>INDEX('Wood Density Lookup'!$B$2:$B$152,MATCH(B3250,'Wood Density Lookup'!$A$2:$A$152,0))</f>
        <v>0.47</v>
      </c>
      <c r="J3250" s="2">
        <f t="shared" si="504"/>
        <v>124.13225532848872</v>
      </c>
      <c r="K3250" s="2">
        <f t="shared" si="508"/>
        <v>34.757031491976846</v>
      </c>
      <c r="L3250" s="2">
        <f t="shared" si="509"/>
        <v>158.88928682046557</v>
      </c>
      <c r="M3250" s="2">
        <f t="shared" si="505"/>
        <v>115.19473294483754</v>
      </c>
      <c r="N3250" s="2">
        <f t="shared" si="506"/>
        <v>57.59736647241877</v>
      </c>
      <c r="O3250" s="2">
        <f t="shared" si="507"/>
        <v>211.38233495377688</v>
      </c>
      <c r="P3250" s="2">
        <v>72.554682</v>
      </c>
      <c r="Q3250" s="2">
        <v>23.036776</v>
      </c>
    </row>
    <row r="3251" spans="1:17" x14ac:dyDescent="0.25">
      <c r="A3251" s="2">
        <v>3442</v>
      </c>
      <c r="B3251" s="2" t="s">
        <v>140</v>
      </c>
      <c r="C3251" s="2">
        <v>2</v>
      </c>
      <c r="D3251" s="2">
        <f t="shared" si="500"/>
        <v>5.08</v>
      </c>
      <c r="E3251" s="2">
        <f t="shared" si="501"/>
        <v>1.6170142218136567</v>
      </c>
      <c r="F3251" s="2">
        <f t="shared" si="502"/>
        <v>0.63661977236758138</v>
      </c>
      <c r="G3251" s="2">
        <v>2.9671509999999999</v>
      </c>
      <c r="H3251" s="2">
        <f t="shared" si="503"/>
        <v>9.7347476868399987</v>
      </c>
      <c r="I3251" s="2">
        <f>INDEX('Wood Density Lookup'!$B$2:$B$152,MATCH(B3251,'Wood Density Lookup'!$A$2:$A$152,0))</f>
        <v>0.6</v>
      </c>
      <c r="J3251" s="2">
        <f t="shared" si="504"/>
        <v>0.30192814327169099</v>
      </c>
      <c r="K3251" s="2">
        <f t="shared" si="508"/>
        <v>8.4539880116073482E-2</v>
      </c>
      <c r="L3251" s="2">
        <f t="shared" si="509"/>
        <v>0.38646802338776448</v>
      </c>
      <c r="M3251" s="2">
        <f t="shared" si="505"/>
        <v>0.28018931695612925</v>
      </c>
      <c r="N3251" s="2">
        <f t="shared" si="506"/>
        <v>0.14009465847806463</v>
      </c>
      <c r="O3251" s="2">
        <f t="shared" si="507"/>
        <v>0.51414739661449715</v>
      </c>
      <c r="P3251" s="2">
        <v>72.554682999999997</v>
      </c>
      <c r="Q3251" s="2">
        <v>23.036632000000001</v>
      </c>
    </row>
    <row r="3252" spans="1:17" x14ac:dyDescent="0.25">
      <c r="A3252" s="2">
        <v>3443</v>
      </c>
      <c r="B3252" s="2" t="s">
        <v>31</v>
      </c>
      <c r="C3252" s="2">
        <v>31</v>
      </c>
      <c r="D3252" s="2">
        <f t="shared" si="500"/>
        <v>78.739999999999995</v>
      </c>
      <c r="E3252" s="2">
        <f t="shared" si="501"/>
        <v>25.063720438111677</v>
      </c>
      <c r="F3252" s="2">
        <f t="shared" si="502"/>
        <v>9.8676064716975116</v>
      </c>
      <c r="G3252" s="2">
        <v>6.9563059999999997</v>
      </c>
      <c r="H3252" s="2">
        <f t="shared" si="503"/>
        <v>22.822526977039999</v>
      </c>
      <c r="I3252" s="2">
        <f>INDEX('Wood Density Lookup'!$B$2:$B$152,MATCH(B3252,'Wood Density Lookup'!$A$2:$A$152,0))</f>
        <v>0.78</v>
      </c>
      <c r="J3252" s="2">
        <f t="shared" si="504"/>
        <v>188.71128667683809</v>
      </c>
      <c r="K3252" s="2">
        <f t="shared" si="508"/>
        <v>52.839160269514672</v>
      </c>
      <c r="L3252" s="2">
        <f t="shared" si="509"/>
        <v>241.55044694635276</v>
      </c>
      <c r="M3252" s="2">
        <f t="shared" si="505"/>
        <v>175.12407403610575</v>
      </c>
      <c r="N3252" s="2">
        <f t="shared" si="506"/>
        <v>87.562037018052877</v>
      </c>
      <c r="O3252" s="2">
        <f t="shared" si="507"/>
        <v>321.35267585625405</v>
      </c>
      <c r="P3252" s="2">
        <v>72.554686000000004</v>
      </c>
      <c r="Q3252" s="2">
        <v>23.036763000000001</v>
      </c>
    </row>
    <row r="3253" spans="1:17" x14ac:dyDescent="0.25">
      <c r="A3253" s="2">
        <v>3444</v>
      </c>
      <c r="B3253" s="2" t="s">
        <v>62</v>
      </c>
      <c r="C3253" s="2">
        <v>31</v>
      </c>
      <c r="D3253" s="2">
        <f t="shared" si="500"/>
        <v>78.739999999999995</v>
      </c>
      <c r="E3253" s="2">
        <f t="shared" si="501"/>
        <v>25.063720438111677</v>
      </c>
      <c r="F3253" s="2">
        <f t="shared" si="502"/>
        <v>9.8676064716975116</v>
      </c>
      <c r="G3253" s="2">
        <v>8.3610179999999996</v>
      </c>
      <c r="H3253" s="2">
        <f t="shared" si="503"/>
        <v>27.43116229512</v>
      </c>
      <c r="I3253" s="2">
        <f>INDEX('Wood Density Lookup'!$B$2:$B$152,MATCH(B3253,'Wood Density Lookup'!$A$2:$A$152,0))</f>
        <v>0.47</v>
      </c>
      <c r="J3253" s="2">
        <f t="shared" si="504"/>
        <v>137.73502807555946</v>
      </c>
      <c r="K3253" s="2">
        <f t="shared" si="508"/>
        <v>38.565807861156649</v>
      </c>
      <c r="L3253" s="2">
        <f t="shared" si="509"/>
        <v>176.30083593671611</v>
      </c>
      <c r="M3253" s="2">
        <f t="shared" si="505"/>
        <v>127.81810605411918</v>
      </c>
      <c r="N3253" s="2">
        <f t="shared" si="506"/>
        <v>63.909053027059592</v>
      </c>
      <c r="O3253" s="2">
        <f t="shared" si="507"/>
        <v>234.54622460930869</v>
      </c>
      <c r="P3253" s="2">
        <v>72.554693999999998</v>
      </c>
      <c r="Q3253" s="2">
        <v>23.036745</v>
      </c>
    </row>
    <row r="3254" spans="1:17" x14ac:dyDescent="0.25">
      <c r="A3254" s="2">
        <v>3445</v>
      </c>
      <c r="B3254" s="2" t="s">
        <v>152</v>
      </c>
      <c r="C3254" s="2">
        <v>26</v>
      </c>
      <c r="D3254" s="2">
        <f t="shared" si="500"/>
        <v>66.040000000000006</v>
      </c>
      <c r="E3254" s="2">
        <f t="shared" si="501"/>
        <v>21.02118488357754</v>
      </c>
      <c r="F3254" s="2">
        <f t="shared" si="502"/>
        <v>8.2760570407785572</v>
      </c>
      <c r="G3254" s="2">
        <v>1.374026</v>
      </c>
      <c r="H3254" s="2">
        <f t="shared" si="503"/>
        <v>4.5079594618399996</v>
      </c>
      <c r="I3254" s="2">
        <f>INDEX('Wood Density Lookup'!$B$2:$B$152,MATCH(B3254,'Wood Density Lookup'!$A$2:$A$152,0))</f>
        <v>0.8</v>
      </c>
      <c r="J3254" s="2">
        <f t="shared" si="504"/>
        <v>28.17998788275488</v>
      </c>
      <c r="K3254" s="2">
        <f t="shared" si="508"/>
        <v>7.8903966071713674</v>
      </c>
      <c r="L3254" s="2">
        <f t="shared" si="509"/>
        <v>36.070384489926248</v>
      </c>
      <c r="M3254" s="2">
        <f t="shared" si="505"/>
        <v>26.151028755196528</v>
      </c>
      <c r="N3254" s="2">
        <f t="shared" si="506"/>
        <v>13.075514377598264</v>
      </c>
      <c r="O3254" s="2">
        <f t="shared" si="507"/>
        <v>47.987137765785626</v>
      </c>
      <c r="P3254" s="2">
        <v>72.554715000000002</v>
      </c>
      <c r="Q3254" s="2">
        <v>23.036701000000001</v>
      </c>
    </row>
    <row r="3255" spans="1:17" x14ac:dyDescent="0.25">
      <c r="A3255" s="2">
        <v>3446</v>
      </c>
      <c r="B3255" s="2" t="s">
        <v>62</v>
      </c>
      <c r="C3255" s="2">
        <v>4</v>
      </c>
      <c r="D3255" s="2">
        <f t="shared" si="500"/>
        <v>10.16</v>
      </c>
      <c r="E3255" s="2">
        <f t="shared" si="501"/>
        <v>3.2340284436273135</v>
      </c>
      <c r="F3255" s="2">
        <f t="shared" si="502"/>
        <v>1.2732395447351628</v>
      </c>
      <c r="G3255" s="2">
        <v>1.0152969999999999</v>
      </c>
      <c r="H3255" s="2">
        <f t="shared" si="503"/>
        <v>3.3310270094799996</v>
      </c>
      <c r="I3255" s="2">
        <f>INDEX('Wood Density Lookup'!$B$2:$B$152,MATCH(B3255,'Wood Density Lookup'!$A$2:$A$152,0))</f>
        <v>0.47</v>
      </c>
      <c r="J3255" s="2">
        <f t="shared" si="504"/>
        <v>0.32317474027115278</v>
      </c>
      <c r="K3255" s="2">
        <f t="shared" si="508"/>
        <v>9.0488927275922781E-2</v>
      </c>
      <c r="L3255" s="2">
        <f t="shared" si="509"/>
        <v>0.41366366754707556</v>
      </c>
      <c r="M3255" s="2">
        <f t="shared" si="505"/>
        <v>0.29990615897162975</v>
      </c>
      <c r="N3255" s="2">
        <f t="shared" si="506"/>
        <v>0.14995307948581488</v>
      </c>
      <c r="O3255" s="2">
        <f t="shared" si="507"/>
        <v>0.5503278017129406</v>
      </c>
      <c r="P3255" s="2">
        <v>72.554727</v>
      </c>
      <c r="Q3255" s="2">
        <v>23.03669</v>
      </c>
    </row>
    <row r="3256" spans="1:17" x14ac:dyDescent="0.25">
      <c r="A3256" s="2">
        <v>3447</v>
      </c>
      <c r="B3256" s="2" t="s">
        <v>62</v>
      </c>
      <c r="C3256" s="2">
        <v>5</v>
      </c>
      <c r="D3256" s="2">
        <f t="shared" si="500"/>
        <v>12.7</v>
      </c>
      <c r="E3256" s="2">
        <f t="shared" si="501"/>
        <v>4.0425355545341413</v>
      </c>
      <c r="F3256" s="2">
        <f t="shared" si="502"/>
        <v>1.5915494309189535</v>
      </c>
      <c r="G3256" s="2">
        <v>3.9287000000000001</v>
      </c>
      <c r="H3256" s="2">
        <f t="shared" si="503"/>
        <v>12.889436108</v>
      </c>
      <c r="I3256" s="2">
        <f>INDEX('Wood Density Lookup'!$B$2:$B$152,MATCH(B3256,'Wood Density Lookup'!$A$2:$A$152,0))</f>
        <v>0.47</v>
      </c>
      <c r="J3256" s="2">
        <f t="shared" si="504"/>
        <v>1.8713618837058306</v>
      </c>
      <c r="K3256" s="2">
        <f t="shared" si="508"/>
        <v>0.52398132743763259</v>
      </c>
      <c r="L3256" s="2">
        <f t="shared" si="509"/>
        <v>2.3953432111434632</v>
      </c>
      <c r="M3256" s="2">
        <f t="shared" si="505"/>
        <v>1.7366238280790107</v>
      </c>
      <c r="N3256" s="2">
        <f t="shared" si="506"/>
        <v>0.86831191403950536</v>
      </c>
      <c r="O3256" s="2">
        <f t="shared" si="507"/>
        <v>3.1867047245249847</v>
      </c>
      <c r="P3256" s="2">
        <v>72.554728999999995</v>
      </c>
      <c r="Q3256" s="2">
        <v>23.036681999999999</v>
      </c>
    </row>
    <row r="3257" spans="1:17" x14ac:dyDescent="0.25">
      <c r="A3257" s="2">
        <v>3448</v>
      </c>
      <c r="B3257" s="2" t="s">
        <v>62</v>
      </c>
      <c r="C3257" s="2">
        <v>13</v>
      </c>
      <c r="D3257" s="2">
        <f t="shared" si="500"/>
        <v>33.020000000000003</v>
      </c>
      <c r="E3257" s="2">
        <f t="shared" si="501"/>
        <v>10.51059244178877</v>
      </c>
      <c r="F3257" s="2">
        <f t="shared" si="502"/>
        <v>4.1380285203892786</v>
      </c>
      <c r="G3257" s="2">
        <v>2.3870110000000002</v>
      </c>
      <c r="H3257" s="2">
        <f t="shared" si="503"/>
        <v>7.8314011692400003</v>
      </c>
      <c r="I3257" s="2">
        <f>INDEX('Wood Density Lookup'!$B$2:$B$152,MATCH(B3257,'Wood Density Lookup'!$A$2:$A$152,0))</f>
        <v>0.47</v>
      </c>
      <c r="J3257" s="2">
        <f t="shared" si="504"/>
        <v>7.4299309024169125</v>
      </c>
      <c r="K3257" s="2">
        <f t="shared" si="508"/>
        <v>2.0803806526767357</v>
      </c>
      <c r="L3257" s="2">
        <f t="shared" si="509"/>
        <v>9.5103115550936472</v>
      </c>
      <c r="M3257" s="2">
        <f t="shared" si="505"/>
        <v>6.894975877442894</v>
      </c>
      <c r="N3257" s="2">
        <f t="shared" si="506"/>
        <v>3.447487938721447</v>
      </c>
      <c r="O3257" s="2">
        <f t="shared" si="507"/>
        <v>12.652280735107711</v>
      </c>
      <c r="P3257" s="2">
        <v>72.554730000000006</v>
      </c>
      <c r="Q3257" s="2">
        <v>23.036666</v>
      </c>
    </row>
    <row r="3258" spans="1:17" x14ac:dyDescent="0.25">
      <c r="A3258" s="2">
        <v>3449</v>
      </c>
      <c r="B3258" s="2" t="s">
        <v>114</v>
      </c>
      <c r="C3258" s="2">
        <v>48</v>
      </c>
      <c r="D3258" s="2">
        <f t="shared" si="500"/>
        <v>121.92</v>
      </c>
      <c r="E3258" s="2">
        <f t="shared" si="501"/>
        <v>38.808341323527763</v>
      </c>
      <c r="F3258" s="2">
        <f t="shared" si="502"/>
        <v>15.278874536821952</v>
      </c>
      <c r="G3258" s="2">
        <v>15.702114</v>
      </c>
      <c r="H3258" s="2">
        <f t="shared" si="503"/>
        <v>51.516123695760001</v>
      </c>
      <c r="I3258" s="2">
        <f>INDEX('Wood Density Lookup'!$B$2:$B$152,MATCH(B3258,'Wood Density Lookup'!$A$2:$A$152,0))</f>
        <v>0.55000000000000004</v>
      </c>
      <c r="J3258" s="2">
        <f t="shared" si="504"/>
        <v>697.34218617564898</v>
      </c>
      <c r="K3258" s="2">
        <f t="shared" si="508"/>
        <v>195.25581212918172</v>
      </c>
      <c r="L3258" s="2">
        <f t="shared" si="509"/>
        <v>892.59799830483075</v>
      </c>
      <c r="M3258" s="2">
        <f t="shared" si="505"/>
        <v>647.13354877100232</v>
      </c>
      <c r="N3258" s="2">
        <f t="shared" si="506"/>
        <v>323.56677438550116</v>
      </c>
      <c r="O3258" s="2">
        <f t="shared" si="507"/>
        <v>1187.4900619947891</v>
      </c>
      <c r="P3258" s="2">
        <v>72.554770000000005</v>
      </c>
      <c r="Q3258" s="2">
        <v>23.036594000000001</v>
      </c>
    </row>
    <row r="3259" spans="1:17" x14ac:dyDescent="0.25">
      <c r="A3259" s="2">
        <v>3450</v>
      </c>
      <c r="B3259" s="2" t="s">
        <v>15</v>
      </c>
      <c r="C3259" s="2">
        <v>107</v>
      </c>
      <c r="D3259" s="2">
        <f t="shared" si="500"/>
        <v>271.78000000000003</v>
      </c>
      <c r="E3259" s="2">
        <f t="shared" si="501"/>
        <v>86.510260867030638</v>
      </c>
      <c r="F3259" s="2">
        <f t="shared" si="502"/>
        <v>34.0591578216656</v>
      </c>
      <c r="G3259" s="2">
        <v>17.020873000000002</v>
      </c>
      <c r="H3259" s="2">
        <f t="shared" si="503"/>
        <v>55.842760973320004</v>
      </c>
      <c r="I3259" s="2">
        <f>INDEX('Wood Density Lookup'!$B$2:$B$152,MATCH(B3259,'Wood Density Lookup'!$A$2:$A$152,0))</f>
        <v>0.75</v>
      </c>
      <c r="J3259" s="2">
        <f t="shared" si="504"/>
        <v>4882.8020922974056</v>
      </c>
      <c r="K3259" s="2">
        <f t="shared" si="508"/>
        <v>1367.1845858432737</v>
      </c>
      <c r="L3259" s="2">
        <f t="shared" si="509"/>
        <v>6249.986678140679</v>
      </c>
      <c r="M3259" s="2">
        <f t="shared" si="505"/>
        <v>4531.2403416519919</v>
      </c>
      <c r="N3259" s="2">
        <f t="shared" si="506"/>
        <v>2265.620170825996</v>
      </c>
      <c r="O3259" s="2">
        <f t="shared" si="507"/>
        <v>8314.8260269314051</v>
      </c>
      <c r="P3259" s="2">
        <v>72.554776000000004</v>
      </c>
      <c r="Q3259" s="2">
        <v>23.036556999999998</v>
      </c>
    </row>
    <row r="3260" spans="1:17" x14ac:dyDescent="0.25">
      <c r="A3260" s="2">
        <v>3451</v>
      </c>
      <c r="B3260" s="2" t="s">
        <v>15</v>
      </c>
      <c r="C3260" s="2">
        <v>12</v>
      </c>
      <c r="D3260" s="2">
        <f t="shared" si="500"/>
        <v>30.48</v>
      </c>
      <c r="E3260" s="2">
        <f t="shared" si="501"/>
        <v>9.7020853308819408</v>
      </c>
      <c r="F3260" s="2">
        <f t="shared" si="502"/>
        <v>3.8197186342054881</v>
      </c>
      <c r="G3260" s="2">
        <v>1.4851529999999999</v>
      </c>
      <c r="H3260" s="2">
        <f t="shared" si="503"/>
        <v>4.8725493685199996</v>
      </c>
      <c r="I3260" s="2">
        <f>INDEX('Wood Density Lookup'!$B$2:$B$152,MATCH(B3260,'Wood Density Lookup'!$A$2:$A$152,0))</f>
        <v>0.75</v>
      </c>
      <c r="J3260" s="2">
        <f t="shared" si="504"/>
        <v>6.3107968638515413</v>
      </c>
      <c r="K3260" s="2">
        <f t="shared" si="508"/>
        <v>1.7670231218784318</v>
      </c>
      <c r="L3260" s="2">
        <f t="shared" si="509"/>
        <v>8.077819985729974</v>
      </c>
      <c r="M3260" s="2">
        <f t="shared" si="505"/>
        <v>5.8564194896542308</v>
      </c>
      <c r="N3260" s="2">
        <f t="shared" si="506"/>
        <v>2.9282097448271154</v>
      </c>
      <c r="O3260" s="2">
        <f t="shared" si="507"/>
        <v>10.746529763515513</v>
      </c>
      <c r="P3260" s="2">
        <v>72.549440000000004</v>
      </c>
      <c r="Q3260" s="2">
        <v>23.037766999999999</v>
      </c>
    </row>
    <row r="3262" spans="1:17" x14ac:dyDescent="0.25">
      <c r="J3262" s="1">
        <f>SUM(J2:J3260)</f>
        <v>978003.62376932253</v>
      </c>
      <c r="K3262" s="1">
        <f>SUM(K2:K3260)</f>
        <v>273841.01465541031</v>
      </c>
      <c r="L3262" s="1">
        <f>SUM(L2:L3260)</f>
        <v>1251844.638424732</v>
      </c>
      <c r="M3262" s="1">
        <f>SUM(M2:M3260)</f>
        <v>907587.36285793211</v>
      </c>
      <c r="N3262" s="1">
        <f>SUM(N2:N3260)</f>
        <v>453793.68142896605</v>
      </c>
      <c r="O3262" s="1">
        <f>SUM(O2:O3260)</f>
        <v>1665422.8108443024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zoomScaleNormal="100" workbookViewId="0"/>
  </sheetViews>
  <sheetFormatPr defaultColWidth="8.7109375" defaultRowHeight="15" x14ac:dyDescent="0.25"/>
  <cols>
    <col min="1" max="1" width="8" customWidth="1"/>
    <col min="2" max="2" width="20" customWidth="1"/>
    <col min="3" max="3" width="30" customWidth="1"/>
    <col min="4" max="4" width="45" customWidth="1"/>
  </cols>
  <sheetData>
    <row r="1" spans="1:4" x14ac:dyDescent="0.25">
      <c r="A1" s="5" t="s">
        <v>153</v>
      </c>
      <c r="B1" s="5" t="s">
        <v>154</v>
      </c>
      <c r="C1" s="5" t="s">
        <v>169</v>
      </c>
      <c r="D1" s="5" t="s">
        <v>170</v>
      </c>
    </row>
    <row r="2" spans="1:4" x14ac:dyDescent="0.25">
      <c r="A2" s="2">
        <v>30</v>
      </c>
      <c r="B2" s="2" t="s">
        <v>171</v>
      </c>
      <c r="C2" s="2" t="s">
        <v>172</v>
      </c>
      <c r="D2" s="2" t="s">
        <v>173</v>
      </c>
    </row>
    <row r="3" spans="1:4" x14ac:dyDescent="0.25">
      <c r="A3" s="2">
        <v>99</v>
      </c>
      <c r="B3" s="2" t="s">
        <v>174</v>
      </c>
      <c r="C3" s="2" t="s">
        <v>175</v>
      </c>
      <c r="D3" s="2" t="s">
        <v>173</v>
      </c>
    </row>
    <row r="4" spans="1:4" x14ac:dyDescent="0.25">
      <c r="A4" s="2">
        <v>103</v>
      </c>
      <c r="B4" s="2" t="s">
        <v>171</v>
      </c>
      <c r="C4" s="2" t="s">
        <v>172</v>
      </c>
      <c r="D4" s="2" t="s">
        <v>173</v>
      </c>
    </row>
    <row r="5" spans="1:4" x14ac:dyDescent="0.25">
      <c r="A5" s="2">
        <v>108</v>
      </c>
      <c r="B5" s="2" t="s">
        <v>174</v>
      </c>
      <c r="C5" s="2" t="s">
        <v>175</v>
      </c>
      <c r="D5" s="2" t="s">
        <v>173</v>
      </c>
    </row>
    <row r="6" spans="1:4" x14ac:dyDescent="0.25">
      <c r="A6" s="2">
        <v>111</v>
      </c>
      <c r="B6" s="2" t="s">
        <v>171</v>
      </c>
      <c r="C6" s="2" t="s">
        <v>172</v>
      </c>
      <c r="D6" s="2" t="s">
        <v>173</v>
      </c>
    </row>
    <row r="7" spans="1:4" x14ac:dyDescent="0.25">
      <c r="A7" s="2">
        <v>115</v>
      </c>
      <c r="B7" s="2" t="s">
        <v>171</v>
      </c>
      <c r="C7" s="2" t="s">
        <v>172</v>
      </c>
      <c r="D7" s="2" t="s">
        <v>173</v>
      </c>
    </row>
    <row r="8" spans="1:4" x14ac:dyDescent="0.25">
      <c r="A8" s="2">
        <v>116</v>
      </c>
      <c r="B8" s="2" t="s">
        <v>174</v>
      </c>
      <c r="C8" s="2" t="s">
        <v>175</v>
      </c>
      <c r="D8" s="2" t="s">
        <v>173</v>
      </c>
    </row>
    <row r="9" spans="1:4" x14ac:dyDescent="0.25">
      <c r="A9" s="2">
        <v>126</v>
      </c>
      <c r="B9" s="2" t="s">
        <v>176</v>
      </c>
      <c r="C9" s="2" t="s">
        <v>177</v>
      </c>
      <c r="D9" s="2" t="s">
        <v>173</v>
      </c>
    </row>
    <row r="10" spans="1:4" x14ac:dyDescent="0.25">
      <c r="A10" s="2">
        <v>129</v>
      </c>
      <c r="B10" s="2" t="s">
        <v>176</v>
      </c>
      <c r="C10" s="2" t="s">
        <v>177</v>
      </c>
      <c r="D10" s="2" t="s">
        <v>173</v>
      </c>
    </row>
    <row r="11" spans="1:4" x14ac:dyDescent="0.25">
      <c r="A11" s="2">
        <v>137</v>
      </c>
      <c r="B11" s="2" t="s">
        <v>176</v>
      </c>
      <c r="C11" s="2" t="s">
        <v>177</v>
      </c>
      <c r="D11" s="2" t="s">
        <v>173</v>
      </c>
    </row>
    <row r="12" spans="1:4" x14ac:dyDescent="0.25">
      <c r="A12" s="2">
        <v>138</v>
      </c>
      <c r="B12" s="2" t="s">
        <v>176</v>
      </c>
      <c r="C12" s="2" t="s">
        <v>177</v>
      </c>
      <c r="D12" s="2" t="s">
        <v>173</v>
      </c>
    </row>
    <row r="13" spans="1:4" x14ac:dyDescent="0.25">
      <c r="A13" s="2">
        <v>143</v>
      </c>
      <c r="B13" s="2" t="s">
        <v>176</v>
      </c>
      <c r="C13" s="2" t="s">
        <v>177</v>
      </c>
      <c r="D13" s="2" t="s">
        <v>173</v>
      </c>
    </row>
    <row r="14" spans="1:4" x14ac:dyDescent="0.25">
      <c r="A14" s="2">
        <v>153</v>
      </c>
      <c r="B14" s="2" t="s">
        <v>176</v>
      </c>
      <c r="C14" s="2" t="s">
        <v>177</v>
      </c>
      <c r="D14" s="2" t="s">
        <v>173</v>
      </c>
    </row>
    <row r="15" spans="1:4" x14ac:dyDescent="0.25">
      <c r="A15" s="2">
        <v>157</v>
      </c>
      <c r="B15" s="2" t="s">
        <v>178</v>
      </c>
      <c r="C15" s="2" t="s">
        <v>179</v>
      </c>
      <c r="D15" s="2" t="s">
        <v>180</v>
      </c>
    </row>
    <row r="16" spans="1:4" x14ac:dyDescent="0.25">
      <c r="A16" s="2">
        <v>178</v>
      </c>
      <c r="B16" s="2" t="s">
        <v>176</v>
      </c>
      <c r="C16" s="2" t="s">
        <v>177</v>
      </c>
      <c r="D16" s="2" t="s">
        <v>173</v>
      </c>
    </row>
    <row r="17" spans="1:4" x14ac:dyDescent="0.25">
      <c r="A17" s="2">
        <v>208</v>
      </c>
      <c r="B17" s="2" t="s">
        <v>174</v>
      </c>
      <c r="C17" s="2" t="s">
        <v>175</v>
      </c>
      <c r="D17" s="2" t="s">
        <v>173</v>
      </c>
    </row>
    <row r="18" spans="1:4" x14ac:dyDescent="0.25">
      <c r="A18" s="2">
        <v>232</v>
      </c>
      <c r="B18" s="2" t="s">
        <v>174</v>
      </c>
      <c r="C18" s="2" t="s">
        <v>175</v>
      </c>
      <c r="D18" s="2" t="s">
        <v>173</v>
      </c>
    </row>
    <row r="19" spans="1:4" x14ac:dyDescent="0.25">
      <c r="A19" s="2">
        <v>263</v>
      </c>
      <c r="B19" s="2" t="s">
        <v>174</v>
      </c>
      <c r="C19" s="2" t="s">
        <v>175</v>
      </c>
      <c r="D19" s="2" t="s">
        <v>173</v>
      </c>
    </row>
    <row r="20" spans="1:4" x14ac:dyDescent="0.25">
      <c r="A20" s="2">
        <v>275</v>
      </c>
      <c r="B20" s="2" t="s">
        <v>174</v>
      </c>
      <c r="C20" s="2" t="s">
        <v>175</v>
      </c>
      <c r="D20" s="2" t="s">
        <v>173</v>
      </c>
    </row>
    <row r="21" spans="1:4" x14ac:dyDescent="0.25">
      <c r="A21" s="2">
        <v>319</v>
      </c>
      <c r="B21" s="2" t="s">
        <v>181</v>
      </c>
      <c r="C21" s="2" t="s">
        <v>182</v>
      </c>
      <c r="D21" s="2" t="s">
        <v>173</v>
      </c>
    </row>
    <row r="22" spans="1:4" x14ac:dyDescent="0.25">
      <c r="A22" s="2">
        <v>323</v>
      </c>
      <c r="B22" s="2" t="s">
        <v>174</v>
      </c>
      <c r="C22" s="2" t="s">
        <v>175</v>
      </c>
      <c r="D22" s="2" t="s">
        <v>173</v>
      </c>
    </row>
    <row r="23" spans="1:4" x14ac:dyDescent="0.25">
      <c r="A23" s="2">
        <v>325</v>
      </c>
      <c r="B23" s="2" t="s">
        <v>181</v>
      </c>
      <c r="C23" s="2" t="s">
        <v>182</v>
      </c>
      <c r="D23" s="2" t="s">
        <v>173</v>
      </c>
    </row>
    <row r="24" spans="1:4" x14ac:dyDescent="0.25">
      <c r="A24" s="2">
        <v>332</v>
      </c>
      <c r="B24" s="2" t="s">
        <v>183</v>
      </c>
      <c r="C24" s="2" t="s">
        <v>184</v>
      </c>
      <c r="D24" s="2" t="s">
        <v>173</v>
      </c>
    </row>
    <row r="25" spans="1:4" x14ac:dyDescent="0.25">
      <c r="A25" s="2">
        <v>333</v>
      </c>
      <c r="B25" s="2" t="s">
        <v>183</v>
      </c>
      <c r="C25" s="2" t="s">
        <v>184</v>
      </c>
      <c r="D25" s="2" t="s">
        <v>173</v>
      </c>
    </row>
    <row r="26" spans="1:4" x14ac:dyDescent="0.25">
      <c r="A26" s="2">
        <v>347</v>
      </c>
      <c r="B26" s="2" t="s">
        <v>183</v>
      </c>
      <c r="C26" s="2" t="s">
        <v>184</v>
      </c>
      <c r="D26" s="2" t="s">
        <v>173</v>
      </c>
    </row>
    <row r="27" spans="1:4" x14ac:dyDescent="0.25">
      <c r="A27" s="2">
        <v>352</v>
      </c>
      <c r="B27" s="2" t="s">
        <v>174</v>
      </c>
      <c r="C27" s="2" t="s">
        <v>175</v>
      </c>
      <c r="D27" s="2" t="s">
        <v>173</v>
      </c>
    </row>
    <row r="28" spans="1:4" x14ac:dyDescent="0.25">
      <c r="A28" s="2">
        <v>354</v>
      </c>
      <c r="B28" s="2" t="s">
        <v>174</v>
      </c>
      <c r="C28" s="2" t="s">
        <v>175</v>
      </c>
      <c r="D28" s="2" t="s">
        <v>173</v>
      </c>
    </row>
    <row r="29" spans="1:4" x14ac:dyDescent="0.25">
      <c r="A29" s="2">
        <v>358</v>
      </c>
      <c r="B29" s="2" t="s">
        <v>174</v>
      </c>
      <c r="C29" s="2" t="s">
        <v>175</v>
      </c>
      <c r="D29" s="2" t="s">
        <v>173</v>
      </c>
    </row>
    <row r="30" spans="1:4" x14ac:dyDescent="0.25">
      <c r="A30" s="2">
        <v>359</v>
      </c>
      <c r="B30" s="2" t="s">
        <v>183</v>
      </c>
      <c r="C30" s="2" t="s">
        <v>184</v>
      </c>
      <c r="D30" s="2" t="s">
        <v>173</v>
      </c>
    </row>
    <row r="31" spans="1:4" x14ac:dyDescent="0.25">
      <c r="A31" s="2">
        <v>360</v>
      </c>
      <c r="B31" s="2" t="s">
        <v>174</v>
      </c>
      <c r="C31" s="2" t="s">
        <v>175</v>
      </c>
      <c r="D31" s="2" t="s">
        <v>173</v>
      </c>
    </row>
    <row r="32" spans="1:4" x14ac:dyDescent="0.25">
      <c r="A32" s="2">
        <v>362</v>
      </c>
      <c r="B32" s="2" t="s">
        <v>174</v>
      </c>
      <c r="C32" s="2" t="s">
        <v>175</v>
      </c>
      <c r="D32" s="2" t="s">
        <v>173</v>
      </c>
    </row>
    <row r="33" spans="1:4" x14ac:dyDescent="0.25">
      <c r="A33" s="2">
        <v>363</v>
      </c>
      <c r="B33" s="2" t="s">
        <v>174</v>
      </c>
      <c r="C33" s="2" t="s">
        <v>175</v>
      </c>
      <c r="D33" s="2" t="s">
        <v>173</v>
      </c>
    </row>
    <row r="34" spans="1:4" x14ac:dyDescent="0.25">
      <c r="A34" s="2">
        <v>366</v>
      </c>
      <c r="B34" s="2" t="s">
        <v>174</v>
      </c>
      <c r="C34" s="2" t="s">
        <v>175</v>
      </c>
      <c r="D34" s="2" t="s">
        <v>173</v>
      </c>
    </row>
    <row r="35" spans="1:4" x14ac:dyDescent="0.25">
      <c r="A35" s="2">
        <v>380</v>
      </c>
      <c r="B35" s="2" t="s">
        <v>174</v>
      </c>
      <c r="C35" s="2" t="s">
        <v>175</v>
      </c>
      <c r="D35" s="2" t="s">
        <v>173</v>
      </c>
    </row>
    <row r="36" spans="1:4" x14ac:dyDescent="0.25">
      <c r="A36" s="2">
        <v>383</v>
      </c>
      <c r="B36" s="2" t="s">
        <v>174</v>
      </c>
      <c r="C36" s="2" t="s">
        <v>175</v>
      </c>
      <c r="D36" s="2" t="s">
        <v>173</v>
      </c>
    </row>
    <row r="37" spans="1:4" x14ac:dyDescent="0.25">
      <c r="A37" s="2">
        <v>387</v>
      </c>
      <c r="B37" s="2" t="s">
        <v>174</v>
      </c>
      <c r="C37" s="2" t="s">
        <v>175</v>
      </c>
      <c r="D37" s="2" t="s">
        <v>173</v>
      </c>
    </row>
    <row r="38" spans="1:4" x14ac:dyDescent="0.25">
      <c r="A38" s="2">
        <v>389</v>
      </c>
      <c r="B38" s="2" t="s">
        <v>174</v>
      </c>
      <c r="C38" s="2" t="s">
        <v>175</v>
      </c>
      <c r="D38" s="2" t="s">
        <v>173</v>
      </c>
    </row>
    <row r="39" spans="1:4" x14ac:dyDescent="0.25">
      <c r="A39" s="2">
        <v>393</v>
      </c>
      <c r="B39" s="2" t="s">
        <v>174</v>
      </c>
      <c r="C39" s="2" t="s">
        <v>175</v>
      </c>
      <c r="D39" s="2" t="s">
        <v>173</v>
      </c>
    </row>
    <row r="40" spans="1:4" x14ac:dyDescent="0.25">
      <c r="A40" s="2">
        <v>396</v>
      </c>
      <c r="B40" s="2" t="s">
        <v>174</v>
      </c>
      <c r="C40" s="2" t="s">
        <v>175</v>
      </c>
      <c r="D40" s="2" t="s">
        <v>173</v>
      </c>
    </row>
    <row r="41" spans="1:4" x14ac:dyDescent="0.25">
      <c r="A41" s="2">
        <v>397</v>
      </c>
      <c r="B41" s="2" t="s">
        <v>185</v>
      </c>
      <c r="C41" s="2" t="s">
        <v>182</v>
      </c>
      <c r="D41" s="2" t="s">
        <v>173</v>
      </c>
    </row>
    <row r="42" spans="1:4" x14ac:dyDescent="0.25">
      <c r="A42" s="2">
        <v>398</v>
      </c>
      <c r="B42" s="2" t="s">
        <v>174</v>
      </c>
      <c r="C42" s="2" t="s">
        <v>175</v>
      </c>
      <c r="D42" s="2" t="s">
        <v>173</v>
      </c>
    </row>
    <row r="43" spans="1:4" x14ac:dyDescent="0.25">
      <c r="A43" s="2">
        <v>402</v>
      </c>
      <c r="B43" s="2" t="s">
        <v>186</v>
      </c>
      <c r="C43" s="2" t="s">
        <v>187</v>
      </c>
      <c r="D43" s="2" t="s">
        <v>173</v>
      </c>
    </row>
    <row r="44" spans="1:4" x14ac:dyDescent="0.25">
      <c r="A44" s="2">
        <v>414</v>
      </c>
      <c r="B44" s="2" t="s">
        <v>174</v>
      </c>
      <c r="C44" s="2" t="s">
        <v>175</v>
      </c>
      <c r="D44" s="2" t="s">
        <v>173</v>
      </c>
    </row>
    <row r="45" spans="1:4" x14ac:dyDescent="0.25">
      <c r="A45" s="2">
        <v>415</v>
      </c>
      <c r="B45" s="2" t="s">
        <v>188</v>
      </c>
      <c r="C45" s="2" t="s">
        <v>189</v>
      </c>
      <c r="D45" s="2" t="s">
        <v>173</v>
      </c>
    </row>
    <row r="46" spans="1:4" x14ac:dyDescent="0.25">
      <c r="A46" s="2">
        <v>418</v>
      </c>
      <c r="B46" s="2" t="s">
        <v>188</v>
      </c>
      <c r="C46" s="2" t="s">
        <v>189</v>
      </c>
      <c r="D46" s="2" t="s">
        <v>173</v>
      </c>
    </row>
    <row r="47" spans="1:4" x14ac:dyDescent="0.25">
      <c r="A47" s="2">
        <v>437</v>
      </c>
      <c r="B47" s="2" t="s">
        <v>174</v>
      </c>
      <c r="C47" s="2" t="s">
        <v>175</v>
      </c>
      <c r="D47" s="2" t="s">
        <v>173</v>
      </c>
    </row>
    <row r="48" spans="1:4" x14ac:dyDescent="0.25">
      <c r="A48" s="2">
        <v>440</v>
      </c>
      <c r="B48" s="2" t="s">
        <v>174</v>
      </c>
      <c r="C48" s="2" t="s">
        <v>175</v>
      </c>
      <c r="D48" s="2" t="s">
        <v>173</v>
      </c>
    </row>
    <row r="49" spans="1:4" x14ac:dyDescent="0.25">
      <c r="A49" s="2">
        <v>447</v>
      </c>
      <c r="B49" s="2" t="s">
        <v>174</v>
      </c>
      <c r="C49" s="2" t="s">
        <v>175</v>
      </c>
      <c r="D49" s="2" t="s">
        <v>173</v>
      </c>
    </row>
    <row r="50" spans="1:4" x14ac:dyDescent="0.25">
      <c r="A50" s="2">
        <v>448</v>
      </c>
      <c r="B50" s="2" t="s">
        <v>190</v>
      </c>
      <c r="C50" s="2" t="s">
        <v>191</v>
      </c>
      <c r="D50" s="2" t="s">
        <v>173</v>
      </c>
    </row>
    <row r="51" spans="1:4" x14ac:dyDescent="0.25">
      <c r="A51" s="2">
        <v>456</v>
      </c>
      <c r="B51" s="2" t="s">
        <v>174</v>
      </c>
      <c r="C51" s="2" t="s">
        <v>175</v>
      </c>
      <c r="D51" s="2" t="s">
        <v>173</v>
      </c>
    </row>
    <row r="52" spans="1:4" x14ac:dyDescent="0.25">
      <c r="A52" s="2">
        <v>466</v>
      </c>
      <c r="B52" s="2" t="s">
        <v>174</v>
      </c>
      <c r="C52" s="2" t="s">
        <v>175</v>
      </c>
      <c r="D52" s="2" t="s">
        <v>173</v>
      </c>
    </row>
    <row r="53" spans="1:4" x14ac:dyDescent="0.25">
      <c r="A53" s="2">
        <v>473</v>
      </c>
      <c r="B53" s="2" t="s">
        <v>174</v>
      </c>
      <c r="C53" s="2" t="s">
        <v>175</v>
      </c>
      <c r="D53" s="2" t="s">
        <v>173</v>
      </c>
    </row>
    <row r="54" spans="1:4" x14ac:dyDescent="0.25">
      <c r="A54" s="2">
        <v>474</v>
      </c>
      <c r="B54" s="2" t="s">
        <v>174</v>
      </c>
      <c r="C54" s="2" t="s">
        <v>175</v>
      </c>
      <c r="D54" s="2" t="s">
        <v>173</v>
      </c>
    </row>
    <row r="55" spans="1:4" x14ac:dyDescent="0.25">
      <c r="A55" s="2">
        <v>479</v>
      </c>
      <c r="B55" s="2" t="s">
        <v>174</v>
      </c>
      <c r="C55" s="2" t="s">
        <v>175</v>
      </c>
      <c r="D55" s="2" t="s">
        <v>173</v>
      </c>
    </row>
    <row r="56" spans="1:4" x14ac:dyDescent="0.25">
      <c r="A56" s="2">
        <v>483</v>
      </c>
      <c r="B56" s="2" t="s">
        <v>174</v>
      </c>
      <c r="C56" s="2" t="s">
        <v>175</v>
      </c>
      <c r="D56" s="2" t="s">
        <v>173</v>
      </c>
    </row>
    <row r="57" spans="1:4" x14ac:dyDescent="0.25">
      <c r="A57" s="2">
        <v>492</v>
      </c>
      <c r="B57" s="2" t="s">
        <v>192</v>
      </c>
      <c r="C57" s="2" t="s">
        <v>193</v>
      </c>
      <c r="D57" s="2" t="s">
        <v>173</v>
      </c>
    </row>
    <row r="58" spans="1:4" x14ac:dyDescent="0.25">
      <c r="A58" s="2">
        <v>512</v>
      </c>
      <c r="B58" s="2" t="s">
        <v>192</v>
      </c>
      <c r="C58" s="2" t="s">
        <v>193</v>
      </c>
      <c r="D58" s="2" t="s">
        <v>173</v>
      </c>
    </row>
    <row r="59" spans="1:4" x14ac:dyDescent="0.25">
      <c r="A59" s="2">
        <v>517</v>
      </c>
      <c r="B59" s="2" t="s">
        <v>176</v>
      </c>
      <c r="C59" s="2" t="s">
        <v>177</v>
      </c>
      <c r="D59" s="2" t="s">
        <v>173</v>
      </c>
    </row>
    <row r="60" spans="1:4" x14ac:dyDescent="0.25">
      <c r="A60" s="2">
        <v>525</v>
      </c>
      <c r="B60" s="2" t="s">
        <v>174</v>
      </c>
      <c r="C60" s="2" t="s">
        <v>175</v>
      </c>
      <c r="D60" s="2" t="s">
        <v>173</v>
      </c>
    </row>
    <row r="61" spans="1:4" x14ac:dyDescent="0.25">
      <c r="A61" s="2">
        <v>526</v>
      </c>
      <c r="B61" s="2" t="s">
        <v>192</v>
      </c>
      <c r="C61" s="2" t="s">
        <v>193</v>
      </c>
      <c r="D61" s="2" t="s">
        <v>173</v>
      </c>
    </row>
    <row r="62" spans="1:4" x14ac:dyDescent="0.25">
      <c r="A62" s="2">
        <v>527</v>
      </c>
      <c r="B62" s="2" t="s">
        <v>192</v>
      </c>
      <c r="C62" s="2" t="s">
        <v>193</v>
      </c>
      <c r="D62" s="2" t="s">
        <v>173</v>
      </c>
    </row>
    <row r="63" spans="1:4" x14ac:dyDescent="0.25">
      <c r="A63" s="2">
        <v>536</v>
      </c>
      <c r="B63" s="2" t="s">
        <v>176</v>
      </c>
      <c r="C63" s="2" t="s">
        <v>177</v>
      </c>
      <c r="D63" s="2" t="s">
        <v>173</v>
      </c>
    </row>
    <row r="64" spans="1:4" x14ac:dyDescent="0.25">
      <c r="A64" s="2">
        <v>538</v>
      </c>
      <c r="B64" s="2" t="s">
        <v>174</v>
      </c>
      <c r="C64" s="2" t="s">
        <v>175</v>
      </c>
      <c r="D64" s="2" t="s">
        <v>173</v>
      </c>
    </row>
    <row r="65" spans="1:4" x14ac:dyDescent="0.25">
      <c r="A65" s="2">
        <v>541</v>
      </c>
      <c r="B65" s="2" t="s">
        <v>194</v>
      </c>
      <c r="C65" s="2" t="s">
        <v>195</v>
      </c>
      <c r="D65" s="2" t="s">
        <v>196</v>
      </c>
    </row>
    <row r="66" spans="1:4" x14ac:dyDescent="0.25">
      <c r="A66" s="2">
        <v>551</v>
      </c>
      <c r="B66" s="2" t="s">
        <v>176</v>
      </c>
      <c r="C66" s="2" t="s">
        <v>177</v>
      </c>
      <c r="D66" s="2" t="s">
        <v>173</v>
      </c>
    </row>
    <row r="67" spans="1:4" x14ac:dyDescent="0.25">
      <c r="A67" s="2">
        <v>573</v>
      </c>
      <c r="B67" s="2" t="s">
        <v>197</v>
      </c>
      <c r="C67" s="2" t="s">
        <v>198</v>
      </c>
      <c r="D67" s="2" t="s">
        <v>173</v>
      </c>
    </row>
    <row r="68" spans="1:4" x14ac:dyDescent="0.25">
      <c r="A68" s="2">
        <v>574</v>
      </c>
      <c r="B68" s="2" t="s">
        <v>197</v>
      </c>
      <c r="C68" s="2" t="s">
        <v>198</v>
      </c>
      <c r="D68" s="2" t="s">
        <v>173</v>
      </c>
    </row>
    <row r="69" spans="1:4" x14ac:dyDescent="0.25">
      <c r="A69" s="2">
        <v>582</v>
      </c>
      <c r="B69" s="2" t="s">
        <v>197</v>
      </c>
      <c r="C69" s="2" t="s">
        <v>198</v>
      </c>
      <c r="D69" s="2" t="s">
        <v>173</v>
      </c>
    </row>
    <row r="70" spans="1:4" x14ac:dyDescent="0.25">
      <c r="A70" s="2">
        <v>583</v>
      </c>
      <c r="B70" s="2" t="s">
        <v>174</v>
      </c>
      <c r="C70" s="2" t="s">
        <v>175</v>
      </c>
      <c r="D70" s="2" t="s">
        <v>173</v>
      </c>
    </row>
    <row r="71" spans="1:4" x14ac:dyDescent="0.25">
      <c r="A71" s="2">
        <v>585</v>
      </c>
      <c r="B71" s="2" t="s">
        <v>197</v>
      </c>
      <c r="C71" s="2" t="s">
        <v>198</v>
      </c>
      <c r="D71" s="2" t="s">
        <v>173</v>
      </c>
    </row>
    <row r="72" spans="1:4" x14ac:dyDescent="0.25">
      <c r="A72" s="2">
        <v>592</v>
      </c>
      <c r="B72" s="2" t="s">
        <v>197</v>
      </c>
      <c r="C72" s="2" t="s">
        <v>198</v>
      </c>
      <c r="D72" s="2" t="s">
        <v>173</v>
      </c>
    </row>
    <row r="73" spans="1:4" x14ac:dyDescent="0.25">
      <c r="A73" s="2">
        <v>593</v>
      </c>
      <c r="B73" s="2" t="s">
        <v>197</v>
      </c>
      <c r="C73" s="2" t="s">
        <v>198</v>
      </c>
      <c r="D73" s="2" t="s">
        <v>173</v>
      </c>
    </row>
    <row r="74" spans="1:4" x14ac:dyDescent="0.25">
      <c r="A74" s="2">
        <v>600</v>
      </c>
      <c r="B74" s="2" t="s">
        <v>177</v>
      </c>
      <c r="C74" s="2" t="s">
        <v>177</v>
      </c>
      <c r="D74" s="2" t="s">
        <v>173</v>
      </c>
    </row>
    <row r="75" spans="1:4" x14ac:dyDescent="0.25">
      <c r="A75" s="2">
        <v>601</v>
      </c>
      <c r="B75" s="2" t="s">
        <v>174</v>
      </c>
      <c r="C75" s="2" t="s">
        <v>175</v>
      </c>
      <c r="D75" s="2" t="s">
        <v>173</v>
      </c>
    </row>
    <row r="76" spans="1:4" x14ac:dyDescent="0.25">
      <c r="A76" s="2">
        <v>609</v>
      </c>
      <c r="B76" s="2" t="s">
        <v>177</v>
      </c>
      <c r="C76" s="2" t="s">
        <v>177</v>
      </c>
      <c r="D76" s="2" t="s">
        <v>173</v>
      </c>
    </row>
    <row r="77" spans="1:4" x14ac:dyDescent="0.25">
      <c r="A77" s="2">
        <v>636</v>
      </c>
      <c r="B77" s="2" t="s">
        <v>177</v>
      </c>
      <c r="C77" s="2" t="s">
        <v>177</v>
      </c>
      <c r="D77" s="2" t="s">
        <v>173</v>
      </c>
    </row>
    <row r="78" spans="1:4" x14ac:dyDescent="0.25">
      <c r="A78" s="2">
        <v>639</v>
      </c>
      <c r="B78" s="2" t="s">
        <v>197</v>
      </c>
      <c r="C78" s="2" t="s">
        <v>198</v>
      </c>
      <c r="D78" s="2" t="s">
        <v>173</v>
      </c>
    </row>
    <row r="79" spans="1:4" x14ac:dyDescent="0.25">
      <c r="A79" s="2">
        <v>640</v>
      </c>
      <c r="B79" s="2" t="s">
        <v>197</v>
      </c>
      <c r="C79" s="2" t="s">
        <v>198</v>
      </c>
      <c r="D79" s="2" t="s">
        <v>173</v>
      </c>
    </row>
    <row r="80" spans="1:4" x14ac:dyDescent="0.25">
      <c r="A80" s="2">
        <v>644</v>
      </c>
      <c r="B80" s="2" t="s">
        <v>197</v>
      </c>
      <c r="C80" s="2" t="s">
        <v>198</v>
      </c>
      <c r="D80" s="2" t="s">
        <v>173</v>
      </c>
    </row>
    <row r="81" spans="1:4" x14ac:dyDescent="0.25">
      <c r="A81" s="2">
        <v>645</v>
      </c>
      <c r="B81" s="2" t="s">
        <v>197</v>
      </c>
      <c r="C81" s="2" t="s">
        <v>198</v>
      </c>
      <c r="D81" s="2" t="s">
        <v>173</v>
      </c>
    </row>
    <row r="82" spans="1:4" x14ac:dyDescent="0.25">
      <c r="A82" s="2">
        <v>648</v>
      </c>
      <c r="B82" s="2" t="s">
        <v>174</v>
      </c>
      <c r="C82" s="2" t="s">
        <v>175</v>
      </c>
      <c r="D82" s="2" t="s">
        <v>173</v>
      </c>
    </row>
    <row r="83" spans="1:4" x14ac:dyDescent="0.25">
      <c r="A83" s="2">
        <v>652</v>
      </c>
      <c r="B83" s="2" t="s">
        <v>177</v>
      </c>
      <c r="C83" s="2" t="s">
        <v>177</v>
      </c>
      <c r="D83" s="2" t="s">
        <v>173</v>
      </c>
    </row>
    <row r="84" spans="1:4" x14ac:dyDescent="0.25">
      <c r="A84" s="2">
        <v>654</v>
      </c>
      <c r="B84" s="2" t="s">
        <v>174</v>
      </c>
      <c r="C84" s="2" t="s">
        <v>175</v>
      </c>
      <c r="D84" s="2" t="s">
        <v>173</v>
      </c>
    </row>
    <row r="85" spans="1:4" x14ac:dyDescent="0.25">
      <c r="A85" s="2">
        <v>656</v>
      </c>
      <c r="B85" s="2" t="s">
        <v>197</v>
      </c>
      <c r="C85" s="2" t="s">
        <v>198</v>
      </c>
      <c r="D85" s="2" t="s">
        <v>173</v>
      </c>
    </row>
    <row r="86" spans="1:4" x14ac:dyDescent="0.25">
      <c r="A86" s="2">
        <v>657</v>
      </c>
      <c r="B86" s="2" t="s">
        <v>197</v>
      </c>
      <c r="C86" s="2" t="s">
        <v>198</v>
      </c>
      <c r="D86" s="2" t="s">
        <v>173</v>
      </c>
    </row>
    <row r="87" spans="1:4" x14ac:dyDescent="0.25">
      <c r="A87" s="2">
        <v>665</v>
      </c>
      <c r="B87" s="2" t="s">
        <v>197</v>
      </c>
      <c r="C87" s="2" t="s">
        <v>198</v>
      </c>
      <c r="D87" s="2" t="s">
        <v>173</v>
      </c>
    </row>
    <row r="88" spans="1:4" x14ac:dyDescent="0.25">
      <c r="A88" s="2">
        <v>666</v>
      </c>
      <c r="B88" s="2" t="s">
        <v>197</v>
      </c>
      <c r="C88" s="2" t="s">
        <v>198</v>
      </c>
      <c r="D88" s="2" t="s">
        <v>173</v>
      </c>
    </row>
    <row r="89" spans="1:4" x14ac:dyDescent="0.25">
      <c r="A89" s="2">
        <v>668</v>
      </c>
      <c r="B89" s="2" t="s">
        <v>197</v>
      </c>
      <c r="C89" s="2" t="s">
        <v>198</v>
      </c>
      <c r="D89" s="2" t="s">
        <v>173</v>
      </c>
    </row>
    <row r="90" spans="1:4" x14ac:dyDescent="0.25">
      <c r="A90" s="2">
        <v>677</v>
      </c>
      <c r="B90" s="2" t="s">
        <v>177</v>
      </c>
      <c r="C90" s="2" t="s">
        <v>177</v>
      </c>
      <c r="D90" s="2" t="s">
        <v>173</v>
      </c>
    </row>
    <row r="91" spans="1:4" x14ac:dyDescent="0.25">
      <c r="A91" s="2">
        <v>680</v>
      </c>
      <c r="B91" s="2" t="s">
        <v>197</v>
      </c>
      <c r="C91" s="2" t="s">
        <v>198</v>
      </c>
      <c r="D91" s="2" t="s">
        <v>173</v>
      </c>
    </row>
    <row r="92" spans="1:4" x14ac:dyDescent="0.25">
      <c r="A92" s="2">
        <v>681</v>
      </c>
      <c r="B92" s="2" t="s">
        <v>197</v>
      </c>
      <c r="C92" s="2" t="s">
        <v>198</v>
      </c>
      <c r="D92" s="2" t="s">
        <v>173</v>
      </c>
    </row>
    <row r="93" spans="1:4" x14ac:dyDescent="0.25">
      <c r="A93" s="2">
        <v>684</v>
      </c>
      <c r="B93" s="2" t="s">
        <v>174</v>
      </c>
      <c r="C93" s="2" t="s">
        <v>175</v>
      </c>
      <c r="D93" s="2" t="s">
        <v>173</v>
      </c>
    </row>
    <row r="94" spans="1:4" x14ac:dyDescent="0.25">
      <c r="A94" s="2">
        <v>685</v>
      </c>
      <c r="B94" s="2" t="s">
        <v>197</v>
      </c>
      <c r="C94" s="2" t="s">
        <v>198</v>
      </c>
      <c r="D94" s="2" t="s">
        <v>173</v>
      </c>
    </row>
    <row r="95" spans="1:4" x14ac:dyDescent="0.25">
      <c r="A95" s="2">
        <v>686</v>
      </c>
      <c r="B95" s="2" t="s">
        <v>177</v>
      </c>
      <c r="C95" s="2" t="s">
        <v>177</v>
      </c>
      <c r="D95" s="2" t="s">
        <v>173</v>
      </c>
    </row>
    <row r="96" spans="1:4" x14ac:dyDescent="0.25">
      <c r="A96" s="2">
        <v>691</v>
      </c>
      <c r="B96" s="2" t="s">
        <v>197</v>
      </c>
      <c r="C96" s="2" t="s">
        <v>198</v>
      </c>
      <c r="D96" s="2" t="s">
        <v>173</v>
      </c>
    </row>
    <row r="97" spans="1:4" x14ac:dyDescent="0.25">
      <c r="A97" s="2">
        <v>694</v>
      </c>
      <c r="B97" s="2" t="s">
        <v>174</v>
      </c>
      <c r="C97" s="2" t="s">
        <v>175</v>
      </c>
      <c r="D97" s="2" t="s">
        <v>173</v>
      </c>
    </row>
    <row r="98" spans="1:4" x14ac:dyDescent="0.25">
      <c r="A98" s="2">
        <v>695</v>
      </c>
      <c r="B98" s="2" t="s">
        <v>197</v>
      </c>
      <c r="C98" s="2" t="s">
        <v>198</v>
      </c>
      <c r="D98" s="2" t="s">
        <v>173</v>
      </c>
    </row>
    <row r="99" spans="1:4" x14ac:dyDescent="0.25">
      <c r="A99" s="2">
        <v>696</v>
      </c>
      <c r="B99" s="2" t="s">
        <v>174</v>
      </c>
      <c r="C99" s="2" t="s">
        <v>175</v>
      </c>
      <c r="D99" s="2" t="s">
        <v>173</v>
      </c>
    </row>
    <row r="100" spans="1:4" x14ac:dyDescent="0.25">
      <c r="A100" s="2">
        <v>701</v>
      </c>
      <c r="B100" s="2" t="s">
        <v>197</v>
      </c>
      <c r="C100" s="2" t="s">
        <v>198</v>
      </c>
      <c r="D100" s="2" t="s">
        <v>173</v>
      </c>
    </row>
    <row r="101" spans="1:4" x14ac:dyDescent="0.25">
      <c r="A101" s="2">
        <v>702</v>
      </c>
      <c r="B101" s="2" t="s">
        <v>177</v>
      </c>
      <c r="C101" s="2" t="s">
        <v>177</v>
      </c>
      <c r="D101" s="2" t="s">
        <v>173</v>
      </c>
    </row>
    <row r="102" spans="1:4" x14ac:dyDescent="0.25">
      <c r="A102" s="2">
        <v>705</v>
      </c>
      <c r="B102" s="2" t="s">
        <v>197</v>
      </c>
      <c r="C102" s="2" t="s">
        <v>198</v>
      </c>
      <c r="D102" s="2" t="s">
        <v>173</v>
      </c>
    </row>
    <row r="103" spans="1:4" x14ac:dyDescent="0.25">
      <c r="A103" s="2">
        <v>706</v>
      </c>
      <c r="B103" s="2" t="s">
        <v>197</v>
      </c>
      <c r="C103" s="2" t="s">
        <v>198</v>
      </c>
      <c r="D103" s="2" t="s">
        <v>173</v>
      </c>
    </row>
    <row r="104" spans="1:4" x14ac:dyDescent="0.25">
      <c r="A104" s="2">
        <v>715</v>
      </c>
      <c r="B104" s="2" t="s">
        <v>197</v>
      </c>
      <c r="C104" s="2" t="s">
        <v>198</v>
      </c>
      <c r="D104" s="2" t="s">
        <v>173</v>
      </c>
    </row>
    <row r="105" spans="1:4" x14ac:dyDescent="0.25">
      <c r="A105" s="2">
        <v>716</v>
      </c>
      <c r="B105" s="2" t="s">
        <v>197</v>
      </c>
      <c r="C105" s="2" t="s">
        <v>198</v>
      </c>
      <c r="D105" s="2" t="s">
        <v>173</v>
      </c>
    </row>
    <row r="106" spans="1:4" x14ac:dyDescent="0.25">
      <c r="A106" s="2">
        <v>719</v>
      </c>
      <c r="B106" s="2" t="s">
        <v>177</v>
      </c>
      <c r="C106" s="2" t="s">
        <v>177</v>
      </c>
      <c r="D106" s="2" t="s">
        <v>173</v>
      </c>
    </row>
    <row r="107" spans="1:4" x14ac:dyDescent="0.25">
      <c r="A107" s="2">
        <v>720</v>
      </c>
      <c r="B107" s="2" t="s">
        <v>197</v>
      </c>
      <c r="C107" s="2" t="s">
        <v>198</v>
      </c>
      <c r="D107" s="2" t="s">
        <v>173</v>
      </c>
    </row>
    <row r="108" spans="1:4" x14ac:dyDescent="0.25">
      <c r="A108" s="2">
        <v>723</v>
      </c>
      <c r="B108" s="2" t="s">
        <v>197</v>
      </c>
      <c r="C108" s="2" t="s">
        <v>198</v>
      </c>
      <c r="D108" s="2" t="s">
        <v>173</v>
      </c>
    </row>
    <row r="109" spans="1:4" x14ac:dyDescent="0.25">
      <c r="A109" s="2">
        <v>725</v>
      </c>
      <c r="B109" s="2" t="s">
        <v>197</v>
      </c>
      <c r="C109" s="2" t="s">
        <v>198</v>
      </c>
      <c r="D109" s="2" t="s">
        <v>173</v>
      </c>
    </row>
    <row r="110" spans="1:4" x14ac:dyDescent="0.25">
      <c r="A110" s="2">
        <v>727</v>
      </c>
      <c r="B110" s="2" t="s">
        <v>197</v>
      </c>
      <c r="C110" s="2" t="s">
        <v>198</v>
      </c>
      <c r="D110" s="2" t="s">
        <v>173</v>
      </c>
    </row>
    <row r="111" spans="1:4" x14ac:dyDescent="0.25">
      <c r="A111" s="2">
        <v>728</v>
      </c>
      <c r="B111" s="2" t="s">
        <v>188</v>
      </c>
      <c r="C111" s="2" t="s">
        <v>189</v>
      </c>
      <c r="D111" s="2" t="s">
        <v>173</v>
      </c>
    </row>
    <row r="112" spans="1:4" x14ac:dyDescent="0.25">
      <c r="A112" s="2">
        <v>746</v>
      </c>
      <c r="B112" s="2" t="s">
        <v>197</v>
      </c>
      <c r="C112" s="2" t="s">
        <v>198</v>
      </c>
      <c r="D112" s="2" t="s">
        <v>173</v>
      </c>
    </row>
    <row r="113" spans="1:4" x14ac:dyDescent="0.25">
      <c r="A113" s="2">
        <v>763</v>
      </c>
      <c r="B113" s="2" t="s">
        <v>197</v>
      </c>
      <c r="C113" s="2" t="s">
        <v>198</v>
      </c>
      <c r="D113" s="2" t="s">
        <v>173</v>
      </c>
    </row>
    <row r="114" spans="1:4" x14ac:dyDescent="0.25">
      <c r="A114" s="2">
        <v>780</v>
      </c>
      <c r="B114" s="2" t="s">
        <v>197</v>
      </c>
      <c r="C114" s="2" t="s">
        <v>198</v>
      </c>
      <c r="D114" s="2" t="s">
        <v>173</v>
      </c>
    </row>
    <row r="115" spans="1:4" x14ac:dyDescent="0.25">
      <c r="A115" s="2">
        <v>781</v>
      </c>
      <c r="B115" s="2" t="s">
        <v>197</v>
      </c>
      <c r="C115" s="2" t="s">
        <v>198</v>
      </c>
      <c r="D115" s="2" t="s">
        <v>173</v>
      </c>
    </row>
    <row r="116" spans="1:4" x14ac:dyDescent="0.25">
      <c r="A116" s="2">
        <v>786</v>
      </c>
      <c r="B116" s="2" t="s">
        <v>197</v>
      </c>
      <c r="C116" s="2" t="s">
        <v>198</v>
      </c>
      <c r="D116" s="2" t="s">
        <v>173</v>
      </c>
    </row>
    <row r="117" spans="1:4" x14ac:dyDescent="0.25">
      <c r="A117" s="2">
        <v>793</v>
      </c>
      <c r="B117" s="2" t="s">
        <v>197</v>
      </c>
      <c r="C117" s="2" t="s">
        <v>198</v>
      </c>
      <c r="D117" s="2" t="s">
        <v>173</v>
      </c>
    </row>
    <row r="118" spans="1:4" x14ac:dyDescent="0.25">
      <c r="A118" s="2">
        <v>794</v>
      </c>
      <c r="B118" s="2" t="s">
        <v>197</v>
      </c>
      <c r="C118" s="2" t="s">
        <v>198</v>
      </c>
      <c r="D118" s="2" t="s">
        <v>173</v>
      </c>
    </row>
    <row r="119" spans="1:4" x14ac:dyDescent="0.25">
      <c r="A119" s="2">
        <v>816</v>
      </c>
      <c r="B119" s="2" t="s">
        <v>197</v>
      </c>
      <c r="C119" s="2" t="s">
        <v>198</v>
      </c>
      <c r="D119" s="2" t="s">
        <v>173</v>
      </c>
    </row>
    <row r="120" spans="1:4" x14ac:dyDescent="0.25">
      <c r="A120" s="2">
        <v>818</v>
      </c>
      <c r="B120" s="2" t="s">
        <v>197</v>
      </c>
      <c r="C120" s="2" t="s">
        <v>198</v>
      </c>
      <c r="D120" s="2" t="s">
        <v>173</v>
      </c>
    </row>
    <row r="121" spans="1:4" x14ac:dyDescent="0.25">
      <c r="A121" s="2">
        <v>830</v>
      </c>
      <c r="B121" s="2" t="s">
        <v>197</v>
      </c>
      <c r="C121" s="2" t="s">
        <v>198</v>
      </c>
      <c r="D121" s="2" t="s">
        <v>173</v>
      </c>
    </row>
    <row r="122" spans="1:4" x14ac:dyDescent="0.25">
      <c r="A122" s="2">
        <v>833</v>
      </c>
      <c r="B122" s="2" t="s">
        <v>174</v>
      </c>
      <c r="C122" s="2" t="s">
        <v>175</v>
      </c>
      <c r="D122" s="2" t="s">
        <v>173</v>
      </c>
    </row>
    <row r="123" spans="1:4" x14ac:dyDescent="0.25">
      <c r="A123" s="2">
        <v>835</v>
      </c>
      <c r="B123" s="2" t="s">
        <v>197</v>
      </c>
      <c r="C123" s="2" t="s">
        <v>198</v>
      </c>
      <c r="D123" s="2" t="s">
        <v>173</v>
      </c>
    </row>
    <row r="124" spans="1:4" x14ac:dyDescent="0.25">
      <c r="A124" s="2">
        <v>839</v>
      </c>
      <c r="B124" s="2" t="s">
        <v>197</v>
      </c>
      <c r="C124" s="2" t="s">
        <v>198</v>
      </c>
      <c r="D124" s="2" t="s">
        <v>173</v>
      </c>
    </row>
    <row r="125" spans="1:4" x14ac:dyDescent="0.25">
      <c r="A125" s="2">
        <v>840</v>
      </c>
      <c r="B125" s="2" t="s">
        <v>197</v>
      </c>
      <c r="C125" s="2" t="s">
        <v>198</v>
      </c>
      <c r="D125" s="2" t="s">
        <v>173</v>
      </c>
    </row>
    <row r="126" spans="1:4" x14ac:dyDescent="0.25">
      <c r="A126" s="2">
        <v>846</v>
      </c>
      <c r="B126" s="2" t="s">
        <v>197</v>
      </c>
      <c r="C126" s="2" t="s">
        <v>198</v>
      </c>
      <c r="D126" s="2" t="s">
        <v>173</v>
      </c>
    </row>
    <row r="127" spans="1:4" x14ac:dyDescent="0.25">
      <c r="A127" s="2">
        <v>858</v>
      </c>
      <c r="B127" s="2" t="s">
        <v>197</v>
      </c>
      <c r="C127" s="2" t="s">
        <v>198</v>
      </c>
      <c r="D127" s="2" t="s">
        <v>173</v>
      </c>
    </row>
    <row r="128" spans="1:4" x14ac:dyDescent="0.25">
      <c r="A128" s="2">
        <v>859</v>
      </c>
      <c r="B128" s="2" t="s">
        <v>197</v>
      </c>
      <c r="C128" s="2" t="s">
        <v>198</v>
      </c>
      <c r="D128" s="2" t="s">
        <v>173</v>
      </c>
    </row>
    <row r="129" spans="1:4" x14ac:dyDescent="0.25">
      <c r="A129" s="2">
        <v>866</v>
      </c>
      <c r="B129" s="2" t="s">
        <v>197</v>
      </c>
      <c r="C129" s="2" t="s">
        <v>198</v>
      </c>
      <c r="D129" s="2" t="s">
        <v>173</v>
      </c>
    </row>
    <row r="130" spans="1:4" x14ac:dyDescent="0.25">
      <c r="A130" s="2">
        <v>868</v>
      </c>
      <c r="B130" s="2" t="s">
        <v>197</v>
      </c>
      <c r="C130" s="2" t="s">
        <v>198</v>
      </c>
      <c r="D130" s="2" t="s">
        <v>173</v>
      </c>
    </row>
    <row r="131" spans="1:4" x14ac:dyDescent="0.25">
      <c r="A131" s="2">
        <v>879</v>
      </c>
      <c r="B131" s="2" t="s">
        <v>197</v>
      </c>
      <c r="C131" s="2" t="s">
        <v>198</v>
      </c>
      <c r="D131" s="2" t="s">
        <v>173</v>
      </c>
    </row>
    <row r="132" spans="1:4" x14ac:dyDescent="0.25">
      <c r="A132" s="2">
        <v>881</v>
      </c>
      <c r="B132" s="2" t="s">
        <v>197</v>
      </c>
      <c r="C132" s="2" t="s">
        <v>198</v>
      </c>
      <c r="D132" s="2" t="s">
        <v>173</v>
      </c>
    </row>
    <row r="133" spans="1:4" x14ac:dyDescent="0.25">
      <c r="A133" s="2">
        <v>882</v>
      </c>
      <c r="B133" s="2" t="s">
        <v>197</v>
      </c>
      <c r="C133" s="2" t="s">
        <v>198</v>
      </c>
      <c r="D133" s="2" t="s">
        <v>173</v>
      </c>
    </row>
    <row r="134" spans="1:4" x14ac:dyDescent="0.25">
      <c r="A134" s="2">
        <v>889</v>
      </c>
      <c r="B134" s="2" t="s">
        <v>192</v>
      </c>
      <c r="C134" s="2" t="s">
        <v>193</v>
      </c>
      <c r="D134" s="2" t="s">
        <v>173</v>
      </c>
    </row>
    <row r="135" spans="1:4" x14ac:dyDescent="0.25">
      <c r="A135" s="2">
        <v>894</v>
      </c>
      <c r="B135" s="2" t="s">
        <v>192</v>
      </c>
      <c r="C135" s="2" t="s">
        <v>193</v>
      </c>
      <c r="D135" s="2" t="s">
        <v>173</v>
      </c>
    </row>
    <row r="136" spans="1:4" x14ac:dyDescent="0.25">
      <c r="A136" s="2">
        <v>905</v>
      </c>
      <c r="B136" s="2" t="s">
        <v>174</v>
      </c>
      <c r="C136" s="2" t="s">
        <v>175</v>
      </c>
      <c r="D136" s="2" t="s">
        <v>173</v>
      </c>
    </row>
    <row r="137" spans="1:4" x14ac:dyDescent="0.25">
      <c r="A137" s="2">
        <v>918</v>
      </c>
      <c r="B137" s="2" t="s">
        <v>174</v>
      </c>
      <c r="C137" s="2" t="s">
        <v>175</v>
      </c>
      <c r="D137" s="2" t="s">
        <v>173</v>
      </c>
    </row>
    <row r="138" spans="1:4" x14ac:dyDescent="0.25">
      <c r="A138" s="2">
        <v>988</v>
      </c>
      <c r="B138" s="2" t="s">
        <v>192</v>
      </c>
      <c r="C138" s="2" t="s">
        <v>193</v>
      </c>
      <c r="D138" s="2" t="s">
        <v>173</v>
      </c>
    </row>
    <row r="139" spans="1:4" x14ac:dyDescent="0.25">
      <c r="A139" s="2">
        <v>991</v>
      </c>
      <c r="B139" s="2" t="s">
        <v>192</v>
      </c>
      <c r="C139" s="2" t="s">
        <v>193</v>
      </c>
      <c r="D139" s="2" t="s">
        <v>173</v>
      </c>
    </row>
    <row r="140" spans="1:4" x14ac:dyDescent="0.25">
      <c r="A140" s="2">
        <v>992</v>
      </c>
      <c r="B140" s="2" t="s">
        <v>192</v>
      </c>
      <c r="C140" s="2" t="s">
        <v>193</v>
      </c>
      <c r="D140" s="2" t="s">
        <v>173</v>
      </c>
    </row>
    <row r="141" spans="1:4" x14ac:dyDescent="0.25">
      <c r="A141" s="2">
        <v>993</v>
      </c>
      <c r="B141" s="2" t="s">
        <v>192</v>
      </c>
      <c r="C141" s="2" t="s">
        <v>193</v>
      </c>
      <c r="D141" s="2" t="s">
        <v>173</v>
      </c>
    </row>
    <row r="142" spans="1:4" x14ac:dyDescent="0.25">
      <c r="A142" s="2">
        <v>995</v>
      </c>
      <c r="B142" s="2" t="s">
        <v>192</v>
      </c>
      <c r="C142" s="2" t="s">
        <v>193</v>
      </c>
      <c r="D142" s="2" t="s">
        <v>173</v>
      </c>
    </row>
    <row r="143" spans="1:4" x14ac:dyDescent="0.25">
      <c r="A143" s="2">
        <v>996</v>
      </c>
      <c r="B143" s="2" t="s">
        <v>192</v>
      </c>
      <c r="C143" s="2" t="s">
        <v>193</v>
      </c>
      <c r="D143" s="2" t="s">
        <v>173</v>
      </c>
    </row>
    <row r="144" spans="1:4" x14ac:dyDescent="0.25">
      <c r="A144" s="2">
        <v>997</v>
      </c>
      <c r="B144" s="2" t="s">
        <v>192</v>
      </c>
      <c r="C144" s="2" t="s">
        <v>193</v>
      </c>
      <c r="D144" s="2" t="s">
        <v>173</v>
      </c>
    </row>
    <row r="145" spans="1:4" x14ac:dyDescent="0.25">
      <c r="A145" s="2">
        <v>998</v>
      </c>
      <c r="B145" s="2" t="s">
        <v>192</v>
      </c>
      <c r="C145" s="2" t="s">
        <v>193</v>
      </c>
      <c r="D145" s="2" t="s">
        <v>173</v>
      </c>
    </row>
    <row r="146" spans="1:4" x14ac:dyDescent="0.25">
      <c r="A146" s="2">
        <v>999</v>
      </c>
      <c r="B146" s="2" t="s">
        <v>192</v>
      </c>
      <c r="C146" s="2" t="s">
        <v>193</v>
      </c>
      <c r="D146" s="2" t="s">
        <v>173</v>
      </c>
    </row>
    <row r="147" spans="1:4" x14ac:dyDescent="0.25">
      <c r="A147" s="2">
        <v>1007</v>
      </c>
      <c r="B147" s="2" t="s">
        <v>192</v>
      </c>
      <c r="C147" s="2" t="s">
        <v>193</v>
      </c>
      <c r="D147" s="2" t="s">
        <v>173</v>
      </c>
    </row>
    <row r="148" spans="1:4" x14ac:dyDescent="0.25">
      <c r="A148" s="2">
        <v>1008</v>
      </c>
      <c r="B148" s="2" t="s">
        <v>192</v>
      </c>
      <c r="C148" s="2" t="s">
        <v>193</v>
      </c>
      <c r="D148" s="2" t="s">
        <v>173</v>
      </c>
    </row>
    <row r="149" spans="1:4" x14ac:dyDescent="0.25">
      <c r="A149" s="2">
        <v>1010</v>
      </c>
      <c r="B149" s="2" t="s">
        <v>192</v>
      </c>
      <c r="C149" s="2" t="s">
        <v>193</v>
      </c>
      <c r="D149" s="2" t="s">
        <v>173</v>
      </c>
    </row>
    <row r="150" spans="1:4" x14ac:dyDescent="0.25">
      <c r="A150" s="2">
        <v>1418</v>
      </c>
      <c r="B150" s="2" t="s">
        <v>199</v>
      </c>
      <c r="C150" s="2" t="s">
        <v>199</v>
      </c>
      <c r="D150" s="2" t="s">
        <v>173</v>
      </c>
    </row>
    <row r="151" spans="1:4" ht="57.75" x14ac:dyDescent="0.25">
      <c r="A151" s="2">
        <v>1473</v>
      </c>
      <c r="B151" s="4" t="s">
        <v>200</v>
      </c>
      <c r="C151" s="2" t="s">
        <v>175</v>
      </c>
      <c r="D151" s="2" t="s">
        <v>173</v>
      </c>
    </row>
    <row r="152" spans="1:4" x14ac:dyDescent="0.25">
      <c r="A152" s="2">
        <v>1483</v>
      </c>
      <c r="B152" s="2" t="s">
        <v>201</v>
      </c>
      <c r="C152" s="2" t="s">
        <v>201</v>
      </c>
      <c r="D152" s="2" t="s">
        <v>173</v>
      </c>
    </row>
    <row r="153" spans="1:4" x14ac:dyDescent="0.25">
      <c r="A153" s="2">
        <v>1484</v>
      </c>
      <c r="B153" s="2" t="s">
        <v>202</v>
      </c>
      <c r="C153" s="2" t="s">
        <v>203</v>
      </c>
      <c r="D153" s="2" t="s">
        <v>204</v>
      </c>
    </row>
    <row r="154" spans="1:4" ht="57.75" x14ac:dyDescent="0.25">
      <c r="A154" s="2">
        <v>1495</v>
      </c>
      <c r="B154" s="4" t="s">
        <v>200</v>
      </c>
      <c r="C154" s="2" t="s">
        <v>175</v>
      </c>
      <c r="D154" s="2" t="s">
        <v>173</v>
      </c>
    </row>
    <row r="155" spans="1:4" x14ac:dyDescent="0.25">
      <c r="A155" s="2">
        <v>1520</v>
      </c>
      <c r="B155" s="2" t="s">
        <v>174</v>
      </c>
      <c r="C155" s="2" t="s">
        <v>175</v>
      </c>
      <c r="D155" s="2" t="s">
        <v>173</v>
      </c>
    </row>
    <row r="156" spans="1:4" x14ac:dyDescent="0.25">
      <c r="A156" s="2">
        <v>1530</v>
      </c>
      <c r="B156" s="2" t="s">
        <v>201</v>
      </c>
      <c r="C156" s="2" t="s">
        <v>201</v>
      </c>
      <c r="D156" s="2" t="s">
        <v>173</v>
      </c>
    </row>
    <row r="157" spans="1:4" x14ac:dyDescent="0.25">
      <c r="A157" s="2">
        <v>1556</v>
      </c>
      <c r="B157" s="2" t="s">
        <v>174</v>
      </c>
      <c r="C157" s="2" t="s">
        <v>175</v>
      </c>
      <c r="D157" s="2" t="s">
        <v>173</v>
      </c>
    </row>
    <row r="158" spans="1:4" x14ac:dyDescent="0.25">
      <c r="A158" s="2">
        <v>1561</v>
      </c>
      <c r="B158" s="2" t="s">
        <v>201</v>
      </c>
      <c r="C158" s="2" t="s">
        <v>201</v>
      </c>
      <c r="D158" s="2" t="s">
        <v>173</v>
      </c>
    </row>
    <row r="159" spans="1:4" x14ac:dyDescent="0.25">
      <c r="A159" s="2">
        <v>1587</v>
      </c>
      <c r="B159" s="2" t="s">
        <v>205</v>
      </c>
      <c r="C159" s="2" t="s">
        <v>206</v>
      </c>
      <c r="D159" s="2" t="s">
        <v>173</v>
      </c>
    </row>
    <row r="160" spans="1:4" x14ac:dyDescent="0.25">
      <c r="A160" s="2">
        <v>1600</v>
      </c>
      <c r="B160" s="2" t="s">
        <v>174</v>
      </c>
      <c r="C160" s="2" t="s">
        <v>175</v>
      </c>
      <c r="D160" s="2" t="s">
        <v>173</v>
      </c>
    </row>
    <row r="161" spans="1:4" x14ac:dyDescent="0.25">
      <c r="A161" s="2">
        <v>1641</v>
      </c>
      <c r="B161" s="2" t="s">
        <v>205</v>
      </c>
      <c r="C161" s="2" t="s">
        <v>206</v>
      </c>
      <c r="D161" s="2" t="s">
        <v>173</v>
      </c>
    </row>
    <row r="162" spans="1:4" x14ac:dyDescent="0.25">
      <c r="A162" s="2">
        <v>1648</v>
      </c>
      <c r="B162" s="2" t="s">
        <v>201</v>
      </c>
      <c r="C162" s="2" t="s">
        <v>201</v>
      </c>
      <c r="D162" s="2" t="s">
        <v>173</v>
      </c>
    </row>
    <row r="163" spans="1:4" x14ac:dyDescent="0.25">
      <c r="A163" s="2">
        <v>1657</v>
      </c>
      <c r="B163" s="2" t="s">
        <v>207</v>
      </c>
      <c r="C163" s="2" t="s">
        <v>208</v>
      </c>
      <c r="D163" s="2" t="s">
        <v>209</v>
      </c>
    </row>
    <row r="164" spans="1:4" x14ac:dyDescent="0.25">
      <c r="A164" s="2">
        <v>1665</v>
      </c>
      <c r="B164" s="2" t="s">
        <v>201</v>
      </c>
      <c r="C164" s="2" t="s">
        <v>201</v>
      </c>
      <c r="D164" s="2" t="s">
        <v>173</v>
      </c>
    </row>
    <row r="165" spans="1:4" x14ac:dyDescent="0.25">
      <c r="A165" s="2">
        <v>1715</v>
      </c>
      <c r="B165" s="2" t="s">
        <v>210</v>
      </c>
      <c r="C165" s="2" t="s">
        <v>177</v>
      </c>
      <c r="D165" s="2" t="s">
        <v>173</v>
      </c>
    </row>
    <row r="166" spans="1:4" x14ac:dyDescent="0.25">
      <c r="A166" s="2">
        <v>1724</v>
      </c>
      <c r="B166" s="2" t="s">
        <v>211</v>
      </c>
      <c r="C166" s="2" t="s">
        <v>177</v>
      </c>
      <c r="D166" s="2" t="s">
        <v>173</v>
      </c>
    </row>
    <row r="167" spans="1:4" x14ac:dyDescent="0.25">
      <c r="A167" s="2">
        <v>1734</v>
      </c>
      <c r="B167" s="2" t="s">
        <v>212</v>
      </c>
      <c r="C167" s="2" t="s">
        <v>213</v>
      </c>
      <c r="D167" s="2" t="s">
        <v>173</v>
      </c>
    </row>
    <row r="168" spans="1:4" x14ac:dyDescent="0.25">
      <c r="A168" s="2">
        <v>1739</v>
      </c>
      <c r="B168" s="2" t="s">
        <v>210</v>
      </c>
      <c r="C168" s="2" t="s">
        <v>177</v>
      </c>
      <c r="D168" s="2" t="s">
        <v>173</v>
      </c>
    </row>
    <row r="169" spans="1:4" x14ac:dyDescent="0.25">
      <c r="A169" s="2">
        <v>1747</v>
      </c>
      <c r="B169" s="2" t="s">
        <v>201</v>
      </c>
      <c r="C169" s="2" t="s">
        <v>201</v>
      </c>
      <c r="D169" s="2" t="s">
        <v>173</v>
      </c>
    </row>
    <row r="170" spans="1:4" x14ac:dyDescent="0.25">
      <c r="A170" s="2">
        <v>1772</v>
      </c>
      <c r="B170" s="2" t="s">
        <v>201</v>
      </c>
      <c r="C170" s="2" t="s">
        <v>201</v>
      </c>
      <c r="D170" s="2" t="s">
        <v>173</v>
      </c>
    </row>
    <row r="171" spans="1:4" x14ac:dyDescent="0.25">
      <c r="A171" s="2">
        <v>1787</v>
      </c>
      <c r="B171" s="2" t="s">
        <v>214</v>
      </c>
      <c r="C171" s="2" t="s">
        <v>214</v>
      </c>
      <c r="D171" s="2" t="s">
        <v>215</v>
      </c>
    </row>
    <row r="172" spans="1:4" ht="43.5" x14ac:dyDescent="0.25">
      <c r="A172" s="2">
        <v>1797</v>
      </c>
      <c r="B172" s="4" t="s">
        <v>216</v>
      </c>
      <c r="C172" s="2" t="s">
        <v>175</v>
      </c>
      <c r="D172" s="2" t="s">
        <v>173</v>
      </c>
    </row>
    <row r="173" spans="1:4" x14ac:dyDescent="0.25">
      <c r="A173" s="2">
        <v>1828</v>
      </c>
      <c r="B173" s="2" t="s">
        <v>174</v>
      </c>
      <c r="C173" s="2" t="s">
        <v>175</v>
      </c>
      <c r="D173" s="2" t="s">
        <v>173</v>
      </c>
    </row>
    <row r="174" spans="1:4" x14ac:dyDescent="0.25">
      <c r="A174" s="2">
        <v>1845</v>
      </c>
      <c r="B174" s="2" t="s">
        <v>188</v>
      </c>
      <c r="C174" s="2" t="s">
        <v>189</v>
      </c>
      <c r="D174" s="2" t="s">
        <v>173</v>
      </c>
    </row>
    <row r="175" spans="1:4" x14ac:dyDescent="0.25">
      <c r="A175" s="2">
        <v>1846</v>
      </c>
      <c r="B175" s="2" t="s">
        <v>174</v>
      </c>
      <c r="C175" s="2" t="s">
        <v>175</v>
      </c>
      <c r="D175" s="2" t="s">
        <v>173</v>
      </c>
    </row>
    <row r="176" spans="1:4" x14ac:dyDescent="0.25">
      <c r="A176" s="2">
        <v>1850</v>
      </c>
      <c r="B176" s="2" t="s">
        <v>183</v>
      </c>
      <c r="C176" s="2" t="s">
        <v>184</v>
      </c>
      <c r="D176" s="2" t="s">
        <v>173</v>
      </c>
    </row>
    <row r="177" spans="1:4" x14ac:dyDescent="0.25">
      <c r="A177" s="2">
        <v>1885</v>
      </c>
      <c r="B177" s="2" t="s">
        <v>174</v>
      </c>
      <c r="C177" s="2" t="s">
        <v>175</v>
      </c>
      <c r="D177" s="2" t="s">
        <v>173</v>
      </c>
    </row>
    <row r="178" spans="1:4" x14ac:dyDescent="0.25">
      <c r="A178" s="2">
        <v>1903</v>
      </c>
      <c r="B178" s="2" t="s">
        <v>217</v>
      </c>
      <c r="C178" s="2" t="s">
        <v>214</v>
      </c>
      <c r="D178" s="2" t="s">
        <v>215</v>
      </c>
    </row>
    <row r="179" spans="1:4" x14ac:dyDescent="0.25">
      <c r="A179" s="2">
        <v>1908</v>
      </c>
      <c r="B179" s="2" t="s">
        <v>218</v>
      </c>
      <c r="C179" s="2" t="s">
        <v>213</v>
      </c>
      <c r="D179" s="2" t="s">
        <v>173</v>
      </c>
    </row>
    <row r="180" spans="1:4" x14ac:dyDescent="0.25">
      <c r="A180" s="2">
        <v>2239</v>
      </c>
      <c r="B180" s="2" t="s">
        <v>219</v>
      </c>
      <c r="C180" s="2" t="s">
        <v>220</v>
      </c>
      <c r="D180" s="2" t="s">
        <v>173</v>
      </c>
    </row>
    <row r="181" spans="1:4" x14ac:dyDescent="0.25">
      <c r="A181" s="2">
        <v>2261</v>
      </c>
      <c r="B181" s="2" t="s">
        <v>221</v>
      </c>
      <c r="C181" s="2" t="s">
        <v>222</v>
      </c>
      <c r="D181" s="2" t="s">
        <v>173</v>
      </c>
    </row>
    <row r="182" spans="1:4" x14ac:dyDescent="0.25">
      <c r="A182" s="2">
        <v>2286</v>
      </c>
      <c r="B182" s="2" t="s">
        <v>183</v>
      </c>
      <c r="C182" s="2" t="s">
        <v>184</v>
      </c>
      <c r="D182" s="2" t="s">
        <v>173</v>
      </c>
    </row>
    <row r="183" spans="1:4" x14ac:dyDescent="0.25">
      <c r="A183" s="2">
        <v>2389</v>
      </c>
      <c r="B183" s="2" t="s">
        <v>202</v>
      </c>
      <c r="C183" s="2" t="s">
        <v>203</v>
      </c>
      <c r="D183" s="2" t="s">
        <v>204</v>
      </c>
    </row>
    <row r="184" spans="1:4" x14ac:dyDescent="0.25">
      <c r="A184" s="2">
        <v>2409</v>
      </c>
      <c r="B184" s="2" t="s">
        <v>223</v>
      </c>
      <c r="C184" s="2" t="s">
        <v>224</v>
      </c>
      <c r="D184" s="2" t="s">
        <v>173</v>
      </c>
    </row>
    <row r="185" spans="1:4" x14ac:dyDescent="0.25">
      <c r="A185" s="2">
        <v>2445</v>
      </c>
      <c r="B185" s="2" t="s">
        <v>223</v>
      </c>
      <c r="C185" s="2" t="s">
        <v>224</v>
      </c>
      <c r="D185" s="2" t="s">
        <v>173</v>
      </c>
    </row>
    <row r="186" spans="1:4" x14ac:dyDescent="0.25">
      <c r="A186" s="2">
        <v>2484</v>
      </c>
      <c r="B186" s="2" t="s">
        <v>223</v>
      </c>
      <c r="C186" s="2" t="s">
        <v>224</v>
      </c>
      <c r="D186" s="2" t="s">
        <v>173</v>
      </c>
    </row>
    <row r="187" spans="1:4" x14ac:dyDescent="0.25">
      <c r="A187" s="2">
        <v>2794</v>
      </c>
      <c r="B187" s="2" t="s">
        <v>212</v>
      </c>
      <c r="C187" s="2" t="s">
        <v>213</v>
      </c>
      <c r="D187" s="2" t="s">
        <v>173</v>
      </c>
    </row>
    <row r="188" spans="1:4" x14ac:dyDescent="0.25">
      <c r="A188" s="2">
        <v>3403</v>
      </c>
      <c r="B188" s="2" t="s">
        <v>183</v>
      </c>
      <c r="C188" s="2" t="s">
        <v>184</v>
      </c>
      <c r="D188" s="2" t="s">
        <v>173</v>
      </c>
    </row>
    <row r="189" spans="1:4" x14ac:dyDescent="0.25">
      <c r="A189" s="2">
        <v>3405</v>
      </c>
      <c r="B189" s="2" t="s">
        <v>188</v>
      </c>
      <c r="C189" s="2" t="s">
        <v>189</v>
      </c>
      <c r="D189" s="2" t="s">
        <v>173</v>
      </c>
    </row>
    <row r="190" spans="1:4" x14ac:dyDescent="0.25">
      <c r="A190" s="2">
        <v>3408</v>
      </c>
      <c r="B190" s="2" t="s">
        <v>183</v>
      </c>
      <c r="C190" s="2" t="s">
        <v>184</v>
      </c>
      <c r="D190" s="2" t="s">
        <v>173</v>
      </c>
    </row>
    <row r="191" spans="1:4" x14ac:dyDescent="0.25">
      <c r="A191" s="2">
        <v>3410</v>
      </c>
      <c r="B191" s="2" t="s">
        <v>183</v>
      </c>
      <c r="C191" s="2" t="s">
        <v>184</v>
      </c>
      <c r="D191" s="2" t="s">
        <v>173</v>
      </c>
    </row>
    <row r="192" spans="1:4" x14ac:dyDescent="0.25">
      <c r="A192" s="2">
        <v>3422</v>
      </c>
      <c r="B192" s="2" t="s">
        <v>188</v>
      </c>
      <c r="C192" s="2" t="s">
        <v>189</v>
      </c>
      <c r="D192" s="2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24" customWidth="1"/>
    <col min="3" max="3" width="40" customWidth="1"/>
  </cols>
  <sheetData>
    <row r="1" spans="1:3" x14ac:dyDescent="0.25">
      <c r="A1" s="6" t="s">
        <v>225</v>
      </c>
      <c r="B1" s="6" t="s">
        <v>226</v>
      </c>
      <c r="C1" s="6" t="s">
        <v>227</v>
      </c>
    </row>
    <row r="2" spans="1:3" x14ac:dyDescent="0.25">
      <c r="A2" s="2" t="s">
        <v>228</v>
      </c>
      <c r="B2" s="2" t="s">
        <v>19</v>
      </c>
      <c r="C2" s="2" t="s">
        <v>229</v>
      </c>
    </row>
    <row r="3" spans="1:3" x14ac:dyDescent="0.25">
      <c r="A3" s="2" t="s">
        <v>230</v>
      </c>
      <c r="B3" s="2" t="s">
        <v>114</v>
      </c>
      <c r="C3" s="2" t="s">
        <v>231</v>
      </c>
    </row>
    <row r="4" spans="1:3" x14ac:dyDescent="0.25">
      <c r="A4" s="2" t="s">
        <v>232</v>
      </c>
      <c r="B4" s="2" t="s">
        <v>114</v>
      </c>
      <c r="C4" s="2" t="s">
        <v>231</v>
      </c>
    </row>
    <row r="5" spans="1:3" x14ac:dyDescent="0.25">
      <c r="A5" s="2" t="s">
        <v>233</v>
      </c>
      <c r="B5" s="2" t="s">
        <v>38</v>
      </c>
      <c r="C5" s="2" t="s">
        <v>234</v>
      </c>
    </row>
    <row r="6" spans="1:3" x14ac:dyDescent="0.25">
      <c r="A6" s="2" t="s">
        <v>235</v>
      </c>
      <c r="B6" s="2" t="s">
        <v>54</v>
      </c>
      <c r="C6" s="2" t="s"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Wood Density Lookup</vt:lpstr>
      <vt:lpstr>Tree Data Clean</vt:lpstr>
      <vt:lpstr>Excluded Trees</vt:lpstr>
      <vt:lpstr>Name Merges Applied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2026-07-13T07:12:00Z</dcterms:created>
  <dcterms:modified xsi:type="dcterms:W3CDTF">2026-07-13T08:32:43Z</dcterms:modified>
  <dc:language>en-US</dc:language>
</cp:coreProperties>
</file>